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255" tabRatio="673" firstSheet="0" activeTab="0" autoFilterDateGrouping="1"/>
  </bookViews>
  <sheets>
    <sheet name="行业etf数据02" sheetId="1" state="visible" r:id="rId1"/>
  </sheets>
  <definedNames/>
  <calcPr calcId="191029" fullCalcOnLoad="1"/>
</workbook>
</file>

<file path=xl/styles.xml><?xml version="1.0" encoding="utf-8"?>
<styleSheet xmlns="http://schemas.openxmlformats.org/spreadsheetml/2006/main">
  <numFmts count="5">
    <numFmt numFmtId="164" formatCode="yyyy/m/d;@"/>
    <numFmt numFmtId="165" formatCode="0.00_ "/>
    <numFmt numFmtId="166" formatCode="yyyy&quot;年&quot;m&quot;月&quot;d&quot;日&quot;;@"/>
    <numFmt numFmtId="167" formatCode="yyyy\-mm\-dd\ h:mm:ss"/>
    <numFmt numFmtId="168" formatCode="yyyy-mm-dd h:mm:ss"/>
  </numFmts>
  <fonts count="90">
    <font>
      <name val="宋体"/>
      <charset val="134"/>
      <color theme="1"/>
      <sz val="11"/>
      <scheme val="minor"/>
    </font>
    <font>
      <name val="宋体"/>
      <charset val="134"/>
      <b val="1"/>
      <color theme="1"/>
      <sz val="14"/>
      <scheme val="minor"/>
    </font>
    <font>
      <name val="宋体"/>
      <charset val="134"/>
      <b val="1"/>
      <color rgb="FFFF0000"/>
      <sz val="14"/>
      <scheme val="minor"/>
    </font>
    <font>
      <name val="宋体"/>
      <charset val="134"/>
      <color theme="1"/>
      <sz val="14"/>
      <scheme val="minor"/>
    </font>
    <font>
      <name val="黑体"/>
      <charset val="134"/>
      <b val="1"/>
      <color theme="1"/>
      <sz val="14"/>
    </font>
    <font>
      <name val="微软雅黑"/>
      <charset val="134"/>
      <color theme="1"/>
      <sz val="14"/>
    </font>
    <font>
      <name val="微软雅黑"/>
      <charset val="134"/>
      <b val="1"/>
      <color theme="1"/>
      <sz val="14"/>
    </font>
    <font>
      <name val="微软雅黑"/>
      <charset val="134"/>
      <sz val="14"/>
    </font>
    <font>
      <name val="Arial"/>
      <charset val="134"/>
      <color theme="1"/>
      <sz val="14"/>
    </font>
    <font>
      <name val="黑体"/>
      <charset val="134"/>
      <color theme="1"/>
      <sz val="14"/>
    </font>
    <font>
      <name val="宋体"/>
      <charset val="134"/>
      <b val="1"/>
      <color theme="1"/>
      <sz val="14"/>
    </font>
    <font>
      <name val="Microsoft YaHei"/>
      <charset val="134"/>
      <b val="1"/>
      <color rgb="FFFF0000"/>
      <sz val="14"/>
    </font>
    <font>
      <name val="宋体"/>
      <charset val="134"/>
      <b val="1"/>
      <color rgb="FFFF0000"/>
      <sz val="14"/>
    </font>
    <font>
      <name val="宋体"/>
      <charset val="134"/>
      <b val="1"/>
      <color rgb="FF4372BA"/>
      <sz val="14"/>
    </font>
    <font>
      <name val="宋体"/>
      <charset val="134"/>
      <b val="1"/>
      <color rgb="FF4D4D4D"/>
      <sz val="14"/>
    </font>
    <font>
      <name val="Arial"/>
      <charset val="134"/>
      <b val="1"/>
      <color rgb="FFFF0000"/>
      <sz val="14"/>
    </font>
    <font>
      <name val="Arial"/>
      <charset val="134"/>
      <b val="1"/>
      <color rgb="FF4D4D4D"/>
      <sz val="14"/>
    </font>
    <font>
      <name val="黑体"/>
      <charset val="134"/>
      <b val="1"/>
      <color rgb="FFFF0000"/>
      <sz val="14"/>
    </font>
    <font>
      <name val="Segoe UI"/>
      <charset val="134"/>
      <b val="1"/>
      <color rgb="FFFF0000"/>
      <sz val="14"/>
    </font>
    <font>
      <name val="Segoe UI"/>
      <charset val="134"/>
      <b val="1"/>
      <color rgb="FF333333"/>
      <sz val="14"/>
    </font>
    <font>
      <name val="宋体"/>
      <charset val="134"/>
      <b val="1"/>
      <color rgb="FF333333"/>
      <sz val="14"/>
    </font>
    <font>
      <name val="宋体"/>
      <charset val="134"/>
      <b val="1"/>
      <sz val="14"/>
    </font>
    <font>
      <name val="微软雅黑"/>
      <charset val="134"/>
      <b val="1"/>
      <color rgb="FFFF0000"/>
      <sz val="14"/>
    </font>
    <font>
      <name val="Microsoft YaHei"/>
      <charset val="134"/>
      <color theme="1"/>
      <sz val="14"/>
    </font>
    <font>
      <name val="Segoe UI"/>
      <charset val="134"/>
      <color theme="1"/>
      <sz val="14"/>
    </font>
    <font>
      <name val="Arial"/>
      <charset val="134"/>
      <color rgb="FF4D4D4D"/>
      <sz val="14"/>
    </font>
    <font>
      <name val="Segoe UI"/>
      <charset val="134"/>
      <color rgb="FF333333"/>
      <sz val="14"/>
    </font>
    <font>
      <name val="宋体"/>
      <charset val="134"/>
      <color theme="1"/>
      <sz val="14"/>
    </font>
    <font>
      <name val="宋体"/>
      <charset val="134"/>
      <color rgb="FF333333"/>
      <sz val="14"/>
    </font>
    <font>
      <name val="Microsoft YaHei"/>
      <charset val="134"/>
      <b val="1"/>
      <color rgb="FF333333"/>
      <sz val="14"/>
    </font>
    <font>
      <name val="Microsoft YaHei"/>
      <charset val="134"/>
      <b val="1"/>
      <color theme="1"/>
      <sz val="14"/>
    </font>
    <font>
      <name val="Arial"/>
      <charset val="134"/>
      <color rgb="FF333333"/>
      <sz val="14"/>
    </font>
    <font>
      <name val="黑体"/>
      <charset val="134"/>
      <b val="1"/>
      <color rgb="FF333333"/>
      <sz val="14"/>
    </font>
    <font>
      <name val="微软雅黑"/>
      <charset val="134"/>
      <color rgb="FF333333"/>
      <sz val="14"/>
    </font>
    <font>
      <name val="Arial"/>
      <charset val="134"/>
      <color rgb="FF3D3D3D"/>
      <sz val="14"/>
    </font>
    <font>
      <name val="Arial"/>
      <charset val="134"/>
      <b val="1"/>
      <color rgb="FF333333"/>
      <sz val="14"/>
    </font>
    <font>
      <name val="微软雅黑"/>
      <charset val="134"/>
      <b val="1"/>
      <color rgb="FF333333"/>
      <sz val="14"/>
    </font>
    <font>
      <name val="微软雅黑"/>
      <charset val="134"/>
      <b val="1"/>
      <sz val="14"/>
    </font>
    <font>
      <name val="Arial"/>
      <charset val="134"/>
      <b val="1"/>
      <color rgb="FF3D3D3D"/>
      <sz val="14"/>
    </font>
    <font>
      <name val="Calibri"/>
      <charset val="134"/>
      <b val="1"/>
      <sz val="14"/>
    </font>
    <font>
      <name val="黑体"/>
      <charset val="134"/>
      <b val="1"/>
      <sz val="14"/>
    </font>
    <font>
      <name val="宋体"/>
      <charset val="134"/>
      <color indexed="8"/>
      <sz val="14"/>
      <scheme val="minor"/>
    </font>
    <font>
      <name val="黑体"/>
      <charset val="134"/>
      <sz val="14"/>
    </font>
    <font>
      <name val="Segoe UI"/>
      <charset val="134"/>
      <sz val="14"/>
    </font>
    <font>
      <name val="Arial"/>
      <charset val="134"/>
      <sz val="14"/>
    </font>
    <font>
      <name val="宋体"/>
      <charset val="134"/>
      <sz val="14"/>
      <scheme val="minor"/>
    </font>
    <font>
      <name val="宋体"/>
      <charset val="134"/>
      <sz val="14"/>
    </font>
    <font>
      <name val="黑体"/>
      <charset val="134"/>
      <color rgb="FF3D3D3D"/>
      <sz val="14"/>
    </font>
    <font>
      <name val="Arial"/>
      <charset val="134"/>
      <color rgb="FF00B050"/>
      <sz val="14"/>
    </font>
    <font>
      <name val="Arial"/>
      <charset val="134"/>
      <color rgb="FFFF0000"/>
      <sz val="14"/>
    </font>
    <font>
      <name val="微软雅黑"/>
      <charset val="134"/>
      <color rgb="FF3D3D3D"/>
      <sz val="14"/>
    </font>
    <font>
      <name val="微软雅黑"/>
      <charset val="134"/>
      <color rgb="FF00B050"/>
      <sz val="14"/>
    </font>
    <font>
      <name val="微软雅黑"/>
      <charset val="134"/>
      <color rgb="FFFF0000"/>
      <sz val="14"/>
    </font>
    <font>
      <name val="Arial"/>
      <charset val="134"/>
      <color rgb="FF337AB7"/>
      <sz val="14"/>
    </font>
    <font>
      <name val="宋体"/>
      <charset val="134"/>
      <color rgb="FF337AB7"/>
      <sz val="14"/>
    </font>
    <font>
      <name val="微软雅黑"/>
      <charset val="134"/>
      <color rgb="FF337AB7"/>
      <sz val="14"/>
    </font>
    <font>
      <name val="微软雅黑"/>
      <charset val="134"/>
      <color theme="9"/>
      <sz val="14"/>
    </font>
    <font>
      <name val="Arial"/>
      <charset val="134"/>
      <color rgb="FF008000"/>
      <sz val="14"/>
    </font>
    <font>
      <name val="微软雅黑"/>
      <charset val="134"/>
      <color rgb="FFDB3338"/>
      <sz val="14"/>
    </font>
    <font>
      <name val="微软雅黑"/>
      <charset val="134"/>
      <color rgb="FF008000"/>
      <sz val="14"/>
    </font>
    <font>
      <name val="Arial"/>
      <charset val="134"/>
      <color theme="7" tint="-0.25"/>
      <sz val="14"/>
    </font>
    <font>
      <name val="宋体"/>
      <charset val="134"/>
      <color rgb="FF3D3D3D"/>
      <sz val="14"/>
    </font>
    <font>
      <name val="微软雅黑"/>
      <charset val="134"/>
      <color rgb="FF555555"/>
      <sz val="14"/>
    </font>
    <font>
      <name val="Arial"/>
      <charset val="134"/>
      <color rgb="FF555555"/>
      <sz val="14"/>
    </font>
    <font>
      <name val="宋体"/>
      <charset val="134"/>
      <color rgb="FF555555"/>
      <sz val="14"/>
    </font>
    <font>
      <name val="Microsoft YaHei"/>
      <charset val="134"/>
      <b val="1"/>
      <color rgb="FF555555"/>
      <sz val="14"/>
    </font>
    <font>
      <name val="Microsoft YaHei"/>
      <charset val="134"/>
      <color rgb="FF555555"/>
      <sz val="14"/>
    </font>
    <font>
      <name val="宋体"/>
      <charset val="134"/>
      <color rgb="FFFF0000"/>
      <sz val="14"/>
    </font>
    <font>
      <name val="宋体"/>
      <charset val="134"/>
      <color rgb="FFFF0000"/>
      <sz val="14"/>
      <scheme val="minor"/>
    </font>
    <font>
      <name val="黑体"/>
      <charset val="134"/>
      <color indexed="8"/>
      <sz val="14"/>
    </font>
    <font>
      <name val="黑体"/>
      <charset val="134"/>
      <color rgb="FF333333"/>
      <sz val="14"/>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6">
    <fill>
      <patternFill/>
    </fill>
    <fill>
      <patternFill patternType="gray125"/>
    </fill>
    <fill>
      <patternFill patternType="solid">
        <fgColor theme="6" tint="0.8"/>
        <bgColor indexed="64"/>
      </patternFill>
    </fill>
    <fill>
      <patternFill patternType="solid">
        <fgColor rgb="FFFFC000"/>
        <bgColor indexed="64"/>
      </patternFill>
    </fill>
    <fill>
      <patternFill patternType="solid">
        <fgColor theme="1"/>
        <bgColor indexed="64"/>
      </patternFill>
    </fill>
    <fill>
      <patternFill patternType="solid">
        <fgColor rgb="FFFFFF00"/>
        <bgColor indexed="64"/>
      </patternFill>
    </fill>
    <fill>
      <patternFill patternType="solid">
        <fgColor rgb="FFF0B928"/>
        <bgColor indexed="64"/>
      </patternFill>
    </fill>
    <fill>
      <patternFill patternType="solid">
        <fgColor theme="8" tint="0.6"/>
        <bgColor indexed="64"/>
      </patternFill>
    </fill>
    <fill>
      <patternFill patternType="solid">
        <fgColor theme="7"/>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4" tint="0.6"/>
        <bgColor indexed="64"/>
      </patternFill>
    </fill>
    <fill>
      <patternFill patternType="solid">
        <fgColor rgb="FF86C5E3"/>
        <bgColor indexed="64"/>
      </patternFill>
    </fill>
    <fill>
      <patternFill patternType="solid">
        <fgColor rgb="FFFBEC88"/>
        <bgColor indexed="64"/>
      </patternFill>
    </fill>
    <fill>
      <patternFill patternType="solid">
        <fgColor rgb="FFFFFFFF"/>
        <bgColor indexed="64"/>
      </patternFill>
    </fill>
    <fill>
      <patternFill patternType="solid">
        <fgColor rgb="FFEAF2FF"/>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style="medium">
        <color rgb="FFEDEFF2"/>
      </top>
      <bottom style="medium">
        <color rgb="FFEDEFF2"/>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style="thin">
        <color auto="1"/>
      </bottom>
      <diagonal/>
    </border>
    <border>
      <left style="medium">
        <color rgb="FFCCCCCC"/>
      </left>
      <right style="medium">
        <color rgb="FFCCCCCC"/>
      </right>
      <top/>
      <bottom style="medium">
        <color rgb="FFCCCCCC"/>
      </bottom>
      <diagonal/>
    </border>
    <border>
      <left style="medium">
        <color rgb="FFE4E4E4"/>
      </left>
      <right style="medium">
        <color rgb="FFEEEEEE"/>
      </right>
      <top style="medium">
        <color rgb="FFEEEEEE"/>
      </top>
      <bottom style="medium">
        <color rgb="FFEEEEEE"/>
      </bottom>
      <diagonal/>
    </border>
    <border>
      <left style="medium">
        <color rgb="FFEEEEEE"/>
      </left>
      <right style="medium">
        <color rgb="FFEEEEEE"/>
      </right>
      <top style="medium">
        <color rgb="FFEEEEEE"/>
      </top>
      <bottom style="medium">
        <color rgb="FFEEEEEE"/>
      </bottom>
      <diagonal/>
    </border>
    <border>
      <left style="medium">
        <color rgb="FFEEEEEE"/>
      </left>
      <right style="medium">
        <color rgb="FFE4E4E4"/>
      </right>
      <top style="medium">
        <color rgb="FFEEEEEE"/>
      </top>
      <bottom style="medium">
        <color rgb="FFEEEEEE"/>
      </bottom>
      <diagonal/>
    </border>
    <border>
      <left style="medium">
        <color rgb="FFD3D3D3"/>
      </left>
      <right style="medium">
        <color rgb="FFD3D3D3"/>
      </right>
      <top style="medium">
        <color rgb="FFD3D3D3"/>
      </top>
      <bottom style="medium">
        <color rgb="FFD3D3D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1" fillId="0" borderId="0" applyAlignment="1">
      <alignment vertical="center"/>
    </xf>
    <xf numFmtId="0" fontId="72" fillId="0" borderId="0" applyAlignment="1">
      <alignment vertical="center"/>
    </xf>
    <xf numFmtId="0" fontId="0" fillId="18" borderId="10" applyAlignment="1">
      <alignment vertical="center"/>
    </xf>
    <xf numFmtId="0" fontId="73" fillId="0" borderId="0" applyAlignment="1">
      <alignment vertical="center"/>
    </xf>
    <xf numFmtId="0" fontId="74" fillId="0" borderId="0" applyAlignment="1">
      <alignment vertical="center"/>
    </xf>
    <xf numFmtId="0" fontId="75" fillId="0" borderId="0" applyAlignment="1">
      <alignment vertical="center"/>
    </xf>
    <xf numFmtId="0" fontId="76" fillId="0" borderId="11" applyAlignment="1">
      <alignment vertical="center"/>
    </xf>
    <xf numFmtId="0" fontId="77" fillId="0" borderId="11" applyAlignment="1">
      <alignment vertical="center"/>
    </xf>
    <xf numFmtId="0" fontId="78" fillId="0" borderId="12" applyAlignment="1">
      <alignment vertical="center"/>
    </xf>
    <xf numFmtId="0" fontId="78" fillId="0" borderId="0" applyAlignment="1">
      <alignment vertical="center"/>
    </xf>
    <xf numFmtId="0" fontId="79" fillId="19" borderId="13" applyAlignment="1">
      <alignment vertical="center"/>
    </xf>
    <xf numFmtId="0" fontId="80" fillId="20" borderId="14" applyAlignment="1">
      <alignment vertical="center"/>
    </xf>
    <xf numFmtId="0" fontId="81" fillId="20" borderId="13" applyAlignment="1">
      <alignment vertical="center"/>
    </xf>
    <xf numFmtId="0" fontId="82" fillId="21" borderId="15" applyAlignment="1">
      <alignment vertical="center"/>
    </xf>
    <xf numFmtId="0" fontId="83" fillId="0" borderId="16" applyAlignment="1">
      <alignment vertical="center"/>
    </xf>
    <xf numFmtId="0" fontId="84" fillId="0" borderId="17" applyAlignment="1">
      <alignment vertical="center"/>
    </xf>
    <xf numFmtId="0" fontId="85" fillId="22" borderId="0" applyAlignment="1">
      <alignment vertical="center"/>
    </xf>
    <xf numFmtId="0" fontId="86" fillId="23" borderId="0" applyAlignment="1">
      <alignment vertical="center"/>
    </xf>
    <xf numFmtId="0" fontId="87" fillId="24" borderId="0" applyAlignment="1">
      <alignment vertical="center"/>
    </xf>
    <xf numFmtId="0" fontId="88" fillId="10" borderId="0" applyAlignment="1">
      <alignment vertical="center"/>
    </xf>
    <xf numFmtId="0" fontId="89" fillId="25" borderId="0" applyAlignment="1">
      <alignment vertical="center"/>
    </xf>
    <xf numFmtId="0" fontId="89" fillId="26" borderId="0" applyAlignment="1">
      <alignment vertical="center"/>
    </xf>
    <xf numFmtId="0" fontId="88" fillId="27" borderId="0" applyAlignment="1">
      <alignment vertical="center"/>
    </xf>
    <xf numFmtId="0" fontId="88" fillId="11" borderId="0" applyAlignment="1">
      <alignment vertical="center"/>
    </xf>
    <xf numFmtId="0" fontId="89" fillId="28" borderId="0" applyAlignment="1">
      <alignment vertical="center"/>
    </xf>
    <xf numFmtId="0" fontId="89" fillId="29" borderId="0" applyAlignment="1">
      <alignment vertical="center"/>
    </xf>
    <xf numFmtId="0" fontId="88" fillId="30" borderId="0" applyAlignment="1">
      <alignment vertical="center"/>
    </xf>
    <xf numFmtId="0" fontId="88" fillId="31" borderId="0" applyAlignment="1">
      <alignment vertical="center"/>
    </xf>
    <xf numFmtId="0" fontId="89" fillId="32" borderId="0" applyAlignment="1">
      <alignment vertical="center"/>
    </xf>
    <xf numFmtId="0" fontId="89" fillId="33" borderId="0" applyAlignment="1">
      <alignment vertical="center"/>
    </xf>
    <xf numFmtId="0" fontId="88" fillId="34" borderId="0" applyAlignment="1">
      <alignment vertical="center"/>
    </xf>
    <xf numFmtId="0" fontId="88" fillId="8" borderId="0" applyAlignment="1">
      <alignment vertical="center"/>
    </xf>
    <xf numFmtId="0" fontId="89" fillId="35" borderId="0" applyAlignment="1">
      <alignment vertical="center"/>
    </xf>
    <xf numFmtId="0" fontId="89" fillId="36" borderId="0" applyAlignment="1">
      <alignment vertical="center"/>
    </xf>
    <xf numFmtId="0" fontId="88" fillId="37" borderId="0" applyAlignment="1">
      <alignment vertical="center"/>
    </xf>
    <xf numFmtId="0" fontId="88" fillId="38" borderId="0" applyAlignment="1">
      <alignment vertical="center"/>
    </xf>
    <xf numFmtId="0" fontId="89" fillId="39" borderId="0" applyAlignment="1">
      <alignment vertical="center"/>
    </xf>
    <xf numFmtId="0" fontId="89" fillId="40" borderId="0" applyAlignment="1">
      <alignment vertical="center"/>
    </xf>
    <xf numFmtId="0" fontId="88" fillId="41" borderId="0" applyAlignment="1">
      <alignment vertical="center"/>
    </xf>
    <xf numFmtId="0" fontId="88" fillId="42" borderId="0" applyAlignment="1">
      <alignment vertical="center"/>
    </xf>
    <xf numFmtId="0" fontId="89" fillId="43" borderId="0" applyAlignment="1">
      <alignment vertical="center"/>
    </xf>
    <xf numFmtId="0" fontId="89" fillId="44" borderId="0" applyAlignment="1">
      <alignment vertical="center"/>
    </xf>
    <xf numFmtId="0" fontId="88" fillId="45" borderId="0" applyAlignment="1">
      <alignment vertical="center"/>
    </xf>
  </cellStyleXfs>
  <cellXfs count="736">
    <xf numFmtId="0" fontId="0" fillId="0" borderId="0" applyAlignment="1" pivotButton="0" quotePrefix="0" xfId="0">
      <alignment vertical="center"/>
    </xf>
    <xf numFmtId="0" fontId="1" fillId="0" borderId="1" applyAlignment="1" pivotButton="0" quotePrefix="0" xfId="0">
      <alignment horizontal="center" vertical="center" wrapText="1" shrinkToFit="1"/>
    </xf>
    <xf numFmtId="0" fontId="2" fillId="0" borderId="1" applyAlignment="1" pivotButton="0" quotePrefix="0" xfId="0">
      <alignment horizontal="center" vertical="center" wrapText="1" shrinkToFit="1"/>
    </xf>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5" fillId="3" borderId="1" applyAlignment="1" pivotButton="0" quotePrefix="0" xfId="0">
      <alignment horizontal="center" vertical="center"/>
    </xf>
    <xf numFmtId="0" fontId="5" fillId="6" borderId="1" applyAlignment="1" pivotButton="0" quotePrefix="0" xfId="0">
      <alignment horizontal="center" vertical="center"/>
    </xf>
    <xf numFmtId="0" fontId="7" fillId="0" borderId="1" applyAlignment="1" pivotButton="0" quotePrefix="0" xfId="0">
      <alignment horizontal="center" vertical="center"/>
    </xf>
    <xf numFmtId="0" fontId="7" fillId="5" borderId="1" applyAlignment="1" pivotButton="0" quotePrefix="0" xfId="0">
      <alignment horizontal="center" vertical="center"/>
    </xf>
    <xf numFmtId="0" fontId="5" fillId="7" borderId="1" applyAlignment="1" pivotButton="0" quotePrefix="0" xfId="0">
      <alignment horizontal="center" vertical="center"/>
    </xf>
    <xf numFmtId="0" fontId="3" fillId="8" borderId="1" applyAlignment="1" pivotButton="0" quotePrefix="0" xfId="0">
      <alignment horizontal="center" vertical="center"/>
    </xf>
    <xf numFmtId="164" fontId="5" fillId="0" borderId="1" applyAlignment="1" pivotButton="0" quotePrefix="0" xfId="0">
      <alignment horizontal="center" vertical="center"/>
    </xf>
    <xf numFmtId="164" fontId="3" fillId="0" borderId="1" applyAlignment="1" pivotButton="0" quotePrefix="0" xfId="0">
      <alignment horizontal="center" vertical="center"/>
    </xf>
    <xf numFmtId="10" fontId="3" fillId="0" borderId="1" applyAlignment="1" pivotButton="0" quotePrefix="0" xfId="0">
      <alignment horizontal="center" vertical="center"/>
    </xf>
    <xf numFmtId="0" fontId="8" fillId="0" borderId="1" applyAlignment="1" pivotButton="0" quotePrefix="0" xfId="0">
      <alignment horizontal="center" vertical="center"/>
    </xf>
    <xf numFmtId="165" fontId="3" fillId="0" borderId="1" applyAlignment="1" pivotButton="0" quotePrefix="0" xfId="0">
      <alignment horizontal="center" vertical="center"/>
    </xf>
    <xf numFmtId="165" fontId="8" fillId="0" borderId="1" applyAlignment="1" pivotButton="0" quotePrefix="0" xfId="0">
      <alignment horizontal="center" vertical="center"/>
    </xf>
    <xf numFmtId="0" fontId="3" fillId="0" borderId="1" applyAlignment="1" pivotButton="0" quotePrefix="0" xfId="0">
      <alignment horizontal="center" vertical="center" wrapText="1" shrinkToFit="1"/>
    </xf>
    <xf numFmtId="0" fontId="3" fillId="0" borderId="0" applyAlignment="1" pivotButton="0" quotePrefix="0" xfId="0">
      <alignment horizontal="center" vertical="center"/>
    </xf>
    <xf numFmtId="0" fontId="9" fillId="0" borderId="1" applyAlignment="1" pivotButton="0" quotePrefix="0" xfId="0">
      <alignment horizontal="center" vertical="center"/>
    </xf>
    <xf numFmtId="164" fontId="6" fillId="0" borderId="1" applyAlignment="1" pivotButton="0" quotePrefix="0" xfId="0">
      <alignment horizontal="center" vertical="center" wrapText="1" shrinkToFit="1"/>
    </xf>
    <xf numFmtId="0" fontId="2" fillId="9" borderId="1" applyAlignment="1" pivotButton="0" quotePrefix="0" xfId="0">
      <alignment horizontal="center" vertical="center" wrapText="1" shrinkToFit="1"/>
    </xf>
    <xf numFmtId="164" fontId="1" fillId="0" borderId="1" applyAlignment="1" pivotButton="0" quotePrefix="0" xfId="0">
      <alignment horizontal="center" vertical="center" wrapText="1" shrinkToFit="1"/>
    </xf>
    <xf numFmtId="10" fontId="1" fillId="0" borderId="1" applyAlignment="1" pivotButton="0" quotePrefix="0" xfId="0">
      <alignment horizontal="center" vertical="center" wrapText="1" shrinkToFit="1"/>
    </xf>
    <xf numFmtId="0" fontId="10" fillId="0" borderId="1" applyAlignment="1" pivotButton="0" quotePrefix="0" xfId="0">
      <alignment horizontal="center" vertical="center" wrapText="1" shrinkToFit="1"/>
    </xf>
    <xf numFmtId="165" fontId="2" fillId="9" borderId="1" applyAlignment="1" pivotButton="0" quotePrefix="0" xfId="0">
      <alignment horizontal="center" vertical="center" wrapText="1" shrinkToFit="1"/>
    </xf>
    <xf numFmtId="165" fontId="10" fillId="0" borderId="1" applyAlignment="1" pivotButton="0" quotePrefix="0" xfId="0">
      <alignment horizontal="center" vertical="center" wrapText="1" shrinkToFit="1"/>
    </xf>
    <xf numFmtId="0" fontId="11" fillId="9" borderId="1" applyAlignment="1" pivotButton="0" quotePrefix="0" xfId="0">
      <alignment horizontal="center" vertical="center" wrapText="1" shrinkToFit="1"/>
    </xf>
    <xf numFmtId="0" fontId="12" fillId="9" borderId="1" applyAlignment="1" pivotButton="0" quotePrefix="0" xfId="0">
      <alignment horizontal="center" vertical="center" wrapText="1" shrinkToFit="1"/>
    </xf>
    <xf numFmtId="0" fontId="13" fillId="0" borderId="1" applyAlignment="1" pivotButton="0" quotePrefix="0" xfId="0">
      <alignment horizontal="center" vertical="center" wrapText="1" shrinkToFit="1"/>
    </xf>
    <xf numFmtId="0" fontId="1" fillId="10" borderId="1" applyAlignment="1" pivotButton="0" quotePrefix="0" xfId="0">
      <alignment horizontal="center" vertical="center" wrapText="1" shrinkToFit="1"/>
    </xf>
    <xf numFmtId="0" fontId="2" fillId="9" borderId="0" applyAlignment="1" pivotButton="0" quotePrefix="0" xfId="0">
      <alignment horizontal="center" vertical="center" wrapText="1" shrinkToFit="1"/>
    </xf>
    <xf numFmtId="10" fontId="14" fillId="0" borderId="1" applyAlignment="1" pivotButton="0" quotePrefix="0" xfId="0">
      <alignment horizontal="center" vertical="center" wrapText="1" shrinkToFit="1"/>
    </xf>
    <xf numFmtId="0" fontId="15" fillId="9" borderId="1" applyAlignment="1" pivotButton="0" quotePrefix="0" xfId="0">
      <alignment horizontal="center" vertical="center" wrapText="1" shrinkToFit="1"/>
    </xf>
    <xf numFmtId="0" fontId="16" fillId="10" borderId="1" applyAlignment="1" pivotButton="0" quotePrefix="0" xfId="0">
      <alignment horizontal="center" vertical="center" wrapText="1" shrinkToFit="1"/>
    </xf>
    <xf numFmtId="0" fontId="14" fillId="0" borderId="1" applyAlignment="1" pivotButton="0" quotePrefix="0" xfId="0">
      <alignment horizontal="center" vertical="center" wrapText="1" shrinkToFit="1"/>
    </xf>
    <xf numFmtId="0" fontId="1" fillId="5" borderId="1" applyAlignment="1" pivotButton="0" quotePrefix="0" xfId="0">
      <alignment horizontal="center" vertical="center" wrapText="1" shrinkToFit="1"/>
    </xf>
    <xf numFmtId="10" fontId="2" fillId="0" borderId="1" applyAlignment="1" pivotButton="0" quotePrefix="0" xfId="0">
      <alignment horizontal="center" vertical="center" wrapText="1" shrinkToFit="1"/>
    </xf>
    <xf numFmtId="10" fontId="2" fillId="9" borderId="1" applyAlignment="1" pivotButton="0" quotePrefix="0" xfId="0">
      <alignment horizontal="center" vertical="center" wrapText="1" shrinkToFit="1"/>
    </xf>
    <xf numFmtId="0" fontId="1" fillId="11" borderId="1" applyAlignment="1" pivotButton="0" quotePrefix="0" xfId="0">
      <alignment horizontal="center" vertical="center" wrapText="1" shrinkToFit="1"/>
    </xf>
    <xf numFmtId="0" fontId="1" fillId="0" borderId="0" applyAlignment="1" pivotButton="0" quotePrefix="0" xfId="0">
      <alignment horizontal="center" vertical="center" wrapText="1" shrinkToFit="1"/>
    </xf>
    <xf numFmtId="0" fontId="17" fillId="9" borderId="1" applyAlignment="1" pivotButton="0" quotePrefix="0" xfId="0">
      <alignment horizontal="center" vertical="center" wrapText="1" shrinkToFit="1"/>
    </xf>
    <xf numFmtId="0" fontId="4" fillId="0" borderId="1" applyAlignment="1" pivotButton="0" quotePrefix="0" xfId="0">
      <alignment horizontal="center" vertical="center" wrapText="1" shrinkToFit="1"/>
    </xf>
    <xf numFmtId="0" fontId="12" fillId="9" borderId="0" applyAlignment="1" pivotButton="0" quotePrefix="0" xfId="0">
      <alignment horizontal="center" vertical="center" wrapText="1" shrinkToFit="1"/>
    </xf>
    <xf numFmtId="0" fontId="18" fillId="9" borderId="1" applyAlignment="1" pivotButton="0" quotePrefix="0" xfId="0">
      <alignment horizontal="center" vertical="center" wrapText="1" shrinkToFit="1"/>
    </xf>
    <xf numFmtId="0" fontId="19" fillId="0" borderId="1" applyAlignment="1" pivotButton="0" quotePrefix="0" xfId="0">
      <alignment horizontal="center" vertical="center" wrapText="1" shrinkToFit="1"/>
    </xf>
    <xf numFmtId="0" fontId="20" fillId="0" borderId="1" applyAlignment="1" pivotButton="0" quotePrefix="0" xfId="0">
      <alignment horizontal="center" vertical="center" wrapText="1" shrinkToFit="1"/>
    </xf>
    <xf numFmtId="0" fontId="21" fillId="9" borderId="1" applyAlignment="1" pivotButton="0" quotePrefix="0" xfId="0">
      <alignment horizontal="center" vertical="center" wrapText="1"/>
    </xf>
    <xf numFmtId="165" fontId="1" fillId="0" borderId="1" applyAlignment="1" pivotButton="0" quotePrefix="0" xfId="0">
      <alignment horizontal="center" vertical="center" wrapText="1" shrinkToFit="1"/>
    </xf>
    <xf numFmtId="164" fontId="22" fillId="0" borderId="1" applyAlignment="1" pivotButton="0" quotePrefix="0" xfId="0">
      <alignment horizontal="center" vertical="center" wrapText="1" shrinkToFit="1"/>
    </xf>
    <xf numFmtId="166" fontId="11" fillId="0" borderId="1" applyAlignment="1" pivotButton="0" quotePrefix="0" xfId="0">
      <alignment horizontal="center" vertical="center" wrapText="1" shrinkToFit="1"/>
    </xf>
    <xf numFmtId="164" fontId="2" fillId="0" borderId="1" applyAlignment="1" pivotButton="0" quotePrefix="0" xfId="0">
      <alignment horizontal="center" vertical="center" wrapText="1" shrinkToFit="1"/>
    </xf>
    <xf numFmtId="0" fontId="11" fillId="0" borderId="1" applyAlignment="1" pivotButton="0" quotePrefix="0" xfId="0">
      <alignment horizontal="center" vertical="center" wrapText="1" shrinkToFit="1"/>
    </xf>
    <xf numFmtId="10" fontId="11" fillId="0" borderId="1" applyAlignment="1" pivotButton="0" quotePrefix="0" xfId="0">
      <alignment horizontal="center" vertical="center" wrapText="1" shrinkToFit="1"/>
    </xf>
    <xf numFmtId="10" fontId="15" fillId="0" borderId="1" applyAlignment="1" pivotButton="0" quotePrefix="0" xfId="0">
      <alignment horizontal="center" vertical="center" wrapText="1" shrinkToFit="1"/>
    </xf>
    <xf numFmtId="0" fontId="2" fillId="0" borderId="0" applyAlignment="1" pivotButton="0" quotePrefix="0" xfId="0">
      <alignment horizontal="center" vertical="center" wrapText="1" shrinkToFit="1"/>
    </xf>
    <xf numFmtId="0" fontId="17" fillId="0" borderId="1" applyAlignment="1" pivotButton="0" quotePrefix="0" xfId="0">
      <alignment horizontal="center" vertical="center" wrapText="1" shrinkToFit="1"/>
    </xf>
    <xf numFmtId="165" fontId="2" fillId="0" borderId="1" applyAlignment="1" pivotButton="0" quotePrefix="0" xfId="0">
      <alignment horizontal="center" vertical="center" wrapText="1" shrinkToFit="1"/>
    </xf>
    <xf numFmtId="164" fontId="5" fillId="2" borderId="1" applyAlignment="1" pivotButton="0" quotePrefix="0" xfId="0">
      <alignment horizontal="center" vertical="center" wrapText="1"/>
    </xf>
    <xf numFmtId="10" fontId="3" fillId="2" borderId="1" applyAlignment="1" pivotButton="0" quotePrefix="0" xfId="0">
      <alignment horizontal="center" vertical="center"/>
    </xf>
    <xf numFmtId="0" fontId="8" fillId="2" borderId="1" applyAlignment="1" pivotButton="0" quotePrefix="0" xfId="0">
      <alignment horizontal="center" vertical="center"/>
    </xf>
    <xf numFmtId="165" fontId="3" fillId="2" borderId="1" applyAlignment="1" pivotButton="0" quotePrefix="0" xfId="0">
      <alignment horizontal="center" vertical="center"/>
    </xf>
    <xf numFmtId="165" fontId="8" fillId="2" borderId="1" applyAlignment="1" pivotButton="0" quotePrefix="0" xfId="0">
      <alignment horizontal="center" vertical="center"/>
    </xf>
    <xf numFmtId="164" fontId="5" fillId="0" borderId="1" applyAlignment="1" pivotButton="0" quotePrefix="0" xfId="0">
      <alignment horizontal="center" vertical="center" wrapText="1"/>
    </xf>
    <xf numFmtId="0" fontId="23" fillId="2" borderId="1" applyAlignment="1" pivotButton="0" quotePrefix="0" xfId="0">
      <alignment horizontal="center" vertical="center" wrapText="1"/>
    </xf>
    <xf numFmtId="10" fontId="23" fillId="2" borderId="1" applyAlignment="1" pivotButton="0" quotePrefix="0" xfId="0">
      <alignment horizontal="center" vertical="center" wrapText="1"/>
    </xf>
    <xf numFmtId="0" fontId="10" fillId="2" borderId="1" applyAlignment="1" pivotButton="0" quotePrefix="0" xfId="0">
      <alignment horizontal="center" vertical="center" wrapText="1"/>
    </xf>
    <xf numFmtId="10" fontId="8"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2" borderId="1" applyAlignment="1" pivotButton="0" quotePrefix="0" xfId="0">
      <alignment horizontal="center" vertical="center"/>
    </xf>
    <xf numFmtId="0" fontId="24" fillId="2" borderId="1" applyAlignment="1" pivotButton="0" quotePrefix="0" xfId="0">
      <alignment horizontal="center" vertical="center"/>
    </xf>
    <xf numFmtId="164" fontId="5" fillId="3" borderId="1" applyAlignment="1" pivotButton="0" quotePrefix="0" xfId="0">
      <alignment horizontal="center" vertical="center" wrapText="1"/>
    </xf>
    <xf numFmtId="164" fontId="3" fillId="2" borderId="1" applyAlignment="1" pivotButton="0" quotePrefix="0" xfId="0">
      <alignment horizontal="center" vertical="center"/>
    </xf>
    <xf numFmtId="10" fontId="3" fillId="3" borderId="1" applyAlignment="1" pivotButton="0" quotePrefix="0" xfId="0">
      <alignment horizontal="center" vertical="center"/>
    </xf>
    <xf numFmtId="0" fontId="8" fillId="3" borderId="1" applyAlignment="1" pivotButton="0" quotePrefix="0" xfId="0">
      <alignment horizontal="center" vertical="center"/>
    </xf>
    <xf numFmtId="165" fontId="3" fillId="3" borderId="1" applyAlignment="1" pivotButton="0" quotePrefix="0" xfId="0">
      <alignment horizontal="center" vertical="center"/>
    </xf>
    <xf numFmtId="165" fontId="8" fillId="3" borderId="1" applyAlignment="1" pivotButton="0" quotePrefix="0" xfId="0">
      <alignment horizontal="center" vertical="center"/>
    </xf>
    <xf numFmtId="0" fontId="23" fillId="3" borderId="1" applyAlignment="1" pivotButton="0" quotePrefix="0" xfId="0">
      <alignment horizontal="center" vertical="center" wrapText="1"/>
    </xf>
    <xf numFmtId="10" fontId="23" fillId="3" borderId="1" applyAlignment="1" pivotButton="0" quotePrefix="0" xfId="0">
      <alignment horizontal="center" vertical="center" wrapText="1"/>
    </xf>
    <xf numFmtId="0" fontId="13" fillId="3" borderId="1" applyAlignment="1" pivotButton="0" quotePrefix="0" xfId="0">
      <alignment horizontal="center" vertical="center" wrapText="1"/>
    </xf>
    <xf numFmtId="10" fontId="25" fillId="3" borderId="1" applyAlignment="1" pivotButton="0" quotePrefix="0" xfId="0">
      <alignment horizontal="center" vertical="center" wrapText="1"/>
    </xf>
    <xf numFmtId="0" fontId="25" fillId="3" borderId="1" applyAlignment="1" pivotButton="0" quotePrefix="0" xfId="0">
      <alignment horizontal="center" vertical="center" wrapText="1"/>
    </xf>
    <xf numFmtId="0" fontId="9" fillId="3" borderId="1" applyAlignment="1" pivotButton="0" quotePrefix="0" xfId="0">
      <alignment horizontal="center" vertical="center"/>
    </xf>
    <xf numFmtId="0" fontId="26" fillId="3" borderId="1" applyAlignment="1" pivotButton="0" quotePrefix="0" xfId="0">
      <alignment horizontal="center" vertical="center"/>
    </xf>
    <xf numFmtId="164" fontId="5" fillId="3" borderId="1" applyAlignment="1" pivotButton="0" quotePrefix="0" xfId="0">
      <alignment horizontal="center" vertical="center"/>
    </xf>
    <xf numFmtId="164" fontId="27" fillId="12" borderId="1" applyAlignment="1" pivotButton="0" quotePrefix="0" xfId="0">
      <alignment horizontal="center" vertical="center"/>
    </xf>
    <xf numFmtId="0" fontId="27" fillId="12" borderId="1" applyAlignment="1" pivotButton="0" quotePrefix="0" xfId="0">
      <alignment horizontal="center" vertical="center"/>
    </xf>
    <xf numFmtId="10" fontId="3" fillId="12" borderId="1" applyAlignment="1" pivotButton="0" quotePrefix="0" xfId="0">
      <alignment horizontal="center" vertical="center"/>
    </xf>
    <xf numFmtId="0" fontId="3" fillId="3" borderId="1" applyAlignment="1" pivotButton="0" quotePrefix="0" xfId="0">
      <alignment horizontal="center" vertical="center" wrapText="1"/>
    </xf>
    <xf numFmtId="10" fontId="3" fillId="3" borderId="1" applyAlignment="1" pivotButton="0" quotePrefix="0" xfId="0">
      <alignment horizontal="center" vertical="center" wrapText="1"/>
    </xf>
    <xf numFmtId="0" fontId="26" fillId="3" borderId="2" applyAlignment="1" pivotButton="0" quotePrefix="0" xfId="0">
      <alignment horizontal="center" vertical="center" wrapText="1"/>
    </xf>
    <xf numFmtId="0" fontId="28" fillId="3" borderId="1" applyAlignment="1" pivotButton="0" quotePrefix="0" xfId="0">
      <alignment horizontal="center" vertical="center"/>
    </xf>
    <xf numFmtId="164" fontId="5" fillId="12" borderId="1" applyAlignment="1" pivotButton="0" quotePrefix="0" xfId="0">
      <alignment horizontal="center" vertical="center"/>
    </xf>
    <xf numFmtId="0" fontId="3" fillId="12" borderId="1" applyAlignment="1" pivotButton="0" quotePrefix="0" xfId="0">
      <alignment horizontal="center" vertical="center"/>
    </xf>
    <xf numFmtId="164" fontId="3" fillId="12" borderId="1" applyAlignment="1" pivotButton="0" quotePrefix="0" xfId="0">
      <alignment horizontal="center" vertical="center"/>
    </xf>
    <xf numFmtId="0" fontId="3" fillId="12" borderId="0" applyAlignment="1" pivotButton="0" quotePrefix="0" xfId="0">
      <alignment horizontal="center" vertical="center"/>
    </xf>
    <xf numFmtId="0" fontId="8" fillId="12" borderId="1" applyAlignment="1" pivotButton="0" quotePrefix="0" xfId="0">
      <alignment horizontal="center" vertical="center"/>
    </xf>
    <xf numFmtId="165" fontId="3" fillId="12" borderId="1" applyAlignment="1" pivotButton="0" quotePrefix="0" xfId="0">
      <alignment horizontal="center" vertical="center"/>
    </xf>
    <xf numFmtId="165" fontId="8" fillId="12" borderId="1" applyAlignment="1" pivotButton="0" quotePrefix="0" xfId="0">
      <alignment horizontal="center" vertical="center"/>
    </xf>
    <xf numFmtId="0" fontId="29" fillId="0" borderId="1" applyAlignment="1" pivotButton="0" quotePrefix="0" xfId="0">
      <alignment horizontal="center" vertical="center" wrapText="1"/>
    </xf>
    <xf numFmtId="10" fontId="29" fillId="0" borderId="1" applyAlignment="1" pivotButton="0" quotePrefix="0" xfId="0">
      <alignment horizontal="center" vertical="center" wrapText="1"/>
    </xf>
    <xf numFmtId="10" fontId="30" fillId="0" borderId="1" applyAlignment="1" pivotButton="0" quotePrefix="0" xfId="0">
      <alignment horizontal="center" vertical="center" wrapText="1"/>
    </xf>
    <xf numFmtId="0" fontId="28" fillId="0" borderId="1" applyAlignment="1" pivotButton="0" quotePrefix="0" xfId="0">
      <alignment horizontal="center" vertical="center"/>
    </xf>
    <xf numFmtId="165" fontId="28" fillId="0" borderId="1" applyAlignment="1" pivotButton="0" quotePrefix="0" xfId="0">
      <alignment horizontal="center" vertical="center"/>
    </xf>
    <xf numFmtId="10" fontId="28" fillId="0" borderId="1" applyAlignment="1" pivotButton="0" quotePrefix="0" xfId="0">
      <alignment horizontal="center" vertical="center"/>
    </xf>
    <xf numFmtId="10" fontId="31" fillId="0" borderId="1" applyAlignment="1" pivotButton="0" quotePrefix="0" xfId="0">
      <alignment horizontal="center" vertical="center"/>
    </xf>
    <xf numFmtId="0" fontId="28" fillId="0" borderId="1" applyAlignment="1" pivotButton="0" quotePrefix="0" xfId="0">
      <alignment horizontal="center" vertical="center" wrapText="1" shrinkToFit="1"/>
    </xf>
    <xf numFmtId="0" fontId="28" fillId="0" borderId="0" applyAlignment="1" pivotButton="0" quotePrefix="0" xfId="0">
      <alignment horizontal="center" vertical="center"/>
    </xf>
    <xf numFmtId="0" fontId="31" fillId="0" borderId="1" applyAlignment="1" pivotButton="0" quotePrefix="0" xfId="0">
      <alignment horizontal="center" vertical="center"/>
    </xf>
    <xf numFmtId="10" fontId="31" fillId="0" borderId="0" applyAlignment="1" pivotButton="0" quotePrefix="0" xfId="0">
      <alignment horizontal="center" vertical="center"/>
    </xf>
    <xf numFmtId="10" fontId="28" fillId="0" borderId="0" applyAlignment="1" pivotButton="0" quotePrefix="0" xfId="0">
      <alignment horizontal="center" vertical="center"/>
    </xf>
    <xf numFmtId="0" fontId="5"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31" fillId="0" borderId="0" applyAlignment="1" pivotButton="0" quotePrefix="0" xfId="0">
      <alignment horizontal="center" vertical="center"/>
    </xf>
    <xf numFmtId="0" fontId="4" fillId="0" borderId="0" applyAlignment="1" pivotButton="0" quotePrefix="0" xfId="0">
      <alignment horizontal="center" vertical="center"/>
    </xf>
    <xf numFmtId="0" fontId="32" fillId="0" borderId="1" applyAlignment="1" pivotButton="0" quotePrefix="0" xfId="0">
      <alignment horizontal="center" vertical="center"/>
    </xf>
    <xf numFmtId="0" fontId="32" fillId="13" borderId="1" applyAlignment="1" pivotButton="0" quotePrefix="0" xfId="0">
      <alignment horizontal="center" vertical="center"/>
    </xf>
    <xf numFmtId="0" fontId="32" fillId="12" borderId="3" applyAlignment="1" pivotButton="0" quotePrefix="0" xfId="0">
      <alignment horizontal="center" vertical="center"/>
    </xf>
    <xf numFmtId="0" fontId="4"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2" fillId="13" borderId="1" applyAlignment="1" pivotButton="0" quotePrefix="0" xfId="0">
      <alignment horizontal="center" vertical="center" wrapText="1"/>
    </xf>
    <xf numFmtId="0" fontId="32" fillId="0" borderId="1" applyAlignment="1" pivotButton="0" quotePrefix="0" xfId="0">
      <alignment horizontal="center" vertical="center" wrapText="1" shrinkToFit="1"/>
    </xf>
    <xf numFmtId="0" fontId="32" fillId="0" borderId="3" applyAlignment="1" pivotButton="0" quotePrefix="0" xfId="0">
      <alignment horizontal="center" vertical="center"/>
    </xf>
    <xf numFmtId="0" fontId="32" fillId="0" borderId="0" applyAlignment="1" pivotButton="0" quotePrefix="0" xfId="0">
      <alignment horizontal="center" vertical="center"/>
    </xf>
    <xf numFmtId="0" fontId="32" fillId="12" borderId="0" applyAlignment="1" pivotButton="0" quotePrefix="0" xfId="0">
      <alignment horizontal="center" vertical="center"/>
    </xf>
    <xf numFmtId="164" fontId="3" fillId="0" borderId="4" applyAlignment="1" pivotButton="0" quotePrefix="0" xfId="0">
      <alignment horizontal="center"/>
    </xf>
    <xf numFmtId="0" fontId="31" fillId="13" borderId="1" applyAlignment="1" pivotButton="0" quotePrefix="0" xfId="0">
      <alignment horizontal="center" vertical="center"/>
    </xf>
    <xf numFmtId="0" fontId="3" fillId="0" borderId="4" applyAlignment="1" pivotButton="0" quotePrefix="0" xfId="0">
      <alignment horizontal="center"/>
    </xf>
    <xf numFmtId="165" fontId="31" fillId="0" borderId="1" applyAlignment="1" pivotButton="0" quotePrefix="0" xfId="0">
      <alignment horizontal="center" vertical="center"/>
    </xf>
    <xf numFmtId="0" fontId="3" fillId="0" borderId="5" applyAlignment="1" pivotButton="0" quotePrefix="0" xfId="0">
      <alignment horizontal="center"/>
    </xf>
    <xf numFmtId="0" fontId="29" fillId="13" borderId="1" applyAlignment="1" pivotButton="0" quotePrefix="0" xfId="0">
      <alignment horizontal="center" vertical="center" wrapText="1"/>
    </xf>
    <xf numFmtId="10" fontId="31" fillId="13" borderId="1" applyAlignment="1" pivotButton="0" quotePrefix="0" xfId="0">
      <alignment horizontal="center" vertical="center"/>
    </xf>
    <xf numFmtId="0" fontId="31" fillId="0" borderId="1" applyAlignment="1" pivotButton="0" quotePrefix="0" xfId="0">
      <alignment horizontal="center" vertical="center" wrapText="1" shrinkToFit="1"/>
    </xf>
    <xf numFmtId="10" fontId="31" fillId="12" borderId="0" applyAlignment="1" pivotButton="0" quotePrefix="0" xfId="0">
      <alignment horizontal="center" vertical="center"/>
    </xf>
    <xf numFmtId="0" fontId="9" fillId="0" borderId="4" applyAlignment="1" pivotButton="0" quotePrefix="0" xfId="0">
      <alignment horizontal="center"/>
    </xf>
    <xf numFmtId="165" fontId="31" fillId="13" borderId="1" applyAlignment="1" pivotButton="0" quotePrefix="0" xfId="0">
      <alignment horizontal="center" vertical="center"/>
    </xf>
    <xf numFmtId="164" fontId="5" fillId="4" borderId="1" applyAlignment="1" pivotButton="0" quotePrefix="0" xfId="0">
      <alignment horizontal="center" vertical="center"/>
    </xf>
    <xf numFmtId="164" fontId="5" fillId="4" borderId="4" applyAlignment="1" pivotButton="0" quotePrefix="0" xfId="0">
      <alignment horizontal="center" vertical="center"/>
    </xf>
    <xf numFmtId="10" fontId="3" fillId="4" borderId="1" applyAlignment="1" pivotButton="0" quotePrefix="0" xfId="0">
      <alignment horizontal="center" vertical="center"/>
    </xf>
    <xf numFmtId="164" fontId="5" fillId="4" borderId="1" applyAlignment="1" pivotButton="0" quotePrefix="0" xfId="0">
      <alignment horizontal="center" vertical="center" wrapText="1"/>
    </xf>
    <xf numFmtId="0" fontId="33" fillId="4" borderId="1" applyAlignment="1" pivotButton="0" quotePrefix="0" xfId="0">
      <alignment horizontal="center" vertical="center" wrapText="1"/>
    </xf>
    <xf numFmtId="0" fontId="7" fillId="4" borderId="1" applyAlignment="1" pivotButton="0" quotePrefix="0" xfId="0">
      <alignment horizontal="center" vertical="center" wrapText="1"/>
    </xf>
    <xf numFmtId="10" fontId="7" fillId="4" borderId="1" applyAlignment="1" pivotButton="0" quotePrefix="0" xfId="0">
      <alignment horizontal="center" vertical="center" wrapText="1"/>
    </xf>
    <xf numFmtId="10" fontId="5" fillId="4" borderId="1" applyAlignment="1" pivotButton="0" quotePrefix="0" xfId="0">
      <alignment horizontal="center" vertical="center" wrapText="1"/>
    </xf>
    <xf numFmtId="10" fontId="5" fillId="4" borderId="1" applyAlignment="1" pivotButton="0" quotePrefix="0" xfId="0">
      <alignment horizontal="center" vertical="center"/>
    </xf>
    <xf numFmtId="165" fontId="33" fillId="4" borderId="1" applyAlignment="1" pivotButton="0" quotePrefix="0" xfId="0">
      <alignment horizontal="center" vertical="center"/>
    </xf>
    <xf numFmtId="0" fontId="7" fillId="4" borderId="1" applyAlignment="1" pivotButton="0" quotePrefix="0" xfId="0">
      <alignment horizontal="center" vertical="center"/>
    </xf>
    <xf numFmtId="10" fontId="7" fillId="4" borderId="1" applyAlignment="1" pivotButton="0" quotePrefix="0" xfId="0">
      <alignment horizontal="center" vertical="center"/>
    </xf>
    <xf numFmtId="0" fontId="33" fillId="4" borderId="1" applyAlignment="1" pivotButton="0" quotePrefix="0" xfId="0">
      <alignment horizontal="center" vertical="center"/>
    </xf>
    <xf numFmtId="10" fontId="33" fillId="4" borderId="1" applyAlignment="1" pivotButton="0" quotePrefix="0" xfId="0">
      <alignment horizontal="center" vertical="center"/>
    </xf>
    <xf numFmtId="0" fontId="33" fillId="4" borderId="1" applyAlignment="1" pivotButton="0" quotePrefix="0" xfId="0">
      <alignment horizontal="center" vertical="center" wrapText="1" shrinkToFit="1"/>
    </xf>
    <xf numFmtId="0" fontId="34" fillId="4" borderId="3" applyAlignment="1" pivotButton="0" quotePrefix="0" xfId="0">
      <alignment horizontal="center" vertical="center"/>
    </xf>
    <xf numFmtId="0" fontId="9" fillId="4" borderId="1" applyAlignment="1" pivotButton="0" quotePrefix="0" xfId="0">
      <alignment horizontal="center" vertical="center"/>
    </xf>
    <xf numFmtId="165" fontId="5" fillId="4" borderId="1" applyAlignment="1" pivotButton="0" quotePrefix="0" xfId="0">
      <alignment horizontal="center" vertical="center"/>
    </xf>
    <xf numFmtId="164" fontId="6" fillId="5" borderId="1" applyAlignment="1" pivotButton="0" quotePrefix="0" xfId="0">
      <alignment horizontal="center" vertical="center"/>
    </xf>
    <xf numFmtId="0" fontId="35" fillId="5" borderId="1" applyAlignment="1" pivotButton="0" quotePrefix="0" xfId="0">
      <alignment horizontal="center" vertical="center"/>
    </xf>
    <xf numFmtId="0" fontId="35" fillId="5" borderId="0" applyAlignment="1" pivotButton="0" quotePrefix="0" xfId="0">
      <alignment horizontal="center" vertical="center"/>
    </xf>
    <xf numFmtId="10" fontId="8" fillId="0" borderId="1" applyAlignment="1" pivotButton="0" quotePrefix="0" xfId="0">
      <alignment horizontal="center" vertical="center"/>
    </xf>
    <xf numFmtId="10" fontId="1" fillId="5" borderId="1" applyAlignment="1" pivotButton="0" quotePrefix="0" xfId="0">
      <alignment horizontal="center" vertical="center"/>
    </xf>
    <xf numFmtId="10" fontId="35" fillId="5" borderId="1" applyAlignment="1" pivotButton="0" quotePrefix="0" xfId="0">
      <alignment horizontal="center" vertical="center"/>
    </xf>
    <xf numFmtId="165" fontId="35" fillId="5" borderId="1" applyAlignment="1" pivotButton="0" quotePrefix="0" xfId="0">
      <alignment horizontal="center" vertical="center"/>
    </xf>
    <xf numFmtId="0" fontId="1" fillId="5" borderId="1" applyAlignment="1" pivotButton="0" quotePrefix="0" xfId="0">
      <alignment horizontal="center" vertical="center"/>
    </xf>
    <xf numFmtId="0" fontId="36" fillId="5" borderId="1" applyAlignment="1" pivotButton="0" quotePrefix="0" xfId="0">
      <alignment horizontal="center" vertical="center" wrapText="1"/>
    </xf>
    <xf numFmtId="0" fontId="37" fillId="5" borderId="1" applyAlignment="1" pivotButton="0" quotePrefix="0" xfId="0">
      <alignment horizontal="center" vertical="center" wrapText="1"/>
    </xf>
    <xf numFmtId="10" fontId="37" fillId="5" borderId="1" applyAlignment="1" pivotButton="0" quotePrefix="0" xfId="0">
      <alignment horizontal="center" vertical="center" wrapText="1"/>
    </xf>
    <xf numFmtId="10" fontId="6" fillId="5" borderId="1" applyAlignment="1" pivotButton="0" quotePrefix="0" xfId="0">
      <alignment horizontal="center" vertical="center" wrapText="1"/>
    </xf>
    <xf numFmtId="10" fontId="6" fillId="5" borderId="1" applyAlignment="1" pivotButton="0" quotePrefix="0" xfId="0">
      <alignment horizontal="center" vertical="center"/>
    </xf>
    <xf numFmtId="165" fontId="36" fillId="5" borderId="1" applyAlignment="1" pivotButton="0" quotePrefix="0" xfId="0">
      <alignment horizontal="center" vertical="center"/>
    </xf>
    <xf numFmtId="0" fontId="37" fillId="5" borderId="1" applyAlignment="1" pivotButton="0" quotePrefix="0" xfId="0">
      <alignment horizontal="center" vertical="center"/>
    </xf>
    <xf numFmtId="10" fontId="37" fillId="5" borderId="1" applyAlignment="1" pivotButton="0" quotePrefix="0" xfId="0">
      <alignment horizontal="center" vertical="center"/>
    </xf>
    <xf numFmtId="0" fontId="36" fillId="5" borderId="1" applyAlignment="1" pivotButton="0" quotePrefix="0" xfId="0">
      <alignment horizontal="center" vertical="center"/>
    </xf>
    <xf numFmtId="10" fontId="36" fillId="5" borderId="1" applyAlignment="1" pivotButton="0" quotePrefix="0" xfId="0">
      <alignment horizontal="center" vertical="center"/>
    </xf>
    <xf numFmtId="0" fontId="38" fillId="5" borderId="3" applyAlignment="1" pivotButton="0" quotePrefix="0" xfId="0">
      <alignment horizontal="center" vertical="center"/>
    </xf>
    <xf numFmtId="0" fontId="39" fillId="5" borderId="1" applyAlignment="1" pivotButton="0" quotePrefix="0" xfId="0">
      <alignment horizontal="center" vertical="center" wrapText="1"/>
    </xf>
    <xf numFmtId="0" fontId="40" fillId="5" borderId="1" applyAlignment="1" pivotButton="0" quotePrefix="0" xfId="0">
      <alignment horizontal="center" vertical="center" wrapText="1"/>
    </xf>
    <xf numFmtId="165" fontId="5" fillId="0" borderId="1" applyAlignment="1" pivotButton="0" quotePrefix="0" xfId="0">
      <alignment horizontal="center" vertical="center"/>
    </xf>
    <xf numFmtId="10" fontId="5" fillId="0" borderId="1" applyAlignment="1" pivotButton="0" quotePrefix="0" xfId="0">
      <alignment horizontal="center" vertical="center"/>
    </xf>
    <xf numFmtId="0" fontId="33"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33" fillId="0" borderId="1" applyAlignment="1" pivotButton="0" quotePrefix="0" xfId="0">
      <alignment horizontal="center" vertical="center"/>
    </xf>
    <xf numFmtId="0" fontId="33" fillId="0" borderId="1" applyAlignment="1" pivotButton="0" quotePrefix="0" xfId="0">
      <alignment horizontal="center" vertical="center" wrapText="1" shrinkToFit="1"/>
    </xf>
    <xf numFmtId="0" fontId="5" fillId="0" borderId="0" applyAlignment="1" pivotButton="0" quotePrefix="0" xfId="0">
      <alignment horizontal="center" vertical="center"/>
    </xf>
    <xf numFmtId="0" fontId="34" fillId="0" borderId="3" applyAlignment="1" pivotButton="0" quotePrefix="0" xfId="0">
      <alignment horizontal="center" vertical="center"/>
    </xf>
    <xf numFmtId="0" fontId="8" fillId="0" borderId="0" applyAlignment="1" pivotButton="0" quotePrefix="0" xfId="0">
      <alignment horizontal="center" vertical="center"/>
    </xf>
    <xf numFmtId="10" fontId="7" fillId="0" borderId="1" applyAlignment="1" pivotButton="0" quotePrefix="0" xfId="0">
      <alignment horizontal="center" vertical="center" wrapText="1"/>
    </xf>
    <xf numFmtId="10" fontId="5" fillId="0" borderId="1" applyAlignment="1" pivotButton="0" quotePrefix="0" xfId="0">
      <alignment horizontal="center" vertical="center" wrapText="1"/>
    </xf>
    <xf numFmtId="165" fontId="33" fillId="0" borderId="1" applyAlignment="1" pivotButton="0" quotePrefix="0" xfId="0">
      <alignment horizontal="center" vertical="center"/>
    </xf>
    <xf numFmtId="10" fontId="7" fillId="0" borderId="1" applyAlignment="1" pivotButton="0" quotePrefix="0" xfId="0">
      <alignment horizontal="center" vertical="center"/>
    </xf>
    <xf numFmtId="10" fontId="33" fillId="0" borderId="1" applyAlignment="1" pivotButton="0" quotePrefix="0" xfId="0">
      <alignment horizontal="center" vertical="center"/>
    </xf>
    <xf numFmtId="0" fontId="7" fillId="12" borderId="1" applyAlignment="1" pivotButton="0" quotePrefix="0" xfId="0">
      <alignment horizontal="center" vertical="center"/>
    </xf>
    <xf numFmtId="10" fontId="7" fillId="12" borderId="1" applyAlignment="1" pivotButton="0" quotePrefix="0" xfId="0">
      <alignment horizontal="center" vertical="center"/>
    </xf>
    <xf numFmtId="0" fontId="5" fillId="12" borderId="1" applyAlignment="1" pivotButton="0" quotePrefix="0" xfId="0">
      <alignment horizontal="center" vertical="center"/>
    </xf>
    <xf numFmtId="10" fontId="5" fillId="12" borderId="1" applyAlignment="1" pivotButton="0" quotePrefix="0" xfId="0">
      <alignment horizontal="center" vertical="center"/>
    </xf>
    <xf numFmtId="0" fontId="41" fillId="0" borderId="0" applyAlignment="1" pivotButton="0" quotePrefix="0" xfId="0">
      <alignment horizontal="center" vertical="center"/>
    </xf>
    <xf numFmtId="10" fontId="0" fillId="0" borderId="0" applyAlignment="1" pivotButton="0" quotePrefix="0" xfId="0">
      <alignment vertical="center"/>
    </xf>
    <xf numFmtId="0" fontId="42" fillId="0" borderId="1" applyAlignment="1" pivotButton="0" quotePrefix="0" xfId="0">
      <alignment horizontal="center" vertical="center" wrapText="1"/>
    </xf>
    <xf numFmtId="0" fontId="8" fillId="3" borderId="0" applyAlignment="1" pivotButton="0" quotePrefix="0" xfId="0">
      <alignment horizontal="center" vertical="center"/>
    </xf>
    <xf numFmtId="10" fontId="8" fillId="3" borderId="1" applyAlignment="1" pivotButton="0" quotePrefix="0" xfId="0">
      <alignment horizontal="center" vertical="center"/>
    </xf>
    <xf numFmtId="0" fontId="3" fillId="3" borderId="0" applyAlignment="1" pivotButton="0" quotePrefix="0" xfId="0">
      <alignment horizontal="center" vertical="center"/>
    </xf>
    <xf numFmtId="0" fontId="33" fillId="3" borderId="1" applyAlignment="1" pivotButton="0" quotePrefix="0" xfId="0">
      <alignment horizontal="center" vertical="center" wrapText="1"/>
    </xf>
    <xf numFmtId="0" fontId="7" fillId="3" borderId="1" applyAlignment="1" pivotButton="0" quotePrefix="0" xfId="0">
      <alignment horizontal="center" vertical="center" wrapText="1"/>
    </xf>
    <xf numFmtId="10" fontId="7" fillId="3" borderId="1" applyAlignment="1" pivotButton="0" quotePrefix="0" xfId="0">
      <alignment horizontal="center" vertical="center" wrapText="1"/>
    </xf>
    <xf numFmtId="10" fontId="5" fillId="3" borderId="1" applyAlignment="1" pivotButton="0" quotePrefix="0" xfId="0">
      <alignment horizontal="center" vertical="center" wrapText="1"/>
    </xf>
    <xf numFmtId="10" fontId="5" fillId="3" borderId="1" applyAlignment="1" pivotButton="0" quotePrefix="0" xfId="0">
      <alignment horizontal="center" vertical="center"/>
    </xf>
    <xf numFmtId="165" fontId="33" fillId="3" borderId="1" applyAlignment="1" pivotButton="0" quotePrefix="0" xfId="0">
      <alignment horizontal="center" vertical="center"/>
    </xf>
    <xf numFmtId="0" fontId="7" fillId="3" borderId="1" applyAlignment="1" pivotButton="0" quotePrefix="0" xfId="0">
      <alignment horizontal="center" vertical="center"/>
    </xf>
    <xf numFmtId="10" fontId="7" fillId="3" borderId="1" applyAlignment="1" pivotButton="0" quotePrefix="0" xfId="0">
      <alignment horizontal="center" vertical="center"/>
    </xf>
    <xf numFmtId="0" fontId="33" fillId="3" borderId="1" applyAlignment="1" pivotButton="0" quotePrefix="0" xfId="0">
      <alignment horizontal="center" vertical="center"/>
    </xf>
    <xf numFmtId="10" fontId="33" fillId="3" borderId="1" applyAlignment="1" pivotButton="0" quotePrefix="0" xfId="0">
      <alignment horizontal="center" vertical="center"/>
    </xf>
    <xf numFmtId="0" fontId="26" fillId="0" borderId="0" applyAlignment="1" pivotButton="0" quotePrefix="0" xfId="0">
      <alignment horizontal="center" vertical="center"/>
    </xf>
    <xf numFmtId="0" fontId="33" fillId="3" borderId="1" applyAlignment="1" pivotButton="0" quotePrefix="0" xfId="0">
      <alignment horizontal="center" vertical="center" wrapText="1" shrinkToFit="1"/>
    </xf>
    <xf numFmtId="0" fontId="26" fillId="3" borderId="0" applyAlignment="1" pivotButton="0" quotePrefix="0" xfId="0">
      <alignment horizontal="center" vertical="center"/>
    </xf>
    <xf numFmtId="0" fontId="34" fillId="3" borderId="3" applyAlignment="1" pivotButton="0" quotePrefix="0" xfId="0">
      <alignment horizontal="center" vertical="center"/>
    </xf>
    <xf numFmtId="4" fontId="8" fillId="0" borderId="1" applyAlignment="1" pivotButton="0" quotePrefix="0" xfId="0">
      <alignment horizontal="center" vertical="center"/>
    </xf>
    <xf numFmtId="4" fontId="3" fillId="0" borderId="1" applyAlignment="1" pivotButton="0" quotePrefix="0" xfId="0">
      <alignment horizontal="center" vertical="center"/>
    </xf>
    <xf numFmtId="4" fontId="33" fillId="0" borderId="1" applyAlignment="1" pivotButton="0" quotePrefix="0" xfId="0">
      <alignment horizontal="center" vertical="center" wrapText="1"/>
    </xf>
    <xf numFmtId="4" fontId="33" fillId="0" borderId="1" applyAlignment="1" pivotButton="0" quotePrefix="0" xfId="0">
      <alignment horizontal="center" vertical="center"/>
    </xf>
    <xf numFmtId="4" fontId="5" fillId="0" borderId="1" applyAlignment="1" pivotButton="0" quotePrefix="0" xfId="0">
      <alignment horizontal="center" vertical="center"/>
    </xf>
    <xf numFmtId="164" fontId="5" fillId="5" borderId="1" applyAlignment="1" pivotButton="0" quotePrefix="0" xfId="0">
      <alignment horizontal="center" vertical="center"/>
    </xf>
    <xf numFmtId="0" fontId="26" fillId="5" borderId="0" applyAlignment="1" pivotButton="0" quotePrefix="0" xfId="0">
      <alignment horizontal="center" vertical="center"/>
    </xf>
    <xf numFmtId="0" fontId="8" fillId="5" borderId="1" applyAlignment="1" pivotButton="0" quotePrefix="0" xfId="0">
      <alignment horizontal="center" vertical="center"/>
    </xf>
    <xf numFmtId="10" fontId="8" fillId="5" borderId="1" applyAlignment="1" pivotButton="0" quotePrefix="0" xfId="0">
      <alignment horizontal="center" vertical="center"/>
    </xf>
    <xf numFmtId="10" fontId="3" fillId="5" borderId="1" applyAlignment="1" pivotButton="0" quotePrefix="0" xfId="0">
      <alignment horizontal="center" vertical="center"/>
    </xf>
    <xf numFmtId="4" fontId="28" fillId="5" borderId="0" applyAlignment="1" pivotButton="0" quotePrefix="0" xfId="0">
      <alignment horizontal="center" vertical="center"/>
    </xf>
    <xf numFmtId="0" fontId="3" fillId="5" borderId="1" applyAlignment="1" pivotButton="0" quotePrefix="0" xfId="0">
      <alignment horizontal="center" vertical="center"/>
    </xf>
    <xf numFmtId="0" fontId="3" fillId="5" borderId="0" applyAlignment="1" pivotButton="0" quotePrefix="0" xfId="0">
      <alignment horizontal="center" vertical="center"/>
    </xf>
    <xf numFmtId="164" fontId="5" fillId="5" borderId="1" applyAlignment="1" pivotButton="0" quotePrefix="0" xfId="0">
      <alignment horizontal="center" vertical="center" wrapText="1"/>
    </xf>
    <xf numFmtId="0" fontId="7" fillId="5" borderId="1" applyAlignment="1" pivotButton="0" quotePrefix="0" xfId="0">
      <alignment horizontal="center" vertical="center" wrapText="1"/>
    </xf>
    <xf numFmtId="10" fontId="7" fillId="5" borderId="1" applyAlignment="1" pivotButton="0" quotePrefix="0" xfId="0">
      <alignment horizontal="center" vertical="center" wrapText="1"/>
    </xf>
    <xf numFmtId="10" fontId="5" fillId="5" borderId="1" applyAlignment="1" pivotButton="0" quotePrefix="0" xfId="0">
      <alignment horizontal="center" vertical="center" wrapText="1"/>
    </xf>
    <xf numFmtId="10" fontId="5" fillId="5" borderId="1" applyAlignment="1" pivotButton="0" quotePrefix="0" xfId="0">
      <alignment horizontal="center" vertical="center"/>
    </xf>
    <xf numFmtId="10" fontId="7" fillId="5" borderId="1" applyAlignment="1" pivotButton="0" quotePrefix="0" xfId="0">
      <alignment horizontal="center" vertical="center"/>
    </xf>
    <xf numFmtId="10" fontId="33" fillId="5" borderId="1" applyAlignment="1" pivotButton="0" quotePrefix="0" xfId="0">
      <alignment horizontal="center" vertical="center"/>
    </xf>
    <xf numFmtId="0" fontId="33" fillId="5" borderId="1" applyAlignment="1" pivotButton="0" quotePrefix="0" xfId="0">
      <alignment horizontal="center" vertical="center" wrapText="1" shrinkToFit="1"/>
    </xf>
    <xf numFmtId="0" fontId="34" fillId="5" borderId="3" applyAlignment="1" pivotButton="0" quotePrefix="0" xfId="0">
      <alignment horizontal="center" vertical="center"/>
    </xf>
    <xf numFmtId="0" fontId="33" fillId="5" borderId="1" applyAlignment="1" pivotButton="0" quotePrefix="0" xfId="0">
      <alignment horizontal="center" vertical="center"/>
    </xf>
    <xf numFmtId="4" fontId="28" fillId="0" borderId="0" applyAlignment="1" pivotButton="0" quotePrefix="0" xfId="0">
      <alignment horizontal="center" vertical="center"/>
    </xf>
    <xf numFmtId="164" fontId="7" fillId="5" borderId="1" applyAlignment="1" pivotButton="0" quotePrefix="0" xfId="0">
      <alignment horizontal="center" vertical="center"/>
    </xf>
    <xf numFmtId="0" fontId="43" fillId="5" borderId="0" applyAlignment="1" pivotButton="0" quotePrefix="0" xfId="0">
      <alignment horizontal="center" vertical="center"/>
    </xf>
    <xf numFmtId="0" fontId="44" fillId="5" borderId="1" applyAlignment="1" pivotButton="0" quotePrefix="0" xfId="0">
      <alignment horizontal="center" vertical="center"/>
    </xf>
    <xf numFmtId="10" fontId="44" fillId="5" borderId="1" applyAlignment="1" pivotButton="0" quotePrefix="0" xfId="0">
      <alignment horizontal="center" vertical="center"/>
    </xf>
    <xf numFmtId="10" fontId="45" fillId="5" borderId="1" applyAlignment="1" pivotButton="0" quotePrefix="0" xfId="0">
      <alignment horizontal="center" vertical="center"/>
    </xf>
    <xf numFmtId="4" fontId="46" fillId="5" borderId="0" applyAlignment="1" pivotButton="0" quotePrefix="0" xfId="0">
      <alignment horizontal="center" vertical="center"/>
    </xf>
    <xf numFmtId="0" fontId="45" fillId="5" borderId="1" applyAlignment="1" pivotButton="0" quotePrefix="0" xfId="0">
      <alignment horizontal="center" vertical="center"/>
    </xf>
    <xf numFmtId="0" fontId="45" fillId="5" borderId="0" applyAlignment="1" pivotButton="0" quotePrefix="0" xfId="0">
      <alignment horizontal="center" vertical="center"/>
    </xf>
    <xf numFmtId="4" fontId="33" fillId="5" borderId="1" applyAlignment="1" pivotButton="0" quotePrefix="0" xfId="0">
      <alignment horizontal="center" vertical="center" wrapText="1"/>
    </xf>
    <xf numFmtId="165" fontId="33" fillId="5" borderId="1" applyAlignment="1" pivotButton="0" quotePrefix="0" xfId="0">
      <alignment horizontal="center" vertical="center"/>
    </xf>
    <xf numFmtId="4" fontId="33" fillId="5" borderId="1" applyAlignment="1" pivotButton="0" quotePrefix="0" xfId="0">
      <alignment horizontal="center" vertical="center"/>
    </xf>
    <xf numFmtId="4" fontId="5" fillId="5" borderId="1" applyAlignment="1" pivotButton="0" quotePrefix="0" xfId="0">
      <alignment horizontal="center" vertical="center"/>
    </xf>
    <xf numFmtId="0" fontId="5" fillId="5" borderId="1" applyAlignment="1" pivotButton="0" quotePrefix="0" xfId="0">
      <alignment horizontal="center" vertical="center" wrapText="1" shrinkToFit="1"/>
    </xf>
    <xf numFmtId="0" fontId="5" fillId="0" borderId="1" applyAlignment="1" pivotButton="0" quotePrefix="0" xfId="0">
      <alignment horizontal="center" vertical="center" wrapText="1" shrinkToFit="1"/>
    </xf>
    <xf numFmtId="4" fontId="3" fillId="3" borderId="1" applyAlignment="1" pivotButton="0" quotePrefix="0" xfId="0">
      <alignment horizontal="center" vertical="center"/>
    </xf>
    <xf numFmtId="4" fontId="33" fillId="3" borderId="1" applyAlignment="1" pivotButton="0" quotePrefix="0" xfId="0">
      <alignment horizontal="center" vertical="center" wrapText="1"/>
    </xf>
    <xf numFmtId="4" fontId="33" fillId="3" borderId="1" applyAlignment="1" pivotButton="0" quotePrefix="0" xfId="0">
      <alignment horizontal="center" vertical="center"/>
    </xf>
    <xf numFmtId="0" fontId="5" fillId="3" borderId="1" applyAlignment="1" pivotButton="0" quotePrefix="0" xfId="0">
      <alignment horizontal="center" vertical="center" wrapText="1" shrinkToFit="1"/>
    </xf>
    <xf numFmtId="4" fontId="5" fillId="3" borderId="1" applyAlignment="1" pivotButton="0" quotePrefix="0" xfId="0">
      <alignment horizontal="center" vertical="center"/>
    </xf>
    <xf numFmtId="4" fontId="20" fillId="0" borderId="0" applyAlignment="1" pivotButton="0" quotePrefix="0" xfId="0">
      <alignment horizontal="center" vertical="center"/>
    </xf>
    <xf numFmtId="164" fontId="8" fillId="5" borderId="1" applyAlignment="1" pivotButton="0" quotePrefix="0" xfId="0">
      <alignment horizontal="center" vertical="center"/>
    </xf>
    <xf numFmtId="165" fontId="8" fillId="5" borderId="1" applyAlignment="1" pivotButton="0" quotePrefix="0" xfId="0">
      <alignment horizontal="center" vertical="center"/>
    </xf>
    <xf numFmtId="4" fontId="3" fillId="5" borderId="1" applyAlignment="1" pivotButton="0" quotePrefix="0" xfId="0">
      <alignment horizontal="center" vertical="center"/>
    </xf>
    <xf numFmtId="0" fontId="9" fillId="5" borderId="1" applyAlignment="1" pivotButton="0" quotePrefix="0" xfId="0">
      <alignment horizontal="center" vertical="center"/>
    </xf>
    <xf numFmtId="164" fontId="8" fillId="0" borderId="1" applyAlignment="1" pivotButton="0" quotePrefix="0" xfId="0">
      <alignment horizontal="center" vertical="center"/>
    </xf>
    <xf numFmtId="0" fontId="6" fillId="0" borderId="1" applyAlignment="1" pivotButton="0" quotePrefix="0" xfId="0">
      <alignment horizontal="center" vertical="center"/>
    </xf>
    <xf numFmtId="10" fontId="34" fillId="5" borderId="0" applyAlignment="1" pivotButton="0" quotePrefix="0" xfId="0">
      <alignment horizontal="center" vertical="center"/>
    </xf>
    <xf numFmtId="14" fontId="34" fillId="5" borderId="3" applyAlignment="1" pivotButton="0" quotePrefix="0" xfId="0">
      <alignment horizontal="center" vertical="center"/>
    </xf>
    <xf numFmtId="10" fontId="34" fillId="0" borderId="3" applyAlignment="1" pivotButton="0" quotePrefix="0" xfId="0">
      <alignment horizontal="center" vertical="center"/>
    </xf>
    <xf numFmtId="10" fontId="34" fillId="0" borderId="0" applyAlignment="1" pivotButton="0" quotePrefix="0" xfId="0">
      <alignment horizontal="center" vertical="center"/>
    </xf>
    <xf numFmtId="14" fontId="34" fillId="0" borderId="3" applyAlignment="1" pivotButton="0" quotePrefix="0" xfId="0">
      <alignment horizontal="center" vertical="center"/>
    </xf>
    <xf numFmtId="0" fontId="47" fillId="0" borderId="3" applyAlignment="1" pivotButton="0" quotePrefix="0" xfId="0">
      <alignment horizontal="center" vertical="center"/>
    </xf>
    <xf numFmtId="164" fontId="8" fillId="3" borderId="1" applyAlignment="1" pivotButton="0" quotePrefix="0" xfId="0">
      <alignment horizontal="center" vertical="center"/>
    </xf>
    <xf numFmtId="10" fontId="34" fillId="3" borderId="3" applyAlignment="1" pivotButton="0" quotePrefix="0" xfId="0">
      <alignment horizontal="center" vertical="center"/>
    </xf>
    <xf numFmtId="164" fontId="5" fillId="6" borderId="1" applyAlignment="1" pivotButton="0" quotePrefix="0" xfId="0">
      <alignment horizontal="center" vertical="center" wrapText="1"/>
    </xf>
    <xf numFmtId="4" fontId="33" fillId="6" borderId="1" applyAlignment="1" pivotButton="0" quotePrefix="0" xfId="0">
      <alignment horizontal="center" vertical="center" wrapText="1"/>
    </xf>
    <xf numFmtId="0" fontId="7" fillId="6" borderId="1" applyAlignment="1" pivotButton="0" quotePrefix="0" xfId="0">
      <alignment horizontal="center" vertical="center" wrapText="1"/>
    </xf>
    <xf numFmtId="10" fontId="7" fillId="6" borderId="1" applyAlignment="1" pivotButton="0" quotePrefix="0" xfId="0">
      <alignment horizontal="center" vertical="center" wrapText="1"/>
    </xf>
    <xf numFmtId="10" fontId="5" fillId="6" borderId="1" applyAlignment="1" pivotButton="0" quotePrefix="0" xfId="0">
      <alignment horizontal="center" vertical="center" wrapText="1"/>
    </xf>
    <xf numFmtId="10" fontId="5" fillId="6" borderId="1" applyAlignment="1" pivotButton="0" quotePrefix="0" xfId="0">
      <alignment horizontal="center" vertical="center"/>
    </xf>
    <xf numFmtId="0" fontId="5" fillId="6" borderId="0" applyAlignment="1" pivotButton="0" quotePrefix="0" xfId="0">
      <alignment horizontal="center" vertical="center"/>
    </xf>
    <xf numFmtId="0" fontId="7" fillId="6" borderId="1" applyAlignment="1" pivotButton="0" quotePrefix="0" xfId="0">
      <alignment horizontal="center" vertical="center"/>
    </xf>
    <xf numFmtId="10" fontId="7" fillId="6" borderId="1" applyAlignment="1" pivotButton="0" quotePrefix="0" xfId="0">
      <alignment horizontal="center" vertical="center"/>
    </xf>
    <xf numFmtId="10" fontId="33" fillId="6" borderId="1" applyAlignment="1" pivotButton="0" quotePrefix="0" xfId="0">
      <alignment horizontal="center" vertical="center"/>
    </xf>
    <xf numFmtId="0" fontId="33" fillId="6" borderId="0" applyAlignment="1" pivotButton="0" quotePrefix="0" xfId="0">
      <alignment horizontal="center" vertical="center"/>
    </xf>
    <xf numFmtId="0" fontId="33" fillId="6" borderId="1" applyAlignment="1" pivotButton="0" quotePrefix="0" xfId="0">
      <alignment horizontal="center" vertical="center"/>
    </xf>
    <xf numFmtId="0" fontId="34" fillId="6" borderId="3" applyAlignment="1" pivotButton="0" quotePrefix="0" xfId="0">
      <alignment horizontal="center" vertical="center"/>
    </xf>
    <xf numFmtId="0" fontId="47" fillId="6" borderId="3" applyAlignment="1" pivotButton="0" quotePrefix="0" xfId="0">
      <alignment horizontal="center" vertical="center"/>
    </xf>
    <xf numFmtId="10" fontId="34" fillId="6" borderId="3" applyAlignment="1" pivotButton="0" quotePrefix="0" xfId="0">
      <alignment horizontal="center" vertical="center"/>
    </xf>
    <xf numFmtId="10" fontId="34" fillId="5" borderId="3" applyAlignment="1" pivotButton="0" quotePrefix="0" xfId="0">
      <alignment horizontal="center" vertical="center"/>
    </xf>
    <xf numFmtId="14" fontId="7" fillId="5" borderId="1" applyAlignment="1" pivotButton="0" quotePrefix="0" xfId="0">
      <alignment horizontal="center" vertical="center" wrapText="1"/>
    </xf>
    <xf numFmtId="0" fontId="47" fillId="5" borderId="3" applyAlignment="1" pivotButton="0" quotePrefix="0" xfId="0">
      <alignment horizontal="center" vertical="center"/>
    </xf>
    <xf numFmtId="14" fontId="7" fillId="0" borderId="1" applyAlignment="1" pivotButton="0" quotePrefix="0" xfId="0">
      <alignment horizontal="center" vertical="center" wrapText="1"/>
    </xf>
    <xf numFmtId="4" fontId="33" fillId="0" borderId="0" applyAlignment="1" pivotButton="0" quotePrefix="0" xfId="0">
      <alignment horizontal="center" vertical="center"/>
    </xf>
    <xf numFmtId="0" fontId="33" fillId="0" borderId="0" applyAlignment="1" pivotButton="0" quotePrefix="0" xfId="0">
      <alignment horizontal="center" vertical="center"/>
    </xf>
    <xf numFmtId="164" fontId="7" fillId="0" borderId="1" applyAlignment="1" pivotButton="0" quotePrefix="0" xfId="0">
      <alignment horizontal="center" vertical="center" wrapText="1"/>
    </xf>
    <xf numFmtId="4" fontId="7" fillId="0" borderId="1" applyAlignment="1" pivotButton="0" quotePrefix="0" xfId="0">
      <alignment horizontal="center" vertical="center" wrapText="1"/>
    </xf>
    <xf numFmtId="165" fontId="7" fillId="0" borderId="1" applyAlignment="1" pivotButton="0" quotePrefix="0" xfId="0">
      <alignment horizontal="center" vertical="center"/>
    </xf>
    <xf numFmtId="4" fontId="7" fillId="0" borderId="1" applyAlignment="1" pivotButton="0" quotePrefix="0" xfId="0">
      <alignment horizontal="center" vertical="center"/>
    </xf>
    <xf numFmtId="164" fontId="7" fillId="5" borderId="1" applyAlignment="1" pivotButton="0" quotePrefix="0" xfId="0">
      <alignment horizontal="center" vertical="center" wrapText="1"/>
    </xf>
    <xf numFmtId="4" fontId="33" fillId="5" borderId="0" applyAlignment="1" pivotButton="0" quotePrefix="0" xfId="0">
      <alignment horizontal="center" vertical="center"/>
    </xf>
    <xf numFmtId="14" fontId="7" fillId="5" borderId="1" applyAlignment="1" pivotButton="0" quotePrefix="0" xfId="0">
      <alignment horizontal="center" vertical="center"/>
    </xf>
    <xf numFmtId="165" fontId="7" fillId="5" borderId="1" applyAlignment="1" pivotButton="0" quotePrefix="0" xfId="0">
      <alignment horizontal="center" vertical="center"/>
    </xf>
    <xf numFmtId="4" fontId="7" fillId="5" borderId="1" applyAlignment="1" pivotButton="0" quotePrefix="0" xfId="0">
      <alignment horizontal="center" vertical="center"/>
    </xf>
    <xf numFmtId="0" fontId="33" fillId="5" borderId="0" applyAlignment="1" pivotButton="0" quotePrefix="0" xfId="0">
      <alignment horizontal="center" vertical="center"/>
    </xf>
    <xf numFmtId="164" fontId="31" fillId="0" borderId="1" applyAlignment="1" pivotButton="0" quotePrefix="0" xfId="0">
      <alignment horizontal="center" vertical="center"/>
    </xf>
    <xf numFmtId="0" fontId="48" fillId="0" borderId="1" applyAlignment="1" pivotButton="0" quotePrefix="0" xfId="0">
      <alignment horizontal="center" vertical="center"/>
    </xf>
    <xf numFmtId="10" fontId="48" fillId="0" borderId="1" applyAlignment="1" pivotButton="0" quotePrefix="0" xfId="0">
      <alignment horizontal="center" vertical="center"/>
    </xf>
    <xf numFmtId="0" fontId="26" fillId="0" borderId="1" applyAlignment="1" pivotButton="0" quotePrefix="0" xfId="0">
      <alignment horizontal="center" vertical="center"/>
    </xf>
    <xf numFmtId="0" fontId="49" fillId="0" borderId="1" applyAlignment="1" pivotButton="0" quotePrefix="0" xfId="0">
      <alignment horizontal="center" vertical="center"/>
    </xf>
    <xf numFmtId="10" fontId="49" fillId="0" borderId="1" applyAlignment="1" pivotButton="0" quotePrefix="0" xfId="0">
      <alignment horizontal="center" vertical="center"/>
    </xf>
    <xf numFmtId="4" fontId="33" fillId="0" borderId="0" applyAlignment="1" pivotButton="0" quotePrefix="0" xfId="0">
      <alignment horizontal="center" vertical="center" wrapText="1"/>
    </xf>
    <xf numFmtId="14" fontId="7" fillId="0" borderId="1" applyAlignment="1" pivotButton="0" quotePrefix="0" xfId="0">
      <alignment horizontal="center" vertical="center"/>
    </xf>
    <xf numFmtId="165" fontId="33" fillId="0" borderId="0" applyAlignment="1" pivotButton="0" quotePrefix="0" xfId="0">
      <alignment horizontal="center" vertical="center"/>
    </xf>
    <xf numFmtId="14" fontId="50" fillId="0" borderId="0" applyAlignment="1" pivotButton="0" quotePrefix="0" xfId="0">
      <alignment horizontal="center" vertical="center"/>
    </xf>
    <xf numFmtId="0" fontId="50" fillId="0" borderId="3" applyAlignment="1" pivotButton="0" quotePrefix="0" xfId="0">
      <alignment horizontal="center" vertical="center"/>
    </xf>
    <xf numFmtId="0" fontId="50" fillId="0" borderId="0" applyAlignment="1" pivotButton="0" quotePrefix="0" xfId="0">
      <alignment horizontal="center" vertical="center"/>
    </xf>
    <xf numFmtId="10" fontId="7" fillId="0" borderId="0" applyAlignment="1" pivotButton="0" quotePrefix="0" xfId="0">
      <alignment horizontal="center" vertical="center"/>
    </xf>
    <xf numFmtId="0" fontId="51" fillId="0" borderId="1" applyAlignment="1" pivotButton="0" quotePrefix="0" xfId="0">
      <alignment horizontal="center" vertical="center" wrapText="1"/>
    </xf>
    <xf numFmtId="10" fontId="51" fillId="0" borderId="1" applyAlignment="1" pivotButton="0" quotePrefix="0" xfId="0">
      <alignment horizontal="center" vertical="center" wrapText="1"/>
    </xf>
    <xf numFmtId="0" fontId="51" fillId="0" borderId="1" applyAlignment="1" pivotButton="0" quotePrefix="0" xfId="0">
      <alignment horizontal="center" vertical="center"/>
    </xf>
    <xf numFmtId="10" fontId="51" fillId="0" borderId="1" applyAlignment="1" pivotButton="0" quotePrefix="0" xfId="0">
      <alignment horizontal="center" vertical="center"/>
    </xf>
    <xf numFmtId="0" fontId="52" fillId="0" borderId="1" applyAlignment="1" pivotButton="0" quotePrefix="0" xfId="0">
      <alignment horizontal="center" vertical="center"/>
    </xf>
    <xf numFmtId="10" fontId="52" fillId="0" borderId="1" applyAlignment="1" pivotButton="0" quotePrefix="0" xfId="0">
      <alignment horizontal="center" vertical="center"/>
    </xf>
    <xf numFmtId="10" fontId="50" fillId="0" borderId="3" applyAlignment="1" pivotButton="0" quotePrefix="0" xfId="0">
      <alignment horizontal="center" vertical="center"/>
    </xf>
    <xf numFmtId="14" fontId="33" fillId="0" borderId="1" applyAlignment="1" pivotButton="0" quotePrefix="0" xfId="0">
      <alignment horizontal="center" vertical="center"/>
    </xf>
    <xf numFmtId="10" fontId="33" fillId="0" borderId="0" applyAlignment="1" pivotButton="0" quotePrefix="0" xfId="0">
      <alignment horizontal="center" vertical="center"/>
    </xf>
    <xf numFmtId="4" fontId="28" fillId="0" borderId="1" applyAlignment="1" pivotButton="0" quotePrefix="0" xfId="0">
      <alignment horizontal="center" vertical="center"/>
    </xf>
    <xf numFmtId="0" fontId="52" fillId="0" borderId="1" applyAlignment="1" pivotButton="0" quotePrefix="0" xfId="0">
      <alignment horizontal="center" vertical="center" wrapText="1"/>
    </xf>
    <xf numFmtId="10" fontId="52" fillId="0" borderId="1" applyAlignment="1" pivotButton="0" quotePrefix="0" xfId="0">
      <alignment horizontal="center" vertical="center" wrapText="1"/>
    </xf>
    <xf numFmtId="164" fontId="34" fillId="3" borderId="1" applyAlignment="1" pivotButton="0" quotePrefix="0" xfId="0">
      <alignment horizontal="center" vertical="center"/>
    </xf>
    <xf numFmtId="0" fontId="48" fillId="3" borderId="1" applyAlignment="1" pivotButton="0" quotePrefix="0" xfId="0">
      <alignment horizontal="center" vertical="center"/>
    </xf>
    <xf numFmtId="10" fontId="48" fillId="3" borderId="1" applyAlignment="1" pivotButton="0" quotePrefix="0" xfId="0">
      <alignment horizontal="center" vertical="center"/>
    </xf>
    <xf numFmtId="10" fontId="31" fillId="3" borderId="1" applyAlignment="1" pivotButton="0" quotePrefix="0" xfId="0">
      <alignment horizontal="center" vertical="center"/>
    </xf>
    <xf numFmtId="0" fontId="34" fillId="3" borderId="1" applyAlignment="1" pivotButton="0" quotePrefix="0" xfId="0">
      <alignment horizontal="center" vertical="center"/>
    </xf>
    <xf numFmtId="0" fontId="31" fillId="3" borderId="1" applyAlignment="1" pivotButton="0" quotePrefix="0" xfId="0">
      <alignment horizontal="center" vertical="center"/>
    </xf>
    <xf numFmtId="0" fontId="49" fillId="3" borderId="1" applyAlignment="1" pivotButton="0" quotePrefix="0" xfId="0">
      <alignment horizontal="center" vertical="center"/>
    </xf>
    <xf numFmtId="10" fontId="49" fillId="3" borderId="1" applyAlignment="1" pivotButton="0" quotePrefix="0" xfId="0">
      <alignment horizontal="center" vertical="center"/>
    </xf>
    <xf numFmtId="165" fontId="31" fillId="3" borderId="1" applyAlignment="1" pivotButton="0" quotePrefix="0" xfId="0">
      <alignment horizontal="center" vertical="center"/>
    </xf>
    <xf numFmtId="0" fontId="50"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1" fillId="6" borderId="1" applyAlignment="1" pivotButton="0" quotePrefix="0" xfId="0">
      <alignment horizontal="center" vertical="center" wrapText="1"/>
    </xf>
    <xf numFmtId="10" fontId="51" fillId="6" borderId="1" applyAlignment="1" pivotButton="0" quotePrefix="0" xfId="0">
      <alignment horizontal="center" vertical="center" wrapText="1"/>
    </xf>
    <xf numFmtId="14" fontId="50" fillId="6" borderId="1" applyAlignment="1" pivotButton="0" quotePrefix="0" xfId="0">
      <alignment horizontal="center" vertical="center"/>
    </xf>
    <xf numFmtId="0" fontId="50" fillId="6" borderId="1" applyAlignment="1" pivotButton="0" quotePrefix="0" xfId="0">
      <alignment horizontal="center" vertical="center"/>
    </xf>
    <xf numFmtId="165" fontId="33" fillId="6" borderId="1" applyAlignment="1" pivotButton="0" quotePrefix="0" xfId="0">
      <alignment horizontal="center" vertical="center"/>
    </xf>
    <xf numFmtId="0" fontId="52" fillId="6" borderId="1" applyAlignment="1" pivotButton="0" quotePrefix="0" xfId="0">
      <alignment horizontal="center" vertical="center"/>
    </xf>
    <xf numFmtId="10" fontId="52" fillId="6" borderId="1" applyAlignment="1" pivotButton="0" quotePrefix="0" xfId="0">
      <alignment horizontal="center" vertical="center"/>
    </xf>
    <xf numFmtId="4" fontId="33" fillId="6" borderId="1" applyAlignment="1" pivotButton="0" quotePrefix="0" xfId="0">
      <alignment horizontal="center" vertical="center"/>
    </xf>
    <xf numFmtId="0" fontId="51" fillId="6" borderId="1" applyAlignment="1" pivotButton="0" quotePrefix="0" xfId="0">
      <alignment horizontal="center" vertical="center"/>
    </xf>
    <xf numFmtId="10" fontId="51" fillId="6" borderId="1" applyAlignment="1" pivotButton="0" quotePrefix="0" xfId="0">
      <alignment horizontal="center" vertical="center"/>
    </xf>
    <xf numFmtId="10" fontId="50" fillId="6" borderId="1" applyAlignment="1" pivotButton="0" quotePrefix="0" xfId="0">
      <alignment horizontal="center" vertical="center"/>
    </xf>
    <xf numFmtId="14" fontId="50" fillId="6" borderId="0" applyAlignment="1" pivotButton="0" quotePrefix="0" xfId="0">
      <alignment horizontal="center" vertical="center"/>
    </xf>
    <xf numFmtId="0" fontId="50" fillId="6" borderId="3" applyAlignment="1" pivotButton="0" quotePrefix="0" xfId="0">
      <alignment horizontal="center" vertical="center"/>
    </xf>
    <xf numFmtId="10" fontId="50" fillId="6" borderId="3" applyAlignment="1" pivotButton="0" quotePrefix="0" xfId="0">
      <alignment horizontal="center" vertical="center"/>
    </xf>
    <xf numFmtId="165" fontId="50" fillId="6" borderId="1" applyAlignment="1" pivotButton="0" quotePrefix="0" xfId="0">
      <alignment horizontal="center" vertical="center"/>
    </xf>
    <xf numFmtId="0" fontId="50" fillId="6" borderId="0" applyAlignment="1" pivotButton="0" quotePrefix="0" xfId="0">
      <alignment horizontal="center" vertical="center"/>
    </xf>
    <xf numFmtId="10" fontId="50" fillId="6" borderId="0" applyAlignment="1" pivotButton="0" quotePrefix="0" xfId="0">
      <alignment horizontal="center" vertical="center"/>
    </xf>
    <xf numFmtId="164" fontId="34" fillId="0" borderId="1" applyAlignment="1" pivotButton="0" quotePrefix="0" xfId="0">
      <alignment horizontal="center" vertical="center"/>
    </xf>
    <xf numFmtId="0" fontId="34" fillId="0" borderId="1" applyAlignment="1" pivotButton="0" quotePrefix="0" xfId="0">
      <alignment horizontal="center" vertical="center"/>
    </xf>
    <xf numFmtId="0" fontId="50" fillId="0" borderId="1" applyAlignment="1" pivotButton="0" quotePrefix="0" xfId="0">
      <alignment horizontal="center" vertical="center" wrapText="1"/>
    </xf>
    <xf numFmtId="14" fontId="50" fillId="0" borderId="1" applyAlignment="1" pivotButton="0" quotePrefix="0" xfId="0">
      <alignment horizontal="center" vertical="center"/>
    </xf>
    <xf numFmtId="0" fontId="50" fillId="0" borderId="1" applyAlignment="1" pivotButton="0" quotePrefix="0" xfId="0">
      <alignment horizontal="center" vertical="center"/>
    </xf>
    <xf numFmtId="10" fontId="50" fillId="0" borderId="1" applyAlignment="1" pivotButton="0" quotePrefix="0" xfId="0">
      <alignment horizontal="center" vertical="center"/>
    </xf>
    <xf numFmtId="165" fontId="50" fillId="0" borderId="1" applyAlignment="1" pivotButton="0" quotePrefix="0" xfId="0">
      <alignment horizontal="center" vertical="center"/>
    </xf>
    <xf numFmtId="4" fontId="50" fillId="0" borderId="1" applyAlignment="1" pivotButton="0" quotePrefix="0" xfId="0">
      <alignment horizontal="center" vertical="center"/>
    </xf>
    <xf numFmtId="10" fontId="50" fillId="0" borderId="0" applyAlignment="1" pivotButton="0" quotePrefix="0" xfId="0">
      <alignment horizontal="center" vertical="center"/>
    </xf>
    <xf numFmtId="165" fontId="53" fillId="0" borderId="1" applyAlignment="1" pivotButton="0" quotePrefix="0" xfId="0">
      <alignment horizontal="center" vertical="center"/>
    </xf>
    <xf numFmtId="4" fontId="54" fillId="0" borderId="1" applyAlignment="1" pivotButton="0" quotePrefix="0" xfId="0">
      <alignment horizontal="center" vertical="center"/>
    </xf>
    <xf numFmtId="4" fontId="55" fillId="0" borderId="1" applyAlignment="1" pivotButton="0" quotePrefix="0" xfId="0">
      <alignment horizontal="center" vertical="center" wrapText="1"/>
    </xf>
    <xf numFmtId="10" fontId="56" fillId="0" borderId="1" applyAlignment="1" pivotButton="0" quotePrefix="0" xfId="0">
      <alignment horizontal="center" vertical="center" wrapText="1"/>
    </xf>
    <xf numFmtId="10" fontId="56" fillId="0" borderId="1" applyAlignment="1" pivotButton="0" quotePrefix="0" xfId="0">
      <alignment horizontal="center" vertical="center"/>
    </xf>
    <xf numFmtId="0" fontId="57" fillId="14" borderId="1" applyAlignment="1" pivotButton="0" quotePrefix="0" xfId="0">
      <alignment horizontal="center" vertical="center"/>
    </xf>
    <xf numFmtId="10" fontId="57" fillId="14" borderId="1" applyAlignment="1" pivotButton="0" quotePrefix="0" xfId="0">
      <alignment horizontal="center" vertical="center"/>
    </xf>
    <xf numFmtId="0" fontId="57" fillId="15" borderId="1" applyAlignment="1" pivotButton="0" quotePrefix="0" xfId="0">
      <alignment horizontal="center" vertical="center"/>
    </xf>
    <xf numFmtId="10" fontId="57" fillId="15" borderId="1" applyAlignment="1" pivotButton="0" quotePrefix="0" xfId="0">
      <alignment horizontal="center" vertical="center"/>
    </xf>
    <xf numFmtId="4" fontId="58" fillId="0" borderId="1" applyAlignment="1" pivotButton="0" quotePrefix="0" xfId="0">
      <alignment horizontal="center" vertical="center" wrapText="1"/>
    </xf>
    <xf numFmtId="165" fontId="55" fillId="0" borderId="1" applyAlignment="1" pivotButton="0" quotePrefix="0" xfId="0">
      <alignment horizontal="center" vertical="center"/>
    </xf>
    <xf numFmtId="0" fontId="52" fillId="14" borderId="1" applyAlignment="1" pivotButton="0" quotePrefix="0" xfId="0">
      <alignment horizontal="center" vertical="center"/>
    </xf>
    <xf numFmtId="10" fontId="52" fillId="14" borderId="1" applyAlignment="1" pivotButton="0" quotePrefix="0" xfId="0">
      <alignment horizontal="center" vertical="center"/>
    </xf>
    <xf numFmtId="10" fontId="50" fillId="15" borderId="1" applyAlignment="1" pivotButton="0" quotePrefix="0" xfId="0">
      <alignment horizontal="center" vertical="center"/>
    </xf>
    <xf numFmtId="0" fontId="50" fillId="15" borderId="1" applyAlignment="1" pivotButton="0" quotePrefix="0" xfId="0">
      <alignment horizontal="center" vertical="center"/>
    </xf>
    <xf numFmtId="4" fontId="55" fillId="0" borderId="1" applyAlignment="1" pivotButton="0" quotePrefix="0" xfId="0">
      <alignment horizontal="center" vertical="center"/>
    </xf>
    <xf numFmtId="0" fontId="59" fillId="14" borderId="1" applyAlignment="1" pivotButton="0" quotePrefix="0" xfId="0">
      <alignment horizontal="center" vertical="center"/>
    </xf>
    <xf numFmtId="10" fontId="59" fillId="14" borderId="1" applyAlignment="1" pivotButton="0" quotePrefix="0" xfId="0">
      <alignment horizontal="center" vertical="center"/>
    </xf>
    <xf numFmtId="0" fontId="59" fillId="15" borderId="1" applyAlignment="1" pivotButton="0" quotePrefix="0" xfId="0">
      <alignment horizontal="center" vertical="center"/>
    </xf>
    <xf numFmtId="10" fontId="59" fillId="15" borderId="1" applyAlignment="1" pivotButton="0" quotePrefix="0" xfId="0">
      <alignment horizontal="center" vertical="center"/>
    </xf>
    <xf numFmtId="0" fontId="52" fillId="15" borderId="1" applyAlignment="1" pivotButton="0" quotePrefix="0" xfId="0">
      <alignment horizontal="center" vertical="center"/>
    </xf>
    <xf numFmtId="10" fontId="52" fillId="15" borderId="1" applyAlignment="1" pivotButton="0" quotePrefix="0" xfId="0">
      <alignment horizontal="center" vertical="center"/>
    </xf>
    <xf numFmtId="165" fontId="34" fillId="0" borderId="1" applyAlignment="1" pivotButton="0" quotePrefix="0" xfId="0">
      <alignment horizontal="center" vertical="center"/>
    </xf>
    <xf numFmtId="0" fontId="48" fillId="15" borderId="1" applyAlignment="1" pivotButton="0" quotePrefix="0" xfId="0">
      <alignment horizontal="center" vertical="center"/>
    </xf>
    <xf numFmtId="10" fontId="48" fillId="15" borderId="1" applyAlignment="1" pivotButton="0" quotePrefix="0" xfId="0">
      <alignment horizontal="center" vertical="center"/>
    </xf>
    <xf numFmtId="0" fontId="52" fillId="15" borderId="1" applyAlignment="1" pivotButton="0" quotePrefix="0" xfId="0">
      <alignment horizontal="center" vertical="center" wrapText="1"/>
    </xf>
    <xf numFmtId="10" fontId="52" fillId="15" borderId="1" applyAlignment="1" pivotButton="0" quotePrefix="0" xfId="0">
      <alignment horizontal="center" vertical="center" wrapText="1"/>
    </xf>
    <xf numFmtId="0" fontId="59" fillId="16" borderId="1" applyAlignment="1" pivotButton="0" quotePrefix="0" xfId="0">
      <alignment horizontal="center" vertical="center"/>
    </xf>
    <xf numFmtId="10" fontId="59" fillId="16" borderId="1" applyAlignment="1" pivotButton="0" quotePrefix="0" xfId="0">
      <alignment horizontal="center" vertical="center"/>
    </xf>
    <xf numFmtId="164" fontId="34" fillId="5" borderId="1" applyAlignment="1" pivotButton="0" quotePrefix="0" xfId="0">
      <alignment horizontal="center" vertical="center"/>
    </xf>
    <xf numFmtId="0" fontId="34" fillId="5" borderId="1" applyAlignment="1" pivotButton="0" quotePrefix="0" xfId="0">
      <alignment horizontal="center" vertical="center"/>
    </xf>
    <xf numFmtId="0" fontId="57" fillId="5" borderId="1" applyAlignment="1" pivotButton="0" quotePrefix="0" xfId="0">
      <alignment horizontal="center" vertical="center"/>
    </xf>
    <xf numFmtId="10" fontId="57" fillId="5" borderId="1" applyAlignment="1" pivotButton="0" quotePrefix="0" xfId="0">
      <alignment horizontal="center" vertical="center"/>
    </xf>
    <xf numFmtId="10" fontId="34" fillId="5" borderId="1" applyAlignment="1" pivotButton="0" quotePrefix="0" xfId="0">
      <alignment horizontal="center" vertical="center"/>
    </xf>
    <xf numFmtId="14" fontId="34" fillId="5" borderId="1" applyAlignment="1" pivotButton="0" quotePrefix="0" xfId="0">
      <alignment horizontal="center" vertical="center"/>
    </xf>
    <xf numFmtId="0" fontId="49" fillId="5" borderId="1" applyAlignment="1" pivotButton="0" quotePrefix="0" xfId="0">
      <alignment horizontal="center" vertical="center"/>
    </xf>
    <xf numFmtId="10" fontId="49" fillId="5" borderId="1" applyAlignment="1" pivotButton="0" quotePrefix="0" xfId="0">
      <alignment horizontal="center" vertical="center"/>
    </xf>
    <xf numFmtId="165" fontId="34" fillId="5" borderId="1" applyAlignment="1" pivotButton="0" quotePrefix="0" xfId="0">
      <alignment horizontal="center" vertical="center"/>
    </xf>
    <xf numFmtId="0" fontId="50" fillId="5" borderId="1" applyAlignment="1" pivotButton="0" quotePrefix="0" xfId="0">
      <alignment horizontal="center" vertical="center" wrapText="1"/>
    </xf>
    <xf numFmtId="0" fontId="52" fillId="5" borderId="1" applyAlignment="1" pivotButton="0" quotePrefix="0" xfId="0">
      <alignment horizontal="center" vertical="center" wrapText="1"/>
    </xf>
    <xf numFmtId="10" fontId="52" fillId="5" borderId="1" applyAlignment="1" pivotButton="0" quotePrefix="0" xfId="0">
      <alignment horizontal="center" vertical="center" wrapText="1"/>
    </xf>
    <xf numFmtId="14" fontId="50" fillId="5" borderId="1" applyAlignment="1" pivotButton="0" quotePrefix="0" xfId="0">
      <alignment horizontal="center" vertical="center"/>
    </xf>
    <xf numFmtId="0" fontId="50" fillId="5" borderId="1" applyAlignment="1" pivotButton="0" quotePrefix="0" xfId="0">
      <alignment horizontal="center" vertical="center"/>
    </xf>
    <xf numFmtId="165" fontId="50" fillId="5" borderId="1" applyAlignment="1" pivotButton="0" quotePrefix="0" xfId="0">
      <alignment horizontal="center" vertical="center"/>
    </xf>
    <xf numFmtId="0" fontId="52" fillId="5" borderId="1" applyAlignment="1" pivotButton="0" quotePrefix="0" xfId="0">
      <alignment horizontal="center" vertical="center"/>
    </xf>
    <xf numFmtId="10" fontId="52" fillId="5" borderId="1" applyAlignment="1" pivotButton="0" quotePrefix="0" xfId="0">
      <alignment horizontal="center" vertical="center"/>
    </xf>
    <xf numFmtId="10" fontId="50" fillId="5" borderId="1" applyAlignment="1" pivotButton="0" quotePrefix="0" xfId="0">
      <alignment horizontal="center" vertical="center"/>
    </xf>
    <xf numFmtId="14" fontId="50" fillId="5" borderId="0" applyAlignment="1" pivotButton="0" quotePrefix="0" xfId="0">
      <alignment horizontal="center" vertical="center"/>
    </xf>
    <xf numFmtId="0" fontId="50" fillId="5" borderId="3" applyAlignment="1" pivotButton="0" quotePrefix="0" xfId="0">
      <alignment horizontal="center" vertical="center"/>
    </xf>
    <xf numFmtId="10" fontId="50" fillId="5" borderId="3" applyAlignment="1" pivotButton="0" quotePrefix="0" xfId="0">
      <alignment horizontal="center" vertical="center"/>
    </xf>
    <xf numFmtId="0" fontId="59" fillId="5" borderId="1" applyAlignment="1" pivotButton="0" quotePrefix="0" xfId="0">
      <alignment horizontal="center" vertical="center"/>
    </xf>
    <xf numFmtId="10" fontId="59" fillId="5" borderId="1" applyAlignment="1" pivotButton="0" quotePrefix="0" xfId="0">
      <alignment horizontal="center" vertical="center"/>
    </xf>
    <xf numFmtId="0" fontId="51" fillId="5" borderId="1" applyAlignment="1" pivotButton="0" quotePrefix="0" xfId="0">
      <alignment horizontal="center" vertical="center"/>
    </xf>
    <xf numFmtId="10" fontId="51" fillId="5" borderId="1" applyAlignment="1" pivotButton="0" quotePrefix="0" xfId="0">
      <alignment horizontal="center" vertical="center"/>
    </xf>
    <xf numFmtId="0" fontId="50" fillId="5" borderId="0" applyAlignment="1" pivotButton="0" quotePrefix="0" xfId="0">
      <alignment horizontal="center" vertical="center"/>
    </xf>
    <xf numFmtId="10" fontId="50" fillId="5" borderId="0" applyAlignment="1" pivotButton="0" quotePrefix="0" xfId="0">
      <alignment horizontal="center" vertical="center"/>
    </xf>
    <xf numFmtId="10" fontId="34" fillId="0" borderId="1" applyAlignment="1" pivotButton="0" quotePrefix="0" xfId="0">
      <alignment horizontal="center" vertical="center"/>
    </xf>
    <xf numFmtId="14" fontId="34" fillId="0" borderId="1" applyAlignment="1" pivotButton="0" quotePrefix="0" xfId="0">
      <alignment horizontal="center" vertical="center"/>
    </xf>
    <xf numFmtId="0" fontId="59" fillId="0" borderId="1" applyAlignment="1" pivotButton="0" quotePrefix="0" xfId="0">
      <alignment horizontal="center" vertical="center"/>
    </xf>
    <xf numFmtId="10" fontId="59" fillId="0" borderId="1" applyAlignment="1" pivotButton="0" quotePrefix="0" xfId="0">
      <alignment horizontal="center" vertical="center"/>
    </xf>
    <xf numFmtId="0" fontId="52" fillId="16" borderId="1" applyAlignment="1" pivotButton="0" quotePrefix="0" xfId="0">
      <alignment horizontal="center" vertical="center"/>
    </xf>
    <xf numFmtId="10" fontId="52" fillId="16" borderId="1" applyAlignment="1" pivotButton="0" quotePrefix="0" xfId="0">
      <alignment horizontal="center" vertical="center"/>
    </xf>
    <xf numFmtId="0" fontId="49" fillId="15" borderId="1" applyAlignment="1" pivotButton="0" quotePrefix="0" xfId="0">
      <alignment horizontal="center" vertical="center"/>
    </xf>
    <xf numFmtId="10" fontId="49" fillId="15" borderId="1" applyAlignment="1" pivotButton="0" quotePrefix="0" xfId="0">
      <alignment horizontal="center" vertical="center"/>
    </xf>
    <xf numFmtId="165" fontId="60" fillId="5" borderId="1" applyAlignment="1" pivotButton="0" quotePrefix="0" xfId="0">
      <alignment horizontal="center" vertical="center"/>
    </xf>
    <xf numFmtId="0" fontId="59" fillId="15" borderId="1" applyAlignment="1" pivotButton="0" quotePrefix="0" xfId="0">
      <alignment horizontal="center" vertical="center" wrapText="1"/>
    </xf>
    <xf numFmtId="10" fontId="59" fillId="15" borderId="1" applyAlignment="1" pivotButton="0" quotePrefix="0" xfId="0">
      <alignment horizontal="center" vertical="center" wrapText="1"/>
    </xf>
    <xf numFmtId="10" fontId="61" fillId="0" borderId="1" applyAlignment="1" pivotButton="0" quotePrefix="0" xfId="0">
      <alignment horizontal="center" vertical="center"/>
    </xf>
    <xf numFmtId="164" fontId="5" fillId="11" borderId="1" applyAlignment="1" pivotButton="0" quotePrefix="0" xfId="0">
      <alignment horizontal="center" vertical="center"/>
    </xf>
    <xf numFmtId="164" fontId="34" fillId="11" borderId="1" applyAlignment="1" pivotButton="0" quotePrefix="0" xfId="0">
      <alignment horizontal="center" vertical="center"/>
    </xf>
    <xf numFmtId="0" fontId="34" fillId="11" borderId="1" applyAlignment="1" pivotButton="0" quotePrefix="0" xfId="0">
      <alignment horizontal="center" vertical="center"/>
    </xf>
    <xf numFmtId="0" fontId="57" fillId="11" borderId="1" applyAlignment="1" pivotButton="0" quotePrefix="0" xfId="0">
      <alignment horizontal="center" vertical="center"/>
    </xf>
    <xf numFmtId="10" fontId="57" fillId="11" borderId="1" applyAlignment="1" pivotButton="0" quotePrefix="0" xfId="0">
      <alignment horizontal="center" vertical="center"/>
    </xf>
    <xf numFmtId="10" fontId="3" fillId="11" borderId="1" applyAlignment="1" pivotButton="0" quotePrefix="0" xfId="0">
      <alignment horizontal="center" vertical="center"/>
    </xf>
    <xf numFmtId="10" fontId="3" fillId="11" borderId="0" applyAlignment="1" pivotButton="0" quotePrefix="0" xfId="0">
      <alignment horizontal="center" vertical="center"/>
    </xf>
    <xf numFmtId="10" fontId="34" fillId="11" borderId="1" applyAlignment="1" pivotButton="0" quotePrefix="0" xfId="0">
      <alignment horizontal="center" vertical="center"/>
    </xf>
    <xf numFmtId="14" fontId="34" fillId="11" borderId="1" applyAlignment="1" pivotButton="0" quotePrefix="0" xfId="0">
      <alignment horizontal="center" vertical="center"/>
    </xf>
    <xf numFmtId="165" fontId="34" fillId="11" borderId="1" applyAlignment="1" pivotButton="0" quotePrefix="0" xfId="0">
      <alignment horizontal="center" vertical="center"/>
    </xf>
    <xf numFmtId="0" fontId="49" fillId="11" borderId="1" applyAlignment="1" pivotButton="0" quotePrefix="0" xfId="0">
      <alignment horizontal="center" vertical="center"/>
    </xf>
    <xf numFmtId="10" fontId="49" fillId="11" borderId="1" applyAlignment="1" pivotButton="0" quotePrefix="0" xfId="0">
      <alignment horizontal="center" vertical="center"/>
    </xf>
    <xf numFmtId="0" fontId="3" fillId="11" borderId="1" applyAlignment="1" pivotButton="0" quotePrefix="0" xfId="0">
      <alignment horizontal="center" vertical="center"/>
    </xf>
    <xf numFmtId="164" fontId="5" fillId="7" borderId="1" applyAlignment="1" pivotButton="0" quotePrefix="0" xfId="0">
      <alignment horizontal="center" vertical="center" wrapText="1"/>
    </xf>
    <xf numFmtId="0" fontId="50" fillId="7" borderId="1" applyAlignment="1" pivotButton="0" quotePrefix="0" xfId="0">
      <alignment horizontal="center" vertical="center" wrapText="1"/>
    </xf>
    <xf numFmtId="0" fontId="59" fillId="7" borderId="1" applyAlignment="1" pivotButton="0" quotePrefix="0" xfId="0">
      <alignment horizontal="center" vertical="center" wrapText="1"/>
    </xf>
    <xf numFmtId="10" fontId="59" fillId="7" borderId="1" applyAlignment="1" pivotButton="0" quotePrefix="0" xfId="0">
      <alignment horizontal="center" vertical="center" wrapText="1"/>
    </xf>
    <xf numFmtId="10" fontId="5" fillId="7" borderId="1" applyAlignment="1" pivotButton="0" quotePrefix="0" xfId="0">
      <alignment horizontal="center" vertical="center" wrapText="1"/>
    </xf>
    <xf numFmtId="10" fontId="5" fillId="7" borderId="1" applyAlignment="1" pivotButton="0" quotePrefix="0" xfId="0">
      <alignment horizontal="center" vertical="center"/>
    </xf>
    <xf numFmtId="14" fontId="50" fillId="7" borderId="1" applyAlignment="1" pivotButton="0" quotePrefix="0" xfId="0">
      <alignment horizontal="center" vertical="center"/>
    </xf>
    <xf numFmtId="0" fontId="50" fillId="7" borderId="1" applyAlignment="1" pivotButton="0" quotePrefix="0" xfId="0">
      <alignment horizontal="center" vertical="center"/>
    </xf>
    <xf numFmtId="165" fontId="50" fillId="7" borderId="1" applyAlignment="1" pivotButton="0" quotePrefix="0" xfId="0">
      <alignment horizontal="center" vertical="center"/>
    </xf>
    <xf numFmtId="0" fontId="59" fillId="7" borderId="1" applyAlignment="1" pivotButton="0" quotePrefix="0" xfId="0">
      <alignment horizontal="center" vertical="center"/>
    </xf>
    <xf numFmtId="10" fontId="59" fillId="7" borderId="1" applyAlignment="1" pivotButton="0" quotePrefix="0" xfId="0">
      <alignment horizontal="center" vertical="center"/>
    </xf>
    <xf numFmtId="0" fontId="52" fillId="7" borderId="1" applyAlignment="1" pivotButton="0" quotePrefix="0" xfId="0">
      <alignment horizontal="center" vertical="center"/>
    </xf>
    <xf numFmtId="10" fontId="52" fillId="7" borderId="1" applyAlignment="1" pivotButton="0" quotePrefix="0" xfId="0">
      <alignment horizontal="center" vertical="center"/>
    </xf>
    <xf numFmtId="10" fontId="50" fillId="7" borderId="1" applyAlignment="1" pivotButton="0" quotePrefix="0" xfId="0">
      <alignment horizontal="center" vertical="center"/>
    </xf>
    <xf numFmtId="0" fontId="7" fillId="7" borderId="1" applyAlignment="1" pivotButton="0" quotePrefix="0" xfId="0">
      <alignment horizontal="center" vertical="center"/>
    </xf>
    <xf numFmtId="10" fontId="7" fillId="7" borderId="1" applyAlignment="1" pivotButton="0" quotePrefix="0" xfId="0">
      <alignment horizontal="center" vertical="center"/>
    </xf>
    <xf numFmtId="14" fontId="50" fillId="7" borderId="0" applyAlignment="1" pivotButton="0" quotePrefix="0" xfId="0">
      <alignment horizontal="center" vertical="center"/>
    </xf>
    <xf numFmtId="0" fontId="50" fillId="7" borderId="3" applyAlignment="1" pivotButton="0" quotePrefix="0" xfId="0">
      <alignment horizontal="center" vertical="center"/>
    </xf>
    <xf numFmtId="10" fontId="50" fillId="7" borderId="3" applyAlignment="1" pivotButton="0" quotePrefix="0" xfId="0">
      <alignment horizontal="center" vertical="center"/>
    </xf>
    <xf numFmtId="0" fontId="33" fillId="7" borderId="1" applyAlignment="1" pivotButton="0" quotePrefix="0" xfId="0">
      <alignment horizontal="center" vertical="center"/>
    </xf>
    <xf numFmtId="0" fontId="51" fillId="7" borderId="1" applyAlignment="1" pivotButton="0" quotePrefix="0" xfId="0">
      <alignment horizontal="center" vertical="center"/>
    </xf>
    <xf numFmtId="10" fontId="51" fillId="7" borderId="1" applyAlignment="1" pivotButton="0" quotePrefix="0" xfId="0">
      <alignment horizontal="center" vertical="center"/>
    </xf>
    <xf numFmtId="0" fontId="50" fillId="7" borderId="0" applyAlignment="1" pivotButton="0" quotePrefix="0" xfId="0">
      <alignment horizontal="center" vertical="center"/>
    </xf>
    <xf numFmtId="10" fontId="50" fillId="7" borderId="0" applyAlignment="1" pivotButton="0" quotePrefix="0" xfId="0">
      <alignment horizontal="center" vertical="center"/>
    </xf>
    <xf numFmtId="0" fontId="34" fillId="7" borderId="3" applyAlignment="1" pivotButton="0" quotePrefix="0" xfId="0">
      <alignment horizontal="center" vertical="center"/>
    </xf>
    <xf numFmtId="0" fontId="47" fillId="7" borderId="3" applyAlignment="1" pivotButton="0" quotePrefix="0" xfId="0">
      <alignment horizontal="center" vertical="center"/>
    </xf>
    <xf numFmtId="10" fontId="34" fillId="7" borderId="3" applyAlignment="1" pivotButton="0" quotePrefix="0" xfId="0">
      <alignment horizontal="center" vertical="center"/>
    </xf>
    <xf numFmtId="0" fontId="9" fillId="7" borderId="1" applyAlignment="1" pivotButton="0" quotePrefix="0" xfId="0">
      <alignment horizontal="center" vertical="center"/>
    </xf>
    <xf numFmtId="10" fontId="34" fillId="15" borderId="1" applyAlignment="1" pivotButton="0" quotePrefix="0" xfId="0">
      <alignment horizontal="center" vertical="center"/>
    </xf>
    <xf numFmtId="0" fontId="52" fillId="6" borderId="1" applyAlignment="1" pivotButton="0" quotePrefix="0" xfId="0">
      <alignment horizontal="center" vertical="center" wrapText="1"/>
    </xf>
    <xf numFmtId="10" fontId="52" fillId="6" borderId="1" applyAlignment="1" pivotButton="0" quotePrefix="0" xfId="0">
      <alignment horizontal="center" vertical="center" wrapText="1"/>
    </xf>
    <xf numFmtId="0" fontId="59" fillId="6" borderId="1" applyAlignment="1" pivotButton="0" quotePrefix="0" xfId="0">
      <alignment horizontal="center" vertical="center"/>
    </xf>
    <xf numFmtId="10" fontId="59" fillId="6" borderId="1" applyAlignment="1" pivotButton="0" quotePrefix="0" xfId="0">
      <alignment horizontal="center" vertical="center"/>
    </xf>
    <xf numFmtId="0" fontId="9" fillId="6" borderId="1" applyAlignment="1" pivotButton="0" quotePrefix="0" xfId="0">
      <alignment horizontal="center" vertical="center"/>
    </xf>
    <xf numFmtId="165" fontId="33" fillId="15" borderId="1" applyAlignment="1" pivotButton="0" quotePrefix="0" xfId="0">
      <alignment horizontal="center" vertical="center" wrapText="1"/>
    </xf>
    <xf numFmtId="14" fontId="50" fillId="15" borderId="1" applyAlignment="1" pivotButton="0" quotePrefix="0" xfId="0">
      <alignment horizontal="center" vertical="center"/>
    </xf>
    <xf numFmtId="10" fontId="5" fillId="15" borderId="1" applyAlignment="1" pivotButton="0" quotePrefix="0" xfId="0">
      <alignment horizontal="center" vertical="center"/>
    </xf>
    <xf numFmtId="10" fontId="33" fillId="15" borderId="1" applyAlignment="1" pivotButton="0" quotePrefix="0" xfId="0">
      <alignment horizontal="center" vertical="center" wrapText="1"/>
    </xf>
    <xf numFmtId="0" fontId="50" fillId="3" borderId="1" applyAlignment="1" pivotButton="0" quotePrefix="0" xfId="0">
      <alignment horizontal="center" vertical="center" wrapText="1"/>
    </xf>
    <xf numFmtId="0" fontId="52" fillId="3" borderId="1" applyAlignment="1" pivotButton="0" quotePrefix="0" xfId="0">
      <alignment horizontal="center" vertical="center" wrapText="1"/>
    </xf>
    <xf numFmtId="10" fontId="52" fillId="3" borderId="1" applyAlignment="1" pivotButton="0" quotePrefix="0" xfId="0">
      <alignment horizontal="center" vertical="center" wrapText="1"/>
    </xf>
    <xf numFmtId="14" fontId="50" fillId="3" borderId="1" applyAlignment="1" pivotButton="0" quotePrefix="0" xfId="0">
      <alignment horizontal="center" vertical="center"/>
    </xf>
    <xf numFmtId="0" fontId="50" fillId="3" borderId="1" applyAlignment="1" pivotButton="0" quotePrefix="0" xfId="0">
      <alignment horizontal="center" vertical="center"/>
    </xf>
    <xf numFmtId="165" fontId="50" fillId="3" borderId="1" applyAlignment="1" pivotButton="0" quotePrefix="0" xfId="0">
      <alignment horizontal="center" vertical="center"/>
    </xf>
    <xf numFmtId="0" fontId="59" fillId="3" borderId="1" applyAlignment="1" pivotButton="0" quotePrefix="0" xfId="0">
      <alignment horizontal="center" vertical="center"/>
    </xf>
    <xf numFmtId="10" fontId="59" fillId="3" borderId="1" applyAlignment="1" pivotButton="0" quotePrefix="0" xfId="0">
      <alignment horizontal="center" vertical="center"/>
    </xf>
    <xf numFmtId="10" fontId="50" fillId="3" borderId="1" applyAlignment="1" pivotButton="0" quotePrefix="0" xfId="0">
      <alignment horizontal="center" vertical="center"/>
    </xf>
    <xf numFmtId="0" fontId="52" fillId="3" borderId="1" applyAlignment="1" pivotButton="0" quotePrefix="0" xfId="0">
      <alignment horizontal="center" vertical="center"/>
    </xf>
    <xf numFmtId="10" fontId="52" fillId="3" borderId="1" applyAlignment="1" pivotButton="0" quotePrefix="0" xfId="0">
      <alignment horizontal="center" vertical="center"/>
    </xf>
    <xf numFmtId="165" fontId="33" fillId="3" borderId="1" applyAlignment="1" pivotButton="0" quotePrefix="0" xfId="0">
      <alignment horizontal="center" vertical="center" wrapText="1"/>
    </xf>
    <xf numFmtId="10" fontId="33" fillId="3" borderId="1" applyAlignment="1" pivotButton="0" quotePrefix="0" xfId="0">
      <alignment horizontal="center" vertical="center" wrapText="1"/>
    </xf>
    <xf numFmtId="14" fontId="5" fillId="3" borderId="1" applyAlignment="1" pivotButton="0" quotePrefix="0" xfId="0">
      <alignment horizontal="center" vertical="center"/>
    </xf>
    <xf numFmtId="0" fontId="51" fillId="3" borderId="1" applyAlignment="1" pivotButton="0" quotePrefix="0" xfId="0">
      <alignment horizontal="center" vertical="center"/>
    </xf>
    <xf numFmtId="10" fontId="51" fillId="3" borderId="1" applyAlignment="1" pivotButton="0" quotePrefix="0" xfId="0">
      <alignment horizontal="center" vertical="center"/>
    </xf>
    <xf numFmtId="167" fontId="5" fillId="3" borderId="1" applyAlignment="1" pivotButton="0" quotePrefix="0" xfId="0">
      <alignment horizontal="center" vertical="center"/>
    </xf>
    <xf numFmtId="167" fontId="0" fillId="0" borderId="0" pivotButton="0" quotePrefix="0" xfId="0"/>
    <xf numFmtId="0" fontId="5" fillId="3" borderId="0" applyAlignment="1" pivotButton="0" quotePrefix="0" xfId="0">
      <alignment horizontal="center" vertical="center"/>
    </xf>
    <xf numFmtId="167" fontId="5" fillId="0" borderId="1" applyAlignment="1" pivotButton="0" quotePrefix="0" xfId="0">
      <alignment horizontal="center" vertical="center"/>
    </xf>
    <xf numFmtId="21" fontId="5" fillId="0" borderId="1" applyAlignment="1" pivotButton="0" quotePrefix="0" xfId="0">
      <alignment horizontal="center" vertical="center"/>
    </xf>
    <xf numFmtId="0" fontId="62" fillId="0" borderId="1" applyAlignment="1" pivotButton="0" quotePrefix="0" xfId="0">
      <alignment horizontal="center" vertical="center" wrapText="1"/>
    </xf>
    <xf numFmtId="14" fontId="33" fillId="15" borderId="1" applyAlignment="1" pivotButton="0" quotePrefix="0" xfId="0">
      <alignment horizontal="center" vertical="center" wrapText="1"/>
    </xf>
    <xf numFmtId="10" fontId="62" fillId="15" borderId="1" applyAlignment="1" pivotButton="0" quotePrefix="0" xfId="0">
      <alignment horizontal="center" vertical="center" wrapText="1"/>
    </xf>
    <xf numFmtId="0" fontId="49" fillId="14" borderId="1" applyAlignment="1" pivotButton="0" quotePrefix="0" xfId="0">
      <alignment horizontal="center" vertical="center"/>
    </xf>
    <xf numFmtId="10" fontId="49" fillId="14" borderId="1" applyAlignment="1" pivotButton="0" quotePrefix="0" xfId="0">
      <alignment horizontal="center" vertical="center"/>
    </xf>
    <xf numFmtId="10" fontId="62" fillId="0" borderId="1" applyAlignment="1" pivotButton="0" quotePrefix="0" xfId="0">
      <alignment horizontal="center" vertical="center" wrapText="1"/>
    </xf>
    <xf numFmtId="0" fontId="62" fillId="0" borderId="1" applyAlignment="1" pivotButton="0" quotePrefix="0" xfId="0">
      <alignment horizontal="center" vertical="center" wrapText="1" shrinkToFit="1"/>
    </xf>
    <xf numFmtId="0" fontId="62" fillId="15" borderId="1" applyAlignment="1" pivotButton="0" quotePrefix="0" xfId="0">
      <alignment horizontal="center" vertical="center" wrapText="1"/>
    </xf>
    <xf numFmtId="21" fontId="0" fillId="0" borderId="0" applyAlignment="1" pivotButton="0" quotePrefix="0" xfId="0">
      <alignment vertical="center"/>
    </xf>
    <xf numFmtId="21" fontId="0" fillId="0" borderId="0" pivotButton="0" quotePrefix="0" xfId="0"/>
    <xf numFmtId="164" fontId="63" fillId="0" borderId="1" applyAlignment="1" pivotButton="0" quotePrefix="0" xfId="0">
      <alignment horizontal="center" vertical="center" wrapText="1"/>
    </xf>
    <xf numFmtId="0" fontId="64" fillId="0" borderId="1" applyAlignment="1" pivotButton="0" quotePrefix="0" xfId="0">
      <alignment horizontal="center" vertical="center" wrapText="1"/>
    </xf>
    <xf numFmtId="0" fontId="63" fillId="0" borderId="1" applyAlignment="1" pivotButton="0" quotePrefix="0" xfId="0">
      <alignment horizontal="center" vertical="center" wrapText="1"/>
    </xf>
    <xf numFmtId="0" fontId="3" fillId="0" borderId="1" applyAlignment="1" pivotButton="0" quotePrefix="0" xfId="0">
      <alignment vertical="center"/>
    </xf>
    <xf numFmtId="10" fontId="63" fillId="0" borderId="1" applyAlignment="1" pivotButton="0" quotePrefix="0" xfId="0">
      <alignment horizontal="center" vertical="center" wrapText="1"/>
    </xf>
    <xf numFmtId="10" fontId="63" fillId="15" borderId="1" applyAlignment="1" pivotButton="0" quotePrefix="0" xfId="0">
      <alignment horizontal="center" vertical="center" wrapText="1"/>
    </xf>
    <xf numFmtId="10" fontId="3" fillId="0" borderId="1" applyAlignment="1" pivotButton="0" quotePrefix="0" xfId="0">
      <alignment vertical="center"/>
    </xf>
    <xf numFmtId="0" fontId="26" fillId="0" borderId="0" applyAlignment="1" pivotButton="0" quotePrefix="0" xfId="0">
      <alignment vertical="center"/>
    </xf>
    <xf numFmtId="0" fontId="63" fillId="15" borderId="1" applyAlignment="1" pivotButton="0" quotePrefix="0" xfId="0">
      <alignment horizontal="center" vertical="center" wrapText="1"/>
    </xf>
    <xf numFmtId="165" fontId="63" fillId="0" borderId="1" applyAlignment="1" pivotButton="0" quotePrefix="0" xfId="0">
      <alignment horizontal="center" vertical="center" wrapText="1"/>
    </xf>
    <xf numFmtId="164" fontId="5" fillId="8" borderId="1" applyAlignment="1" pivotButton="0" quotePrefix="0" xfId="0">
      <alignment horizontal="center" vertical="center" wrapText="1"/>
    </xf>
    <xf numFmtId="0" fontId="65" fillId="8" borderId="1" applyAlignment="1" pivotButton="0" quotePrefix="0" xfId="0">
      <alignment horizontal="center" vertical="center" wrapText="1"/>
    </xf>
    <xf numFmtId="0" fontId="3" fillId="8" borderId="1" applyAlignment="1" pivotButton="0" quotePrefix="0" xfId="0">
      <alignment horizontal="center" vertical="center" wrapText="1"/>
    </xf>
    <xf numFmtId="10" fontId="63" fillId="8" borderId="1" applyAlignment="1" pivotButton="0" quotePrefix="0" xfId="0">
      <alignment horizontal="center" vertical="center" wrapText="1"/>
    </xf>
    <xf numFmtId="10" fontId="3" fillId="8" borderId="1" applyAlignment="1" pivotButton="0" quotePrefix="0" xfId="0">
      <alignment horizontal="center" vertical="center"/>
    </xf>
    <xf numFmtId="0" fontId="64" fillId="8" borderId="1" applyAlignment="1" pivotButton="0" quotePrefix="0" xfId="0">
      <alignment horizontal="center" vertical="center" wrapText="1"/>
    </xf>
    <xf numFmtId="165" fontId="64" fillId="8" borderId="1" applyAlignment="1" pivotButton="0" quotePrefix="0" xfId="0">
      <alignment horizontal="center" vertical="center" wrapText="1"/>
    </xf>
    <xf numFmtId="0" fontId="63" fillId="8" borderId="1" applyAlignment="1" pivotButton="0" quotePrefix="0" xfId="0">
      <alignment horizontal="center" vertical="center" wrapText="1"/>
    </xf>
    <xf numFmtId="0" fontId="64" fillId="8" borderId="1" applyAlignment="1" pivotButton="0" quotePrefix="0" xfId="0">
      <alignment horizontal="center" vertical="center" wrapText="1" shrinkToFit="1"/>
    </xf>
    <xf numFmtId="165" fontId="63" fillId="8" borderId="1" applyAlignment="1" pivotButton="0" quotePrefix="0" xfId="0">
      <alignment horizontal="center" vertical="center" wrapText="1"/>
    </xf>
    <xf numFmtId="0" fontId="3" fillId="8" borderId="0" applyAlignment="1" pivotButton="0" quotePrefix="0" xfId="0">
      <alignment horizontal="center" vertical="center"/>
    </xf>
    <xf numFmtId="10" fontId="64" fillId="8" borderId="1" applyAlignment="1" pivotButton="0" quotePrefix="0" xfId="0">
      <alignment horizontal="center" vertical="center" wrapText="1"/>
    </xf>
    <xf numFmtId="0" fontId="64" fillId="15" borderId="6" applyAlignment="1" pivotButton="0" quotePrefix="0" xfId="0">
      <alignment horizontal="center" vertical="center" wrapText="1"/>
    </xf>
    <xf numFmtId="0" fontId="63" fillId="0" borderId="7" applyAlignment="1" pivotButton="0" quotePrefix="0" xfId="0">
      <alignment horizontal="center" vertical="center" wrapText="1"/>
    </xf>
    <xf numFmtId="0" fontId="64" fillId="0" borderId="7" applyAlignment="1" pivotButton="0" quotePrefix="0" xfId="0">
      <alignment horizontal="center" vertical="center" wrapText="1"/>
    </xf>
    <xf numFmtId="10" fontId="63" fillId="15" borderId="8" applyAlignment="1" pivotButton="0" quotePrefix="0" xfId="0">
      <alignment horizontal="center" vertical="center" wrapText="1"/>
    </xf>
    <xf numFmtId="10" fontId="64" fillId="0" borderId="1" applyAlignment="1" pivotButton="0" quotePrefix="0" xfId="0">
      <alignment horizontal="center" vertical="center" wrapText="1"/>
    </xf>
    <xf numFmtId="0" fontId="9" fillId="8" borderId="1" applyAlignment="1" pivotButton="0" quotePrefix="0" xfId="0">
      <alignment horizontal="center" vertical="center"/>
    </xf>
    <xf numFmtId="0" fontId="66"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3" fillId="0" borderId="1" applyAlignment="1" pivotButton="0" quotePrefix="0" xfId="0">
      <alignment horizontal="center" vertical="center" wrapText="1"/>
    </xf>
    <xf numFmtId="14" fontId="63" fillId="0" borderId="1" applyAlignment="1" pivotButton="0" quotePrefix="0" xfId="0">
      <alignment horizontal="center" vertical="center" wrapText="1"/>
    </xf>
    <xf numFmtId="14" fontId="63" fillId="15" borderId="1" applyAlignment="1" pivotButton="0" quotePrefix="0" xfId="0">
      <alignment horizontal="center" vertical="center" wrapText="1"/>
    </xf>
    <xf numFmtId="0" fontId="63" fillId="0" borderId="1" applyAlignment="1" pivotButton="0" quotePrefix="0" xfId="0">
      <alignment horizontal="center" vertical="center" wrapText="1" shrinkToFit="1"/>
    </xf>
    <xf numFmtId="165" fontId="63" fillId="15" borderId="1" applyAlignment="1" pivotButton="0" quotePrefix="0" xfId="0">
      <alignment horizontal="center" vertical="center" wrapText="1"/>
    </xf>
    <xf numFmtId="0" fontId="63" fillId="15" borderId="9" applyAlignment="1" pivotButton="0" quotePrefix="0" xfId="0">
      <alignment horizontal="center" vertical="center" wrapText="1"/>
    </xf>
    <xf numFmtId="0" fontId="63" fillId="0" borderId="9" applyAlignment="1" pivotButton="0" quotePrefix="0" xfId="0">
      <alignment horizontal="center" vertical="center" wrapText="1"/>
    </xf>
    <xf numFmtId="10" fontId="63" fillId="15" borderId="9" applyAlignment="1" pivotButton="0" quotePrefix="0" xfId="0">
      <alignment horizontal="center" vertical="center" wrapText="1"/>
    </xf>
    <xf numFmtId="164" fontId="63" fillId="5" borderId="1" applyAlignment="1" pivotButton="0" quotePrefix="0" xfId="0">
      <alignment horizontal="center" vertical="center" wrapText="1"/>
    </xf>
    <xf numFmtId="0" fontId="64" fillId="5" borderId="1" applyAlignment="1" pivotButton="0" quotePrefix="0" xfId="0">
      <alignment horizontal="center" vertical="center" wrapText="1"/>
    </xf>
    <xf numFmtId="0" fontId="63" fillId="5" borderId="1" applyAlignment="1" pivotButton="0" quotePrefix="0" xfId="0">
      <alignment horizontal="center" vertical="center" wrapText="1"/>
    </xf>
    <xf numFmtId="0" fontId="3" fillId="5" borderId="1" applyAlignment="1" pivotButton="0" quotePrefix="0" xfId="0">
      <alignment vertical="center"/>
    </xf>
    <xf numFmtId="10" fontId="63" fillId="5" borderId="1" applyAlignment="1" pivotButton="0" quotePrefix="0" xfId="0">
      <alignment horizontal="center" vertical="center" wrapText="1"/>
    </xf>
    <xf numFmtId="10" fontId="3" fillId="5" borderId="1" applyAlignment="1" pivotButton="0" quotePrefix="0" xfId="0">
      <alignment vertical="center"/>
    </xf>
    <xf numFmtId="165" fontId="63" fillId="5" borderId="1" applyAlignment="1" pivotButton="0" quotePrefix="0" xfId="0">
      <alignment horizontal="center" vertical="center" wrapText="1"/>
    </xf>
    <xf numFmtId="4" fontId="63" fillId="0" borderId="1" applyAlignment="1" pivotButton="0" quotePrefix="0" xfId="0">
      <alignment horizontal="center" vertical="center" wrapText="1"/>
    </xf>
    <xf numFmtId="164" fontId="63" fillId="12" borderId="1" applyAlignment="1" pivotButton="0" quotePrefix="0" xfId="0">
      <alignment horizontal="center" vertical="center" wrapText="1"/>
    </xf>
    <xf numFmtId="0" fontId="64" fillId="12" borderId="1" applyAlignment="1" pivotButton="0" quotePrefix="0" xfId="0">
      <alignment horizontal="center" vertical="center" wrapText="1"/>
    </xf>
    <xf numFmtId="0" fontId="63" fillId="12" borderId="1" applyAlignment="1" pivotButton="0" quotePrefix="0" xfId="0">
      <alignment horizontal="center" vertical="center" wrapText="1"/>
    </xf>
    <xf numFmtId="0" fontId="3" fillId="12" borderId="1" applyAlignment="1" pivotButton="0" quotePrefix="0" xfId="0">
      <alignment vertical="center"/>
    </xf>
    <xf numFmtId="10" fontId="63" fillId="12" borderId="1" applyAlignment="1" pivotButton="0" quotePrefix="0" xfId="0">
      <alignment horizontal="center" vertical="center" wrapText="1"/>
    </xf>
    <xf numFmtId="10" fontId="3" fillId="12" borderId="1" applyAlignment="1" pivotButton="0" quotePrefix="0" xfId="0">
      <alignment vertical="center"/>
    </xf>
    <xf numFmtId="165" fontId="63" fillId="12" borderId="1" applyAlignment="1" pivotButton="0" quotePrefix="0" xfId="0">
      <alignment horizontal="center" vertical="center" wrapText="1"/>
    </xf>
    <xf numFmtId="164" fontId="63" fillId="3" borderId="1" applyAlignment="1" pivotButton="0" quotePrefix="0" xfId="0">
      <alignment horizontal="center" vertical="center" wrapText="1"/>
    </xf>
    <xf numFmtId="0" fontId="64" fillId="3" borderId="1" applyAlignment="1" pivotButton="0" quotePrefix="0" xfId="0">
      <alignment horizontal="center" vertical="center" wrapText="1"/>
    </xf>
    <xf numFmtId="0" fontId="63" fillId="3" borderId="1" applyAlignment="1" pivotButton="0" quotePrefix="0" xfId="0">
      <alignment horizontal="center" vertical="center" wrapText="1"/>
    </xf>
    <xf numFmtId="0" fontId="3" fillId="3" borderId="1" applyAlignment="1" pivotButton="0" quotePrefix="0" xfId="0">
      <alignment vertical="center"/>
    </xf>
    <xf numFmtId="10" fontId="63" fillId="3" borderId="1" applyAlignment="1" pivotButton="0" quotePrefix="0" xfId="0">
      <alignment horizontal="center" vertical="center" wrapText="1"/>
    </xf>
    <xf numFmtId="10" fontId="3" fillId="3" borderId="1" applyAlignment="1" pivotButton="0" quotePrefix="0" xfId="0">
      <alignment vertical="center"/>
    </xf>
    <xf numFmtId="0" fontId="26" fillId="3" borderId="0" applyAlignment="1" pivotButton="0" quotePrefix="0" xfId="0">
      <alignment vertical="center"/>
    </xf>
    <xf numFmtId="165" fontId="63" fillId="3" borderId="1" applyAlignment="1" pivotButton="0" quotePrefix="0" xfId="0">
      <alignment horizontal="center" vertical="center" wrapText="1"/>
    </xf>
    <xf numFmtId="164" fontId="52" fillId="5" borderId="1" applyAlignment="1" pivotButton="0" quotePrefix="0" xfId="0">
      <alignment horizontal="center" vertical="center"/>
    </xf>
    <xf numFmtId="164" fontId="49" fillId="5" borderId="1" applyAlignment="1" pivotButton="0" quotePrefix="0" xfId="0">
      <alignment horizontal="center" vertical="center" wrapText="1"/>
    </xf>
    <xf numFmtId="0" fontId="67" fillId="5" borderId="1" applyAlignment="1" pivotButton="0" quotePrefix="0" xfId="0">
      <alignment horizontal="center" vertical="center" wrapText="1"/>
    </xf>
    <xf numFmtId="10" fontId="49" fillId="5" borderId="1" applyAlignment="1" pivotButton="0" quotePrefix="0" xfId="0">
      <alignment horizontal="center" vertical="center" wrapText="1"/>
    </xf>
    <xf numFmtId="10" fontId="68" fillId="5" borderId="1" applyAlignment="1" pivotButton="0" quotePrefix="0" xfId="0">
      <alignment vertical="center"/>
    </xf>
    <xf numFmtId="0" fontId="49" fillId="5" borderId="1" applyAlignment="1" pivotButton="0" quotePrefix="0" xfId="0">
      <alignment horizontal="center" vertical="center" wrapText="1"/>
    </xf>
    <xf numFmtId="0" fontId="68" fillId="5" borderId="1" applyAlignment="1" pivotButton="0" quotePrefix="0" xfId="0">
      <alignment vertical="center"/>
    </xf>
    <xf numFmtId="165" fontId="49" fillId="5" borderId="1" applyAlignment="1" pivotButton="0" quotePrefix="0" xfId="0">
      <alignment horizontal="center" vertical="center" wrapText="1"/>
    </xf>
    <xf numFmtId="164" fontId="64" fillId="0" borderId="1" applyAlignment="1" pivotButton="0" quotePrefix="0" xfId="0">
      <alignment horizontal="center" vertical="center" wrapText="1"/>
    </xf>
    <xf numFmtId="165" fontId="64" fillId="0" borderId="1" applyAlignment="1" pivotButton="0" quotePrefix="0" xfId="0">
      <alignment horizontal="center" vertical="center" wrapText="1"/>
    </xf>
    <xf numFmtId="0" fontId="63" fillId="0" borderId="1" applyAlignment="1" pivotButton="0" quotePrefix="0" xfId="0">
      <alignment horizontal="right" vertical="center" wrapText="1"/>
    </xf>
    <xf numFmtId="10" fontId="63" fillId="15" borderId="1" applyAlignment="1" pivotButton="0" quotePrefix="0" xfId="0">
      <alignment horizontal="right" vertical="center" wrapText="1"/>
    </xf>
    <xf numFmtId="4" fontId="63" fillId="15" borderId="1" applyAlignment="1" pivotButton="0" quotePrefix="0" xfId="0">
      <alignment horizontal="right" vertical="center" wrapText="1"/>
    </xf>
    <xf numFmtId="0" fontId="63" fillId="15" borderId="1" applyAlignment="1" pivotButton="0" quotePrefix="0" xfId="0">
      <alignment horizontal="right" vertical="center" wrapText="1"/>
    </xf>
    <xf numFmtId="0" fontId="69" fillId="0" borderId="0" applyAlignment="1" pivotButton="0" quotePrefix="0" xfId="0">
      <alignment horizontal="center" vertical="center"/>
    </xf>
    <xf numFmtId="4" fontId="70" fillId="0" borderId="0" applyAlignment="1" pivotButton="0" quotePrefix="0" xfId="0">
      <alignment horizontal="center" vertical="center"/>
    </xf>
    <xf numFmtId="0" fontId="34" fillId="0" borderId="1" applyAlignment="1" pivotButton="0" quotePrefix="0" xfId="0">
      <alignment horizontal="right" vertical="center"/>
    </xf>
    <xf numFmtId="0" fontId="49" fillId="14" borderId="1" applyAlignment="1" pivotButton="0" quotePrefix="0" xfId="0">
      <alignment horizontal="right" vertical="center"/>
    </xf>
    <xf numFmtId="10" fontId="49" fillId="14" borderId="1" applyAlignment="1" pivotButton="0" quotePrefix="0" xfId="0">
      <alignment horizontal="right" vertical="center"/>
    </xf>
    <xf numFmtId="0" fontId="49" fillId="15" borderId="1" applyAlignment="1" pivotButton="0" quotePrefix="0" xfId="0">
      <alignment horizontal="right" vertical="center"/>
    </xf>
    <xf numFmtId="10" fontId="49" fillId="15" borderId="1" applyAlignment="1" pivotButton="0" quotePrefix="0" xfId="0">
      <alignment horizontal="right" vertical="center"/>
    </xf>
    <xf numFmtId="164" fontId="3" fillId="0" borderId="1" applyAlignment="1" pivotButton="0" quotePrefix="0" xfId="0">
      <alignment vertical="center"/>
    </xf>
    <xf numFmtId="0" fontId="3" fillId="0" borderId="1" applyAlignment="1" pivotButton="0" quotePrefix="0" xfId="0">
      <alignment vertical="center" wrapText="1"/>
    </xf>
    <xf numFmtId="14" fontId="3" fillId="0" borderId="1" applyAlignment="1" pivotButton="0" quotePrefix="0" xfId="0">
      <alignment vertical="center"/>
    </xf>
    <xf numFmtId="0" fontId="26" fillId="0" borderId="1" applyAlignment="1" pivotButton="0" quotePrefix="0" xfId="0">
      <alignment vertical="center"/>
    </xf>
    <xf numFmtId="0" fontId="63" fillId="15" borderId="0" applyAlignment="1" pivotButton="0" quotePrefix="0" xfId="0">
      <alignment horizontal="center" vertical="center" wrapText="1"/>
    </xf>
    <xf numFmtId="0" fontId="63" fillId="15" borderId="0" applyAlignment="1" pivotButton="0" quotePrefix="0" xfId="0">
      <alignment horizontal="right" vertical="center" wrapText="1"/>
    </xf>
    <xf numFmtId="4" fontId="63" fillId="15" borderId="0" applyAlignment="1" pivotButton="0" quotePrefix="0" xfId="0">
      <alignment horizontal="right" vertical="center" wrapText="1"/>
    </xf>
    <xf numFmtId="10" fontId="63" fillId="15" borderId="0" applyAlignment="1" pivotButton="0" quotePrefix="0" xfId="0">
      <alignment horizontal="right" vertical="center" wrapText="1"/>
    </xf>
    <xf numFmtId="0" fontId="3" fillId="0" borderId="0" applyAlignment="1" pivotButton="0" quotePrefix="0" xfId="0">
      <alignment vertical="center"/>
    </xf>
    <xf numFmtId="0" fontId="63" fillId="15" borderId="9" applyAlignment="1" pivotButton="0" quotePrefix="0" xfId="0">
      <alignment horizontal="right" vertical="center" wrapText="1"/>
    </xf>
    <xf numFmtId="4" fontId="63" fillId="15" borderId="9" applyAlignment="1" pivotButton="0" quotePrefix="0" xfId="0">
      <alignment horizontal="right" vertical="center" wrapText="1"/>
    </xf>
    <xf numFmtId="10" fontId="63" fillId="15" borderId="9" applyAlignment="1" pivotButton="0" quotePrefix="0" xfId="0">
      <alignment horizontal="right" vertical="center" wrapText="1"/>
    </xf>
    <xf numFmtId="164" fontId="3" fillId="5" borderId="1" applyAlignment="1" pivotButton="0" quotePrefix="0" xfId="0">
      <alignment vertical="center"/>
    </xf>
    <xf numFmtId="0" fontId="34" fillId="5" borderId="1" applyAlignment="1" pivotButton="0" quotePrefix="0" xfId="0">
      <alignment horizontal="right" vertical="center"/>
    </xf>
    <xf numFmtId="10" fontId="49" fillId="5" borderId="1" applyAlignment="1" pivotButton="0" quotePrefix="0" xfId="0">
      <alignment horizontal="right" vertical="center"/>
    </xf>
    <xf numFmtId="0" fontId="26" fillId="5" borderId="1" applyAlignment="1" pivotButton="0" quotePrefix="0" xfId="0">
      <alignment vertical="center"/>
    </xf>
    <xf numFmtId="14" fontId="3" fillId="5" borderId="1" applyAlignment="1" pivotButton="0" quotePrefix="0" xfId="0">
      <alignment vertical="center"/>
    </xf>
    <xf numFmtId="164" fontId="5" fillId="17" borderId="1" applyAlignment="1" pivotButton="0" quotePrefix="0" xfId="0">
      <alignment horizontal="center" vertical="center"/>
    </xf>
    <xf numFmtId="164" fontId="3" fillId="17" borderId="1" applyAlignment="1" pivotButton="0" quotePrefix="0" xfId="0">
      <alignment vertical="center"/>
    </xf>
    <xf numFmtId="0" fontId="3" fillId="17" borderId="1" applyAlignment="1" pivotButton="0" quotePrefix="0" xfId="0">
      <alignment vertical="center"/>
    </xf>
    <xf numFmtId="0" fontId="34" fillId="17" borderId="1" applyAlignment="1" pivotButton="0" quotePrefix="0" xfId="0">
      <alignment horizontal="right" vertical="center"/>
    </xf>
    <xf numFmtId="10" fontId="49" fillId="17" borderId="1" applyAlignment="1" pivotButton="0" quotePrefix="0" xfId="0">
      <alignment horizontal="right" vertical="center"/>
    </xf>
    <xf numFmtId="10" fontId="3" fillId="17" borderId="1" applyAlignment="1" pivotButton="0" quotePrefix="0" xfId="0">
      <alignment vertical="center"/>
    </xf>
    <xf numFmtId="0" fontId="26" fillId="17" borderId="1" applyAlignment="1" pivotButton="0" quotePrefix="0" xfId="0">
      <alignment vertical="center"/>
    </xf>
    <xf numFmtId="14" fontId="3" fillId="17" borderId="1" applyAlignment="1" pivotButton="0" quotePrefix="0" xfId="0">
      <alignment vertical="center"/>
    </xf>
    <xf numFmtId="0" fontId="34" fillId="17" borderId="1" applyAlignment="1" pivotButton="0" quotePrefix="0" xfId="0">
      <alignment horizontal="center" vertical="center"/>
    </xf>
    <xf numFmtId="164" fontId="26" fillId="0" borderId="1" applyAlignment="1" pivotButton="0" quotePrefix="0" xfId="0">
      <alignment vertical="center"/>
    </xf>
    <xf numFmtId="10" fontId="26" fillId="0" borderId="1" applyAlignment="1" pivotButton="0" quotePrefix="0" xfId="0">
      <alignment vertical="center"/>
    </xf>
    <xf numFmtId="14" fontId="26" fillId="0" borderId="1" applyAlignment="1" pivotButton="0" quotePrefix="0" xfId="0">
      <alignment vertical="center"/>
    </xf>
    <xf numFmtId="164" fontId="5" fillId="0" borderId="1" applyAlignment="1" pivotButton="0" quotePrefix="0" xfId="0">
      <alignment horizontal="center" vertical="center"/>
    </xf>
    <xf numFmtId="164" fontId="3" fillId="0" borderId="1" applyAlignment="1" pivotButton="0" quotePrefix="0" xfId="0">
      <alignment horizontal="center" vertical="center"/>
    </xf>
    <xf numFmtId="165" fontId="3" fillId="0" borderId="1" applyAlignment="1" pivotButton="0" quotePrefix="0" xfId="0">
      <alignment horizontal="center" vertical="center"/>
    </xf>
    <xf numFmtId="165" fontId="8" fillId="0" borderId="1" applyAlignment="1" pivotButton="0" quotePrefix="0" xfId="0">
      <alignment horizontal="center" vertical="center"/>
    </xf>
    <xf numFmtId="164" fontId="6" fillId="0" borderId="1" applyAlignment="1" pivotButton="0" quotePrefix="0" xfId="0">
      <alignment horizontal="center" vertical="center" wrapText="1" shrinkToFit="1"/>
    </xf>
    <xf numFmtId="164" fontId="1" fillId="0" borderId="1" applyAlignment="1" pivotButton="0" quotePrefix="0" xfId="0">
      <alignment horizontal="center" vertical="center" wrapText="1" shrinkToFit="1"/>
    </xf>
    <xf numFmtId="165" fontId="2" fillId="9" borderId="1" applyAlignment="1" pivotButton="0" quotePrefix="0" xfId="0">
      <alignment horizontal="center" vertical="center" wrapText="1" shrinkToFit="1"/>
    </xf>
    <xf numFmtId="165" fontId="10" fillId="0" borderId="1" applyAlignment="1" pivotButton="0" quotePrefix="0" xfId="0">
      <alignment horizontal="center" vertical="center" wrapText="1" shrinkToFit="1"/>
    </xf>
    <xf numFmtId="165" fontId="1" fillId="0" borderId="1" applyAlignment="1" pivotButton="0" quotePrefix="0" xfId="0">
      <alignment horizontal="center" vertical="center" wrapText="1" shrinkToFit="1"/>
    </xf>
    <xf numFmtId="164" fontId="22" fillId="0" borderId="1" applyAlignment="1" pivotButton="0" quotePrefix="0" xfId="0">
      <alignment horizontal="center" vertical="center" wrapText="1" shrinkToFit="1"/>
    </xf>
    <xf numFmtId="166" fontId="11" fillId="0" borderId="1" applyAlignment="1" pivotButton="0" quotePrefix="0" xfId="0">
      <alignment horizontal="center" vertical="center" wrapText="1" shrinkToFit="1"/>
    </xf>
    <xf numFmtId="164" fontId="2" fillId="0" borderId="1" applyAlignment="1" pivotButton="0" quotePrefix="0" xfId="0">
      <alignment horizontal="center" vertical="center" wrapText="1" shrinkToFit="1"/>
    </xf>
    <xf numFmtId="165" fontId="2" fillId="0" borderId="1" applyAlignment="1" pivotButton="0" quotePrefix="0" xfId="0">
      <alignment horizontal="center" vertical="center" wrapText="1" shrinkToFit="1"/>
    </xf>
    <xf numFmtId="164" fontId="5" fillId="2" borderId="1" applyAlignment="1" pivotButton="0" quotePrefix="0" xfId="0">
      <alignment horizontal="center" vertical="center" wrapText="1"/>
    </xf>
    <xf numFmtId="165" fontId="3" fillId="2" borderId="1" applyAlignment="1" pivotButton="0" quotePrefix="0" xfId="0">
      <alignment horizontal="center" vertical="center"/>
    </xf>
    <xf numFmtId="165" fontId="8" fillId="2" borderId="1" applyAlignment="1" pivotButton="0" quotePrefix="0" xfId="0">
      <alignment horizontal="center" vertical="center"/>
    </xf>
    <xf numFmtId="164" fontId="5" fillId="0" borderId="1" applyAlignment="1" pivotButton="0" quotePrefix="0" xfId="0">
      <alignment horizontal="center" vertical="center" wrapText="1"/>
    </xf>
    <xf numFmtId="164" fontId="5" fillId="3" borderId="1" applyAlignment="1" pivotButton="0" quotePrefix="0" xfId="0">
      <alignment horizontal="center" vertical="center" wrapText="1"/>
    </xf>
    <xf numFmtId="164" fontId="3" fillId="2" borderId="1" applyAlignment="1" pivotButton="0" quotePrefix="0" xfId="0">
      <alignment horizontal="center" vertical="center"/>
    </xf>
    <xf numFmtId="165" fontId="3" fillId="3" borderId="1" applyAlignment="1" pivotButton="0" quotePrefix="0" xfId="0">
      <alignment horizontal="center" vertical="center"/>
    </xf>
    <xf numFmtId="165" fontId="8" fillId="3" borderId="1" applyAlignment="1" pivotButton="0" quotePrefix="0" xfId="0">
      <alignment horizontal="center" vertical="center"/>
    </xf>
    <xf numFmtId="164" fontId="5" fillId="3" borderId="1" applyAlignment="1" pivotButton="0" quotePrefix="0" xfId="0">
      <alignment horizontal="center" vertical="center"/>
    </xf>
    <xf numFmtId="164" fontId="27" fillId="12" borderId="1" applyAlignment="1" pivotButton="0" quotePrefix="0" xfId="0">
      <alignment horizontal="center" vertical="center"/>
    </xf>
    <xf numFmtId="164" fontId="5" fillId="12" borderId="1" applyAlignment="1" pivotButton="0" quotePrefix="0" xfId="0">
      <alignment horizontal="center" vertical="center"/>
    </xf>
    <xf numFmtId="164" fontId="3" fillId="12" borderId="1" applyAlignment="1" pivotButton="0" quotePrefix="0" xfId="0">
      <alignment horizontal="center" vertical="center"/>
    </xf>
    <xf numFmtId="165" fontId="3" fillId="12" borderId="1" applyAlignment="1" pivotButton="0" quotePrefix="0" xfId="0">
      <alignment horizontal="center" vertical="center"/>
    </xf>
    <xf numFmtId="165" fontId="8" fillId="12" borderId="1" applyAlignment="1" pivotButton="0" quotePrefix="0" xfId="0">
      <alignment horizontal="center" vertical="center"/>
    </xf>
    <xf numFmtId="165" fontId="28" fillId="0" borderId="1" applyAlignment="1" pivotButton="0" quotePrefix="0" xfId="0">
      <alignment horizontal="center" vertical="center"/>
    </xf>
    <xf numFmtId="0" fontId="0" fillId="0" borderId="0" pivotButton="0" quotePrefix="0" xfId="0"/>
    <xf numFmtId="164" fontId="3" fillId="0" borderId="4" applyAlignment="1" pivotButton="0" quotePrefix="0" xfId="0">
      <alignment horizontal="center"/>
    </xf>
    <xf numFmtId="165" fontId="31" fillId="0" borderId="1" applyAlignment="1" pivotButton="0" quotePrefix="0" xfId="0">
      <alignment horizontal="center" vertical="center"/>
    </xf>
    <xf numFmtId="165" fontId="31" fillId="13" borderId="1" applyAlignment="1" pivotButton="0" quotePrefix="0" xfId="0">
      <alignment horizontal="center" vertical="center"/>
    </xf>
    <xf numFmtId="164" fontId="5" fillId="4" borderId="1" applyAlignment="1" pivotButton="0" quotePrefix="0" xfId="0">
      <alignment horizontal="center" vertical="center"/>
    </xf>
    <xf numFmtId="164" fontId="5" fillId="4" borderId="4" applyAlignment="1" pivotButton="0" quotePrefix="0" xfId="0">
      <alignment horizontal="center" vertical="center"/>
    </xf>
    <xf numFmtId="164" fontId="5" fillId="4" borderId="1" applyAlignment="1" pivotButton="0" quotePrefix="0" xfId="0">
      <alignment horizontal="center" vertical="center" wrapText="1"/>
    </xf>
    <xf numFmtId="165" fontId="33" fillId="4" borderId="1" applyAlignment="1" pivotButton="0" quotePrefix="0" xfId="0">
      <alignment horizontal="center" vertical="center"/>
    </xf>
    <xf numFmtId="165" fontId="5" fillId="4" borderId="1" applyAlignment="1" pivotButton="0" quotePrefix="0" xfId="0">
      <alignment horizontal="center" vertical="center"/>
    </xf>
    <xf numFmtId="164" fontId="6" fillId="5" borderId="1" applyAlignment="1" pivotButton="0" quotePrefix="0" xfId="0">
      <alignment horizontal="center" vertical="center"/>
    </xf>
    <xf numFmtId="165" fontId="35" fillId="5" borderId="1" applyAlignment="1" pivotButton="0" quotePrefix="0" xfId="0">
      <alignment horizontal="center" vertical="center"/>
    </xf>
    <xf numFmtId="165" fontId="36" fillId="5" borderId="1" applyAlignment="1" pivotButton="0" quotePrefix="0" xfId="0">
      <alignment horizontal="center" vertical="center"/>
    </xf>
    <xf numFmtId="165" fontId="5" fillId="0" borderId="1" applyAlignment="1" pivotButton="0" quotePrefix="0" xfId="0">
      <alignment horizontal="center" vertical="center"/>
    </xf>
    <xf numFmtId="165" fontId="33" fillId="0" borderId="1" applyAlignment="1" pivotButton="0" quotePrefix="0" xfId="0">
      <alignment horizontal="center" vertical="center"/>
    </xf>
    <xf numFmtId="165" fontId="33" fillId="3" borderId="1" applyAlignment="1" pivotButton="0" quotePrefix="0" xfId="0">
      <alignment horizontal="center" vertical="center"/>
    </xf>
    <xf numFmtId="164" fontId="5" fillId="5" borderId="1" applyAlignment="1" pivotButton="0" quotePrefix="0" xfId="0">
      <alignment horizontal="center" vertical="center"/>
    </xf>
    <xf numFmtId="164" fontId="5" fillId="5" borderId="1" applyAlignment="1" pivotButton="0" quotePrefix="0" xfId="0">
      <alignment horizontal="center" vertical="center" wrapText="1"/>
    </xf>
    <xf numFmtId="164" fontId="7" fillId="5" borderId="1" applyAlignment="1" pivotButton="0" quotePrefix="0" xfId="0">
      <alignment horizontal="center" vertical="center"/>
    </xf>
    <xf numFmtId="165" fontId="33" fillId="5" borderId="1" applyAlignment="1" pivotButton="0" quotePrefix="0" xfId="0">
      <alignment horizontal="center" vertical="center"/>
    </xf>
    <xf numFmtId="164" fontId="8" fillId="5" borderId="1" applyAlignment="1" pivotButton="0" quotePrefix="0" xfId="0">
      <alignment horizontal="center" vertical="center"/>
    </xf>
    <xf numFmtId="165" fontId="8" fillId="5" borderId="1" applyAlignment="1" pivotButton="0" quotePrefix="0" xfId="0">
      <alignment horizontal="center" vertical="center"/>
    </xf>
    <xf numFmtId="164" fontId="8" fillId="0" borderId="1" applyAlignment="1" pivotButton="0" quotePrefix="0" xfId="0">
      <alignment horizontal="center" vertical="center"/>
    </xf>
    <xf numFmtId="164" fontId="8" fillId="3" borderId="1" applyAlignment="1" pivotButton="0" quotePrefix="0" xfId="0">
      <alignment horizontal="center" vertical="center"/>
    </xf>
    <xf numFmtId="164" fontId="5" fillId="6" borderId="1" applyAlignment="1" pivotButton="0" quotePrefix="0" xfId="0">
      <alignment horizontal="center" vertical="center" wrapText="1"/>
    </xf>
    <xf numFmtId="164" fontId="7" fillId="0" borderId="1" applyAlignment="1" pivotButton="0" quotePrefix="0" xfId="0">
      <alignment horizontal="center" vertical="center" wrapText="1"/>
    </xf>
    <xf numFmtId="165" fontId="7" fillId="0" borderId="1" applyAlignment="1" pivotButton="0" quotePrefix="0" xfId="0">
      <alignment horizontal="center" vertical="center"/>
    </xf>
    <xf numFmtId="164" fontId="7" fillId="5" borderId="1" applyAlignment="1" pivotButton="0" quotePrefix="0" xfId="0">
      <alignment horizontal="center" vertical="center" wrapText="1"/>
    </xf>
    <xf numFmtId="165" fontId="7" fillId="5" borderId="1" applyAlignment="1" pivotButton="0" quotePrefix="0" xfId="0">
      <alignment horizontal="center" vertical="center"/>
    </xf>
    <xf numFmtId="164" fontId="31" fillId="0" borderId="1" applyAlignment="1" pivotButton="0" quotePrefix="0" xfId="0">
      <alignment horizontal="center" vertical="center"/>
    </xf>
    <xf numFmtId="165" fontId="33" fillId="0" borderId="0" applyAlignment="1" pivotButton="0" quotePrefix="0" xfId="0">
      <alignment horizontal="center" vertical="center"/>
    </xf>
    <xf numFmtId="164" fontId="34" fillId="3" borderId="1" applyAlignment="1" pivotButton="0" quotePrefix="0" xfId="0">
      <alignment horizontal="center" vertical="center"/>
    </xf>
    <xf numFmtId="165" fontId="31" fillId="3" borderId="1" applyAlignment="1" pivotButton="0" quotePrefix="0" xfId="0">
      <alignment horizontal="center" vertical="center"/>
    </xf>
    <xf numFmtId="165" fontId="33" fillId="6" borderId="1" applyAlignment="1" pivotButton="0" quotePrefix="0" xfId="0">
      <alignment horizontal="center" vertical="center"/>
    </xf>
    <xf numFmtId="165" fontId="50" fillId="6" borderId="1" applyAlignment="1" pivotButton="0" quotePrefix="0" xfId="0">
      <alignment horizontal="center" vertical="center"/>
    </xf>
    <xf numFmtId="164" fontId="34" fillId="0" borderId="1" applyAlignment="1" pivotButton="0" quotePrefix="0" xfId="0">
      <alignment horizontal="center" vertical="center"/>
    </xf>
    <xf numFmtId="165" fontId="50" fillId="0" borderId="1" applyAlignment="1" pivotButton="0" quotePrefix="0" xfId="0">
      <alignment horizontal="center" vertical="center"/>
    </xf>
    <xf numFmtId="165" fontId="53" fillId="0" borderId="1" applyAlignment="1" pivotButton="0" quotePrefix="0" xfId="0">
      <alignment horizontal="center" vertical="center"/>
    </xf>
    <xf numFmtId="165" fontId="55" fillId="0" borderId="1" applyAlignment="1" pivotButton="0" quotePrefix="0" xfId="0">
      <alignment horizontal="center" vertical="center"/>
    </xf>
    <xf numFmtId="165" fontId="34" fillId="0" borderId="1" applyAlignment="1" pivotButton="0" quotePrefix="0" xfId="0">
      <alignment horizontal="center" vertical="center"/>
    </xf>
    <xf numFmtId="164" fontId="34" fillId="5" borderId="1" applyAlignment="1" pivotButton="0" quotePrefix="0" xfId="0">
      <alignment horizontal="center" vertical="center"/>
    </xf>
    <xf numFmtId="165" fontId="34" fillId="5" borderId="1" applyAlignment="1" pivotButton="0" quotePrefix="0" xfId="0">
      <alignment horizontal="center" vertical="center"/>
    </xf>
    <xf numFmtId="165" fontId="50" fillId="5" borderId="1" applyAlignment="1" pivotButton="0" quotePrefix="0" xfId="0">
      <alignment horizontal="center" vertical="center"/>
    </xf>
    <xf numFmtId="165" fontId="60" fillId="5" borderId="1" applyAlignment="1" pivotButton="0" quotePrefix="0" xfId="0">
      <alignment horizontal="center" vertical="center"/>
    </xf>
    <xf numFmtId="164" fontId="5" fillId="11" borderId="1" applyAlignment="1" pivotButton="0" quotePrefix="0" xfId="0">
      <alignment horizontal="center" vertical="center"/>
    </xf>
    <xf numFmtId="164" fontId="34" fillId="11" borderId="1" applyAlignment="1" pivotButton="0" quotePrefix="0" xfId="0">
      <alignment horizontal="center" vertical="center"/>
    </xf>
    <xf numFmtId="165" fontId="34" fillId="11" borderId="1" applyAlignment="1" pivotButton="0" quotePrefix="0" xfId="0">
      <alignment horizontal="center" vertical="center"/>
    </xf>
    <xf numFmtId="164" fontId="5" fillId="7" borderId="1" applyAlignment="1" pivotButton="0" quotePrefix="0" xfId="0">
      <alignment horizontal="center" vertical="center" wrapText="1"/>
    </xf>
    <xf numFmtId="165" fontId="50" fillId="7" borderId="1" applyAlignment="1" pivotButton="0" quotePrefix="0" xfId="0">
      <alignment horizontal="center" vertical="center"/>
    </xf>
    <xf numFmtId="165" fontId="33" fillId="15" borderId="1" applyAlignment="1" pivotButton="0" quotePrefix="0" xfId="0">
      <alignment horizontal="center" vertical="center" wrapText="1"/>
    </xf>
    <xf numFmtId="165" fontId="50" fillId="3" borderId="1" applyAlignment="1" pivotButton="0" quotePrefix="0" xfId="0">
      <alignment horizontal="center" vertical="center"/>
    </xf>
    <xf numFmtId="165" fontId="33" fillId="3" borderId="1" applyAlignment="1" pivotButton="0" quotePrefix="0" xfId="0">
      <alignment horizontal="center" vertical="center" wrapText="1"/>
    </xf>
    <xf numFmtId="167" fontId="5" fillId="3" borderId="1" applyAlignment="1" pivotButton="0" quotePrefix="0" xfId="0">
      <alignment horizontal="center" vertical="center"/>
    </xf>
    <xf numFmtId="167" fontId="0" fillId="0" borderId="0" pivotButton="0" quotePrefix="0" xfId="0"/>
    <xf numFmtId="167" fontId="5" fillId="0" borderId="1" applyAlignment="1" pivotButton="0" quotePrefix="0" xfId="0">
      <alignment horizontal="center" vertical="center"/>
    </xf>
    <xf numFmtId="168" fontId="0" fillId="0" borderId="0" pivotButton="0" quotePrefix="0" xfId="0"/>
    <xf numFmtId="164" fontId="63" fillId="0" borderId="1" applyAlignment="1" pivotButton="0" quotePrefix="0" xfId="0">
      <alignment horizontal="center" vertical="center" wrapText="1"/>
    </xf>
    <xf numFmtId="165" fontId="63" fillId="0" borderId="1" applyAlignment="1" pivotButton="0" quotePrefix="0" xfId="0">
      <alignment horizontal="center" vertical="center" wrapText="1"/>
    </xf>
    <xf numFmtId="164" fontId="5" fillId="8" borderId="1" applyAlignment="1" pivotButton="0" quotePrefix="0" xfId="0">
      <alignment horizontal="center" vertical="center" wrapText="1"/>
    </xf>
    <xf numFmtId="165" fontId="64" fillId="8" borderId="1" applyAlignment="1" pivotButton="0" quotePrefix="0" xfId="0">
      <alignment horizontal="center" vertical="center" wrapText="1"/>
    </xf>
    <xf numFmtId="165" fontId="63" fillId="8" borderId="1" applyAlignment="1" pivotButton="0" quotePrefix="0" xfId="0">
      <alignment horizontal="center" vertical="center" wrapText="1"/>
    </xf>
    <xf numFmtId="165" fontId="63" fillId="15" borderId="1" applyAlignment="1" pivotButton="0" quotePrefix="0" xfId="0">
      <alignment horizontal="center" vertical="center" wrapText="1"/>
    </xf>
    <xf numFmtId="164" fontId="63" fillId="5" borderId="1" applyAlignment="1" pivotButton="0" quotePrefix="0" xfId="0">
      <alignment horizontal="center" vertical="center" wrapText="1"/>
    </xf>
    <xf numFmtId="165" fontId="63" fillId="5" borderId="1" applyAlignment="1" pivotButton="0" quotePrefix="0" xfId="0">
      <alignment horizontal="center" vertical="center" wrapText="1"/>
    </xf>
    <xf numFmtId="164" fontId="63" fillId="12" borderId="1" applyAlignment="1" pivotButton="0" quotePrefix="0" xfId="0">
      <alignment horizontal="center" vertical="center" wrapText="1"/>
    </xf>
    <xf numFmtId="165" fontId="63" fillId="12" borderId="1" applyAlignment="1" pivotButton="0" quotePrefix="0" xfId="0">
      <alignment horizontal="center" vertical="center" wrapText="1"/>
    </xf>
    <xf numFmtId="164" fontId="63" fillId="3" borderId="1" applyAlignment="1" pivotButton="0" quotePrefix="0" xfId="0">
      <alignment horizontal="center" vertical="center" wrapText="1"/>
    </xf>
    <xf numFmtId="165" fontId="63" fillId="3" borderId="1" applyAlignment="1" pivotButton="0" quotePrefix="0" xfId="0">
      <alignment horizontal="center" vertical="center" wrapText="1"/>
    </xf>
    <xf numFmtId="164" fontId="52" fillId="5" borderId="1" applyAlignment="1" pivotButton="0" quotePrefix="0" xfId="0">
      <alignment horizontal="center" vertical="center"/>
    </xf>
    <xf numFmtId="164" fontId="49" fillId="5" borderId="1" applyAlignment="1" pivotButton="0" quotePrefix="0" xfId="0">
      <alignment horizontal="center" vertical="center" wrapText="1"/>
    </xf>
    <xf numFmtId="165" fontId="49" fillId="5" borderId="1" applyAlignment="1" pivotButton="0" quotePrefix="0" xfId="0">
      <alignment horizontal="center" vertical="center" wrapText="1"/>
    </xf>
    <xf numFmtId="164" fontId="64" fillId="0" borderId="1" applyAlignment="1" pivotButton="0" quotePrefix="0" xfId="0">
      <alignment horizontal="center" vertical="center" wrapText="1"/>
    </xf>
    <xf numFmtId="165" fontId="64" fillId="0" borderId="1" applyAlignment="1" pivotButton="0" quotePrefix="0" xfId="0">
      <alignment horizontal="center" vertical="center" wrapText="1"/>
    </xf>
    <xf numFmtId="164" fontId="3" fillId="0" borderId="1" applyAlignment="1" pivotButton="0" quotePrefix="0" xfId="0">
      <alignment vertical="center"/>
    </xf>
    <xf numFmtId="164" fontId="3" fillId="5" borderId="1" applyAlignment="1" pivotButton="0" quotePrefix="0" xfId="0">
      <alignment vertical="center"/>
    </xf>
    <xf numFmtId="164" fontId="5" fillId="17" borderId="1" applyAlignment="1" pivotButton="0" quotePrefix="0" xfId="0">
      <alignment horizontal="center" vertical="center"/>
    </xf>
    <xf numFmtId="164" fontId="3" fillId="17" borderId="1" applyAlignment="1" pivotButton="0" quotePrefix="0" xfId="0">
      <alignment vertical="center"/>
    </xf>
    <xf numFmtId="164" fontId="26" fillId="0" borderId="1"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52">
    <dxf>
      <font>
        <name val="微软雅黑"/>
        <sz val="14"/>
      </font>
      <numFmt numFmtId="176" formatCode="yyyy/m/d;@"/>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176" formatCode="yyyy/m/d;@"/>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name val="Arial"/>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name val="Arial"/>
        <sz val="14"/>
      </font>
      <numFmt numFmtId="177" formatCode="0.00_ "/>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name val="微软雅黑"/>
        <sz val="14"/>
      </font>
      <numFmt numFmtId="176" formatCode="yyyy/m/d;@"/>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numFmt numFmtId="177" formatCode="0.00_ "/>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wrapText="1" shrinkToFit="1"/>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numFmt numFmtId="177" formatCode="0.00_ "/>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numFmt numFmtId="177" formatCode="0.00_ "/>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name val="黑体"/>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dxf>
    <dxf>
      <font>
        <sz val="14"/>
      </font>
      <numFmt numFmtId="0" formatCode="General"/>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numFmt numFmtId="10" formatCode="0.00%"/>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sz val="14"/>
      </font>
      <alignment horizontal="center" vertical="center"/>
      <border>
        <left style="thin">
          <color auto="1"/>
        </left>
        <right style="thin">
          <color auto="1"/>
        </right>
        <top style="thin">
          <color auto="1"/>
        </top>
        <bottom style="thin">
          <color auto="1"/>
        </bottom>
      </border>
    </dxf>
    <dxf>
      <font>
        <name val="黑体"/>
        <sz val="14"/>
      </font>
      <numFmt numFmtId="0" formatCode="General"/>
      <alignment horizontal="center" vertical="center"/>
    </dxf>
    <dxf>
      <font>
        <sz val="14"/>
      </font>
      <alignment horizontal="center" vertical="center"/>
    </dxf>
    <dxf>
      <font>
        <sz val="14"/>
      </font>
      <alignment horizontal="center" vertical="center"/>
    </dxf>
    <dxf>
      <font>
        <sz val="14"/>
      </font>
      <alignment horizontal="center" vertical="center"/>
    </dxf>
    <dxf>
      <font>
        <sz val="14"/>
      </font>
      <numFmt numFmtId="10" formatCode="0.00%"/>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dxf>
    <dxf>
      <font>
        <sz val="14"/>
      </font>
      <alignment horizontal="center" vertical="center"/>
      <border>
        <left style="thin">
          <color auto="1"/>
        </left>
        <right style="thin">
          <color auto="1"/>
        </right>
        <top style="thin">
          <color auto="1"/>
        </top>
        <bottom style="thin">
          <color auto="1"/>
        </bottom>
      </border>
    </dxf>
    <dxf>
      <fill>
        <patternFill patternType="solid">
          <bgColor rgb="FF00B050"/>
        </patternFill>
      </fill>
    </dxf>
    <dxf>
      <fill>
        <patternFill patternType="solid">
          <bgColor rgb="FFFF0000"/>
        </patternFill>
      </fill>
    </dxf>
    <dxf>
      <font>
        <color rgb="FF006100"/>
      </font>
      <fill>
        <patternFill patternType="solid">
          <bgColor rgb="FFC6EFCE"/>
        </patternFill>
      </fill>
    </dxf>
    <dxf>
      <font>
        <color rgb="FF9C0006"/>
      </font>
      <fill>
        <patternFill patternType="solid">
          <bgColor rgb="FFFFC7CE"/>
        </patternFill>
      </fill>
    </dxf>
    <dxf>
      <font>
        <color rgb="FF9C0006"/>
      </font>
    </dxf>
    <dxf>
      <border>
        <left style="thin">
          <color rgb="FF9C0006"/>
        </left>
        <right style="thin">
          <color rgb="FF9C0006"/>
        </right>
        <top style="thin">
          <color rgb="FF9C0006"/>
        </top>
        <bottom style="thin">
          <color rgb="FF9C0006"/>
        </bottom>
      </border>
    </dxf>
    <dxf>
      <fill>
        <patternFill patternType="solid">
          <bgColor rgb="FFFD5C0C"/>
        </patternFill>
      </fill>
    </dxf>
    <dxf>
      <fill>
        <patternFill patternType="solid">
          <bgColor rgb="FFFFC7CE"/>
        </patternFill>
      </fill>
    </dxf>
    <dxf>
      <fill>
        <patternFill patternType="solid">
          <bgColor theme="9" tint="0.4"/>
        </patternFill>
      </fill>
    </dxf>
    <dxf>
      <fill>
        <patternFill patternType="solid">
          <bgColor rgb="FFF3541A"/>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441"/>
      <tableStyleElement type="headerRow" dxfId="440"/>
      <tableStyleElement type="totalRow" dxfId="439"/>
      <tableStyleElement type="firstColumn" dxfId="438"/>
      <tableStyleElement type="lastColumn" dxfId="437"/>
      <tableStyleElement type="firstRowStripe" dxfId="436"/>
      <tableStyleElement type="firstColumnStripe" dxfId="435"/>
    </tableStyle>
    <tableStyle name="PivotStylePreset2_Accent1" table="0" count="10">
      <tableStyleElement type="headerRow" dxfId="451"/>
      <tableStyleElement type="totalRow" dxfId="450"/>
      <tableStyleElement type="firstRowStripe" dxfId="449"/>
      <tableStyleElement type="firstColumnStripe" dxfId="448"/>
      <tableStyleElement type="firstSubtotalRow" dxfId="447"/>
      <tableStyleElement type="secondSubtotalRow" dxfId="446"/>
      <tableStyleElement type="firstRowSubheading" dxfId="445"/>
      <tableStyleElement type="secondRowSubheading" dxfId="444"/>
      <tableStyleElement type="pageFieldLabels" dxfId="443"/>
      <tableStyleElement type="pageFieldValues" dxfId="44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表1" displayName="表1" ref="A1:PI147" headerRowCount="1" totalsRowShown="0">
  <autoFilter ref="A1:PI147"/>
  <tableColumns count="425">
    <tableColumn id="1" name="列1" dataDxfId="0"/>
    <tableColumn id="3287" name="510300沪深300ETF" dataDxfId="1"/>
    <tableColumn id="2" name="列2" dataDxfId="2"/>
    <tableColumn id="3" name="列22" dataDxfId="3"/>
    <tableColumn id="4" name="列3" dataDxfId="4"/>
    <tableColumn id="5" name="列4" dataDxfId="5"/>
    <tableColumn id="6" name="列5" dataDxfId="6"/>
    <tableColumn id="7" name="列6" dataDxfId="7"/>
    <tableColumn id="8" name="列7" dataDxfId="8"/>
    <tableColumn id="9" name="510310易方达300" dataDxfId="9"/>
    <tableColumn id="10" name="列8" dataDxfId="10">
      <calculatedColumnFormula>C2</calculatedColumnFormula>
    </tableColumn>
    <tableColumn id="11" name="列9" dataDxfId="11"/>
    <tableColumn id="12" name="列10" dataDxfId="12"/>
    <tableColumn id="13" name="列11" dataDxfId="13"/>
    <tableColumn id="14" name="列12" dataDxfId="14"/>
    <tableColumn id="15" name="列13" dataDxfId="15"/>
    <tableColumn id="16" name="列14" dataDxfId="16"/>
    <tableColumn id="17" name="510050 -  上证50ETF" dataDxfId="17"/>
    <tableColumn id="18" name="列15" dataDxfId="18">
      <calculatedColumnFormula>C2</calculatedColumnFormula>
    </tableColumn>
    <tableColumn id="19" name="列16" dataDxfId="19"/>
    <tableColumn id="20" name="列17" dataDxfId="20"/>
    <tableColumn id="21" name="列18" dataDxfId="21"/>
    <tableColumn id="22" name="列19" dataDxfId="22"/>
    <tableColumn id="23" name="列20" dataDxfId="23"/>
    <tableColumn id="24" name="列21" dataDxfId="24"/>
    <tableColumn id="25" name="510500 -  中证500ETF" dataDxfId="25"/>
    <tableColumn id="26" name="列23" dataDxfId="26">
      <calculatedColumnFormula>S2</calculatedColumnFormula>
    </tableColumn>
    <tableColumn id="27" name="列232" dataDxfId="27"/>
    <tableColumn id="28" name="列24" dataDxfId="28"/>
    <tableColumn id="29" name="列25" dataDxfId="29"/>
    <tableColumn id="30" name="列26" dataDxfId="30"/>
    <tableColumn id="31" name="列27" dataDxfId="31"/>
    <tableColumn id="32" name="列28" dataDxfId="32"/>
    <tableColumn id="33" name="512100 -  中证1000ETF" dataDxfId="33"/>
    <tableColumn id="34" name="列29" dataDxfId="34">
      <calculatedColumnFormula>C2</calculatedColumnFormula>
    </tableColumn>
    <tableColumn id="35" name="列30" dataDxfId="35"/>
    <tableColumn id="36" name="列31" dataDxfId="36"/>
    <tableColumn id="37" name="列32" dataDxfId="37"/>
    <tableColumn id="38" name="列33" dataDxfId="38"/>
    <tableColumn id="39" name="列34" dataDxfId="39"/>
    <tableColumn id="40" name="列35" dataDxfId="40"/>
    <tableColumn id="41" name="159915 -  创业板" dataDxfId="41"/>
    <tableColumn id="42" name="列36" dataDxfId="42">
      <calculatedColumnFormula>C2</calculatedColumnFormula>
    </tableColumn>
    <tableColumn id="43" name="列37" dataDxfId="43"/>
    <tableColumn id="44" name="列38" dataDxfId="44"/>
    <tableColumn id="45" name="列39" dataDxfId="45"/>
    <tableColumn id="46" name="列40" dataDxfId="46"/>
    <tableColumn id="47" name="列41" dataDxfId="47"/>
    <tableColumn id="48" name="列42" dataDxfId="48"/>
    <tableColumn id="49" name="列43" dataDxfId="49"/>
    <tableColumn id="50" name="159919 沪深300ETF嘉实" dataDxfId="50"/>
    <tableColumn id="51" name="列44" dataDxfId="51">
      <calculatedColumnFormula>C2</calculatedColumnFormula>
    </tableColumn>
    <tableColumn id="52" name="列45" dataDxfId="52"/>
    <tableColumn id="53" name="列46" dataDxfId="53"/>
    <tableColumn id="54" name="列47" dataDxfId="54"/>
    <tableColumn id="55" name="列48" dataDxfId="55"/>
    <tableColumn id="56" name="列49" dataDxfId="56"/>
    <tableColumn id="57" name="列50" dataDxfId="57"/>
    <tableColumn id="58" name="159326 - 电网设备" dataDxfId="58"/>
    <tableColumn id="59" name="1" dataDxfId="59">
      <calculatedColumnFormula>C2</calculatedColumnFormula>
    </tableColumn>
    <tableColumn id="60" name="列51" dataDxfId="60"/>
    <tableColumn id="61" name="列52" dataDxfId="61"/>
    <tableColumn id="62" name="列53" dataDxfId="62"/>
    <tableColumn id="63" name="列54" dataDxfId="63"/>
    <tableColumn id="64" name="列55" dataDxfId="64"/>
    <tableColumn id="65" name="列56" dataDxfId="65"/>
    <tableColumn id="3288" name="159852-软件e" dataDxfId="66"/>
    <tableColumn id="66" name="2" dataDxfId="67">
      <calculatedColumnFormula>C2</calculatedColumnFormula>
    </tableColumn>
    <tableColumn id="67" name="列57" dataDxfId="68"/>
    <tableColumn id="68" name="列58" dataDxfId="69"/>
    <tableColumn id="69" name="列59" dataDxfId="70"/>
    <tableColumn id="70" name="列60" dataDxfId="71"/>
    <tableColumn id="71" name="列61" dataDxfId="72"/>
    <tableColumn id="72" name="列62" dataDxfId="73"/>
    <tableColumn id="373" name="159870- 化工ETF" dataDxfId="74"/>
    <tableColumn id="73" name="3" dataDxfId="75">
      <calculatedColumnFormula>C2</calculatedColumnFormula>
    </tableColumn>
    <tableColumn id="74" name="列63" dataDxfId="76"/>
    <tableColumn id="75" name="列64" dataDxfId="77"/>
    <tableColumn id="76" name="列65" dataDxfId="78"/>
    <tableColumn id="77" name="列66" dataDxfId="79"/>
    <tableColumn id="78" name="列67" dataDxfId="80"/>
    <tableColumn id="79" name="列68" dataDxfId="81"/>
    <tableColumn id="374" name="512400有色金属" dataDxfId="82"/>
    <tableColumn id="80" name="4" dataDxfId="83">
      <calculatedColumnFormula>C2</calculatedColumnFormula>
    </tableColumn>
    <tableColumn id="81" name="列69" dataDxfId="84"/>
    <tableColumn id="82" name="列70" dataDxfId="85"/>
    <tableColumn id="83" name="列71" dataDxfId="86"/>
    <tableColumn id="84" name="列72" dataDxfId="87"/>
    <tableColumn id="85" name="列73" dataDxfId="88"/>
    <tableColumn id="86" name="列74" dataDxfId="89"/>
    <tableColumn id="375" name="516650有色金属ETF" dataDxfId="90"/>
    <tableColumn id="87" name="5" dataDxfId="91">
      <calculatedColumnFormula>C2</calculatedColumnFormula>
    </tableColumn>
    <tableColumn id="88" name="列75" dataDxfId="92"/>
    <tableColumn id="89" name="列76" dataDxfId="93"/>
    <tableColumn id="90" name="列77" dataDxfId="94"/>
    <tableColumn id="91" name="列78" dataDxfId="95"/>
    <tableColumn id="92" name="列79" dataDxfId="96"/>
    <tableColumn id="93" name="列80" dataDxfId="97"/>
    <tableColumn id="376" name="517520 - 黄金股" dataDxfId="98"/>
    <tableColumn id="94" name="6" dataDxfId="99">
      <calculatedColumnFormula>C2</calculatedColumnFormula>
    </tableColumn>
    <tableColumn id="95" name="列81" dataDxfId="100"/>
    <tableColumn id="96" name="列82" dataDxfId="101"/>
    <tableColumn id="97" name="列83" dataDxfId="102"/>
    <tableColumn id="98" name="列84" dataDxfId="103"/>
    <tableColumn id="99" name="列85" dataDxfId="104"/>
    <tableColumn id="100" name="列86" dataDxfId="105"/>
    <tableColumn id="101" name="159516 半导体设备ETF" dataDxfId="106"/>
    <tableColumn id="102" name="7" dataDxfId="107">
      <calculatedColumnFormula>C2</calculatedColumnFormula>
    </tableColumn>
    <tableColumn id="103" name="列87" dataDxfId="108"/>
    <tableColumn id="104" name="列88" dataDxfId="109"/>
    <tableColumn id="105" name="列89" dataDxfId="110"/>
    <tableColumn id="106" name="列90" dataDxfId="111"/>
    <tableColumn id="107" name="列91" dataDxfId="112"/>
    <tableColumn id="108" name="列92" dataDxfId="113"/>
    <tableColumn id="377" name="512480 - 半导体" dataDxfId="114"/>
    <tableColumn id="109" name="8" dataDxfId="115">
      <calculatedColumnFormula>C2</calculatedColumnFormula>
    </tableColumn>
    <tableColumn id="110" name="列93" dataDxfId="116"/>
    <tableColumn id="111" name="列94" dataDxfId="117"/>
    <tableColumn id="112" name="列95" dataDxfId="118"/>
    <tableColumn id="113" name="列96" dataDxfId="119"/>
    <tableColumn id="114" name="列97" dataDxfId="120"/>
    <tableColumn id="115" name="列98" dataDxfId="121"/>
    <tableColumn id="378" name="588200 - 科创芯片" dataDxfId="122"/>
    <tableColumn id="116" name="9" dataDxfId="123">
      <calculatedColumnFormula>C2</calculatedColumnFormula>
    </tableColumn>
    <tableColumn id="117" name="列99" dataDxfId="124"/>
    <tableColumn id="118" name="列100" dataDxfId="125"/>
    <tableColumn id="119" name="列101" dataDxfId="126"/>
    <tableColumn id="120" name="列102" dataDxfId="127"/>
    <tableColumn id="121" name="列103" dataDxfId="128"/>
    <tableColumn id="122" name="列104" dataDxfId="129"/>
    <tableColumn id="379" name="588000 - 科创50" dataDxfId="130"/>
    <tableColumn id="123" name="10" dataDxfId="131">
      <calculatedColumnFormula>C2</calculatedColumnFormula>
    </tableColumn>
    <tableColumn id="124" name="列105" dataDxfId="132"/>
    <tableColumn id="125" name="列106" dataDxfId="133"/>
    <tableColumn id="126" name="列107" dataDxfId="134"/>
    <tableColumn id="127" name="列108" dataDxfId="135"/>
    <tableColumn id="128" name="列109" dataDxfId="136"/>
    <tableColumn id="129" name="列110" dataDxfId="137"/>
    <tableColumn id="380" name="159819 - AI智能" dataDxfId="138"/>
    <tableColumn id="130" name="11" dataDxfId="139">
      <calculatedColumnFormula>C2</calculatedColumnFormula>
    </tableColumn>
    <tableColumn id="131" name="列111" dataDxfId="140"/>
    <tableColumn id="132" name="列112" dataDxfId="141"/>
    <tableColumn id="133" name="列113" dataDxfId="142"/>
    <tableColumn id="134" name="列114" dataDxfId="143"/>
    <tableColumn id="135" name="列115" dataDxfId="144"/>
    <tableColumn id="136" name="列116" dataDxfId="145"/>
    <tableColumn id="381" name="515070 人工智能AIETF" dataDxfId="146"/>
    <tableColumn id="137" name="12" dataDxfId="147">
      <calculatedColumnFormula>C2</calculatedColumnFormula>
    </tableColumn>
    <tableColumn id="138" name="列117" dataDxfId="148"/>
    <tableColumn id="139" name="列118" dataDxfId="149"/>
    <tableColumn id="140" name="列119" dataDxfId="150"/>
    <tableColumn id="141" name="列120" dataDxfId="151"/>
    <tableColumn id="142" name="列121" dataDxfId="152"/>
    <tableColumn id="143" name="列122" dataDxfId="153"/>
    <tableColumn id="382" name="512660 - 军工ETF" dataDxfId="154"/>
    <tableColumn id="144" name="13" dataDxfId="155">
      <calculatedColumnFormula>C2</calculatedColumnFormula>
    </tableColumn>
    <tableColumn id="145" name="列123" dataDxfId="156"/>
    <tableColumn id="146" name="列124" dataDxfId="157"/>
    <tableColumn id="147" name="列125" dataDxfId="158"/>
    <tableColumn id="148" name="列126" dataDxfId="159"/>
    <tableColumn id="149" name="列127" dataDxfId="160"/>
    <tableColumn id="3289" name="列3236" dataDxfId="161"/>
    <tableColumn id="150" name="159206 卫星ETF" dataDxfId="162"/>
    <tableColumn id="151" name="14" dataDxfId="163">
      <calculatedColumnFormula>C2</calculatedColumnFormula>
    </tableColumn>
    <tableColumn id="152" name="列129" dataDxfId="164"/>
    <tableColumn id="153" name="列130" dataDxfId="165"/>
    <tableColumn id="154" name="列131" dataDxfId="166"/>
    <tableColumn id="155" name="列132" dataDxfId="167"/>
    <tableColumn id="156" name="列128" dataDxfId="168"/>
    <tableColumn id="157" name="列134" dataDxfId="169"/>
    <tableColumn id="3290" name="562500 - 机器人" dataDxfId="170"/>
    <tableColumn id="158" name="15" dataDxfId="171">
      <calculatedColumnFormula>C2</calculatedColumnFormula>
    </tableColumn>
    <tableColumn id="159" name="列135" dataDxfId="172"/>
    <tableColumn id="160" name="列136" dataDxfId="173"/>
    <tableColumn id="161" name="列137" dataDxfId="174"/>
    <tableColumn id="162" name="列138" dataDxfId="175"/>
    <tableColumn id="163" name="列133" dataDxfId="176"/>
    <tableColumn id="164" name="列140" dataDxfId="177"/>
    <tableColumn id="3291" name="512170 - 医疗ETF" dataDxfId="178"/>
    <tableColumn id="165" name="16" dataDxfId="179">
      <calculatedColumnFormula>C2</calculatedColumnFormula>
    </tableColumn>
    <tableColumn id="166" name="列141" dataDxfId="180"/>
    <tableColumn id="167" name="列142" dataDxfId="181"/>
    <tableColumn id="168" name="列143" dataDxfId="182"/>
    <tableColumn id="169" name="列144" dataDxfId="183"/>
    <tableColumn id="170" name="列139" dataDxfId="184"/>
    <tableColumn id="171" name="列146" dataDxfId="185"/>
    <tableColumn id="3292" name="512010 - 医药ETF" dataDxfId="186"/>
    <tableColumn id="172" name="17" dataDxfId="187">
      <calculatedColumnFormula>C2</calculatedColumnFormula>
    </tableColumn>
    <tableColumn id="173" name="列147" dataDxfId="188"/>
    <tableColumn id="174" name="列148" dataDxfId="189"/>
    <tableColumn id="175" name="列149" dataDxfId="190"/>
    <tableColumn id="176" name="列150" dataDxfId="191"/>
    <tableColumn id="177" name="列145" dataDxfId="192"/>
    <tableColumn id="178" name="列152" dataDxfId="193"/>
    <tableColumn id="3293" name="159992 - 创新药" dataDxfId="194"/>
    <tableColumn id="179" name="18" dataDxfId="195">
      <calculatedColumnFormula>C2</calculatedColumnFormula>
    </tableColumn>
    <tableColumn id="180" name="列153" dataDxfId="196"/>
    <tableColumn id="181" name="列154" dataDxfId="197"/>
    <tableColumn id="182" name="列155" dataDxfId="198"/>
    <tableColumn id="183" name="列156" dataDxfId="199"/>
    <tableColumn id="184" name="列151" dataDxfId="200"/>
    <tableColumn id="185" name="列158" dataDxfId="201"/>
    <tableColumn id="3294" name="515790 - 光伏ETF" dataDxfId="202"/>
    <tableColumn id="186" name="19" dataDxfId="203">
      <calculatedColumnFormula>C2</calculatedColumnFormula>
    </tableColumn>
    <tableColumn id="187" name="列159" dataDxfId="204"/>
    <tableColumn id="188" name="列160" dataDxfId="205"/>
    <tableColumn id="189" name="列161" dataDxfId="206"/>
    <tableColumn id="190" name="列162" dataDxfId="207"/>
    <tableColumn id="191" name="列157" dataDxfId="208"/>
    <tableColumn id="192" name="列164" dataDxfId="209"/>
    <tableColumn id="3295" name="159755 - 电池ETF" dataDxfId="210"/>
    <tableColumn id="193" name="20" dataDxfId="211">
      <calculatedColumnFormula>C2</calculatedColumnFormula>
    </tableColumn>
    <tableColumn id="194" name="列165" dataDxfId="212"/>
    <tableColumn id="195" name="列166" dataDxfId="213"/>
    <tableColumn id="196" name="列167" dataDxfId="214"/>
    <tableColumn id="197" name="列168" dataDxfId="215"/>
    <tableColumn id="198" name="列163" dataDxfId="216"/>
    <tableColumn id="199" name="列170" dataDxfId="217"/>
    <tableColumn id="3296" name="516970 - 基建50" dataDxfId="218"/>
    <tableColumn id="200" name="21" dataDxfId="219">
      <calculatedColumnFormula>C2</calculatedColumnFormula>
    </tableColumn>
    <tableColumn id="201" name="列171" dataDxfId="220"/>
    <tableColumn id="202" name="列172" dataDxfId="221"/>
    <tableColumn id="203" name="列173" dataDxfId="222"/>
    <tableColumn id="204" name="列174" dataDxfId="223"/>
    <tableColumn id="205" name="列169" dataDxfId="224"/>
    <tableColumn id="206" name="列176" dataDxfId="225"/>
    <tableColumn id="3297" name="159745 - 建材ETF" dataDxfId="226"/>
    <tableColumn id="207" name="22" dataDxfId="227">
      <calculatedColumnFormula>C2</calculatedColumnFormula>
    </tableColumn>
    <tableColumn id="208" name="列177" dataDxfId="228"/>
    <tableColumn id="209" name="列178" dataDxfId="229"/>
    <tableColumn id="210" name="列179" dataDxfId="230"/>
    <tableColumn id="211" name="列180" dataDxfId="231"/>
    <tableColumn id="212" name="列175" dataDxfId="232"/>
    <tableColumn id="213" name="列182" dataDxfId="233"/>
    <tableColumn id="3298" name="512200 房地产ETF" dataDxfId="234"/>
    <tableColumn id="214" name="23" dataDxfId="235">
      <calculatedColumnFormula>C2</calculatedColumnFormula>
    </tableColumn>
    <tableColumn id="215" name="列183" dataDxfId="236"/>
    <tableColumn id="216" name="列184" dataDxfId="237"/>
    <tableColumn id="217" name="列185" dataDxfId="238"/>
    <tableColumn id="218" name="列186" dataDxfId="239"/>
    <tableColumn id="219" name="列181" dataDxfId="240"/>
    <tableColumn id="220" name="列188" dataDxfId="241"/>
    <tableColumn id="3299" name="159611 - 电力ETF" dataDxfId="242"/>
    <tableColumn id="221" name="24" dataDxfId="243">
      <calculatedColumnFormula>C2</calculatedColumnFormula>
    </tableColumn>
    <tableColumn id="222" name="列189" dataDxfId="244"/>
    <tableColumn id="223" name="列190" dataDxfId="245"/>
    <tableColumn id="224" name="列191" dataDxfId="246"/>
    <tableColumn id="225" name="列192" dataDxfId="247"/>
    <tableColumn id="226" name="列187" dataDxfId="248"/>
    <tableColumn id="227" name="列194" dataDxfId="249"/>
    <tableColumn id="3300" name="516510 - 云计算" dataDxfId="250"/>
    <tableColumn id="228" name="25" dataDxfId="251">
      <calculatedColumnFormula>C2</calculatedColumnFormula>
    </tableColumn>
    <tableColumn id="229" name="列195" dataDxfId="252"/>
    <tableColumn id="230" name="列196" dataDxfId="253"/>
    <tableColumn id="231" name="列197" dataDxfId="254"/>
    <tableColumn id="232" name="列198" dataDxfId="255"/>
    <tableColumn id="233" name="列193" dataDxfId="256"/>
    <tableColumn id="234" name="列200" dataDxfId="257"/>
    <tableColumn id="3301" name="512880 - 证券ETF" dataDxfId="258"/>
    <tableColumn id="235" name="26" dataDxfId="259">
      <calculatedColumnFormula>C2</calculatedColumnFormula>
    </tableColumn>
    <tableColumn id="236" name="列201" dataDxfId="260"/>
    <tableColumn id="237" name="列202" dataDxfId="261"/>
    <tableColumn id="238" name="列203" dataDxfId="262"/>
    <tableColumn id="239" name="列204" dataDxfId="263"/>
    <tableColumn id="240" name="列199" dataDxfId="264"/>
    <tableColumn id="241" name="列206" dataDxfId="265"/>
    <tableColumn id="3302" name="512800 - 银行ETF" dataDxfId="266"/>
    <tableColumn id="242" name="27" dataDxfId="267">
      <calculatedColumnFormula>C2</calculatedColumnFormula>
    </tableColumn>
    <tableColumn id="243" name="列207" dataDxfId="268"/>
    <tableColumn id="244" name="列208" dataDxfId="269"/>
    <tableColumn id="245" name="列209" dataDxfId="270"/>
    <tableColumn id="246" name="列210" dataDxfId="271"/>
    <tableColumn id="247" name="列205" dataDxfId="272"/>
    <tableColumn id="3303" name="列3250" dataDxfId="273"/>
    <tableColumn id="248" name="159851 - 金融科技ETF" dataDxfId="274"/>
    <tableColumn id="249" name="28" dataDxfId="275">
      <calculatedColumnFormula>C2</calculatedColumnFormula>
    </tableColumn>
    <tableColumn id="250" name="列213" dataDxfId="276"/>
    <tableColumn id="251" name="列214" dataDxfId="277"/>
    <tableColumn id="252" name="列215" dataDxfId="278"/>
    <tableColumn id="253" name="列216" dataDxfId="279"/>
    <tableColumn id="254" name="列211" dataDxfId="280"/>
    <tableColumn id="3304" name="列3251" dataDxfId="281"/>
    <tableColumn id="255" name="513090 - 香港证券" dataDxfId="282"/>
    <tableColumn id="256" name="29" dataDxfId="283">
      <calculatedColumnFormula>C2</calculatedColumnFormula>
    </tableColumn>
    <tableColumn id="257" name="列219" dataDxfId="284"/>
    <tableColumn id="258" name="列220" dataDxfId="285"/>
    <tableColumn id="259" name="列221" dataDxfId="286"/>
    <tableColumn id="260" name="列2222" dataDxfId="287"/>
    <tableColumn id="261" name="列212" dataDxfId="288"/>
    <tableColumn id="3305" name="列3252" dataDxfId="289"/>
    <tableColumn id="262" name="159920 - 恒生ETF" dataDxfId="290"/>
    <tableColumn id="263" name="30" dataDxfId="291">
      <calculatedColumnFormula>C2</calculatedColumnFormula>
    </tableColumn>
    <tableColumn id="264" name="列225" dataDxfId="292"/>
    <tableColumn id="265" name="列226" dataDxfId="293"/>
    <tableColumn id="266" name="列227" dataDxfId="294"/>
    <tableColumn id="267" name="列228" dataDxfId="295"/>
    <tableColumn id="268" name="列217" dataDxfId="296"/>
    <tableColumn id="269" name="列230" dataDxfId="297"/>
    <tableColumn id="3306" name="513180 - 恒指科技" dataDxfId="298"/>
    <tableColumn id="270" name="31" dataDxfId="299">
      <calculatedColumnFormula>C2</calculatedColumnFormula>
    </tableColumn>
    <tableColumn id="271" name="列231" dataDxfId="300"/>
    <tableColumn id="272" name="列2322" dataDxfId="301"/>
    <tableColumn id="273" name="列233" dataDxfId="302"/>
    <tableColumn id="274" name="列234" dataDxfId="303"/>
    <tableColumn id="275" name="列218" dataDxfId="304"/>
    <tableColumn id="276" name="列236" dataDxfId="305"/>
    <tableColumn id="3307" name="159567 港股创新药ETF" dataDxfId="306"/>
    <tableColumn id="277" name="32" dataDxfId="307">
      <calculatedColumnFormula>C2</calculatedColumnFormula>
    </tableColumn>
    <tableColumn id="278" name="列237" dataDxfId="308"/>
    <tableColumn id="279" name="列238" dataDxfId="309"/>
    <tableColumn id="280" name="列239" dataDxfId="310"/>
    <tableColumn id="281" name="列240" dataDxfId="311"/>
    <tableColumn id="282" name="列222" dataDxfId="312"/>
    <tableColumn id="283" name="列242" dataDxfId="313"/>
    <tableColumn id="3308" name="516150 - 稀土基金" dataDxfId="314"/>
    <tableColumn id="284" name="33" dataDxfId="315">
      <calculatedColumnFormula>C2</calculatedColumnFormula>
    </tableColumn>
    <tableColumn id="285" name="列243" dataDxfId="316"/>
    <tableColumn id="286" name="列244" dataDxfId="317"/>
    <tableColumn id="287" name="列245" dataDxfId="318"/>
    <tableColumn id="288" name="列246" dataDxfId="319"/>
    <tableColumn id="289" name="列223" dataDxfId="320"/>
    <tableColumn id="290" name="列248" dataDxfId="321"/>
    <tableColumn id="3309" name="512690 - 酒ETF" dataDxfId="322"/>
    <tableColumn id="291" name="34" dataDxfId="323">
      <calculatedColumnFormula>C2</calculatedColumnFormula>
    </tableColumn>
    <tableColumn id="292" name="列249" dataDxfId="324"/>
    <tableColumn id="293" name="列250" dataDxfId="325"/>
    <tableColumn id="294" name="列251" dataDxfId="326"/>
    <tableColumn id="295" name="列252" dataDxfId="327"/>
    <tableColumn id="296" name="列224" dataDxfId="328"/>
    <tableColumn id="297" name="列254" dataDxfId="329"/>
    <tableColumn id="3310" name="159928 - 消费ETF" dataDxfId="330"/>
    <tableColumn id="298" name="35" dataDxfId="331">
      <calculatedColumnFormula>C2</calculatedColumnFormula>
    </tableColumn>
    <tableColumn id="299" name="列255" dataDxfId="332"/>
    <tableColumn id="300" name="列256" dataDxfId="333"/>
    <tableColumn id="301" name="列257" dataDxfId="334"/>
    <tableColumn id="302" name="列258" dataDxfId="335"/>
    <tableColumn id="303" name="列229" dataDxfId="336"/>
    <tableColumn id="304" name="列260" dataDxfId="337"/>
    <tableColumn id="3311" name="515220 - 煤炭ETF" dataDxfId="338"/>
    <tableColumn id="305" name="36" dataDxfId="339">
      <calculatedColumnFormula>C2</calculatedColumnFormula>
    </tableColumn>
    <tableColumn id="306" name="列261" dataDxfId="340"/>
    <tableColumn id="307" name="列262" dataDxfId="341"/>
    <tableColumn id="308" name="列263" dataDxfId="342"/>
    <tableColumn id="309" name="列264" dataDxfId="343"/>
    <tableColumn id="310" name="列235" dataDxfId="344"/>
    <tableColumn id="311" name="列266" dataDxfId="345"/>
    <tableColumn id="312" name="列267" dataDxfId="346"/>
    <tableColumn id="313" name="159998 计算机ETF" dataDxfId="347"/>
    <tableColumn id="314" name="37" dataDxfId="348">
      <calculatedColumnFormula>C2</calculatedColumnFormula>
    </tableColumn>
    <tableColumn id="315" name="列269" dataDxfId="349"/>
    <tableColumn id="316" name="列270" dataDxfId="350"/>
    <tableColumn id="317" name="列271" dataDxfId="351"/>
    <tableColumn id="318" name="列272" dataDxfId="352"/>
    <tableColumn id="319" name="列241" dataDxfId="353"/>
    <tableColumn id="320" name="列274" dataDxfId="354"/>
    <tableColumn id="321" name="列275" dataDxfId="355"/>
    <tableColumn id="322" name="561360 石油ETF " dataDxfId="356"/>
    <tableColumn id="323" name="38" dataDxfId="357">
      <calculatedColumnFormula>C2</calculatedColumnFormula>
    </tableColumn>
    <tableColumn id="324" name="列277" dataDxfId="358"/>
    <tableColumn id="325" name="列278" dataDxfId="359"/>
    <tableColumn id="326" name="列279" dataDxfId="360"/>
    <tableColumn id="327" name="列280" dataDxfId="361"/>
    <tableColumn id="328" name="列247" dataDxfId="362"/>
    <tableColumn id="329" name="列282" dataDxfId="363"/>
    <tableColumn id="330" name="列283" dataDxfId="364"/>
    <tableColumn id="331" name="510170 大宗商品ETF " dataDxfId="365"/>
    <tableColumn id="332" name="39" dataDxfId="366">
      <calculatedColumnFormula>C2</calculatedColumnFormula>
    </tableColumn>
    <tableColumn id="333" name="列285" dataDxfId="367"/>
    <tableColumn id="334" name="列286" dataDxfId="368"/>
    <tableColumn id="335" name="列287" dataDxfId="369"/>
    <tableColumn id="336" name="列288" dataDxfId="370"/>
    <tableColumn id="337" name="列253" dataDxfId="371"/>
    <tableColumn id="338" name="列290" dataDxfId="372"/>
    <tableColumn id="339" name="列291" dataDxfId="373"/>
    <tableColumn id="340" name="列292" dataDxfId="374"/>
    <tableColumn id="341" name="红利低波ETF 512890" dataDxfId="375"/>
    <tableColumn id="342" name="40" dataDxfId="376">
      <calculatedColumnFormula>C2</calculatedColumnFormula>
    </tableColumn>
    <tableColumn id="343" name="列294" dataDxfId="377"/>
    <tableColumn id="344" name="列295" dataDxfId="378"/>
    <tableColumn id="345" name="列296" dataDxfId="379"/>
    <tableColumn id="346" name="列297" dataDxfId="380"/>
    <tableColumn id="347" name="列259" dataDxfId="381"/>
    <tableColumn id="348" name="列299" dataDxfId="382"/>
    <tableColumn id="3312" name="中药ETF 560080" dataDxfId="383"/>
    <tableColumn id="349" name="41" dataDxfId="384">
      <calculatedColumnFormula>C2</calculatedColumnFormula>
    </tableColumn>
    <tableColumn id="350" name="列300" dataDxfId="385"/>
    <tableColumn id="351" name="列301" dataDxfId="386"/>
    <tableColumn id="352" name="列302" dataDxfId="387"/>
    <tableColumn id="353" name="列303" dataDxfId="388"/>
    <tableColumn id="354" name="列265" dataDxfId="389"/>
    <tableColumn id="355" name="列305" dataDxfId="390"/>
    <tableColumn id="3313" name="511130 - 国债30年" dataDxfId="391"/>
    <tableColumn id="356" name="42" dataDxfId="392">
      <calculatedColumnFormula>C2</calculatedColumnFormula>
    </tableColumn>
    <tableColumn id="357" name="列306" dataDxfId="393"/>
    <tableColumn id="358" name="列307" dataDxfId="394"/>
    <tableColumn id="359" name="列308" dataDxfId="395"/>
    <tableColumn id="360" name="列309" dataDxfId="396"/>
    <tableColumn id="361" name="列268" dataDxfId="397"/>
    <tableColumn id="362" name="列311" dataDxfId="398"/>
    <tableColumn id="3314" name="511260-十年国债" dataDxfId="399"/>
    <tableColumn id="363" name="43" dataDxfId="400">
      <calculatedColumnFormula>C2</calculatedColumnFormula>
    </tableColumn>
    <tableColumn id="364" name="列312" dataDxfId="401"/>
    <tableColumn id="365" name="列313" dataDxfId="402"/>
    <tableColumn id="366" name="列314" dataDxfId="403"/>
    <tableColumn id="367" name="列315" dataDxfId="404"/>
    <tableColumn id="368" name="列273" dataDxfId="405"/>
    <tableColumn id="369" name="列317" dataDxfId="406"/>
    <tableColumn id="370" name="列318" dataDxfId="407"/>
    <tableColumn id="371" name="豆粕ETF华夏159985" dataDxfId="408"/>
    <tableColumn id="383" name="列320" dataDxfId="409">
      <calculatedColumnFormula>OK2</calculatedColumnFormula>
    </tableColumn>
    <tableColumn id="384" name="列321" dataDxfId="410"/>
    <tableColumn id="385" name="列322" dataDxfId="411"/>
    <tableColumn id="386" name="列323" dataDxfId="412"/>
    <tableColumn id="387" name="列2242" dataDxfId="413"/>
    <tableColumn id="388" name="列276" dataDxfId="414"/>
    <tableColumn id="389" name="列2762" dataDxfId="415"/>
    <tableColumn id="390" name="列284" dataDxfId="416"/>
    <tableColumn id="391" name="列293" dataDxfId="417"/>
    <tableColumn id="392" name="列3212" dataDxfId="418"/>
    <tableColumn id="393" name="列3222" dataDxfId="419"/>
    <tableColumn id="394" name="列3232" dataDxfId="420"/>
    <tableColumn id="395" name="列324" dataDxfId="421"/>
    <tableColumn id="396" name="列325" dataDxfId="422"/>
    <tableColumn id="397" name="列326" dataDxfId="423"/>
    <tableColumn id="372" name="列3202" dataDxfId="424"/>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fund.eastmoney.com/159516.html" TargetMode="External" Id="rId1" /><Relationship Type="http://schemas.openxmlformats.org/officeDocument/2006/relationships/hyperlink" Target="https://fund.szse.cn/marketdata/fundslist/javascript:void(0);" TargetMode="External" Id="rId2" /><Relationship Type="http://schemas.openxmlformats.org/officeDocument/2006/relationships/hyperlink" Target="https://fund.szse.cn/marketdata/fundslist/javascript:void(0);" TargetMode="External" Id="rId3" /><Relationship Type="http://schemas.openxmlformats.org/officeDocument/2006/relationships/hyperlink" Target="https://fund.szse.cn/marketdata/fundslist/javascript:void(0);" TargetMode="External" Id="rId4" /><Relationship Type="http://schemas.openxmlformats.org/officeDocument/2006/relationships/hyperlink" Target="https://fund.szse.cn/marketdata/fundslist/javascript:void(0);" TargetMode="External" Id="rId5" /><Relationship Type="http://schemas.openxmlformats.org/officeDocument/2006/relationships/hyperlink" Target="https://fund.szse.cn/marketdata/fundslist/javascript:void(0);" TargetMode="External" Id="rId6" /><Relationship Type="http://schemas.openxmlformats.org/officeDocument/2006/relationships/hyperlink" Target="https://fund.szse.cn/marketdata/fundslist/javascript:void(0);" TargetMode="External" Id="rId7" /><Relationship Type="http://schemas.openxmlformats.org/officeDocument/2006/relationships/hyperlink" Target="https://fund.szse.cn/marketdata/fundslist/javascript:void(0);" TargetMode="External" Id="rId8" /><Relationship Type="http://schemas.openxmlformats.org/officeDocument/2006/relationships/table" Target="/xl/tables/table1.xml" Id="rId9" /></Relationships>
</file>

<file path=xl/worksheets/sheet1.xml><?xml version="1.0" encoding="utf-8"?>
<worksheet xmlns="http://schemas.openxmlformats.org/spreadsheetml/2006/main">
  <sheetPr>
    <outlinePr summaryBelow="1" summaryRight="1"/>
    <pageSetUpPr/>
  </sheetPr>
  <dimension ref="A1:PI317"/>
  <sheetViews>
    <sheetView tabSelected="1" zoomScale="60" zoomScaleNormal="60" workbookViewId="0">
      <pane ySplit="2" topLeftCell="A3" activePane="bottomLeft" state="frozen"/>
      <selection activeCell="A1" sqref="A1"/>
      <selection pane="bottomLeft" activeCell="F24" sqref="F24"/>
    </sheetView>
  </sheetViews>
  <sheetFormatPr baseColWidth="8" defaultColWidth="15.625" defaultRowHeight="20.25"/>
  <cols>
    <col width="20.625" customWidth="1" style="631" min="1" max="2"/>
    <col width="20.625" customWidth="1" style="632" min="3" max="3"/>
    <col width="17.25" customWidth="1" style="5" min="4" max="5"/>
    <col width="18.875" customWidth="1" style="5" min="6" max="6"/>
    <col width="12.25" customWidth="1" style="19" min="7" max="7"/>
    <col width="15.625" customWidth="1" style="19" min="8" max="8"/>
    <col width="13.75" customWidth="1" style="19" min="9" max="9"/>
    <col width="20.625" customWidth="1" style="19" min="10" max="10"/>
    <col width="20.625" customWidth="1" style="5" min="11" max="11"/>
    <col width="17.25" customWidth="1" style="5" min="12" max="13"/>
    <col width="15.875" customWidth="1" style="5" min="14" max="14"/>
    <col width="13.75" customWidth="1" style="19" min="15" max="15"/>
    <col width="15.625" customWidth="1" style="19" min="16" max="16"/>
    <col width="13.75" customWidth="1" style="19" min="17" max="17"/>
    <col width="20.625" customWidth="1" style="5" min="18" max="19"/>
    <col width="15.875" customWidth="1" style="5" min="20" max="21"/>
    <col width="17.375" customWidth="1" style="5" min="22" max="22"/>
    <col width="13.75" customWidth="1" style="19" min="23" max="23"/>
    <col width="15.625" customWidth="1" style="19" min="24" max="24"/>
    <col width="13.75" customWidth="1" style="19" min="25" max="25"/>
    <col width="20.625" customWidth="1" style="5" min="26" max="27"/>
    <col width="15.875" customWidth="1" style="5" min="28" max="30"/>
    <col width="12.25" customWidth="1" style="19" min="31" max="31"/>
    <col width="15.625" customWidth="1" style="19" min="32" max="32"/>
    <col width="13.75" customWidth="1" style="19" min="33" max="33"/>
    <col width="20.625" customWidth="1" style="5" min="34" max="35"/>
    <col width="15.875" customWidth="1" style="5" min="36" max="36"/>
    <col width="17.375" customWidth="1" style="20" min="37" max="37"/>
    <col width="15.875" customWidth="1" style="5" min="38" max="38"/>
    <col width="12.25" customWidth="1" style="19" min="39" max="39"/>
    <col width="15.625" customWidth="1" style="19" min="40" max="40"/>
    <col width="13.75" customWidth="1" style="19" min="41" max="41"/>
    <col width="20.625" customWidth="1" style="5" min="42" max="42"/>
    <col width="20.625" customWidth="1" style="633" min="43" max="43"/>
    <col width="19" customWidth="1" style="634" min="44" max="44"/>
    <col width="17.375" customWidth="1" style="5" min="45" max="46"/>
    <col width="12.25" customWidth="1" style="19" min="47" max="47"/>
    <col width="15.625" customWidth="1" style="19" min="48" max="48"/>
    <col width="11.5" customWidth="1" style="19" min="49" max="49"/>
    <col width="9" customWidth="1" style="5" min="50" max="50"/>
    <col width="20.625" customWidth="1" style="5" min="51" max="51"/>
    <col width="15.625" customWidth="1" style="5" min="52" max="55"/>
    <col width="15.625" customWidth="1" style="19" min="56" max="57"/>
    <col width="13.75" customWidth="1" style="19" min="58" max="58"/>
    <col width="20.625" customWidth="1" style="631" min="59" max="59"/>
    <col width="15.625" customWidth="1" style="5" min="60" max="63"/>
    <col width="15.625" customWidth="1" style="19" min="64" max="66"/>
    <col width="15.625" customWidth="1" style="5" min="67" max="68"/>
    <col width="15.625" customWidth="1" style="633" min="69" max="69"/>
    <col width="15.625" customWidth="1" style="5" min="70" max="71"/>
    <col width="15.625" customWidth="1" style="19" min="72" max="74"/>
    <col width="15.625" customWidth="1" style="5" min="75" max="79"/>
    <col width="15.625" customWidth="1" style="19" min="80" max="82"/>
    <col width="15.625" customWidth="1" style="5" min="83" max="87"/>
    <col width="15.625" customWidth="1" style="19" min="88" max="90"/>
    <col width="15.625" customWidth="1" style="5" min="91" max="95"/>
    <col width="15.625" customWidth="1" style="19" min="96" max="98"/>
    <col width="15.625" customWidth="1" style="5" min="99" max="103"/>
    <col width="15.625" customWidth="1" style="19" min="104" max="106"/>
    <col width="15.625" customWidth="1" style="23" min="107" max="107"/>
    <col width="15.625" customWidth="1" style="5" min="108" max="111"/>
    <col width="15.625" customWidth="1" style="19" min="112" max="114"/>
    <col width="15.625" customWidth="1" style="5" min="115" max="119"/>
    <col width="15.625" customWidth="1" style="19" min="120" max="122"/>
    <col width="15.625" customWidth="1" style="5" min="123" max="127"/>
    <col width="15.625" customWidth="1" style="19" min="128" max="130"/>
    <col width="15.625" customWidth="1" style="5" min="131" max="135"/>
    <col width="15.625" customWidth="1" style="19" min="136" max="138"/>
    <col width="15.625" customWidth="1" style="5" min="139" max="143"/>
    <col width="15.625" customWidth="1" style="19" min="144" max="154"/>
    <col width="15.625" customWidth="1" style="5" min="155" max="159"/>
    <col width="15.625" customWidth="1" style="19" min="160" max="163"/>
    <col width="15.625" customWidth="1" style="5" min="164" max="164"/>
    <col width="15.625" customWidth="1" style="633" min="165" max="165"/>
    <col width="15.625" customWidth="1" style="5" min="166" max="167"/>
    <col width="15.625" customWidth="1" style="19" min="168" max="170"/>
    <col width="15.625" customWidth="1" style="5" min="171" max="175"/>
    <col width="15.625" customWidth="1" style="19" min="176" max="178"/>
    <col width="15.625" customWidth="1" style="5" min="179" max="183"/>
    <col width="15.625" customWidth="1" style="19" min="184" max="186"/>
    <col width="15.625" customWidth="1" style="5" min="187" max="191"/>
    <col width="15.625" customWidth="1" style="19" min="192" max="194"/>
    <col width="15.625" customWidth="1" style="5" min="195" max="199"/>
    <col width="15.625" customWidth="1" style="19" min="200" max="202"/>
    <col width="15.625" customWidth="1" style="5" min="203" max="207"/>
    <col width="15.625" customWidth="1" style="19" min="208" max="210"/>
    <col width="15.625" customWidth="1" style="5" min="211" max="215"/>
    <col width="15.625" customWidth="1" style="19" min="216" max="218"/>
    <col width="15.625" customWidth="1" style="5" min="219" max="223"/>
    <col width="15.625" customWidth="1" style="19" min="224" max="226"/>
    <col width="15.625" customWidth="1" style="5" min="227" max="231"/>
    <col width="15.625" customWidth="1" style="19" min="232" max="234"/>
    <col width="15.625" customWidth="1" style="5" min="235" max="240"/>
    <col width="15.625" customWidth="1" style="19" min="241" max="242"/>
    <col width="15.625" customWidth="1" style="5" min="243" max="247"/>
    <col width="15.625" customWidth="1" style="19" min="248" max="250"/>
    <col width="15.625" customWidth="1" style="5" min="251" max="255"/>
    <col width="15.625" customWidth="1" style="19" min="256" max="258"/>
    <col width="15.625" customWidth="1" style="5" min="259" max="263"/>
    <col width="15.625" customWidth="1" style="19" min="264" max="266"/>
    <col width="15.625" customWidth="1" style="5" min="267" max="271"/>
    <col width="15.625" customWidth="1" style="19" min="272" max="275"/>
    <col width="15.625" customWidth="1" style="5" min="276" max="279"/>
    <col width="15.625" customWidth="1" style="19" min="280" max="283"/>
    <col width="15.625" customWidth="1" style="5" min="284" max="287"/>
    <col width="15.625" customWidth="1" style="19" min="288" max="294"/>
    <col width="15.625" customWidth="1" style="5" min="295" max="295"/>
    <col width="15.625" customWidth="1" style="19" min="296" max="300"/>
    <col width="15.625" customWidth="1" style="5" min="301" max="303"/>
    <col width="15.625" customWidth="1" style="19" min="304" max="306"/>
    <col width="15.625" customWidth="1" style="5" min="307" max="311"/>
    <col width="15.625" customWidth="1" style="19" min="312" max="314"/>
    <col width="15.625" customWidth="1" style="5" min="315" max="319"/>
    <col width="15.625" customWidth="1" style="19" min="320" max="322"/>
    <col width="15.625" customWidth="1" style="5" min="323" max="324"/>
    <col width="15.625" customWidth="1" style="633" min="325" max="325"/>
    <col width="15.625" customWidth="1" style="5" min="326" max="327"/>
    <col width="15.625" customWidth="1" style="19" min="328" max="330"/>
    <col width="15.625" customWidth="1" style="5" min="331" max="335"/>
    <col width="15.625" customWidth="1" style="19" min="336" max="338"/>
    <col width="15.625" customWidth="1" style="5" min="339" max="343"/>
    <col width="15.625" customWidth="1" style="19" min="344" max="346"/>
    <col width="15.625" customWidth="1" style="5" min="347" max="350"/>
    <col width="19" customWidth="1" style="24" min="351" max="351"/>
    <col width="15.625" customWidth="1" style="5" min="352" max="352"/>
    <col width="15.625" customWidth="1" style="19" min="353" max="357"/>
    <col width="15.625" customWidth="1" style="25" min="358" max="358"/>
    <col width="15.625" customWidth="1" style="5" min="359" max="361"/>
    <col width="15.625" customWidth="1" style="19" min="362" max="366"/>
    <col width="15.625" customWidth="1" style="5" min="367" max="370"/>
    <col width="15.625" customWidth="1" style="19" min="371" max="375"/>
    <col width="15.625" customWidth="1" style="5" min="376" max="380"/>
    <col width="15.625" customWidth="1" style="19" min="381" max="382"/>
    <col width="15.625" customWidth="1" style="5" min="383" max="388"/>
    <col width="15.625" customWidth="1" style="19" min="389" max="390"/>
    <col width="15.625" customWidth="1" style="5" min="391" max="396"/>
    <col width="15.625" customWidth="1" style="19" min="397" max="399"/>
    <col width="15.625" customWidth="1" style="5" min="400" max="404"/>
    <col width="15.625" customWidth="1" style="19" min="405" max="407"/>
    <col width="15.625" customWidth="1" style="5" min="408" max="409"/>
    <col width="15.625" customWidth="1" style="25" min="410" max="410"/>
    <col width="15.625" customWidth="1" style="5" min="411" max="413"/>
    <col width="15.625" customWidth="1" style="19" min="414" max="414"/>
    <col width="15.625" customWidth="1" style="5" min="415" max="16384"/>
  </cols>
  <sheetData>
    <row r="1" ht="100" customFormat="1" customHeight="1" s="1">
      <c r="A1" s="635" t="inlineStr">
        <is>
          <t>列1</t>
        </is>
      </c>
      <c r="B1" s="27" t="inlineStr">
        <is>
          <t>510300沪深300ETF</t>
        </is>
      </c>
      <c r="C1" s="636" t="inlineStr">
        <is>
          <t>列2</t>
        </is>
      </c>
      <c r="D1" s="1" t="inlineStr">
        <is>
          <t>列22</t>
        </is>
      </c>
      <c r="E1" s="1" t="inlineStr">
        <is>
          <t>列3</t>
        </is>
      </c>
      <c r="F1" s="1" t="inlineStr">
        <is>
          <t>列4</t>
        </is>
      </c>
      <c r="G1" s="29" t="inlineStr">
        <is>
          <t>列5</t>
        </is>
      </c>
      <c r="H1" s="29" t="inlineStr">
        <is>
          <t>列6</t>
        </is>
      </c>
      <c r="I1" s="29" t="inlineStr">
        <is>
          <t>列7</t>
        </is>
      </c>
      <c r="J1" s="27" t="inlineStr">
        <is>
          <t>510310易方达300</t>
        </is>
      </c>
      <c r="K1" s="1" t="inlineStr">
        <is>
          <t>列8</t>
        </is>
      </c>
      <c r="L1" s="1" t="inlineStr">
        <is>
          <t>列9</t>
        </is>
      </c>
      <c r="M1" s="1" t="inlineStr">
        <is>
          <t>列10</t>
        </is>
      </c>
      <c r="N1" s="1" t="inlineStr">
        <is>
          <t>列11</t>
        </is>
      </c>
      <c r="O1" s="29" t="inlineStr">
        <is>
          <t>列12</t>
        </is>
      </c>
      <c r="P1" s="29" t="inlineStr">
        <is>
          <t>列13</t>
        </is>
      </c>
      <c r="Q1" s="29" t="inlineStr">
        <is>
          <t>列14</t>
        </is>
      </c>
      <c r="R1" s="27" t="inlineStr">
        <is>
          <t>510050 -  上证50ETF</t>
        </is>
      </c>
      <c r="S1" s="1" t="inlineStr">
        <is>
          <t>列15</t>
        </is>
      </c>
      <c r="T1" s="1" t="inlineStr">
        <is>
          <t>列16</t>
        </is>
      </c>
      <c r="U1" s="1" t="inlineStr">
        <is>
          <t>列17</t>
        </is>
      </c>
      <c r="V1" s="1" t="inlineStr">
        <is>
          <t>列18</t>
        </is>
      </c>
      <c r="W1" s="29" t="inlineStr">
        <is>
          <t>列19</t>
        </is>
      </c>
      <c r="X1" s="29" t="inlineStr">
        <is>
          <t>列20</t>
        </is>
      </c>
      <c r="Y1" s="29" t="inlineStr">
        <is>
          <t>列21</t>
        </is>
      </c>
      <c r="Z1" s="27" t="inlineStr">
        <is>
          <t>510500 -  中证500ETF</t>
        </is>
      </c>
      <c r="AA1" s="1" t="inlineStr">
        <is>
          <t>列23</t>
        </is>
      </c>
      <c r="AB1" s="1" t="inlineStr">
        <is>
          <t>列232</t>
        </is>
      </c>
      <c r="AC1" s="1" t="inlineStr">
        <is>
          <t>列24</t>
        </is>
      </c>
      <c r="AD1" s="1" t="inlineStr">
        <is>
          <t>列25</t>
        </is>
      </c>
      <c r="AE1" s="29" t="inlineStr">
        <is>
          <t>列26</t>
        </is>
      </c>
      <c r="AF1" s="29" t="inlineStr">
        <is>
          <t>列27</t>
        </is>
      </c>
      <c r="AG1" s="29" t="inlineStr">
        <is>
          <t>列28</t>
        </is>
      </c>
      <c r="AH1" s="27" t="inlineStr">
        <is>
          <t>512100 -  中证1000ETF</t>
        </is>
      </c>
      <c r="AI1" s="1" t="inlineStr">
        <is>
          <t>列29</t>
        </is>
      </c>
      <c r="AJ1" s="1" t="inlineStr">
        <is>
          <t>列30</t>
        </is>
      </c>
      <c r="AK1" s="30" t="inlineStr">
        <is>
          <t>列31</t>
        </is>
      </c>
      <c r="AL1" s="1" t="inlineStr">
        <is>
          <t>列32</t>
        </is>
      </c>
      <c r="AM1" s="29" t="inlineStr">
        <is>
          <t>列33</t>
        </is>
      </c>
      <c r="AN1" s="29" t="inlineStr">
        <is>
          <t>列34</t>
        </is>
      </c>
      <c r="AO1" s="29" t="inlineStr">
        <is>
          <t>列35</t>
        </is>
      </c>
      <c r="AP1" s="637" t="inlineStr">
        <is>
          <t>159915 -  创业板</t>
        </is>
      </c>
      <c r="AQ1" s="1" t="inlineStr">
        <is>
          <t>列36</t>
        </is>
      </c>
      <c r="AR1" s="638" t="inlineStr">
        <is>
          <t>列37</t>
        </is>
      </c>
      <c r="AS1" s="1" t="inlineStr">
        <is>
          <t>列38</t>
        </is>
      </c>
      <c r="AT1" s="1" t="inlineStr">
        <is>
          <t>列39</t>
        </is>
      </c>
      <c r="AU1" s="29" t="inlineStr">
        <is>
          <t>列40</t>
        </is>
      </c>
      <c r="AV1" s="29" t="inlineStr">
        <is>
          <t>列41</t>
        </is>
      </c>
      <c r="AW1" s="29" t="inlineStr">
        <is>
          <t>列42</t>
        </is>
      </c>
      <c r="AX1" s="1" t="inlineStr">
        <is>
          <t>列43</t>
        </is>
      </c>
      <c r="AY1" s="27" t="inlineStr">
        <is>
          <t>159919 沪深300ETF嘉实</t>
        </is>
      </c>
      <c r="AZ1" s="1" t="inlineStr">
        <is>
          <t>列44</t>
        </is>
      </c>
      <c r="BA1" s="1" t="inlineStr">
        <is>
          <t>列45</t>
        </is>
      </c>
      <c r="BB1" s="1" t="inlineStr">
        <is>
          <t>列46</t>
        </is>
      </c>
      <c r="BC1" s="1" t="inlineStr">
        <is>
          <t>列47</t>
        </is>
      </c>
      <c r="BD1" s="29" t="inlineStr">
        <is>
          <t>列48</t>
        </is>
      </c>
      <c r="BE1" s="29" t="inlineStr">
        <is>
          <t>列49</t>
        </is>
      </c>
      <c r="BF1" s="29" t="inlineStr">
        <is>
          <t>列50</t>
        </is>
      </c>
      <c r="BG1" s="33" t="inlineStr">
        <is>
          <t>159326 - 电网设备</t>
        </is>
      </c>
      <c r="BH1" s="1" t="inlineStr">
        <is>
          <t>1</t>
        </is>
      </c>
      <c r="BI1" s="1" t="inlineStr">
        <is>
          <t>列51</t>
        </is>
      </c>
      <c r="BJ1" s="1" t="inlineStr">
        <is>
          <t>列52</t>
        </is>
      </c>
      <c r="BK1" s="1" t="inlineStr">
        <is>
          <t>列53</t>
        </is>
      </c>
      <c r="BL1" s="1" t="inlineStr">
        <is>
          <t>列54</t>
        </is>
      </c>
      <c r="BM1" s="29" t="inlineStr">
        <is>
          <t>列55</t>
        </is>
      </c>
      <c r="BN1" s="29" t="inlineStr">
        <is>
          <t>列56</t>
        </is>
      </c>
      <c r="BO1" s="27" t="inlineStr">
        <is>
          <t>159852-软件e</t>
        </is>
      </c>
      <c r="BP1" s="1" t="inlineStr">
        <is>
          <t>2</t>
        </is>
      </c>
      <c r="BQ1" s="1" t="inlineStr">
        <is>
          <t>列57</t>
        </is>
      </c>
      <c r="BR1" s="1" t="inlineStr">
        <is>
          <t>列58</t>
        </is>
      </c>
      <c r="BS1" s="1" t="inlineStr">
        <is>
          <t>列59</t>
        </is>
      </c>
      <c r="BT1" s="1" t="inlineStr">
        <is>
          <t>列60</t>
        </is>
      </c>
      <c r="BU1" s="29" t="inlineStr">
        <is>
          <t>列61</t>
        </is>
      </c>
      <c r="BV1" s="29" t="inlineStr">
        <is>
          <t>列62</t>
        </is>
      </c>
      <c r="BW1" s="27" t="inlineStr">
        <is>
          <t>159870- 化工ETF</t>
        </is>
      </c>
      <c r="BX1" s="1" t="inlineStr">
        <is>
          <t>3</t>
        </is>
      </c>
      <c r="BY1" s="1" t="inlineStr">
        <is>
          <t>列63</t>
        </is>
      </c>
      <c r="BZ1" s="1" t="inlineStr">
        <is>
          <t>列64</t>
        </is>
      </c>
      <c r="CA1" s="1" t="inlineStr">
        <is>
          <t>列65</t>
        </is>
      </c>
      <c r="CB1" s="1" t="inlineStr">
        <is>
          <t>列66</t>
        </is>
      </c>
      <c r="CC1" s="29" t="inlineStr">
        <is>
          <t>列67</t>
        </is>
      </c>
      <c r="CD1" s="29" t="inlineStr">
        <is>
          <t>列68</t>
        </is>
      </c>
      <c r="CE1" s="27" t="inlineStr">
        <is>
          <t>512400有色金属</t>
        </is>
      </c>
      <c r="CF1" s="1" t="inlineStr">
        <is>
          <t>4</t>
        </is>
      </c>
      <c r="CG1" s="1" t="inlineStr">
        <is>
          <t>列69</t>
        </is>
      </c>
      <c r="CH1" s="1" t="inlineStr">
        <is>
          <t>列70</t>
        </is>
      </c>
      <c r="CI1" s="1" t="inlineStr">
        <is>
          <t>列71</t>
        </is>
      </c>
      <c r="CJ1" s="1" t="inlineStr">
        <is>
          <t>列72</t>
        </is>
      </c>
      <c r="CK1" s="29" t="inlineStr">
        <is>
          <t>列73</t>
        </is>
      </c>
      <c r="CL1" s="29" t="inlineStr">
        <is>
          <t>列74</t>
        </is>
      </c>
      <c r="CM1" s="27" t="inlineStr">
        <is>
          <t>516650有色金属ETF</t>
        </is>
      </c>
      <c r="CN1" s="1" t="inlineStr">
        <is>
          <t>5</t>
        </is>
      </c>
      <c r="CO1" s="1" t="inlineStr">
        <is>
          <t>列75</t>
        </is>
      </c>
      <c r="CP1" s="1" t="inlineStr">
        <is>
          <t>列76</t>
        </is>
      </c>
      <c r="CQ1" s="1" t="inlineStr">
        <is>
          <t>列77</t>
        </is>
      </c>
      <c r="CR1" s="1" t="inlineStr">
        <is>
          <t>列78</t>
        </is>
      </c>
      <c r="CS1" s="29" t="inlineStr">
        <is>
          <t>列79</t>
        </is>
      </c>
      <c r="CT1" s="29" t="inlineStr">
        <is>
          <t>列80</t>
        </is>
      </c>
      <c r="CU1" s="27" t="inlineStr">
        <is>
          <t>517520 - 黄金股</t>
        </is>
      </c>
      <c r="CV1" s="1" t="inlineStr">
        <is>
          <t>6</t>
        </is>
      </c>
      <c r="CW1" s="1" t="inlineStr">
        <is>
          <t>列81</t>
        </is>
      </c>
      <c r="CX1" s="1" t="inlineStr">
        <is>
          <t>列82</t>
        </is>
      </c>
      <c r="CY1" s="1" t="inlineStr">
        <is>
          <t>列83</t>
        </is>
      </c>
      <c r="CZ1" s="1" t="inlineStr">
        <is>
          <t>列84</t>
        </is>
      </c>
      <c r="DA1" s="29" t="inlineStr">
        <is>
          <t>列85</t>
        </is>
      </c>
      <c r="DB1" s="29" t="inlineStr">
        <is>
          <t>列86</t>
        </is>
      </c>
      <c r="DC1" s="34" t="inlineStr">
        <is>
          <t>159516 半导体设备ETF</t>
        </is>
      </c>
      <c r="DD1" s="35" t="inlineStr">
        <is>
          <t>7</t>
        </is>
      </c>
      <c r="DE1" s="1" t="inlineStr">
        <is>
          <t>列87</t>
        </is>
      </c>
      <c r="DF1" s="1" t="inlineStr">
        <is>
          <t>列88</t>
        </is>
      </c>
      <c r="DG1" s="1" t="inlineStr">
        <is>
          <t>列89</t>
        </is>
      </c>
      <c r="DH1" s="1" t="inlineStr">
        <is>
          <t>列90</t>
        </is>
      </c>
      <c r="DI1" s="29" t="inlineStr">
        <is>
          <t>列91</t>
        </is>
      </c>
      <c r="DJ1" s="29" t="inlineStr">
        <is>
          <t>列92</t>
        </is>
      </c>
      <c r="DK1" s="27" t="inlineStr">
        <is>
          <t>512480 - 半导体</t>
        </is>
      </c>
      <c r="DL1" s="1" t="inlineStr">
        <is>
          <t>8</t>
        </is>
      </c>
      <c r="DM1" s="1" t="inlineStr">
        <is>
          <t>列93</t>
        </is>
      </c>
      <c r="DN1" s="1" t="inlineStr">
        <is>
          <t>列94</t>
        </is>
      </c>
      <c r="DO1" s="1" t="inlineStr">
        <is>
          <t>列95</t>
        </is>
      </c>
      <c r="DP1" s="1" t="inlineStr">
        <is>
          <t>列96</t>
        </is>
      </c>
      <c r="DQ1" s="29" t="inlineStr">
        <is>
          <t>列97</t>
        </is>
      </c>
      <c r="DR1" s="29" t="inlineStr">
        <is>
          <t>列98</t>
        </is>
      </c>
      <c r="DS1" s="27" t="inlineStr">
        <is>
          <t>588200 - 科创芯片</t>
        </is>
      </c>
      <c r="DT1" s="1" t="inlineStr">
        <is>
          <t>9</t>
        </is>
      </c>
      <c r="DU1" s="1" t="inlineStr">
        <is>
          <t>列99</t>
        </is>
      </c>
      <c r="DV1" s="1" t="inlineStr">
        <is>
          <t>列100</t>
        </is>
      </c>
      <c r="DW1" s="1" t="inlineStr">
        <is>
          <t>列101</t>
        </is>
      </c>
      <c r="DX1" s="1" t="inlineStr">
        <is>
          <t>列102</t>
        </is>
      </c>
      <c r="DY1" s="29" t="inlineStr">
        <is>
          <t>列103</t>
        </is>
      </c>
      <c r="DZ1" s="29" t="inlineStr">
        <is>
          <t>列104</t>
        </is>
      </c>
      <c r="EA1" s="27" t="inlineStr">
        <is>
          <t>588000 - 科创50</t>
        </is>
      </c>
      <c r="EB1" s="1" t="inlineStr">
        <is>
          <t>10</t>
        </is>
      </c>
      <c r="EC1" s="1" t="inlineStr">
        <is>
          <t>列105</t>
        </is>
      </c>
      <c r="ED1" s="1" t="inlineStr">
        <is>
          <t>列106</t>
        </is>
      </c>
      <c r="EE1" s="1" t="inlineStr">
        <is>
          <t>列107</t>
        </is>
      </c>
      <c r="EF1" s="1" t="inlineStr">
        <is>
          <t>列108</t>
        </is>
      </c>
      <c r="EG1" s="29" t="inlineStr">
        <is>
          <t>列109</t>
        </is>
      </c>
      <c r="EH1" s="29" t="inlineStr">
        <is>
          <t>列110</t>
        </is>
      </c>
      <c r="EI1" s="27" t="inlineStr">
        <is>
          <t>159819 - AI智能</t>
        </is>
      </c>
      <c r="EJ1" s="36" t="inlineStr">
        <is>
          <t>11</t>
        </is>
      </c>
      <c r="EK1" s="1" t="inlineStr">
        <is>
          <t>列111</t>
        </is>
      </c>
      <c r="EL1" s="1" t="inlineStr">
        <is>
          <t>列112</t>
        </is>
      </c>
      <c r="EM1" s="1" t="inlineStr">
        <is>
          <t>列113</t>
        </is>
      </c>
      <c r="EN1" s="1" t="inlineStr">
        <is>
          <t>列114</t>
        </is>
      </c>
      <c r="EO1" s="29" t="inlineStr">
        <is>
          <t>列115</t>
        </is>
      </c>
      <c r="EP1" s="29" t="inlineStr">
        <is>
          <t>列116</t>
        </is>
      </c>
      <c r="EQ1" s="37" t="inlineStr">
        <is>
          <t>515070 人工智能AIETF</t>
        </is>
      </c>
      <c r="ER1" s="1" t="inlineStr">
        <is>
          <t>12</t>
        </is>
      </c>
      <c r="ES1" s="1" t="inlineStr">
        <is>
          <t>列117</t>
        </is>
      </c>
      <c r="ET1" s="1" t="inlineStr">
        <is>
          <t>列118</t>
        </is>
      </c>
      <c r="EU1" s="1" t="inlineStr">
        <is>
          <t>列119</t>
        </is>
      </c>
      <c r="EV1" s="1" t="inlineStr">
        <is>
          <t>列120</t>
        </is>
      </c>
      <c r="EW1" s="29" t="inlineStr">
        <is>
          <t>列121</t>
        </is>
      </c>
      <c r="EX1" s="29" t="inlineStr">
        <is>
          <t>列122</t>
        </is>
      </c>
      <c r="EY1" s="27" t="inlineStr">
        <is>
          <t>512660 - 军工ETF</t>
        </is>
      </c>
      <c r="EZ1" s="36" t="inlineStr">
        <is>
          <t>13</t>
        </is>
      </c>
      <c r="FA1" s="1" t="inlineStr">
        <is>
          <t>列123</t>
        </is>
      </c>
      <c r="FB1" s="1" t="inlineStr">
        <is>
          <t>列124</t>
        </is>
      </c>
      <c r="FC1" s="1" t="inlineStr">
        <is>
          <t>列125</t>
        </is>
      </c>
      <c r="FD1" s="1" t="inlineStr">
        <is>
          <t>列126</t>
        </is>
      </c>
      <c r="FE1" s="29" t="inlineStr">
        <is>
          <t>列127</t>
        </is>
      </c>
      <c r="FF1" s="29" t="inlineStr">
        <is>
          <t>列3236</t>
        </is>
      </c>
      <c r="FG1" s="27" t="inlineStr">
        <is>
          <t>159206 卫星ETF</t>
        </is>
      </c>
      <c r="FH1" s="36" t="inlineStr">
        <is>
          <t>14</t>
        </is>
      </c>
      <c r="FI1" s="1" t="inlineStr">
        <is>
          <t>列129</t>
        </is>
      </c>
      <c r="FJ1" s="1" t="inlineStr">
        <is>
          <t>列130</t>
        </is>
      </c>
      <c r="FK1" s="1" t="inlineStr">
        <is>
          <t>列131</t>
        </is>
      </c>
      <c r="FL1" s="1" t="inlineStr">
        <is>
          <t>列132</t>
        </is>
      </c>
      <c r="FM1" s="38" t="inlineStr">
        <is>
          <t>列128</t>
        </is>
      </c>
      <c r="FN1" s="38" t="inlineStr">
        <is>
          <t>列134</t>
        </is>
      </c>
      <c r="FO1" s="27" t="inlineStr">
        <is>
          <t>562500 - 机器人</t>
        </is>
      </c>
      <c r="FP1" s="36" t="inlineStr">
        <is>
          <t>15</t>
        </is>
      </c>
      <c r="FQ1" s="1" t="inlineStr">
        <is>
          <t>列135</t>
        </is>
      </c>
      <c r="FR1" s="1" t="inlineStr">
        <is>
          <t>列136</t>
        </is>
      </c>
      <c r="FS1" s="1" t="inlineStr">
        <is>
          <t>列137</t>
        </is>
      </c>
      <c r="FT1" s="1" t="inlineStr">
        <is>
          <t>列138</t>
        </is>
      </c>
      <c r="FU1" s="29" t="inlineStr">
        <is>
          <t>列133</t>
        </is>
      </c>
      <c r="FV1" s="29" t="inlineStr">
        <is>
          <t>列140</t>
        </is>
      </c>
      <c r="FW1" s="27" t="inlineStr">
        <is>
          <t>512170 - 医疗ETF</t>
        </is>
      </c>
      <c r="FX1" s="1" t="inlineStr">
        <is>
          <t>16</t>
        </is>
      </c>
      <c r="FY1" s="1" t="inlineStr">
        <is>
          <t>列141</t>
        </is>
      </c>
      <c r="FZ1" s="1" t="inlineStr">
        <is>
          <t>列142</t>
        </is>
      </c>
      <c r="GA1" s="1" t="inlineStr">
        <is>
          <t>列143</t>
        </is>
      </c>
      <c r="GB1" s="1" t="inlineStr">
        <is>
          <t>列144</t>
        </is>
      </c>
      <c r="GC1" s="29" t="inlineStr">
        <is>
          <t>列139</t>
        </is>
      </c>
      <c r="GD1" s="29" t="inlineStr">
        <is>
          <t>列146</t>
        </is>
      </c>
      <c r="GE1" s="27" t="inlineStr">
        <is>
          <t>512010 - 医药ETF</t>
        </is>
      </c>
      <c r="GF1" s="36" t="inlineStr">
        <is>
          <t>17</t>
        </is>
      </c>
      <c r="GG1" s="1" t="inlineStr">
        <is>
          <t>列147</t>
        </is>
      </c>
      <c r="GH1" s="1" t="inlineStr">
        <is>
          <t>列148</t>
        </is>
      </c>
      <c r="GI1" s="1" t="inlineStr">
        <is>
          <t>列149</t>
        </is>
      </c>
      <c r="GJ1" s="1" t="inlineStr">
        <is>
          <t>列150</t>
        </is>
      </c>
      <c r="GK1" s="29" t="inlineStr">
        <is>
          <t>列145</t>
        </is>
      </c>
      <c r="GL1" s="29" t="inlineStr">
        <is>
          <t>列152</t>
        </is>
      </c>
      <c r="GM1" s="27" t="inlineStr">
        <is>
          <t>159992 - 创新药</t>
        </is>
      </c>
      <c r="GN1" s="1" t="inlineStr">
        <is>
          <t>18</t>
        </is>
      </c>
      <c r="GO1" s="1" t="inlineStr">
        <is>
          <t>列153</t>
        </is>
      </c>
      <c r="GP1" s="1" t="inlineStr">
        <is>
          <t>列154</t>
        </is>
      </c>
      <c r="GQ1" s="1" t="inlineStr">
        <is>
          <t>列155</t>
        </is>
      </c>
      <c r="GR1" s="1" t="inlineStr">
        <is>
          <t>列156</t>
        </is>
      </c>
      <c r="GS1" s="29" t="inlineStr">
        <is>
          <t>列151</t>
        </is>
      </c>
      <c r="GT1" s="29" t="inlineStr">
        <is>
          <t>列158</t>
        </is>
      </c>
      <c r="GU1" s="27" t="inlineStr">
        <is>
          <t>515790 - 光伏ETF</t>
        </is>
      </c>
      <c r="GV1" s="36" t="inlineStr">
        <is>
          <t>19</t>
        </is>
      </c>
      <c r="GW1" s="1" t="inlineStr">
        <is>
          <t>列159</t>
        </is>
      </c>
      <c r="GX1" s="1" t="inlineStr">
        <is>
          <t>列160</t>
        </is>
      </c>
      <c r="GY1" s="1" t="inlineStr">
        <is>
          <t>列161</t>
        </is>
      </c>
      <c r="GZ1" s="1" t="inlineStr">
        <is>
          <t>列162</t>
        </is>
      </c>
      <c r="HA1" s="29" t="inlineStr">
        <is>
          <t>列157</t>
        </is>
      </c>
      <c r="HB1" s="29" t="inlineStr">
        <is>
          <t>列164</t>
        </is>
      </c>
      <c r="HC1" s="27" t="inlineStr">
        <is>
          <t>159755 - 电池ETF</t>
        </is>
      </c>
      <c r="HD1" s="1" t="inlineStr">
        <is>
          <t>20</t>
        </is>
      </c>
      <c r="HE1" s="1" t="inlineStr">
        <is>
          <t>列165</t>
        </is>
      </c>
      <c r="HF1" s="1" t="inlineStr">
        <is>
          <t>列166</t>
        </is>
      </c>
      <c r="HG1" s="1" t="inlineStr">
        <is>
          <t>列167</t>
        </is>
      </c>
      <c r="HH1" s="1" t="inlineStr">
        <is>
          <t>列168</t>
        </is>
      </c>
      <c r="HI1" s="29" t="inlineStr">
        <is>
          <t>列163</t>
        </is>
      </c>
      <c r="HJ1" s="29" t="inlineStr">
        <is>
          <t>列170</t>
        </is>
      </c>
      <c r="HK1" s="27" t="inlineStr">
        <is>
          <t>516970 - 基建50</t>
        </is>
      </c>
      <c r="HL1" s="1" t="inlineStr">
        <is>
          <t>21</t>
        </is>
      </c>
      <c r="HM1" s="1" t="inlineStr">
        <is>
          <t>列171</t>
        </is>
      </c>
      <c r="HN1" s="1" t="inlineStr">
        <is>
          <t>列172</t>
        </is>
      </c>
      <c r="HO1" s="1" t="inlineStr">
        <is>
          <t>列173</t>
        </is>
      </c>
      <c r="HP1" s="1" t="inlineStr">
        <is>
          <t>列174</t>
        </is>
      </c>
      <c r="HQ1" s="29" t="inlineStr">
        <is>
          <t>列169</t>
        </is>
      </c>
      <c r="HR1" s="29" t="inlineStr">
        <is>
          <t>列176</t>
        </is>
      </c>
      <c r="HS1" s="27" t="inlineStr">
        <is>
          <t>159745 - 建材ETF</t>
        </is>
      </c>
      <c r="HT1" s="36" t="inlineStr">
        <is>
          <t>22</t>
        </is>
      </c>
      <c r="HU1" s="1" t="inlineStr">
        <is>
          <t>列177</t>
        </is>
      </c>
      <c r="HV1" s="1" t="inlineStr">
        <is>
          <t>列178</t>
        </is>
      </c>
      <c r="HW1" s="1" t="inlineStr">
        <is>
          <t>列179</t>
        </is>
      </c>
      <c r="HX1" s="1" t="inlineStr">
        <is>
          <t>列180</t>
        </is>
      </c>
      <c r="HY1" s="29" t="inlineStr">
        <is>
          <t>列175</t>
        </is>
      </c>
      <c r="HZ1" s="29" t="inlineStr">
        <is>
          <t>列182</t>
        </is>
      </c>
      <c r="IA1" s="39" t="inlineStr">
        <is>
          <t>512200 房地产ETF</t>
        </is>
      </c>
      <c r="IB1" s="40" t="inlineStr">
        <is>
          <t>23</t>
        </is>
      </c>
      <c r="IC1" s="41" t="inlineStr">
        <is>
          <t>列183</t>
        </is>
      </c>
      <c r="ID1" s="41" t="inlineStr">
        <is>
          <t>列184</t>
        </is>
      </c>
      <c r="IE1" s="41" t="inlineStr">
        <is>
          <t>列185</t>
        </is>
      </c>
      <c r="IF1" s="41" t="inlineStr">
        <is>
          <t>列186</t>
        </is>
      </c>
      <c r="IG1" s="38" t="inlineStr">
        <is>
          <t>列181</t>
        </is>
      </c>
      <c r="IH1" s="29" t="inlineStr">
        <is>
          <t>列188</t>
        </is>
      </c>
      <c r="II1" s="27" t="inlineStr">
        <is>
          <t>159611 - 电力ETF</t>
        </is>
      </c>
      <c r="IJ1" s="1" t="inlineStr">
        <is>
          <t>24</t>
        </is>
      </c>
      <c r="IK1" s="1" t="inlineStr">
        <is>
          <t>列189</t>
        </is>
      </c>
      <c r="IL1" s="1" t="inlineStr">
        <is>
          <t>列190</t>
        </is>
      </c>
      <c r="IM1" s="1" t="inlineStr">
        <is>
          <t>列191</t>
        </is>
      </c>
      <c r="IN1" s="1" t="inlineStr">
        <is>
          <t>列192</t>
        </is>
      </c>
      <c r="IO1" s="29" t="inlineStr">
        <is>
          <t>列187</t>
        </is>
      </c>
      <c r="IP1" s="29" t="inlineStr">
        <is>
          <t>列194</t>
        </is>
      </c>
      <c r="IQ1" s="27" t="inlineStr">
        <is>
          <t>516510 - 云计算</t>
        </is>
      </c>
      <c r="IR1" s="1" t="inlineStr">
        <is>
          <t>25</t>
        </is>
      </c>
      <c r="IS1" s="1" t="inlineStr">
        <is>
          <t>列195</t>
        </is>
      </c>
      <c r="IT1" s="1" t="inlineStr">
        <is>
          <t>列196</t>
        </is>
      </c>
      <c r="IU1" s="1" t="inlineStr">
        <is>
          <t>列197</t>
        </is>
      </c>
      <c r="IV1" s="1" t="inlineStr">
        <is>
          <t>列198</t>
        </is>
      </c>
      <c r="IW1" s="29" t="inlineStr">
        <is>
          <t>列193</t>
        </is>
      </c>
      <c r="IX1" s="29" t="inlineStr">
        <is>
          <t>列200</t>
        </is>
      </c>
      <c r="IY1" s="27" t="inlineStr">
        <is>
          <t>512880 - 证券ETF</t>
        </is>
      </c>
      <c r="IZ1" s="1" t="inlineStr">
        <is>
          <t>26</t>
        </is>
      </c>
      <c r="JA1" s="1" t="inlineStr">
        <is>
          <t>列201</t>
        </is>
      </c>
      <c r="JB1" s="1" t="inlineStr">
        <is>
          <t>列202</t>
        </is>
      </c>
      <c r="JC1" s="1" t="inlineStr">
        <is>
          <t>列203</t>
        </is>
      </c>
      <c r="JD1" s="1" t="inlineStr">
        <is>
          <t>列204</t>
        </is>
      </c>
      <c r="JE1" s="29" t="inlineStr">
        <is>
          <t>列199</t>
        </is>
      </c>
      <c r="JF1" s="29" t="inlineStr">
        <is>
          <t>列206</t>
        </is>
      </c>
      <c r="JG1" s="27" t="inlineStr">
        <is>
          <t>512800 - 银行ETF</t>
        </is>
      </c>
      <c r="JH1" s="36" t="inlineStr">
        <is>
          <t>27</t>
        </is>
      </c>
      <c r="JI1" s="1" t="inlineStr">
        <is>
          <t>列207</t>
        </is>
      </c>
      <c r="JJ1" s="1" t="inlineStr">
        <is>
          <t>列208</t>
        </is>
      </c>
      <c r="JK1" s="1" t="inlineStr">
        <is>
          <t>列209</t>
        </is>
      </c>
      <c r="JL1" s="1" t="inlineStr">
        <is>
          <t>列210</t>
        </is>
      </c>
      <c r="JM1" s="29" t="inlineStr">
        <is>
          <t>列205</t>
        </is>
      </c>
      <c r="JN1" s="29" t="inlineStr">
        <is>
          <t>列3250</t>
        </is>
      </c>
      <c r="JO1" s="27" t="inlineStr">
        <is>
          <t>159851 - 金融科技ETF</t>
        </is>
      </c>
      <c r="JP1" s="1" t="inlineStr">
        <is>
          <t>28</t>
        </is>
      </c>
      <c r="JQ1" s="1" t="inlineStr">
        <is>
          <t>列213</t>
        </is>
      </c>
      <c r="JR1" s="1" t="inlineStr">
        <is>
          <t>列214</t>
        </is>
      </c>
      <c r="JS1" s="1" t="inlineStr">
        <is>
          <t>列215</t>
        </is>
      </c>
      <c r="JT1" s="1" t="inlineStr">
        <is>
          <t>列216</t>
        </is>
      </c>
      <c r="JU1" s="29" t="inlineStr">
        <is>
          <t>列211</t>
        </is>
      </c>
      <c r="JV1" s="29" t="inlineStr">
        <is>
          <t>列3251</t>
        </is>
      </c>
      <c r="JW1" s="27" t="inlineStr">
        <is>
          <t>513090 - 香港证券</t>
        </is>
      </c>
      <c r="JX1" s="42" t="inlineStr">
        <is>
          <t>29</t>
        </is>
      </c>
      <c r="JY1" s="1" t="inlineStr">
        <is>
          <t>列219</t>
        </is>
      </c>
      <c r="JZ1" s="1" t="inlineStr">
        <is>
          <t>列220</t>
        </is>
      </c>
      <c r="KA1" s="1" t="inlineStr">
        <is>
          <t>列221</t>
        </is>
      </c>
      <c r="KB1" s="1" t="inlineStr">
        <is>
          <t>列2222</t>
        </is>
      </c>
      <c r="KC1" s="29" t="inlineStr">
        <is>
          <t>列212</t>
        </is>
      </c>
      <c r="KD1" s="29" t="inlineStr">
        <is>
          <t>列3252</t>
        </is>
      </c>
      <c r="KE1" s="43" t="inlineStr">
        <is>
          <t>159920 - 恒生ETF</t>
        </is>
      </c>
      <c r="KF1" s="1" t="inlineStr">
        <is>
          <t>30</t>
        </is>
      </c>
      <c r="KG1" s="1" t="inlineStr">
        <is>
          <t>列225</t>
        </is>
      </c>
      <c r="KH1" s="1" t="inlineStr">
        <is>
          <t>列226</t>
        </is>
      </c>
      <c r="KI1" s="1" t="inlineStr">
        <is>
          <t>列227</t>
        </is>
      </c>
      <c r="KJ1" s="1" t="inlineStr">
        <is>
          <t>列228</t>
        </is>
      </c>
      <c r="KK1" s="29" t="inlineStr">
        <is>
          <t>列217</t>
        </is>
      </c>
      <c r="KL1" s="29" t="inlineStr">
        <is>
          <t>列230</t>
        </is>
      </c>
      <c r="KM1" s="44" t="inlineStr">
        <is>
          <t>513180 - 恒指科技</t>
        </is>
      </c>
      <c r="KN1" s="45" t="inlineStr">
        <is>
          <t>31</t>
        </is>
      </c>
      <c r="KO1" s="1" t="inlineStr">
        <is>
          <t>列231</t>
        </is>
      </c>
      <c r="KP1" s="1" t="inlineStr">
        <is>
          <t>列2322</t>
        </is>
      </c>
      <c r="KQ1" s="1" t="inlineStr">
        <is>
          <t>列233</t>
        </is>
      </c>
      <c r="KR1" s="1" t="inlineStr">
        <is>
          <t>列234</t>
        </is>
      </c>
      <c r="KS1" s="29" t="inlineStr">
        <is>
          <t>列218</t>
        </is>
      </c>
      <c r="KT1" s="29" t="inlineStr">
        <is>
          <t>列236</t>
        </is>
      </c>
      <c r="KU1" s="27" t="inlineStr">
        <is>
          <t>159567 港股创新药ETF</t>
        </is>
      </c>
      <c r="KV1" s="1" t="inlineStr">
        <is>
          <t>32</t>
        </is>
      </c>
      <c r="KW1" s="1" t="inlineStr">
        <is>
          <t>列237</t>
        </is>
      </c>
      <c r="KX1" s="1" t="inlineStr">
        <is>
          <t>列238</t>
        </is>
      </c>
      <c r="KY1" s="1" t="inlineStr">
        <is>
          <t>列239</t>
        </is>
      </c>
      <c r="KZ1" s="1" t="inlineStr">
        <is>
          <t>列240</t>
        </is>
      </c>
      <c r="LA1" s="29" t="inlineStr">
        <is>
          <t>列222</t>
        </is>
      </c>
      <c r="LB1" s="29" t="inlineStr">
        <is>
          <t>列242</t>
        </is>
      </c>
      <c r="LC1" s="27" t="inlineStr">
        <is>
          <t>516150 - 稀土基金</t>
        </is>
      </c>
      <c r="LD1" s="1" t="inlineStr">
        <is>
          <t>33</t>
        </is>
      </c>
      <c r="LE1" s="1" t="inlineStr">
        <is>
          <t>列243</t>
        </is>
      </c>
      <c r="LF1" s="1" t="inlineStr">
        <is>
          <t>列244</t>
        </is>
      </c>
      <c r="LG1" s="1" t="inlineStr">
        <is>
          <t>列245</t>
        </is>
      </c>
      <c r="LH1" s="1" t="inlineStr">
        <is>
          <t>列246</t>
        </is>
      </c>
      <c r="LI1" s="29" t="inlineStr">
        <is>
          <t>列223</t>
        </is>
      </c>
      <c r="LJ1" s="29" t="inlineStr">
        <is>
          <t>列248</t>
        </is>
      </c>
      <c r="LK1" s="27" t="inlineStr">
        <is>
          <t>512690 - 酒ETF</t>
        </is>
      </c>
      <c r="LL1" s="36" t="inlineStr">
        <is>
          <t>34</t>
        </is>
      </c>
      <c r="LM1" s="1" t="inlineStr">
        <is>
          <t>列249</t>
        </is>
      </c>
      <c r="LN1" s="1" t="inlineStr">
        <is>
          <t>列250</t>
        </is>
      </c>
      <c r="LO1" s="1" t="inlineStr">
        <is>
          <t>列251</t>
        </is>
      </c>
      <c r="LP1" s="1" t="inlineStr">
        <is>
          <t>列252</t>
        </is>
      </c>
      <c r="LQ1" s="29" t="inlineStr">
        <is>
          <t>列224</t>
        </is>
      </c>
      <c r="LR1" s="29" t="inlineStr">
        <is>
          <t>列254</t>
        </is>
      </c>
      <c r="LS1" s="27" t="inlineStr">
        <is>
          <t>159928 - 消费ETF</t>
        </is>
      </c>
      <c r="LT1" s="1" t="inlineStr">
        <is>
          <t>35</t>
        </is>
      </c>
      <c r="LU1" s="1" t="inlineStr">
        <is>
          <t>列255</t>
        </is>
      </c>
      <c r="LV1" s="1" t="inlineStr">
        <is>
          <t>列256</t>
        </is>
      </c>
      <c r="LW1" s="1" t="inlineStr">
        <is>
          <t>列257</t>
        </is>
      </c>
      <c r="LX1" s="1" t="inlineStr">
        <is>
          <t>列258</t>
        </is>
      </c>
      <c r="LY1" s="29" t="inlineStr">
        <is>
          <t>列229</t>
        </is>
      </c>
      <c r="LZ1" s="29" t="inlineStr">
        <is>
          <t>列260</t>
        </is>
      </c>
      <c r="MA1" s="27" t="inlineStr">
        <is>
          <t>515220 - 煤炭ETF</t>
        </is>
      </c>
      <c r="MB1" s="1" t="inlineStr">
        <is>
          <t>36</t>
        </is>
      </c>
      <c r="MC1" s="1" t="inlineStr">
        <is>
          <t>列261</t>
        </is>
      </c>
      <c r="MD1" s="1" t="inlineStr">
        <is>
          <t>列262</t>
        </is>
      </c>
      <c r="ME1" s="1" t="inlineStr">
        <is>
          <t>列263</t>
        </is>
      </c>
      <c r="MF1" s="1" t="inlineStr">
        <is>
          <t>列264</t>
        </is>
      </c>
      <c r="MG1" s="29" t="inlineStr">
        <is>
          <t>列235</t>
        </is>
      </c>
      <c r="MH1" s="38" t="inlineStr">
        <is>
          <t>列266</t>
        </is>
      </c>
      <c r="MI1" s="1" t="inlineStr">
        <is>
          <t>列267</t>
        </is>
      </c>
      <c r="MJ1" s="37" t="inlineStr">
        <is>
          <t>159998 计算机ETF</t>
        </is>
      </c>
      <c r="MK1" s="1" t="inlineStr">
        <is>
          <t>37</t>
        </is>
      </c>
      <c r="ML1" s="1" t="inlineStr">
        <is>
          <t>列269</t>
        </is>
      </c>
      <c r="MM1" s="46" t="inlineStr">
        <is>
          <t>列270</t>
        </is>
      </c>
      <c r="MN1" s="1" t="inlineStr">
        <is>
          <t>列271</t>
        </is>
      </c>
      <c r="MO1" s="1" t="inlineStr">
        <is>
          <t>列272</t>
        </is>
      </c>
      <c r="MP1" s="29" t="inlineStr">
        <is>
          <t>列241</t>
        </is>
      </c>
      <c r="MQ1" s="29" t="inlineStr">
        <is>
          <t>列274</t>
        </is>
      </c>
      <c r="MR1" s="29" t="inlineStr">
        <is>
          <t>列275</t>
        </is>
      </c>
      <c r="MS1" s="47" t="inlineStr">
        <is>
          <t xml:space="preserve">561360 石油ETF </t>
        </is>
      </c>
      <c r="MT1" s="48" t="inlineStr">
        <is>
          <t>38</t>
        </is>
      </c>
      <c r="MU1" s="1" t="inlineStr">
        <is>
          <t>列277</t>
        </is>
      </c>
      <c r="MV1" s="1" t="inlineStr">
        <is>
          <t>列278</t>
        </is>
      </c>
      <c r="MW1" s="1" t="inlineStr">
        <is>
          <t>列279</t>
        </is>
      </c>
      <c r="MX1" s="1" t="inlineStr">
        <is>
          <t>列280</t>
        </is>
      </c>
      <c r="MY1" s="29" t="inlineStr">
        <is>
          <t>列247</t>
        </is>
      </c>
      <c r="MZ1" s="29" t="inlineStr">
        <is>
          <t>列282</t>
        </is>
      </c>
      <c r="NA1" s="29" t="inlineStr">
        <is>
          <t>列283</t>
        </is>
      </c>
      <c r="NB1" s="27" t="inlineStr">
        <is>
          <t xml:space="preserve">510170 大宗商品ETF </t>
        </is>
      </c>
      <c r="NC1" s="1" t="inlineStr">
        <is>
          <t>39</t>
        </is>
      </c>
      <c r="ND1" s="1" t="inlineStr">
        <is>
          <t>列285</t>
        </is>
      </c>
      <c r="NE1" s="1" t="inlineStr">
        <is>
          <t>列286</t>
        </is>
      </c>
      <c r="NF1" s="1" t="inlineStr">
        <is>
          <t>列287</t>
        </is>
      </c>
      <c r="NG1" s="1" t="inlineStr">
        <is>
          <t>列288</t>
        </is>
      </c>
      <c r="NH1" s="29" t="inlineStr">
        <is>
          <t>列253</t>
        </is>
      </c>
      <c r="NI1" s="29" t="inlineStr">
        <is>
          <t>列290</t>
        </is>
      </c>
      <c r="NJ1" s="29" t="inlineStr">
        <is>
          <t>列291</t>
        </is>
      </c>
      <c r="NK1" s="29" t="inlineStr">
        <is>
          <t>列292</t>
        </is>
      </c>
      <c r="NL1" s="49" t="inlineStr">
        <is>
          <t>红利低波ETF 512890</t>
        </is>
      </c>
      <c r="NM1" s="1" t="inlineStr">
        <is>
          <t>40</t>
        </is>
      </c>
      <c r="NN1" s="1" t="inlineStr">
        <is>
          <t>列294</t>
        </is>
      </c>
      <c r="NO1" s="1" t="inlineStr">
        <is>
          <t>列295</t>
        </is>
      </c>
      <c r="NP1" s="1" t="inlineStr">
        <is>
          <t>列296</t>
        </is>
      </c>
      <c r="NQ1" s="29" t="inlineStr">
        <is>
          <t>列297</t>
        </is>
      </c>
      <c r="NR1" s="29" t="inlineStr">
        <is>
          <t>列259</t>
        </is>
      </c>
      <c r="NS1" s="1" t="inlineStr">
        <is>
          <t>列299</t>
        </is>
      </c>
      <c r="NT1" s="49" t="inlineStr">
        <is>
          <t>中药ETF 560080</t>
        </is>
      </c>
      <c r="NU1" s="1" t="inlineStr">
        <is>
          <t>41</t>
        </is>
      </c>
      <c r="NV1" s="1" t="inlineStr">
        <is>
          <t>列300</t>
        </is>
      </c>
      <c r="NW1" s="1" t="inlineStr">
        <is>
          <t>列301</t>
        </is>
      </c>
      <c r="NX1" s="1" t="inlineStr">
        <is>
          <t>列302</t>
        </is>
      </c>
      <c r="NY1" s="29" t="inlineStr">
        <is>
          <t>列303</t>
        </is>
      </c>
      <c r="NZ1" s="29" t="inlineStr">
        <is>
          <t>列265</t>
        </is>
      </c>
      <c r="OA1" s="1" t="inlineStr">
        <is>
          <t>列305</t>
        </is>
      </c>
      <c r="OB1" s="27" t="inlineStr">
        <is>
          <t>511130 - 国债30年</t>
        </is>
      </c>
      <c r="OC1" s="1" t="inlineStr">
        <is>
          <t>42</t>
        </is>
      </c>
      <c r="OD1" s="1" t="inlineStr">
        <is>
          <t>列306</t>
        </is>
      </c>
      <c r="OE1" s="1" t="inlineStr">
        <is>
          <t>列307</t>
        </is>
      </c>
      <c r="OF1" s="1" t="inlineStr">
        <is>
          <t>列308</t>
        </is>
      </c>
      <c r="OG1" s="1" t="inlineStr">
        <is>
          <t>列309</t>
        </is>
      </c>
      <c r="OH1" s="29" t="inlineStr">
        <is>
          <t>列268</t>
        </is>
      </c>
      <c r="OI1" s="29" t="inlineStr">
        <is>
          <t>列311</t>
        </is>
      </c>
      <c r="OJ1" s="50" t="inlineStr">
        <is>
          <t>511260-十年国债</t>
        </is>
      </c>
      <c r="OK1" s="51" t="inlineStr">
        <is>
          <t>43</t>
        </is>
      </c>
      <c r="OL1" s="52" t="inlineStr">
        <is>
          <t>列312</t>
        </is>
      </c>
      <c r="OM1" s="1" t="inlineStr">
        <is>
          <t>列313</t>
        </is>
      </c>
      <c r="ON1" s="1" t="inlineStr">
        <is>
          <t>列314</t>
        </is>
      </c>
      <c r="OO1" s="1" t="inlineStr">
        <is>
          <t>列315</t>
        </is>
      </c>
      <c r="OP1" s="29" t="inlineStr">
        <is>
          <t>列273</t>
        </is>
      </c>
      <c r="OQ1" s="29" t="inlineStr">
        <is>
          <t>列317</t>
        </is>
      </c>
      <c r="OR1" s="1" t="inlineStr">
        <is>
          <t>列318</t>
        </is>
      </c>
      <c r="OS1" s="53" t="inlineStr">
        <is>
          <t>豆粕ETF华夏159985</t>
        </is>
      </c>
      <c r="OT1" s="48" t="inlineStr">
        <is>
          <t>列320</t>
        </is>
      </c>
      <c r="OU1" s="1" t="inlineStr">
        <is>
          <t>列321</t>
        </is>
      </c>
      <c r="OV1" s="1" t="inlineStr">
        <is>
          <t>列322</t>
        </is>
      </c>
      <c r="OW1" s="639" t="inlineStr">
        <is>
          <t>列323</t>
        </is>
      </c>
      <c r="OX1" s="29" t="inlineStr">
        <is>
          <t>列2242</t>
        </is>
      </c>
      <c r="OY1" s="1" t="inlineStr">
        <is>
          <t>列276</t>
        </is>
      </c>
      <c r="OZ1" s="1" t="inlineStr">
        <is>
          <t>列2762</t>
        </is>
      </c>
      <c r="PA1" s="1" t="inlineStr">
        <is>
          <t>列284</t>
        </is>
      </c>
      <c r="PB1" s="1" t="inlineStr">
        <is>
          <t>列293</t>
        </is>
      </c>
      <c r="PC1" s="1" t="inlineStr">
        <is>
          <t>列3212</t>
        </is>
      </c>
      <c r="PD1" s="1" t="inlineStr">
        <is>
          <t>列3222</t>
        </is>
      </c>
      <c r="PE1" s="1" t="inlineStr">
        <is>
          <t>列3232</t>
        </is>
      </c>
      <c r="PF1" s="1" t="inlineStr">
        <is>
          <t>列324</t>
        </is>
      </c>
      <c r="PG1" s="1" t="inlineStr">
        <is>
          <t>列325</t>
        </is>
      </c>
      <c r="PH1" s="1" t="inlineStr">
        <is>
          <t>列326</t>
        </is>
      </c>
      <c r="PI1" s="1" t="inlineStr">
        <is>
          <t>列3202</t>
        </is>
      </c>
    </row>
    <row r="2" ht="51" customFormat="1" customHeight="1" s="2">
      <c r="A2" s="640" t="n"/>
      <c r="B2" s="641" t="inlineStr">
        <is>
          <t>市值（亿）</t>
        </is>
      </c>
      <c r="C2" s="642" t="n"/>
      <c r="D2" s="58" t="inlineStr">
        <is>
          <t>差值(亿）</t>
        </is>
      </c>
      <c r="E2" s="58" t="inlineStr">
        <is>
          <t>周环比差值</t>
        </is>
      </c>
      <c r="F2" s="58" t="inlineStr">
        <is>
          <t>周环比差%</t>
        </is>
      </c>
      <c r="G2" s="43" t="inlineStr">
        <is>
          <t>月环比差%</t>
        </is>
      </c>
      <c r="H2" s="43" t="n"/>
      <c r="I2" s="43" t="n"/>
      <c r="J2" s="641" t="inlineStr">
        <is>
          <t>市值（亿）</t>
        </is>
      </c>
      <c r="K2" s="2">
        <f>C2</f>
        <v/>
      </c>
      <c r="L2" s="58" t="inlineStr">
        <is>
          <t>差值(亿）</t>
        </is>
      </c>
      <c r="M2" s="58" t="inlineStr">
        <is>
          <t>周环比差值</t>
        </is>
      </c>
      <c r="N2" s="58" t="inlineStr">
        <is>
          <t>周环比差%</t>
        </is>
      </c>
      <c r="O2" s="43" t="inlineStr">
        <is>
          <t>月环比差%</t>
        </is>
      </c>
      <c r="P2" s="43" t="n"/>
      <c r="Q2" s="43" t="n"/>
      <c r="R2" s="641" t="inlineStr">
        <is>
          <t>市值（亿）</t>
        </is>
      </c>
      <c r="S2" s="2">
        <f>C2</f>
        <v/>
      </c>
      <c r="T2" s="58" t="inlineStr">
        <is>
          <t>差值(亿）</t>
        </is>
      </c>
      <c r="U2" s="58" t="inlineStr">
        <is>
          <t>周环比差值</t>
        </is>
      </c>
      <c r="V2" s="58" t="inlineStr">
        <is>
          <t>周环比差%</t>
        </is>
      </c>
      <c r="W2" s="43" t="inlineStr">
        <is>
          <t>月环比差%</t>
        </is>
      </c>
      <c r="X2" s="43" t="n"/>
      <c r="Y2" s="43" t="n"/>
      <c r="Z2" s="641" t="inlineStr">
        <is>
          <t>市值（亿）</t>
        </is>
      </c>
      <c r="AA2" s="2">
        <f>S2</f>
        <v/>
      </c>
      <c r="AB2" s="58" t="inlineStr">
        <is>
          <t>差值(亿）</t>
        </is>
      </c>
      <c r="AC2" s="58" t="inlineStr">
        <is>
          <t>周环比差值</t>
        </is>
      </c>
      <c r="AD2" s="58" t="inlineStr">
        <is>
          <t>周环比差%</t>
        </is>
      </c>
      <c r="AE2" s="43" t="inlineStr">
        <is>
          <t>月环比差%</t>
        </is>
      </c>
      <c r="AF2" s="43" t="n"/>
      <c r="AG2" s="43" t="n"/>
      <c r="AH2" s="641" t="inlineStr">
        <is>
          <t>市值（亿）</t>
        </is>
      </c>
      <c r="AI2" s="2">
        <f>C2</f>
        <v/>
      </c>
      <c r="AJ2" s="58" t="inlineStr">
        <is>
          <t>差值(亿）</t>
        </is>
      </c>
      <c r="AK2" s="58" t="inlineStr">
        <is>
          <t>周环比差值</t>
        </is>
      </c>
      <c r="AL2" s="58" t="inlineStr">
        <is>
          <t>周环比差%</t>
        </is>
      </c>
      <c r="AM2" s="43" t="inlineStr">
        <is>
          <t>月环比差%</t>
        </is>
      </c>
      <c r="AN2" s="43" t="n"/>
      <c r="AO2" s="43" t="n"/>
      <c r="AP2" s="641" t="inlineStr">
        <is>
          <t>市值（亿）</t>
        </is>
      </c>
      <c r="AQ2" s="2">
        <f>C2</f>
        <v/>
      </c>
      <c r="AR2" s="58" t="inlineStr">
        <is>
          <t>差值(亿）</t>
        </is>
      </c>
      <c r="AS2" s="58" t="inlineStr">
        <is>
          <t>周环比差值</t>
        </is>
      </c>
      <c r="AT2" s="58" t="inlineStr">
        <is>
          <t>周环比差%</t>
        </is>
      </c>
      <c r="AU2" s="43" t="inlineStr">
        <is>
          <t>月环比差%</t>
        </is>
      </c>
      <c r="AV2" s="43" t="n"/>
      <c r="AW2" s="43" t="n"/>
      <c r="AX2" s="2" t="n"/>
      <c r="AY2" s="641" t="inlineStr">
        <is>
          <t>市值（亿）</t>
        </is>
      </c>
      <c r="AZ2" s="2">
        <f>C2</f>
        <v/>
      </c>
      <c r="BA2" s="58" t="inlineStr">
        <is>
          <t>差值(亿）</t>
        </is>
      </c>
      <c r="BB2" s="58" t="inlineStr">
        <is>
          <t>周环比差值</t>
        </is>
      </c>
      <c r="BC2" s="58" t="inlineStr">
        <is>
          <t>周环比差%</t>
        </is>
      </c>
      <c r="BD2" s="43" t="inlineStr">
        <is>
          <t>月环比差%</t>
        </is>
      </c>
      <c r="BE2" s="43" t="n"/>
      <c r="BG2" s="641" t="inlineStr">
        <is>
          <t>市值（亿）</t>
        </is>
      </c>
      <c r="BH2" s="2">
        <f>K2</f>
        <v/>
      </c>
      <c r="BI2" s="58" t="inlineStr">
        <is>
          <t>差值(亿）</t>
        </is>
      </c>
      <c r="BJ2" s="58" t="inlineStr">
        <is>
          <t>周环比差值</t>
        </is>
      </c>
      <c r="BK2" s="58" t="inlineStr">
        <is>
          <t>周环比差%</t>
        </is>
      </c>
      <c r="BL2" s="43" t="inlineStr">
        <is>
          <t>月环比差%</t>
        </is>
      </c>
      <c r="BM2" s="59" t="n"/>
      <c r="BN2" s="43" t="n"/>
      <c r="BO2" s="641" t="inlineStr">
        <is>
          <t>市值（亿）</t>
        </is>
      </c>
      <c r="BP2" s="2">
        <f>S2</f>
        <v/>
      </c>
      <c r="BQ2" s="58" t="inlineStr">
        <is>
          <t>差值(亿）</t>
        </is>
      </c>
      <c r="BR2" s="58" t="inlineStr">
        <is>
          <t>周环比差值</t>
        </is>
      </c>
      <c r="BS2" s="58" t="inlineStr">
        <is>
          <t>周环比差%</t>
        </is>
      </c>
      <c r="BT2" s="43" t="inlineStr">
        <is>
          <t>月环比差%</t>
        </is>
      </c>
      <c r="BU2" s="43" t="n"/>
      <c r="BW2" s="641" t="inlineStr">
        <is>
          <t>市值（亿）</t>
        </is>
      </c>
      <c r="BX2" s="2">
        <f>AA2</f>
        <v/>
      </c>
      <c r="BY2" s="58" t="inlineStr">
        <is>
          <t>差值(亿）</t>
        </is>
      </c>
      <c r="BZ2" s="58" t="inlineStr">
        <is>
          <t>周环比差值</t>
        </is>
      </c>
      <c r="CA2" s="58" t="inlineStr">
        <is>
          <t>周环比差%</t>
        </is>
      </c>
      <c r="CB2" s="43" t="inlineStr">
        <is>
          <t>月环比差%</t>
        </is>
      </c>
      <c r="CC2" s="43" t="n"/>
      <c r="CE2" s="641" t="inlineStr">
        <is>
          <t>市值（亿）</t>
        </is>
      </c>
      <c r="CF2" s="2">
        <f>AI2</f>
        <v/>
      </c>
      <c r="CG2" s="58" t="inlineStr">
        <is>
          <t>差值(亿）</t>
        </is>
      </c>
      <c r="CH2" s="58" t="inlineStr">
        <is>
          <t>周环比差值</t>
        </is>
      </c>
      <c r="CI2" s="58" t="inlineStr">
        <is>
          <t>周环比差%</t>
        </is>
      </c>
      <c r="CJ2" s="43" t="inlineStr">
        <is>
          <t>月环比差%</t>
        </is>
      </c>
      <c r="CK2" s="43" t="n"/>
      <c r="CM2" s="641" t="inlineStr">
        <is>
          <t>市值（亿）</t>
        </is>
      </c>
      <c r="CN2" s="2">
        <f>AQ2</f>
        <v/>
      </c>
      <c r="CO2" s="58" t="inlineStr">
        <is>
          <t>差值(亿）</t>
        </is>
      </c>
      <c r="CP2" s="58" t="inlineStr">
        <is>
          <t>周环比差值</t>
        </is>
      </c>
      <c r="CQ2" s="58" t="inlineStr">
        <is>
          <t>周环比差%</t>
        </is>
      </c>
      <c r="CR2" s="43" t="inlineStr">
        <is>
          <t>月环比差%</t>
        </is>
      </c>
      <c r="CS2" s="43" t="n"/>
      <c r="CU2" s="641" t="inlineStr">
        <is>
          <t>市值（亿）</t>
        </is>
      </c>
      <c r="CV2" s="2" t="n"/>
      <c r="CW2" s="58" t="inlineStr">
        <is>
          <t>差值(亿）</t>
        </is>
      </c>
      <c r="CX2" s="58" t="inlineStr">
        <is>
          <t>周环比差值</t>
        </is>
      </c>
      <c r="CY2" s="58" t="inlineStr">
        <is>
          <t>周环比差%</t>
        </is>
      </c>
      <c r="CZ2" s="43" t="inlineStr">
        <is>
          <t>月环比差%</t>
        </is>
      </c>
      <c r="DA2" s="43" t="n"/>
      <c r="DB2" s="43" t="n"/>
      <c r="DC2" s="641" t="inlineStr">
        <is>
          <t>市值（亿）</t>
        </is>
      </c>
      <c r="DD2" s="2" t="n"/>
      <c r="DE2" s="58" t="inlineStr">
        <is>
          <t>差值(亿）</t>
        </is>
      </c>
      <c r="DF2" s="58" t="inlineStr">
        <is>
          <t>周环比差值</t>
        </is>
      </c>
      <c r="DG2" s="58" t="inlineStr">
        <is>
          <t>周环比差%</t>
        </is>
      </c>
      <c r="DH2" s="43" t="inlineStr">
        <is>
          <t>月环比差%</t>
        </is>
      </c>
      <c r="DI2" s="43" t="n"/>
      <c r="DK2" s="641" t="inlineStr">
        <is>
          <t>市值（亿）</t>
        </is>
      </c>
      <c r="DL2" s="2" t="n"/>
      <c r="DM2" s="58" t="inlineStr">
        <is>
          <t>差值(亿）</t>
        </is>
      </c>
      <c r="DN2" s="58" t="inlineStr">
        <is>
          <t>周环比差值</t>
        </is>
      </c>
      <c r="DO2" s="58" t="inlineStr">
        <is>
          <t>周环比差%</t>
        </is>
      </c>
      <c r="DP2" s="43" t="inlineStr">
        <is>
          <t>月环比差%</t>
        </is>
      </c>
      <c r="DQ2" s="43" t="n"/>
      <c r="DS2" s="641" t="inlineStr">
        <is>
          <t>市值（亿）</t>
        </is>
      </c>
      <c r="DT2" s="2" t="n"/>
      <c r="DU2" s="58" t="inlineStr">
        <is>
          <t>差值(亿）</t>
        </is>
      </c>
      <c r="DV2" s="58" t="inlineStr">
        <is>
          <t>周环比差值</t>
        </is>
      </c>
      <c r="DW2" s="58" t="inlineStr">
        <is>
          <t>周环比差%</t>
        </is>
      </c>
      <c r="DX2" s="43" t="inlineStr">
        <is>
          <t>月环比差%</t>
        </is>
      </c>
      <c r="DY2" s="43" t="n"/>
      <c r="EA2" s="641" t="inlineStr">
        <is>
          <t>市值（亿）</t>
        </is>
      </c>
      <c r="EB2" s="2" t="n"/>
      <c r="EC2" s="58" t="inlineStr">
        <is>
          <t>差值(亿）</t>
        </is>
      </c>
      <c r="ED2" s="58" t="inlineStr">
        <is>
          <t>周环比差值</t>
        </is>
      </c>
      <c r="EE2" s="58" t="inlineStr">
        <is>
          <t>周环比差%</t>
        </is>
      </c>
      <c r="EF2" s="43" t="inlineStr">
        <is>
          <t>月环比差%</t>
        </is>
      </c>
      <c r="EG2" s="43" t="n"/>
      <c r="EI2" s="641" t="inlineStr">
        <is>
          <t>市值（亿）</t>
        </is>
      </c>
      <c r="EJ2" s="2" t="n"/>
      <c r="EK2" s="58" t="inlineStr">
        <is>
          <t>差值(亿）</t>
        </is>
      </c>
      <c r="EL2" s="58" t="inlineStr">
        <is>
          <t>周环比差值</t>
        </is>
      </c>
      <c r="EM2" s="58" t="inlineStr">
        <is>
          <t>周环比差%</t>
        </is>
      </c>
      <c r="EN2" s="43" t="inlineStr">
        <is>
          <t>月环比差%</t>
        </is>
      </c>
      <c r="EO2" s="43" t="n"/>
      <c r="EQ2" s="641" t="inlineStr">
        <is>
          <t>市值（亿）</t>
        </is>
      </c>
      <c r="ER2" s="2" t="n"/>
      <c r="ES2" s="58" t="inlineStr">
        <is>
          <t>差值(亿）</t>
        </is>
      </c>
      <c r="ET2" s="58" t="inlineStr">
        <is>
          <t>周环比差值</t>
        </is>
      </c>
      <c r="EU2" s="58" t="inlineStr">
        <is>
          <t>周环比差%</t>
        </is>
      </c>
      <c r="EV2" s="43" t="inlineStr">
        <is>
          <t>月环比差%</t>
        </is>
      </c>
      <c r="EW2" s="43" t="n"/>
      <c r="EY2" s="641" t="inlineStr">
        <is>
          <t>市值（亿）</t>
        </is>
      </c>
      <c r="EZ2" s="2" t="n"/>
      <c r="FA2" s="58" t="inlineStr">
        <is>
          <t>差值(亿）</t>
        </is>
      </c>
      <c r="FB2" s="58" t="inlineStr">
        <is>
          <t>周环比差值</t>
        </is>
      </c>
      <c r="FC2" s="58" t="inlineStr">
        <is>
          <t>周环比差%</t>
        </is>
      </c>
      <c r="FD2" s="43" t="inlineStr">
        <is>
          <t>月环比差%</t>
        </is>
      </c>
      <c r="FE2" s="43" t="n"/>
      <c r="FG2" s="641" t="inlineStr">
        <is>
          <t>市值（亿）</t>
        </is>
      </c>
      <c r="FH2" s="2" t="n"/>
      <c r="FI2" s="58" t="inlineStr">
        <is>
          <t>差值(亿）</t>
        </is>
      </c>
      <c r="FJ2" s="58" t="inlineStr">
        <is>
          <t>周环比差值</t>
        </is>
      </c>
      <c r="FK2" s="58" t="inlineStr">
        <is>
          <t>周环比差%</t>
        </is>
      </c>
      <c r="FL2" s="43" t="inlineStr">
        <is>
          <t>月环比差%</t>
        </is>
      </c>
      <c r="FM2" s="60" t="n"/>
      <c r="FN2" s="60" t="n"/>
      <c r="FO2" s="641" t="inlineStr">
        <is>
          <t>市值（亿）</t>
        </is>
      </c>
      <c r="FP2" s="2" t="n"/>
      <c r="FQ2" s="58" t="inlineStr">
        <is>
          <t>差值(亿）</t>
        </is>
      </c>
      <c r="FR2" s="58" t="inlineStr">
        <is>
          <t>周环比差值</t>
        </is>
      </c>
      <c r="FS2" s="58" t="inlineStr">
        <is>
          <t>周环比差%</t>
        </is>
      </c>
      <c r="FT2" s="43" t="inlineStr">
        <is>
          <t>月环比差%</t>
        </is>
      </c>
      <c r="FU2" s="43" t="n"/>
      <c r="FV2" s="43" t="n"/>
      <c r="FW2" s="641" t="inlineStr">
        <is>
          <t>市值（亿）</t>
        </is>
      </c>
      <c r="FX2" s="2" t="n"/>
      <c r="FY2" s="58" t="inlineStr">
        <is>
          <t>差值(亿）</t>
        </is>
      </c>
      <c r="FZ2" s="58" t="inlineStr">
        <is>
          <t>周环比差值</t>
        </is>
      </c>
      <c r="GA2" s="58" t="inlineStr">
        <is>
          <t>周环比差%</t>
        </is>
      </c>
      <c r="GB2" s="43" t="inlineStr">
        <is>
          <t>月环比差%</t>
        </is>
      </c>
      <c r="GC2" s="43" t="n"/>
      <c r="GD2" s="43" t="n"/>
      <c r="GE2" s="641" t="inlineStr">
        <is>
          <t>市值（亿）</t>
        </is>
      </c>
      <c r="GF2" s="2" t="n"/>
      <c r="GG2" s="58" t="inlineStr">
        <is>
          <t>差值(亿）</t>
        </is>
      </c>
      <c r="GH2" s="58" t="inlineStr">
        <is>
          <t>周环比差值</t>
        </is>
      </c>
      <c r="GI2" s="58" t="inlineStr">
        <is>
          <t>周环比差%</t>
        </is>
      </c>
      <c r="GJ2" s="43" t="inlineStr">
        <is>
          <t>月环比差%</t>
        </is>
      </c>
      <c r="GK2" s="43" t="n"/>
      <c r="GL2" s="43" t="n"/>
      <c r="GM2" s="641" t="inlineStr">
        <is>
          <t>市值（亿）</t>
        </is>
      </c>
      <c r="GN2" s="2" t="n"/>
      <c r="GO2" s="58" t="inlineStr">
        <is>
          <t>差值(亿）</t>
        </is>
      </c>
      <c r="GP2" s="58" t="inlineStr">
        <is>
          <t>周环比差值</t>
        </is>
      </c>
      <c r="GQ2" s="58" t="inlineStr">
        <is>
          <t>周环比差%</t>
        </is>
      </c>
      <c r="GR2" s="43" t="inlineStr">
        <is>
          <t>月环比差%</t>
        </is>
      </c>
      <c r="GS2" s="43" t="n"/>
      <c r="GT2" s="43" t="n"/>
      <c r="GU2" s="641" t="inlineStr">
        <is>
          <t>市值（亿）</t>
        </is>
      </c>
      <c r="GV2" s="2" t="n"/>
      <c r="GW2" s="58" t="inlineStr">
        <is>
          <t>差值(亿）</t>
        </is>
      </c>
      <c r="GX2" s="58" t="inlineStr">
        <is>
          <t>周环比差值</t>
        </is>
      </c>
      <c r="GY2" s="58" t="inlineStr">
        <is>
          <t>周环比差%</t>
        </is>
      </c>
      <c r="GZ2" s="43" t="inlineStr">
        <is>
          <t>月环比差%</t>
        </is>
      </c>
      <c r="HA2" s="43" t="n"/>
      <c r="HB2" s="43" t="n"/>
      <c r="HC2" s="641" t="inlineStr">
        <is>
          <t>市值（亿）</t>
        </is>
      </c>
      <c r="HD2" s="2" t="n"/>
      <c r="HE2" s="58" t="inlineStr">
        <is>
          <t>差值(亿）</t>
        </is>
      </c>
      <c r="HF2" s="58" t="inlineStr">
        <is>
          <t>周环比差值</t>
        </is>
      </c>
      <c r="HG2" s="58" t="inlineStr">
        <is>
          <t>周环比差%</t>
        </is>
      </c>
      <c r="HH2" s="43" t="inlineStr">
        <is>
          <t>月环比差%</t>
        </is>
      </c>
      <c r="HI2" s="43" t="n"/>
      <c r="HJ2" s="43" t="n"/>
      <c r="HK2" s="641" t="inlineStr">
        <is>
          <t>市值（亿）</t>
        </is>
      </c>
      <c r="HL2" s="2" t="n"/>
      <c r="HM2" s="58" t="inlineStr">
        <is>
          <t>差值(亿）</t>
        </is>
      </c>
      <c r="HN2" s="58" t="inlineStr">
        <is>
          <t>周环比差值</t>
        </is>
      </c>
      <c r="HO2" s="58" t="inlineStr">
        <is>
          <t>周环比差%</t>
        </is>
      </c>
      <c r="HP2" s="43" t="inlineStr">
        <is>
          <t>月环比差%</t>
        </is>
      </c>
      <c r="HQ2" s="43" t="n"/>
      <c r="HR2" s="43" t="n"/>
      <c r="HS2" s="641" t="inlineStr">
        <is>
          <t>市值（亿）</t>
        </is>
      </c>
      <c r="HT2" s="2" t="n"/>
      <c r="HU2" s="58" t="inlineStr">
        <is>
          <t>差值(亿）</t>
        </is>
      </c>
      <c r="HV2" s="58" t="inlineStr">
        <is>
          <t>周环比差值</t>
        </is>
      </c>
      <c r="HW2" s="58" t="inlineStr">
        <is>
          <t>周环比差%</t>
        </is>
      </c>
      <c r="HX2" s="43" t="inlineStr">
        <is>
          <t>月环比差%</t>
        </is>
      </c>
      <c r="HY2" s="43" t="n"/>
      <c r="HZ2" s="43" t="n"/>
      <c r="IA2" s="641" t="inlineStr">
        <is>
          <t>市值（亿）</t>
        </is>
      </c>
      <c r="IB2" s="2" t="n"/>
      <c r="IC2" s="58" t="inlineStr">
        <is>
          <t>差值(亿）</t>
        </is>
      </c>
      <c r="ID2" s="58" t="inlineStr">
        <is>
          <t>周环比差值</t>
        </is>
      </c>
      <c r="IE2" s="58" t="inlineStr">
        <is>
          <t>周环比差%</t>
        </is>
      </c>
      <c r="IF2" s="43" t="inlineStr">
        <is>
          <t>月环比差%</t>
        </is>
      </c>
      <c r="IG2" s="60" t="n"/>
      <c r="IH2" s="43" t="n"/>
      <c r="II2" s="641" t="inlineStr">
        <is>
          <t>市值（亿）</t>
        </is>
      </c>
      <c r="IJ2" s="2" t="n"/>
      <c r="IK2" s="58" t="inlineStr">
        <is>
          <t>差值(亿）</t>
        </is>
      </c>
      <c r="IL2" s="58" t="inlineStr">
        <is>
          <t>周环比差值</t>
        </is>
      </c>
      <c r="IM2" s="58" t="inlineStr">
        <is>
          <t>周环比差%</t>
        </is>
      </c>
      <c r="IN2" s="43" t="inlineStr">
        <is>
          <t>月环比差%</t>
        </is>
      </c>
      <c r="IO2" s="43" t="n"/>
      <c r="IP2" s="43" t="n"/>
      <c r="IQ2" s="641" t="inlineStr">
        <is>
          <t>市值（亿）</t>
        </is>
      </c>
      <c r="IR2" s="2" t="n"/>
      <c r="IS2" s="58" t="inlineStr">
        <is>
          <t>差值(亿）</t>
        </is>
      </c>
      <c r="IT2" s="58" t="inlineStr">
        <is>
          <t>周环比差值</t>
        </is>
      </c>
      <c r="IU2" s="58" t="inlineStr">
        <is>
          <t>周环比差%</t>
        </is>
      </c>
      <c r="IV2" s="43" t="inlineStr">
        <is>
          <t>月环比差%</t>
        </is>
      </c>
      <c r="IW2" s="43" t="n"/>
      <c r="IX2" s="43" t="n"/>
      <c r="IY2" s="641" t="inlineStr">
        <is>
          <t>市值（亿）</t>
        </is>
      </c>
      <c r="IZ2" s="2" t="n"/>
      <c r="JA2" s="58" t="inlineStr">
        <is>
          <t>差值(亿）</t>
        </is>
      </c>
      <c r="JB2" s="58" t="inlineStr">
        <is>
          <t>周环比差值</t>
        </is>
      </c>
      <c r="JC2" s="58" t="inlineStr">
        <is>
          <t>周环比差%</t>
        </is>
      </c>
      <c r="JD2" s="43" t="inlineStr">
        <is>
          <t>月环比差%</t>
        </is>
      </c>
      <c r="JE2" s="43" t="n"/>
      <c r="JF2" s="43" t="n"/>
      <c r="JG2" s="641" t="inlineStr">
        <is>
          <t>市值（亿）</t>
        </is>
      </c>
      <c r="JH2" s="2" t="n"/>
      <c r="JI2" s="58" t="inlineStr">
        <is>
          <t>差值(亿）</t>
        </is>
      </c>
      <c r="JJ2" s="58" t="inlineStr">
        <is>
          <t>周环比差值</t>
        </is>
      </c>
      <c r="JK2" s="58" t="inlineStr">
        <is>
          <t>周环比差%</t>
        </is>
      </c>
      <c r="JL2" s="43" t="inlineStr">
        <is>
          <t>月环比差%</t>
        </is>
      </c>
      <c r="JM2" s="43" t="n"/>
      <c r="JN2" s="43" t="n"/>
      <c r="JO2" s="641" t="inlineStr">
        <is>
          <t>市值（亿）</t>
        </is>
      </c>
      <c r="JP2" s="2" t="n"/>
      <c r="JQ2" s="58" t="inlineStr">
        <is>
          <t>差值(亿）</t>
        </is>
      </c>
      <c r="JR2" s="58" t="inlineStr">
        <is>
          <t>周环比差值</t>
        </is>
      </c>
      <c r="JS2" s="58" t="inlineStr">
        <is>
          <t>周环比差%</t>
        </is>
      </c>
      <c r="JT2" s="43" t="inlineStr">
        <is>
          <t>月环比差%</t>
        </is>
      </c>
      <c r="JU2" s="43" t="n"/>
      <c r="JV2" s="43" t="n"/>
      <c r="JW2" s="641" t="inlineStr">
        <is>
          <t>市值（亿）</t>
        </is>
      </c>
      <c r="JX2" s="2" t="n"/>
      <c r="JY2" s="58" t="inlineStr">
        <is>
          <t>差值(亿）</t>
        </is>
      </c>
      <c r="JZ2" s="58" t="inlineStr">
        <is>
          <t>周环比差值</t>
        </is>
      </c>
      <c r="KA2" s="58" t="inlineStr">
        <is>
          <t>周环比差%</t>
        </is>
      </c>
      <c r="KB2" s="43" t="inlineStr">
        <is>
          <t>月环比差%</t>
        </is>
      </c>
      <c r="KC2" s="43" t="n"/>
      <c r="KD2" s="43" t="n"/>
      <c r="KE2" s="641" t="inlineStr">
        <is>
          <t>市值（亿）</t>
        </is>
      </c>
      <c r="KF2" s="2" t="n"/>
      <c r="KG2" s="58" t="inlineStr">
        <is>
          <t>差值(亿）</t>
        </is>
      </c>
      <c r="KH2" s="58" t="inlineStr">
        <is>
          <t>周环比差值</t>
        </is>
      </c>
      <c r="KI2" s="58" t="inlineStr">
        <is>
          <t>周环比差%</t>
        </is>
      </c>
      <c r="KJ2" s="43" t="inlineStr">
        <is>
          <t>月环比差%</t>
        </is>
      </c>
      <c r="KK2" s="43" t="n"/>
      <c r="KL2" s="43" t="n"/>
      <c r="KM2" s="641" t="inlineStr">
        <is>
          <t>市值（亿）</t>
        </is>
      </c>
      <c r="KN2" s="2" t="n"/>
      <c r="KO2" s="58" t="inlineStr">
        <is>
          <t>差值(亿）</t>
        </is>
      </c>
      <c r="KP2" s="58" t="inlineStr">
        <is>
          <t>周环比差值</t>
        </is>
      </c>
      <c r="KQ2" s="58" t="inlineStr">
        <is>
          <t>周环比差%</t>
        </is>
      </c>
      <c r="KR2" s="43" t="inlineStr">
        <is>
          <t>月环比差%</t>
        </is>
      </c>
      <c r="KS2" s="43" t="n"/>
      <c r="KT2" s="43" t="n"/>
      <c r="KU2" s="641" t="inlineStr">
        <is>
          <t>市值（亿）</t>
        </is>
      </c>
      <c r="KV2" s="2" t="n"/>
      <c r="KW2" s="58" t="inlineStr">
        <is>
          <t>差值(亿）</t>
        </is>
      </c>
      <c r="KX2" s="58" t="inlineStr">
        <is>
          <t>周环比差值</t>
        </is>
      </c>
      <c r="KY2" s="58" t="inlineStr">
        <is>
          <t>周环比差%</t>
        </is>
      </c>
      <c r="KZ2" s="43" t="inlineStr">
        <is>
          <t>月环比差%</t>
        </is>
      </c>
      <c r="LA2" s="43" t="n"/>
      <c r="LB2" s="43" t="n"/>
      <c r="LC2" s="641" t="inlineStr">
        <is>
          <t>市值（亿）</t>
        </is>
      </c>
      <c r="LD2" s="2" t="n"/>
      <c r="LE2" s="58" t="inlineStr">
        <is>
          <t>差值(亿）</t>
        </is>
      </c>
      <c r="LF2" s="58" t="inlineStr">
        <is>
          <t>周环比差值</t>
        </is>
      </c>
      <c r="LG2" s="58" t="inlineStr">
        <is>
          <t>周环比差%</t>
        </is>
      </c>
      <c r="LH2" s="43" t="inlineStr">
        <is>
          <t>月环比差%</t>
        </is>
      </c>
      <c r="LI2" s="43" t="n"/>
      <c r="LJ2" s="43" t="n"/>
      <c r="LK2" s="641" t="inlineStr">
        <is>
          <t>市值（亿）</t>
        </is>
      </c>
      <c r="LL2" s="2" t="n"/>
      <c r="LM2" s="58" t="inlineStr">
        <is>
          <t>差值(亿）</t>
        </is>
      </c>
      <c r="LN2" s="58" t="inlineStr">
        <is>
          <t>周环比差值</t>
        </is>
      </c>
      <c r="LO2" s="58" t="inlineStr">
        <is>
          <t>周环比差%</t>
        </is>
      </c>
      <c r="LP2" s="43" t="inlineStr">
        <is>
          <t>月环比差%</t>
        </is>
      </c>
      <c r="LQ2" s="43" t="n"/>
      <c r="LR2" s="43" t="n"/>
      <c r="LS2" s="641" t="inlineStr">
        <is>
          <t>市值（亿）</t>
        </is>
      </c>
      <c r="LT2" s="2" t="n"/>
      <c r="LU2" s="58" t="inlineStr">
        <is>
          <t>差值(亿）</t>
        </is>
      </c>
      <c r="LV2" s="58" t="inlineStr">
        <is>
          <t>周环比差值</t>
        </is>
      </c>
      <c r="LW2" s="58" t="inlineStr">
        <is>
          <t>周环比差%</t>
        </is>
      </c>
      <c r="LX2" s="43" t="inlineStr">
        <is>
          <t>月环比差%</t>
        </is>
      </c>
      <c r="LY2" s="43" t="n"/>
      <c r="LZ2" s="43" t="n"/>
      <c r="MA2" s="641" t="inlineStr">
        <is>
          <t>市值（亿）</t>
        </is>
      </c>
      <c r="MB2" s="2" t="n"/>
      <c r="MC2" s="58" t="inlineStr">
        <is>
          <t>差值(亿）</t>
        </is>
      </c>
      <c r="MD2" s="58" t="inlineStr">
        <is>
          <t>周环比差值</t>
        </is>
      </c>
      <c r="ME2" s="58" t="inlineStr">
        <is>
          <t>周环比差%</t>
        </is>
      </c>
      <c r="MF2" s="43" t="inlineStr">
        <is>
          <t>月环比差%</t>
        </is>
      </c>
      <c r="MG2" s="43" t="n"/>
      <c r="MH2" s="60" t="n"/>
      <c r="MI2" s="61" t="n"/>
      <c r="MJ2" s="641" t="inlineStr">
        <is>
          <t>市值（亿）</t>
        </is>
      </c>
      <c r="MK2" s="2" t="n"/>
      <c r="ML2" s="58" t="inlineStr">
        <is>
          <t>差值(亿）</t>
        </is>
      </c>
      <c r="MM2" s="58" t="inlineStr">
        <is>
          <t>周环比差值</t>
        </is>
      </c>
      <c r="MN2" s="58" t="inlineStr">
        <is>
          <t>周环比差%</t>
        </is>
      </c>
      <c r="MO2" s="43" t="inlineStr">
        <is>
          <t>月环比差%</t>
        </is>
      </c>
      <c r="MP2" s="43" t="n"/>
      <c r="MQ2" s="43" t="n"/>
      <c r="MR2" s="43" t="n"/>
      <c r="MS2" s="641" t="inlineStr">
        <is>
          <t>市值（亿）</t>
        </is>
      </c>
      <c r="MT2" s="2" t="n"/>
      <c r="MU2" s="58" t="inlineStr">
        <is>
          <t>差值(亿）</t>
        </is>
      </c>
      <c r="MV2" s="58" t="inlineStr">
        <is>
          <t>周环比差值</t>
        </is>
      </c>
      <c r="MW2" s="58" t="inlineStr">
        <is>
          <t>周环比差%</t>
        </is>
      </c>
      <c r="MX2" s="43" t="inlineStr">
        <is>
          <t>月环比差%</t>
        </is>
      </c>
      <c r="MY2" s="43" t="n"/>
      <c r="MZ2" s="43" t="n"/>
      <c r="NA2" s="43" t="n"/>
      <c r="NB2" s="641" t="inlineStr">
        <is>
          <t>市值（亿）</t>
        </is>
      </c>
      <c r="NC2" s="2" t="n"/>
      <c r="ND2" s="58" t="inlineStr">
        <is>
          <t>差值(亿）</t>
        </is>
      </c>
      <c r="NE2" s="58" t="inlineStr">
        <is>
          <t>周环比差值</t>
        </is>
      </c>
      <c r="NF2" s="58" t="inlineStr">
        <is>
          <t>周环比差%</t>
        </is>
      </c>
      <c r="NG2" s="43" t="inlineStr">
        <is>
          <t>月环比差%</t>
        </is>
      </c>
      <c r="NH2" s="43" t="n"/>
      <c r="NI2" s="43" t="n"/>
      <c r="NJ2" s="43" t="n"/>
      <c r="NK2" s="43" t="n"/>
      <c r="NL2" s="641" t="inlineStr">
        <is>
          <t>市值（亿）</t>
        </is>
      </c>
      <c r="NM2" s="2" t="n"/>
      <c r="NN2" s="58" t="inlineStr">
        <is>
          <t>差值(亿）</t>
        </is>
      </c>
      <c r="NO2" s="58" t="inlineStr">
        <is>
          <t>周环比差值</t>
        </is>
      </c>
      <c r="NP2" s="58" t="inlineStr">
        <is>
          <t>周环比差%</t>
        </is>
      </c>
      <c r="NQ2" s="43" t="inlineStr">
        <is>
          <t>月环比差%</t>
        </is>
      </c>
      <c r="NR2" s="43" t="n"/>
      <c r="NS2" s="2" t="n"/>
      <c r="NT2" s="641" t="inlineStr">
        <is>
          <t>市值（亿）</t>
        </is>
      </c>
      <c r="NU2" s="2" t="n"/>
      <c r="NV2" s="58" t="inlineStr">
        <is>
          <t>差值(亿）</t>
        </is>
      </c>
      <c r="NW2" s="58" t="inlineStr">
        <is>
          <t>周环比差值</t>
        </is>
      </c>
      <c r="NX2" s="58" t="inlineStr">
        <is>
          <t>周环比差%</t>
        </is>
      </c>
      <c r="NY2" s="43" t="inlineStr">
        <is>
          <t>月环比差%</t>
        </is>
      </c>
      <c r="NZ2" s="43" t="n"/>
      <c r="OA2" s="2" t="n"/>
      <c r="OB2" s="641" t="inlineStr">
        <is>
          <t>市值（亿）</t>
        </is>
      </c>
      <c r="OC2" s="2" t="n"/>
      <c r="OD2" s="58" t="inlineStr">
        <is>
          <t>差值(亿）</t>
        </is>
      </c>
      <c r="OE2" s="58" t="inlineStr">
        <is>
          <t>周环比差值</t>
        </is>
      </c>
      <c r="OF2" s="58" t="inlineStr">
        <is>
          <t>周环比差%</t>
        </is>
      </c>
      <c r="OG2" s="43" t="inlineStr">
        <is>
          <t>月环比差%</t>
        </is>
      </c>
      <c r="OH2" s="43" t="n"/>
      <c r="OI2" s="43" t="n"/>
      <c r="OJ2" s="641" t="inlineStr">
        <is>
          <t>市值（亿）</t>
        </is>
      </c>
      <c r="OK2" s="2" t="n"/>
      <c r="OL2" s="58" t="inlineStr">
        <is>
          <t>差值(亿）</t>
        </is>
      </c>
      <c r="OM2" s="58" t="inlineStr">
        <is>
          <t>周环比差值</t>
        </is>
      </c>
      <c r="ON2" s="58" t="inlineStr">
        <is>
          <t>周环比差%</t>
        </is>
      </c>
      <c r="OO2" s="43" t="inlineStr">
        <is>
          <t>月环比差%</t>
        </is>
      </c>
      <c r="OP2" s="43" t="n"/>
      <c r="OQ2" s="43" t="n"/>
      <c r="OT2" s="62">
        <f>OK2</f>
        <v/>
      </c>
      <c r="OW2" s="643" t="n"/>
      <c r="OX2" s="43" t="n"/>
    </row>
    <row r="3" ht="22.5" customFormat="1" customHeight="1" s="3">
      <c r="A3" s="644" t="n">
        <v>46022</v>
      </c>
      <c r="B3" s="3">
        <f>42315240.2/10000</f>
        <v/>
      </c>
      <c r="C3" s="632" t="n"/>
      <c r="D3" s="3" t="n"/>
      <c r="E3" s="3" t="n"/>
      <c r="F3" s="65" t="n"/>
      <c r="G3" s="65" t="n"/>
      <c r="H3" s="65" t="n"/>
      <c r="I3" s="65" t="n"/>
      <c r="J3" s="3">
        <f>30057376.39/10000</f>
        <v/>
      </c>
      <c r="K3" s="5">
        <f>C3</f>
        <v/>
      </c>
      <c r="N3" s="65" t="n"/>
      <c r="O3" s="65" t="n"/>
      <c r="P3" s="65" t="n"/>
      <c r="Q3" s="65" t="n"/>
      <c r="R3" s="3">
        <f>17776580.43/10000</f>
        <v/>
      </c>
      <c r="S3" s="5">
        <f>C3</f>
        <v/>
      </c>
      <c r="V3" s="65" t="n"/>
      <c r="W3" s="65" t="n"/>
      <c r="X3" s="65" t="n"/>
      <c r="Y3" s="65" t="n"/>
      <c r="Z3" s="3">
        <f>14492904.43/10000</f>
        <v/>
      </c>
      <c r="AA3" s="5">
        <f>S3</f>
        <v/>
      </c>
      <c r="AD3" s="65" t="n"/>
      <c r="AE3" s="65" t="n"/>
      <c r="AF3" s="65" t="n"/>
      <c r="AG3" s="65" t="n"/>
      <c r="AH3" s="3">
        <f>7954663.51/10000</f>
        <v/>
      </c>
      <c r="AI3" s="5">
        <f>C3</f>
        <v/>
      </c>
      <c r="AK3" s="66" t="n"/>
      <c r="AL3" s="65" t="n"/>
      <c r="AM3" s="65" t="n"/>
      <c r="AN3" s="65" t="n"/>
      <c r="AO3" s="65" t="n"/>
      <c r="AP3" s="645">
        <f>AR101*3.188/10000</f>
        <v/>
      </c>
      <c r="AQ3" s="5">
        <f>C3</f>
        <v/>
      </c>
      <c r="AR3" s="646" t="n"/>
      <c r="AS3" s="3" t="n"/>
      <c r="AT3" s="65" t="n"/>
      <c r="AU3" s="65" t="n"/>
      <c r="AV3" s="65" t="n"/>
      <c r="AW3" s="65" t="n"/>
      <c r="AX3" s="3" t="n"/>
      <c r="AY3" s="5">
        <f>BA101*AY101/10000</f>
        <v/>
      </c>
      <c r="AZ3" s="5">
        <f>C3</f>
        <v/>
      </c>
      <c r="BA3" s="5" t="n"/>
      <c r="BB3" s="5" t="n"/>
      <c r="BC3" s="19" t="n"/>
      <c r="BD3" s="19" t="n"/>
      <c r="BE3" s="19" t="n"/>
      <c r="BF3" s="647" t="n">
        <v>46022</v>
      </c>
      <c r="BG3" s="70">
        <f>(1.4821*BI101)/10000</f>
        <v/>
      </c>
      <c r="BH3" s="3">
        <f>C4</f>
        <v/>
      </c>
      <c r="BJ3" s="70" t="n"/>
      <c r="BK3" s="71" t="n"/>
      <c r="BL3" s="71" t="n"/>
      <c r="BM3" s="71" t="n"/>
      <c r="BN3" s="65" t="n"/>
      <c r="BO3" s="3">
        <f>0.8636*BQ101/10000</f>
        <v/>
      </c>
      <c r="BP3" s="3">
        <f>C4</f>
        <v/>
      </c>
      <c r="BS3" s="65" t="n"/>
      <c r="BT3" s="65" t="n"/>
      <c r="BU3" s="65" t="n"/>
      <c r="BW3" s="3">
        <f>0.8232*BY101/10000</f>
        <v/>
      </c>
      <c r="BX3" s="3">
        <f>C4</f>
        <v/>
      </c>
      <c r="CA3" s="65" t="n"/>
      <c r="CB3" s="65" t="n"/>
      <c r="CC3" s="65" t="n"/>
      <c r="CE3" s="3">
        <f>2069605.52/10000</f>
        <v/>
      </c>
      <c r="CF3" s="3">
        <f>C4</f>
        <v/>
      </c>
      <c r="CI3" s="65" t="n"/>
      <c r="CJ3" s="65" t="n"/>
      <c r="CK3" s="65" t="n"/>
      <c r="CM3" s="3">
        <f>626670.98/10000</f>
        <v/>
      </c>
      <c r="CN3" s="3">
        <f>C4</f>
        <v/>
      </c>
      <c r="CQ3" s="65" t="n"/>
      <c r="CR3" s="65" t="n"/>
      <c r="CS3" s="65" t="n"/>
      <c r="CU3" s="3">
        <f>1248154.42/10000</f>
        <v/>
      </c>
      <c r="CV3" s="3">
        <f>C4</f>
        <v/>
      </c>
      <c r="CY3" s="65" t="n"/>
      <c r="CZ3" s="65" t="n"/>
      <c r="DA3" s="65" t="n"/>
      <c r="DB3" s="65" t="n"/>
      <c r="DC3" s="72">
        <f>1.5397*DE101/10000</f>
        <v/>
      </c>
      <c r="DD3" s="3">
        <f>C4</f>
        <v/>
      </c>
      <c r="DG3" s="65" t="n"/>
      <c r="DH3" s="65" t="n"/>
      <c r="DI3" s="65" t="n"/>
      <c r="DK3" s="3">
        <f>2010218.93/10000</f>
        <v/>
      </c>
      <c r="DL3" s="3">
        <f>C4</f>
        <v/>
      </c>
      <c r="DO3" s="65" t="n"/>
      <c r="DP3" s="65" t="n"/>
      <c r="DQ3" s="65" t="n"/>
      <c r="DS3" s="3">
        <f>3911583.76/10000</f>
        <v/>
      </c>
      <c r="DT3" s="3">
        <f>C4</f>
        <v/>
      </c>
      <c r="DW3" s="65" t="n"/>
      <c r="DX3" s="65" t="n"/>
      <c r="DY3" s="65" t="n"/>
      <c r="EA3" s="3">
        <f>7522735.13/10000</f>
        <v/>
      </c>
      <c r="EB3" s="3">
        <f>C4</f>
        <v/>
      </c>
      <c r="EE3" s="65" t="n"/>
      <c r="EF3" s="65" t="n"/>
      <c r="EG3" s="65" t="n"/>
      <c r="EI3" s="3">
        <f>1.5311*EK101/10000</f>
        <v/>
      </c>
      <c r="EJ3" s="3">
        <f>C4</f>
        <v/>
      </c>
      <c r="EM3" s="65" t="n"/>
      <c r="EN3" s="65" t="n"/>
      <c r="EO3" s="65" t="n"/>
      <c r="EQ3" s="645">
        <f>891554.1/10000</f>
        <v/>
      </c>
      <c r="ER3" s="3">
        <f>C4</f>
        <v/>
      </c>
      <c r="ES3" s="645" t="n"/>
      <c r="ET3" s="645" t="n"/>
      <c r="EU3" s="65" t="n"/>
      <c r="EV3" s="65" t="n"/>
      <c r="EW3" s="65" t="n"/>
      <c r="EY3" s="3">
        <f>1094978.48/10000</f>
        <v/>
      </c>
      <c r="EZ3" s="3">
        <f>C4</f>
        <v/>
      </c>
      <c r="FC3" s="65" t="n"/>
      <c r="FD3" s="65" t="n"/>
      <c r="FE3" s="65" t="n"/>
      <c r="FG3" s="3">
        <f>1.6779*FI101/10000</f>
        <v/>
      </c>
      <c r="FH3" s="3">
        <f>C4</f>
        <v/>
      </c>
      <c r="FI3" s="645" t="n"/>
      <c r="FJ3" s="3" t="n"/>
      <c r="FK3" s="65" t="n"/>
      <c r="FL3" s="65" t="n"/>
      <c r="FM3" s="73" t="n"/>
      <c r="FN3" s="73" t="n"/>
      <c r="FO3" s="3">
        <f>2625931.13/10000</f>
        <v/>
      </c>
      <c r="FP3" s="3">
        <f>C4</f>
        <v/>
      </c>
      <c r="FS3" s="65" t="n"/>
      <c r="FT3" s="65" t="n"/>
      <c r="FU3" s="65" t="n"/>
      <c r="FV3" s="65" t="n"/>
      <c r="FW3" s="3">
        <f>2523371.9/10000</f>
        <v/>
      </c>
      <c r="FX3" s="3">
        <f>C4</f>
        <v/>
      </c>
      <c r="GA3" s="65" t="n"/>
      <c r="GB3" s="65" t="n"/>
      <c r="GC3" s="65" t="n"/>
      <c r="GD3" s="65" t="n"/>
      <c r="GE3" s="3">
        <f>1686548.87/10000</f>
        <v/>
      </c>
      <c r="GF3" s="3">
        <f>C4</f>
        <v/>
      </c>
      <c r="GI3" s="65" t="n"/>
      <c r="GJ3" s="65" t="n"/>
      <c r="GK3" s="65" t="n"/>
      <c r="GL3" s="65" t="n"/>
      <c r="GM3" s="3">
        <f>0.8323*GO101/10000</f>
        <v/>
      </c>
      <c r="GN3" s="3">
        <f>C4</f>
        <v/>
      </c>
      <c r="GQ3" s="65" t="n"/>
      <c r="GR3" s="65" t="n"/>
      <c r="GS3" s="65" t="n"/>
      <c r="GT3" s="65" t="n"/>
      <c r="GU3" s="3">
        <f>1131648.12/10000</f>
        <v/>
      </c>
      <c r="GV3" s="3">
        <f>C4</f>
        <v/>
      </c>
      <c r="GY3" s="65" t="n"/>
      <c r="GZ3" s="65" t="n"/>
      <c r="HA3" s="65" t="n"/>
      <c r="HB3" s="65" t="n"/>
      <c r="HC3" s="3">
        <f>1.0692*HE101/10000</f>
        <v/>
      </c>
      <c r="HD3" s="3">
        <f>C4</f>
        <v/>
      </c>
      <c r="HG3" s="65" t="n"/>
      <c r="HH3" s="65" t="n"/>
      <c r="HI3" s="65" t="n"/>
      <c r="HJ3" s="65" t="n"/>
      <c r="HK3" s="3">
        <f>197474.04/10000</f>
        <v/>
      </c>
      <c r="HL3" s="3">
        <f>C4</f>
        <v/>
      </c>
      <c r="HO3" s="65" t="n"/>
      <c r="HP3" s="65" t="n"/>
      <c r="HQ3" s="65" t="n"/>
      <c r="HR3" s="65" t="n"/>
      <c r="HS3" s="3">
        <f>0.6503*HU101/10000</f>
        <v/>
      </c>
      <c r="HT3" s="3">
        <f>C4</f>
        <v/>
      </c>
      <c r="HW3" s="65" t="n"/>
      <c r="HX3" s="65" t="n"/>
      <c r="HY3" s="65" t="n"/>
      <c r="HZ3" s="65" t="n"/>
      <c r="IA3" s="74">
        <f>476884.05/10000</f>
        <v/>
      </c>
      <c r="IB3" s="3">
        <f>C4</f>
        <v/>
      </c>
      <c r="IC3" s="74" t="n"/>
      <c r="ID3" s="74" t="n"/>
      <c r="IE3" s="73" t="n"/>
      <c r="IF3" s="73" t="n"/>
      <c r="IG3" s="73" t="n"/>
      <c r="IH3" s="65" t="n"/>
      <c r="II3" s="3">
        <f>1.0001*IK101/10000</f>
        <v/>
      </c>
      <c r="IJ3" s="3">
        <f>C4</f>
        <v/>
      </c>
      <c r="IM3" s="65" t="n"/>
      <c r="IN3" s="65" t="n"/>
      <c r="IO3" s="65" t="n"/>
      <c r="IP3" s="65" t="n"/>
      <c r="IQ3" s="3">
        <f>174661.7/10000</f>
        <v/>
      </c>
      <c r="IR3" s="3">
        <f>C4</f>
        <v/>
      </c>
      <c r="IU3" s="65" t="n"/>
      <c r="IV3" s="65" t="n"/>
      <c r="IW3" s="65" t="n"/>
      <c r="IX3" s="65" t="n"/>
      <c r="IY3" s="3">
        <f>5713170/10000</f>
        <v/>
      </c>
      <c r="IZ3" s="3">
        <f>C4</f>
        <v/>
      </c>
      <c r="JC3" s="65" t="n"/>
      <c r="JD3" s="65" t="n"/>
      <c r="JE3" s="65" t="n"/>
      <c r="JF3" s="65" t="n"/>
      <c r="JG3" s="3">
        <f>1283310.48/10000</f>
        <v/>
      </c>
      <c r="JH3" s="3">
        <f>C4</f>
        <v/>
      </c>
      <c r="JK3" s="65" t="n"/>
      <c r="JL3" s="65" t="n"/>
      <c r="JM3" s="65" t="n"/>
      <c r="JN3" s="65" t="n"/>
      <c r="JO3" s="3">
        <f>0.8461*JQ101/10000</f>
        <v/>
      </c>
      <c r="JP3" s="3">
        <f>C4</f>
        <v/>
      </c>
      <c r="JS3" s="65" t="n"/>
      <c r="JT3" s="65" t="n"/>
      <c r="JU3" s="65" t="n"/>
      <c r="JV3" s="65" t="n"/>
      <c r="JW3" s="3">
        <f>3008153.06/10000</f>
        <v/>
      </c>
      <c r="JX3" s="3">
        <f>C4</f>
        <v/>
      </c>
      <c r="KA3" s="65" t="n"/>
      <c r="KB3" s="65" t="n"/>
      <c r="KC3" s="65" t="n"/>
      <c r="KD3" s="65" t="n"/>
      <c r="KE3" s="645">
        <f>1.568*KG101/10000</f>
        <v/>
      </c>
      <c r="KF3" s="3">
        <f>C4</f>
        <v/>
      </c>
      <c r="KG3" s="645" t="n"/>
      <c r="KH3" s="645" t="n"/>
      <c r="KI3" s="65" t="n"/>
      <c r="KJ3" s="65" t="n"/>
      <c r="KK3" s="65" t="n"/>
      <c r="KL3" s="65" t="n"/>
      <c r="KM3" s="3">
        <f>4875688/10000</f>
        <v/>
      </c>
      <c r="KN3" s="3">
        <f>C4</f>
        <v/>
      </c>
      <c r="KO3" s="645" t="n"/>
      <c r="KP3" s="645" t="n"/>
      <c r="KQ3" s="645" t="n"/>
      <c r="KR3" s="65" t="n"/>
      <c r="KS3" s="65" t="n"/>
      <c r="KT3" s="65" t="n"/>
      <c r="KU3" s="3">
        <f>0.7526*KW101/10000</f>
        <v/>
      </c>
      <c r="KV3" s="3">
        <f>C4</f>
        <v/>
      </c>
      <c r="KY3" s="65" t="n"/>
      <c r="KZ3" s="65" t="n"/>
      <c r="LA3" s="65" t="n"/>
      <c r="LB3" s="65" t="n"/>
      <c r="LC3" s="3">
        <f>784855.3/10000</f>
        <v/>
      </c>
      <c r="LD3" s="3">
        <f>C4</f>
        <v/>
      </c>
      <c r="LG3" s="65" t="n"/>
      <c r="LH3" s="65" t="n"/>
      <c r="LI3" s="65" t="n"/>
      <c r="LJ3" s="65" t="n"/>
      <c r="LK3" s="3">
        <f>1883930.13/10000</f>
        <v/>
      </c>
      <c r="LL3" s="3">
        <f>C4</f>
        <v/>
      </c>
      <c r="LM3" s="645" t="n"/>
      <c r="LO3" s="65" t="n"/>
      <c r="LP3" s="65" t="n"/>
      <c r="LQ3" s="65" t="n"/>
      <c r="LR3" s="65" t="n"/>
      <c r="LS3" s="3">
        <f>0.7922*LU101/10000</f>
        <v/>
      </c>
      <c r="LT3" s="3">
        <f>C4</f>
        <v/>
      </c>
      <c r="LW3" s="65" t="n"/>
      <c r="LX3" s="65" t="n"/>
      <c r="LY3" s="65" t="n"/>
      <c r="LZ3" s="65" t="n"/>
      <c r="MA3" s="3">
        <f>863589.59/10000</f>
        <v/>
      </c>
      <c r="MB3" s="3">
        <f>C4</f>
        <v/>
      </c>
      <c r="ME3" s="65" t="n"/>
      <c r="MF3" s="65" t="n"/>
      <c r="MG3" s="65" t="n"/>
      <c r="MH3" s="73" t="n"/>
      <c r="MJ3" s="3">
        <f>0.9983*ML101/10000</f>
        <v/>
      </c>
      <c r="MK3" s="3">
        <f>C4</f>
        <v/>
      </c>
      <c r="MN3" s="65" t="n"/>
      <c r="MO3" s="65" t="n"/>
      <c r="MP3" s="65" t="n"/>
      <c r="MQ3" s="65" t="n"/>
      <c r="MR3" s="65" t="n"/>
      <c r="MS3" s="75">
        <f>MU101*MS101/10000</f>
        <v/>
      </c>
      <c r="MT3" s="3">
        <f>C4</f>
        <v/>
      </c>
      <c r="MW3" s="65" t="n"/>
      <c r="MX3" s="65" t="n"/>
      <c r="MY3" s="65" t="n"/>
      <c r="MZ3" s="65" t="n"/>
      <c r="NA3" s="65" t="n"/>
      <c r="NB3" s="5">
        <f>ND101*NB101/10000</f>
        <v/>
      </c>
      <c r="NC3" s="3">
        <f>C4</f>
        <v/>
      </c>
      <c r="ND3" s="5" t="n"/>
      <c r="NE3" s="5" t="n"/>
      <c r="NF3" s="19" t="n"/>
      <c r="NG3" s="19" t="n"/>
      <c r="NH3" s="19" t="n"/>
      <c r="NI3" s="65" t="n"/>
      <c r="NJ3" s="65" t="n"/>
      <c r="NK3" s="65" t="n"/>
      <c r="NL3" s="5">
        <f>2660360.23/10000</f>
        <v/>
      </c>
      <c r="NM3" s="3">
        <f>C4</f>
        <v/>
      </c>
      <c r="NN3" s="5" t="n"/>
      <c r="NO3" s="5" t="n"/>
      <c r="NP3" s="19" t="n"/>
      <c r="NQ3" s="19" t="n"/>
      <c r="NR3" s="19" t="n"/>
      <c r="NS3" s="5" t="n"/>
      <c r="NT3" s="5">
        <f>244687.12/10000</f>
        <v/>
      </c>
      <c r="NU3" s="3">
        <f>C4</f>
        <v/>
      </c>
      <c r="NV3" s="5" t="n"/>
      <c r="NW3" s="5" t="n"/>
      <c r="NX3" s="19" t="n"/>
      <c r="NY3" s="19" t="n"/>
      <c r="NZ3" s="65" t="n"/>
      <c r="OB3" s="3">
        <f>1420776.15/10000</f>
        <v/>
      </c>
      <c r="OC3" s="3">
        <f>C4</f>
        <v/>
      </c>
      <c r="OF3" s="65" t="n"/>
      <c r="OG3" s="65" t="n"/>
      <c r="OH3" s="65" t="n"/>
      <c r="OI3" s="65" t="n"/>
      <c r="OJ3" s="76">
        <f>1633189.72/10000</f>
        <v/>
      </c>
      <c r="OK3" s="3">
        <f>C4</f>
        <v/>
      </c>
      <c r="OL3" s="76" t="n"/>
      <c r="OM3" s="3" t="n"/>
      <c r="ON3" s="65" t="n"/>
      <c r="OO3" s="65" t="n"/>
      <c r="OP3" s="65" t="n"/>
      <c r="OQ3" s="65" t="n"/>
      <c r="OT3" s="75">
        <f>OK3</f>
        <v/>
      </c>
      <c r="OW3" s="645" t="n"/>
      <c r="OX3" s="65" t="n"/>
    </row>
    <row r="4" ht="22.5" customFormat="1" customHeight="1" s="4">
      <c r="A4" s="648" t="n">
        <v>46052</v>
      </c>
      <c r="B4" s="4">
        <f>23206474.42/10000</f>
        <v/>
      </c>
      <c r="C4" s="649" t="n"/>
      <c r="D4" s="4">
        <f>B4-B3</f>
        <v/>
      </c>
      <c r="F4" s="79" t="n"/>
      <c r="G4" s="79">
        <f>D4/B3</f>
        <v/>
      </c>
      <c r="H4" s="79" t="n"/>
      <c r="I4" s="79" t="n"/>
      <c r="J4" s="4">
        <f>15028629.91/10000</f>
        <v/>
      </c>
      <c r="K4" s="3">
        <f>C4</f>
        <v/>
      </c>
      <c r="L4" s="4">
        <f>J4-J3</f>
        <v/>
      </c>
      <c r="N4" s="79" t="n"/>
      <c r="O4" s="79">
        <f>L4/J3</f>
        <v/>
      </c>
      <c r="P4" s="79" t="n"/>
      <c r="Q4" s="79" t="n"/>
      <c r="R4" s="4">
        <f>8159216.44/10000</f>
        <v/>
      </c>
      <c r="S4" s="3">
        <f>C4</f>
        <v/>
      </c>
      <c r="T4" s="4">
        <f>R4-R3</f>
        <v/>
      </c>
      <c r="V4" s="79" t="n"/>
      <c r="W4" s="79">
        <f>T4/R3</f>
        <v/>
      </c>
      <c r="X4" s="79" t="n"/>
      <c r="Y4" s="79" t="n"/>
      <c r="Z4" s="4">
        <f>11276319.91/10000</f>
        <v/>
      </c>
      <c r="AA4" s="3">
        <f>S4</f>
        <v/>
      </c>
      <c r="AB4" s="4">
        <f>Z4-Z3</f>
        <v/>
      </c>
      <c r="AD4" s="79" t="n"/>
      <c r="AE4" s="79">
        <f>AB4/Z3</f>
        <v/>
      </c>
      <c r="AF4" s="79" t="n"/>
      <c r="AG4" s="79" t="n"/>
      <c r="AH4" s="4">
        <f>3526618.16/10000</f>
        <v/>
      </c>
      <c r="AI4" s="3">
        <f>C4</f>
        <v/>
      </c>
      <c r="AJ4" s="4">
        <f>AH4-AH3</f>
        <v/>
      </c>
      <c r="AK4" s="80" t="n"/>
      <c r="AL4" s="79" t="n"/>
      <c r="AM4" s="79">
        <f>AJ4/AH3</f>
        <v/>
      </c>
      <c r="AN4" s="79" t="n"/>
      <c r="AO4" s="79" t="n"/>
      <c r="AP4" s="650">
        <f>3.3334*AR81/10000</f>
        <v/>
      </c>
      <c r="AQ4" s="3">
        <f>C4</f>
        <v/>
      </c>
      <c r="AR4" s="651">
        <f>AP4-AP3</f>
        <v/>
      </c>
      <c r="AT4" s="79" t="n"/>
      <c r="AU4" s="79">
        <f>AR4/AP3</f>
        <v/>
      </c>
      <c r="AV4" s="79" t="n"/>
      <c r="AW4" s="79" t="n"/>
      <c r="AX4" s="4" t="n"/>
      <c r="AY4" s="5">
        <f>BA81*AY81/10000</f>
        <v/>
      </c>
      <c r="AZ4" s="3">
        <f>C4</f>
        <v/>
      </c>
      <c r="BA4" s="5">
        <f>AY4-AY3</f>
        <v/>
      </c>
      <c r="BB4" s="5" t="n"/>
      <c r="BC4" s="19" t="n"/>
      <c r="BD4" s="19">
        <f>BA4/AY3</f>
        <v/>
      </c>
      <c r="BE4" s="19" t="n"/>
      <c r="BF4" s="648" t="n">
        <v>46052</v>
      </c>
      <c r="BG4" s="83">
        <f>1.7216*BI81/10000</f>
        <v/>
      </c>
      <c r="BH4" s="4">
        <f>#REF!</f>
        <v/>
      </c>
      <c r="BI4" s="83">
        <f>BG4-BG3</f>
        <v/>
      </c>
      <c r="BJ4" s="83" t="n"/>
      <c r="BK4" s="84" t="n"/>
      <c r="BL4" s="84">
        <f>BI4/BG3</f>
        <v/>
      </c>
      <c r="BM4" s="84" t="n"/>
      <c r="BN4" s="79" t="n"/>
      <c r="BO4" s="4">
        <f>0.9474*BQ81/10000</f>
        <v/>
      </c>
      <c r="BP4" s="4">
        <f>#REF!</f>
        <v/>
      </c>
      <c r="BQ4" s="650">
        <f>BO4-BO3</f>
        <v/>
      </c>
      <c r="BS4" s="79" t="n"/>
      <c r="BT4" s="79">
        <f>BQ4/BO3</f>
        <v/>
      </c>
      <c r="BU4" s="79" t="n"/>
      <c r="BW4" s="4">
        <f>0.9166*BY81/10000</f>
        <v/>
      </c>
      <c r="BX4" s="4">
        <f>#REF!</f>
        <v/>
      </c>
      <c r="BY4" s="4">
        <f>BW4-BW3</f>
        <v/>
      </c>
      <c r="CA4" s="79" t="n"/>
      <c r="CB4" s="79">
        <f>BY4/BW3</f>
        <v/>
      </c>
      <c r="CC4" s="79" t="n"/>
      <c r="CE4" s="4">
        <f>4317920.07/10000</f>
        <v/>
      </c>
      <c r="CF4" s="4">
        <f>#REF!</f>
        <v/>
      </c>
      <c r="CG4" s="4">
        <f>CE4-CE3</f>
        <v/>
      </c>
      <c r="CI4" s="79" t="n"/>
      <c r="CJ4" s="79">
        <f>CG4/CE3</f>
        <v/>
      </c>
      <c r="CK4" s="79" t="n"/>
      <c r="CM4" s="4">
        <f>2218453.67/10000</f>
        <v/>
      </c>
      <c r="CN4" s="4">
        <f>#REF!</f>
        <v/>
      </c>
      <c r="CO4" s="4">
        <f>CM4-CM3</f>
        <v/>
      </c>
      <c r="CQ4" s="79" t="n"/>
      <c r="CR4" s="79">
        <f>CO4/CM3</f>
        <v/>
      </c>
      <c r="CS4" s="79" t="n"/>
      <c r="CU4" s="4">
        <f>2054319.19/10000</f>
        <v/>
      </c>
      <c r="CV4" s="4">
        <f>#REF!</f>
        <v/>
      </c>
      <c r="CW4" s="4">
        <f>CU4-CU3</f>
        <v/>
      </c>
      <c r="CY4" s="79" t="n"/>
      <c r="CZ4" s="79">
        <f>CW4/CU3</f>
        <v/>
      </c>
      <c r="DA4" s="79" t="n"/>
      <c r="DB4" s="79" t="n"/>
      <c r="DC4" s="85">
        <f>1.8398*DE81/10000</f>
        <v/>
      </c>
      <c r="DD4" s="4">
        <f>#REF!</f>
        <v/>
      </c>
      <c r="DE4" s="4">
        <f>DC4-DC3</f>
        <v/>
      </c>
      <c r="DG4" s="79" t="n"/>
      <c r="DH4" s="79">
        <f>DE4/DC3</f>
        <v/>
      </c>
      <c r="DI4" s="79" t="n"/>
      <c r="DK4" s="4">
        <f>2270668.72/10000</f>
        <v/>
      </c>
      <c r="DL4" s="4">
        <f>#REF!</f>
        <v/>
      </c>
      <c r="DM4" s="4">
        <f>DK4-DK3</f>
        <v/>
      </c>
      <c r="DO4" s="79" t="n"/>
      <c r="DP4" s="79">
        <f>DM4/DK3</f>
        <v/>
      </c>
      <c r="DQ4" s="79" t="n"/>
      <c r="DS4" s="4">
        <f>5091718.41/10000</f>
        <v/>
      </c>
      <c r="DT4" s="4">
        <f>#REF!</f>
        <v/>
      </c>
      <c r="DU4" s="4">
        <f>DS4-DS3</f>
        <v/>
      </c>
      <c r="DW4" s="79" t="n"/>
      <c r="DX4" s="79">
        <f>DU4/DS3</f>
        <v/>
      </c>
      <c r="DY4" s="79" t="n"/>
      <c r="EA4" s="4">
        <f>8051821.91/10000</f>
        <v/>
      </c>
      <c r="EB4" s="4">
        <f>#REF!</f>
        <v/>
      </c>
      <c r="EC4" s="4">
        <f>EA4-EA3</f>
        <v/>
      </c>
      <c r="EE4" s="79" t="n"/>
      <c r="EF4" s="79">
        <f>EC4/EA3</f>
        <v/>
      </c>
      <c r="EG4" s="79" t="n"/>
      <c r="EI4" s="4">
        <f>1.6681*EK81/10000</f>
        <v/>
      </c>
      <c r="EJ4" s="4">
        <f>#REF!</f>
        <v/>
      </c>
      <c r="EK4" s="4">
        <f>EI4-EI3</f>
        <v/>
      </c>
      <c r="EM4" s="79" t="n"/>
      <c r="EN4" s="79">
        <f>EK4/EI3</f>
        <v/>
      </c>
      <c r="EO4" s="79" t="n"/>
      <c r="EQ4" s="650">
        <f>1111414.19/10000</f>
        <v/>
      </c>
      <c r="ER4" s="4">
        <f>#REF!</f>
        <v/>
      </c>
      <c r="ES4" s="650">
        <f>EQ4-EQ3</f>
        <v/>
      </c>
      <c r="ET4" s="650" t="n"/>
      <c r="EU4" s="79" t="n"/>
      <c r="EV4" s="79">
        <f>ES4/EQ3</f>
        <v/>
      </c>
      <c r="EW4" s="79" t="n"/>
      <c r="EY4" s="4">
        <f>982857.77/10000</f>
        <v/>
      </c>
      <c r="EZ4" s="4">
        <f>#REF!</f>
        <v/>
      </c>
      <c r="FA4" s="4">
        <f>EY4-EY3</f>
        <v/>
      </c>
      <c r="FC4" s="79" t="n"/>
      <c r="FD4" s="79">
        <f>FA4/EY3</f>
        <v/>
      </c>
      <c r="FE4" s="79" t="n"/>
      <c r="FG4" s="4">
        <f>1.8927*FI81/10000</f>
        <v/>
      </c>
      <c r="FH4" s="4">
        <f>#REF!</f>
        <v/>
      </c>
      <c r="FI4" s="650">
        <f>FG4-FG3</f>
        <v/>
      </c>
      <c r="FK4" s="79" t="n"/>
      <c r="FL4" s="79">
        <f>FI4/FG3</f>
        <v/>
      </c>
      <c r="FM4" s="86" t="n"/>
      <c r="FN4" s="86" t="n"/>
      <c r="FO4" s="4">
        <f>2464190.72/10000</f>
        <v/>
      </c>
      <c r="FP4" s="4">
        <f>#REF!</f>
        <v/>
      </c>
      <c r="FQ4" s="4">
        <f>FO4-FO3</f>
        <v/>
      </c>
      <c r="FS4" s="79" t="n"/>
      <c r="FT4" s="79">
        <f>FQ4/FO3</f>
        <v/>
      </c>
      <c r="FU4" s="79" t="n"/>
      <c r="FV4" s="79" t="n"/>
      <c r="FW4" s="4">
        <f>2677540.81/10000</f>
        <v/>
      </c>
      <c r="FX4" s="4">
        <f>#REF!</f>
        <v/>
      </c>
      <c r="FY4" s="4">
        <f>FW4-FW3</f>
        <v/>
      </c>
      <c r="GA4" s="79" t="n"/>
      <c r="GB4" s="79">
        <f>FY4/FW3</f>
        <v/>
      </c>
      <c r="GC4" s="79" t="n"/>
      <c r="GD4" s="79" t="n"/>
      <c r="GE4" s="4">
        <f>1798072.41/10000</f>
        <v/>
      </c>
      <c r="GF4" s="4">
        <f>#REF!</f>
        <v/>
      </c>
      <c r="GG4" s="4">
        <f>GE4-GE3</f>
        <v/>
      </c>
      <c r="GI4" s="79" t="n"/>
      <c r="GJ4" s="79">
        <f>GG4/GE3</f>
        <v/>
      </c>
      <c r="GK4" s="79" t="n"/>
      <c r="GL4" s="79" t="n"/>
      <c r="GM4" s="4">
        <f>0.8364*GO81/10000</f>
        <v/>
      </c>
      <c r="GN4" s="4">
        <f>#REF!</f>
        <v/>
      </c>
      <c r="GO4" s="4">
        <f>GM4-GM3</f>
        <v/>
      </c>
      <c r="GQ4" s="79" t="n"/>
      <c r="GR4" s="79">
        <f>GO4/GM3</f>
        <v/>
      </c>
      <c r="GS4" s="79" t="n"/>
      <c r="GT4" s="79" t="n"/>
      <c r="GU4" s="4">
        <f>1056625.16/10000</f>
        <v/>
      </c>
      <c r="GV4" s="4">
        <f>#REF!</f>
        <v/>
      </c>
      <c r="GW4" s="4">
        <f>GU4-GU3</f>
        <v/>
      </c>
      <c r="GY4" s="79" t="n"/>
      <c r="GZ4" s="79">
        <f>GW4/GU3</f>
        <v/>
      </c>
      <c r="HA4" s="79" t="n"/>
      <c r="HB4" s="79" t="n"/>
      <c r="HC4" s="4">
        <f>1.0571*HE81/10000</f>
        <v/>
      </c>
      <c r="HD4" s="4">
        <f>#REF!</f>
        <v/>
      </c>
      <c r="HE4" s="4">
        <f>HC4-HC3</f>
        <v/>
      </c>
      <c r="HG4" s="79" t="n"/>
      <c r="HH4" s="79">
        <f>HE4/HC3</f>
        <v/>
      </c>
      <c r="HI4" s="79" t="n"/>
      <c r="HJ4" s="79" t="n"/>
      <c r="HK4" s="4">
        <f>182316.83/10000</f>
        <v/>
      </c>
      <c r="HL4" s="4">
        <f>#REF!</f>
        <v/>
      </c>
      <c r="HM4" s="4">
        <f>HK4-HK3</f>
        <v/>
      </c>
      <c r="HO4" s="79" t="n"/>
      <c r="HP4" s="79">
        <f>HM4/HK3</f>
        <v/>
      </c>
      <c r="HQ4" s="79" t="n"/>
      <c r="HR4" s="79" t="n"/>
      <c r="HS4" s="4">
        <f>0.7244*HU81/10000</f>
        <v/>
      </c>
      <c r="HT4" s="4">
        <f>#REF!</f>
        <v/>
      </c>
      <c r="HU4" s="4">
        <f>HS4-HS3</f>
        <v/>
      </c>
      <c r="HW4" s="79" t="n"/>
      <c r="HX4" s="79">
        <f>HU4/HS3</f>
        <v/>
      </c>
      <c r="HY4" s="79" t="n"/>
      <c r="HZ4" s="79" t="n"/>
      <c r="IA4" s="87">
        <f>642339.49/10000</f>
        <v/>
      </c>
      <c r="IB4" s="4">
        <f>#REF!</f>
        <v/>
      </c>
      <c r="IC4" s="87">
        <f>IA4-IA3</f>
        <v/>
      </c>
      <c r="ID4" s="87" t="n"/>
      <c r="IE4" s="86" t="n"/>
      <c r="IF4" s="86">
        <f>IC4/IA3</f>
        <v/>
      </c>
      <c r="IG4" s="86" t="n"/>
      <c r="IH4" s="79" t="n"/>
      <c r="II4" s="4">
        <f>1.0277*IK81/10000</f>
        <v/>
      </c>
      <c r="IJ4" s="4">
        <f>#REF!</f>
        <v/>
      </c>
      <c r="IK4" s="4">
        <f>II4-II3</f>
        <v/>
      </c>
      <c r="IM4" s="79" t="n"/>
      <c r="IN4" s="79">
        <f>IK4/II3</f>
        <v/>
      </c>
      <c r="IO4" s="79" t="n"/>
      <c r="IP4" s="79" t="n"/>
      <c r="IQ4" s="4">
        <f>297139.1/10000</f>
        <v/>
      </c>
      <c r="IR4" s="4">
        <f>#REF!</f>
        <v/>
      </c>
      <c r="IS4" s="4">
        <f>IQ4-IQ3</f>
        <v/>
      </c>
      <c r="IU4" s="79" t="n"/>
      <c r="IV4" s="79">
        <f>IS4/IQ3</f>
        <v/>
      </c>
      <c r="IW4" s="79" t="n"/>
      <c r="IX4" s="79" t="n"/>
      <c r="IY4" s="4">
        <f>5547239.4/10000</f>
        <v/>
      </c>
      <c r="IZ4" s="4">
        <f>#REF!</f>
        <v/>
      </c>
      <c r="JA4" s="4">
        <f>IY4-IY3</f>
        <v/>
      </c>
      <c r="JC4" s="79" t="n"/>
      <c r="JD4" s="79">
        <f>JA4/IY3</f>
        <v/>
      </c>
      <c r="JE4" s="79" t="n"/>
      <c r="JF4" s="79" t="n"/>
      <c r="JG4" s="4">
        <f>1188840.69/10000</f>
        <v/>
      </c>
      <c r="JH4" s="4">
        <f>#REF!</f>
        <v/>
      </c>
      <c r="JI4" s="4">
        <f>JG4-JG3</f>
        <v/>
      </c>
      <c r="JK4" s="79" t="n"/>
      <c r="JL4" s="79">
        <f>JI4/JG3</f>
        <v/>
      </c>
      <c r="JM4" s="79" t="n"/>
      <c r="JN4" s="79" t="n"/>
      <c r="JO4" s="4">
        <f>0.8461*JQ81/10000</f>
        <v/>
      </c>
      <c r="JP4" s="4">
        <f>#REF!</f>
        <v/>
      </c>
      <c r="JQ4" s="4">
        <f>JO4-JO3</f>
        <v/>
      </c>
      <c r="JS4" s="79" t="n"/>
      <c r="JT4" s="79">
        <f>JQ4/JO3</f>
        <v/>
      </c>
      <c r="JU4" s="79" t="n"/>
      <c r="JV4" s="79" t="n"/>
      <c r="JW4" s="4">
        <f>2759031.69/10000</f>
        <v/>
      </c>
      <c r="JX4" s="4">
        <f>#REF!</f>
        <v/>
      </c>
      <c r="JY4" s="4">
        <f>JW4-JW3</f>
        <v/>
      </c>
      <c r="KA4" s="79" t="n"/>
      <c r="KB4" s="79">
        <f>JY4/JW3</f>
        <v/>
      </c>
      <c r="KC4" s="79" t="n"/>
      <c r="KD4" s="79" t="n"/>
      <c r="KE4" s="650">
        <f>1.6561*KG81/10000</f>
        <v/>
      </c>
      <c r="KF4" s="4">
        <f>#REF!</f>
        <v/>
      </c>
      <c r="KG4" s="650">
        <f>KE4-KE3</f>
        <v/>
      </c>
      <c r="KH4" s="650" t="n"/>
      <c r="KI4" s="79" t="n"/>
      <c r="KJ4" s="79">
        <f>KG4/KE3</f>
        <v/>
      </c>
      <c r="KK4" s="79" t="n"/>
      <c r="KL4" s="79" t="n"/>
      <c r="KM4" s="4">
        <f>5247813.91/10000</f>
        <v/>
      </c>
      <c r="KN4" s="4">
        <f>#REF!</f>
        <v/>
      </c>
      <c r="KO4" s="650">
        <f>KM4-KM3</f>
        <v/>
      </c>
      <c r="KP4" s="650" t="n"/>
      <c r="KQ4" s="79" t="n"/>
      <c r="KR4" s="79">
        <f>KO4/KM3</f>
        <v/>
      </c>
      <c r="KS4" s="79" t="n"/>
      <c r="KT4" s="79" t="n"/>
      <c r="KU4" s="4">
        <f>0.7825*KW81/10000</f>
        <v/>
      </c>
      <c r="KV4" s="4">
        <f>#REF!</f>
        <v/>
      </c>
      <c r="KW4" s="4">
        <f>KU4-KU3</f>
        <v/>
      </c>
      <c r="KY4" s="79" t="n"/>
      <c r="KZ4" s="79">
        <f>KW4/KU3</f>
        <v/>
      </c>
      <c r="LA4" s="79" t="n"/>
      <c r="LB4" s="79" t="n"/>
      <c r="LC4" s="4">
        <f>935275.55/10000</f>
        <v/>
      </c>
      <c r="LD4" s="4">
        <f>#REF!</f>
        <v/>
      </c>
      <c r="LE4" s="4">
        <f>LC4-LC3</f>
        <v/>
      </c>
      <c r="LG4" s="79" t="n"/>
      <c r="LH4" s="79">
        <f>LE4/LC3</f>
        <v/>
      </c>
      <c r="LI4" s="79" t="n"/>
      <c r="LJ4" s="79" t="n"/>
      <c r="LK4" s="4">
        <f>1906080.96/10000</f>
        <v/>
      </c>
      <c r="LL4" s="4">
        <f>#REF!</f>
        <v/>
      </c>
      <c r="LM4" s="650">
        <f>LK4-LK3</f>
        <v/>
      </c>
      <c r="LO4" s="79" t="n"/>
      <c r="LP4" s="79">
        <f>LM4/LK3</f>
        <v/>
      </c>
      <c r="LQ4" s="79" t="n"/>
      <c r="LR4" s="79" t="n"/>
      <c r="LS4" s="4">
        <f>0.7777*LU81/10000</f>
        <v/>
      </c>
      <c r="LT4" s="4">
        <f>#REF!</f>
        <v/>
      </c>
      <c r="LU4" s="4">
        <f>LS4-LS3</f>
        <v/>
      </c>
      <c r="LW4" s="79" t="n"/>
      <c r="LX4" s="79">
        <f>LU4/LS3</f>
        <v/>
      </c>
      <c r="LY4" s="79" t="n"/>
      <c r="LZ4" s="79" t="n"/>
      <c r="MA4" s="4">
        <f>921308.99/10000</f>
        <v/>
      </c>
      <c r="MB4" s="4">
        <f>#REF!</f>
        <v/>
      </c>
      <c r="MC4" s="4">
        <f>MA4-MA3</f>
        <v/>
      </c>
      <c r="ME4" s="79" t="n"/>
      <c r="MF4" s="79">
        <f>MC4/MA3</f>
        <v/>
      </c>
      <c r="MG4" s="79" t="n"/>
      <c r="MH4" s="86" t="n"/>
      <c r="MJ4" s="4">
        <f>1.1051*ML81/10000</f>
        <v/>
      </c>
      <c r="MK4" s="4">
        <f>#REF!</f>
        <v/>
      </c>
      <c r="ML4" s="4">
        <f>MJ4-MJ3</f>
        <v/>
      </c>
      <c r="MN4" s="79" t="n"/>
      <c r="MO4" s="79">
        <f>ML4/MJ3</f>
        <v/>
      </c>
      <c r="MP4" s="79" t="n"/>
      <c r="MQ4" s="79" t="n"/>
      <c r="MR4" s="79" t="n"/>
      <c r="MS4" s="88">
        <f>MU81*MS81/10000</f>
        <v/>
      </c>
      <c r="MT4" s="4">
        <f>#REF!</f>
        <v/>
      </c>
      <c r="MU4" s="4">
        <f>MS4-MS3</f>
        <v/>
      </c>
      <c r="MW4" s="79" t="n"/>
      <c r="MX4" s="79">
        <f>MU4/MS3</f>
        <v/>
      </c>
      <c r="MY4" s="79" t="n"/>
      <c r="MZ4" s="79" t="n"/>
      <c r="NA4" s="79" t="n"/>
      <c r="NB4" s="4">
        <f>ND81*NB81/10000</f>
        <v/>
      </c>
      <c r="NC4" s="4">
        <f>#REF!</f>
        <v/>
      </c>
      <c r="ND4" s="4">
        <f>NB4-NB3</f>
        <v/>
      </c>
      <c r="NF4" s="79" t="n"/>
      <c r="NG4" s="79">
        <f>ND4/NB3</f>
        <v/>
      </c>
      <c r="NH4" s="79" t="n"/>
      <c r="NI4" s="79" t="n"/>
      <c r="NJ4" s="79" t="n"/>
      <c r="NK4" s="79" t="n"/>
      <c r="NL4" s="4">
        <f>2873526.54/10000</f>
        <v/>
      </c>
      <c r="NM4" s="4">
        <f>#REF!</f>
        <v/>
      </c>
      <c r="NN4" s="4">
        <f>NL4-NL3</f>
        <v/>
      </c>
      <c r="NP4" s="79" t="n"/>
      <c r="NQ4" s="79">
        <f>NN4/NL3</f>
        <v/>
      </c>
      <c r="NR4" s="79" t="n"/>
      <c r="NS4" s="4" t="n"/>
      <c r="NT4" s="4">
        <f>250715.33/10000</f>
        <v/>
      </c>
      <c r="NU4" s="4">
        <f>#REF!</f>
        <v/>
      </c>
      <c r="NV4" s="4">
        <f>NT4-NT3</f>
        <v/>
      </c>
      <c r="NX4" s="79" t="n"/>
      <c r="NY4" s="79">
        <f>NV4/NT3</f>
        <v/>
      </c>
      <c r="NZ4" s="79" t="n"/>
      <c r="OB4" s="4">
        <f>1252109.44/10000</f>
        <v/>
      </c>
      <c r="OC4" s="4">
        <f>#REF!</f>
        <v/>
      </c>
      <c r="OD4" s="4">
        <f>OB4-OB3</f>
        <v/>
      </c>
      <c r="OF4" s="79" t="n"/>
      <c r="OG4" s="79">
        <f>OD4/OB3</f>
        <v/>
      </c>
      <c r="OH4" s="79" t="n"/>
      <c r="OI4" s="79" t="n"/>
      <c r="OJ4" s="89">
        <f>1454908.11/10000</f>
        <v/>
      </c>
      <c r="OK4" s="4">
        <f>#REF!</f>
        <v/>
      </c>
      <c r="OL4" s="89">
        <f>OJ4-OJ3</f>
        <v/>
      </c>
      <c r="ON4" s="79" t="n"/>
      <c r="OO4" s="79">
        <f>OL4/OJ3</f>
        <v/>
      </c>
      <c r="OP4" s="79" t="n"/>
      <c r="OQ4" s="79" t="n"/>
      <c r="OT4" s="88">
        <f>OK4</f>
        <v/>
      </c>
      <c r="OW4" s="650" t="n"/>
      <c r="OX4" s="79" t="n"/>
    </row>
    <row r="5" ht="22.5" customFormat="1" customHeight="1" s="4">
      <c r="A5" s="652" t="inlineStr">
        <is>
          <t>2026//2/27</t>
        </is>
      </c>
      <c r="B5" s="4">
        <f>21544245.93/10000</f>
        <v/>
      </c>
      <c r="C5" s="653" t="n"/>
      <c r="D5" s="4">
        <f>B5-B4</f>
        <v/>
      </c>
      <c r="E5" s="4">
        <f>B5-#REF!</f>
        <v/>
      </c>
      <c r="F5" s="79">
        <f>E5/#REF!</f>
        <v/>
      </c>
      <c r="G5" s="79">
        <f>D5/B4</f>
        <v/>
      </c>
      <c r="H5" s="79" t="n"/>
      <c r="I5" s="79" t="n"/>
      <c r="J5" s="4">
        <f>14625208.88/10000</f>
        <v/>
      </c>
      <c r="K5" s="92">
        <f>C5</f>
        <v/>
      </c>
      <c r="L5" s="4">
        <f>J5-J4</f>
        <v/>
      </c>
      <c r="M5" s="4">
        <f>J5-#REF!</f>
        <v/>
      </c>
      <c r="N5" s="79">
        <f>M5/#REF!</f>
        <v/>
      </c>
      <c r="O5" s="79">
        <f>L5/J4</f>
        <v/>
      </c>
      <c r="P5" s="79" t="n"/>
      <c r="Q5" s="79" t="n"/>
      <c r="R5" s="4">
        <f>7412024.13/10000</f>
        <v/>
      </c>
      <c r="S5" s="92">
        <f>C5</f>
        <v/>
      </c>
      <c r="T5" s="4">
        <f>R5-R4</f>
        <v/>
      </c>
      <c r="U5" s="4">
        <f>R5-#REF!</f>
        <v/>
      </c>
      <c r="V5" s="79">
        <f>U5/#REF!</f>
        <v/>
      </c>
      <c r="W5" s="79">
        <f>T5/R4</f>
        <v/>
      </c>
      <c r="X5" s="79" t="n"/>
      <c r="Y5" s="79" t="n"/>
      <c r="Z5" s="4">
        <f>9110042.48/10000</f>
        <v/>
      </c>
      <c r="AA5" s="92">
        <f>S5</f>
        <v/>
      </c>
      <c r="AB5" s="4">
        <f>Z5-Z4</f>
        <v/>
      </c>
      <c r="AC5" s="4">
        <f>Z5-#REF!</f>
        <v/>
      </c>
      <c r="AD5" s="79">
        <f>AC5/#REF!</f>
        <v/>
      </c>
      <c r="AE5" s="79">
        <f>AB5/Z4</f>
        <v/>
      </c>
      <c r="AF5" s="79" t="n"/>
      <c r="AG5" s="79" t="n"/>
      <c r="AH5" s="4">
        <f>3127431.17/10000</f>
        <v/>
      </c>
      <c r="AI5" s="92">
        <f>C5</f>
        <v/>
      </c>
      <c r="AJ5" s="4">
        <f>AH5-AH4</f>
        <v/>
      </c>
      <c r="AK5" s="80">
        <f>AH5-#REF!</f>
        <v/>
      </c>
      <c r="AL5" s="79">
        <f>AK5/#REF!</f>
        <v/>
      </c>
      <c r="AM5" s="79">
        <f>AJ5/AH4</f>
        <v/>
      </c>
      <c r="AN5" s="79" t="n"/>
      <c r="AO5" s="79" t="n"/>
      <c r="AP5" s="650">
        <f>3.3006*AR67/10000</f>
        <v/>
      </c>
      <c r="AQ5" s="92">
        <f>C5</f>
        <v/>
      </c>
      <c r="AR5" s="651">
        <f>AP5-AP4</f>
        <v/>
      </c>
      <c r="AS5" s="4">
        <f>AP5-#REF!</f>
        <v/>
      </c>
      <c r="AT5" s="79">
        <f>AS5/#REF!</f>
        <v/>
      </c>
      <c r="AU5" s="79">
        <f>AR5/AP4</f>
        <v/>
      </c>
      <c r="AV5" s="79" t="n"/>
      <c r="AW5" s="79" t="n"/>
      <c r="AX5" s="4" t="n"/>
      <c r="AY5" s="5">
        <f>BA67*AY67/10000</f>
        <v/>
      </c>
      <c r="AZ5" s="92">
        <f>C5</f>
        <v/>
      </c>
      <c r="BA5" s="5">
        <f>AY5-AY4</f>
        <v/>
      </c>
      <c r="BB5" s="5" t="n"/>
      <c r="BC5" s="19" t="n"/>
      <c r="BD5" s="19">
        <f>BA5/AY4</f>
        <v/>
      </c>
      <c r="BE5" s="93" t="n"/>
      <c r="BF5" s="652" t="inlineStr">
        <is>
          <t>2026//2/27</t>
        </is>
      </c>
      <c r="BG5" s="94">
        <f>1.9752*BI67/10000</f>
        <v/>
      </c>
      <c r="BH5" s="4">
        <f>#REF!</f>
        <v/>
      </c>
      <c r="BI5" s="94">
        <f>BG5-BG4</f>
        <v/>
      </c>
      <c r="BJ5" s="83">
        <f>BG5-#REF!</f>
        <v/>
      </c>
      <c r="BK5" s="84">
        <f>BJ5/#REF!</f>
        <v/>
      </c>
      <c r="BL5" s="95">
        <f>BI5/BG4</f>
        <v/>
      </c>
      <c r="BM5" s="95" t="n"/>
      <c r="BN5" s="79" t="n"/>
      <c r="BO5" s="4">
        <f>0.9033*BQ67/10000</f>
        <v/>
      </c>
      <c r="BP5" s="4">
        <f>#REF!</f>
        <v/>
      </c>
      <c r="BQ5" s="650">
        <f>BO5-BO4</f>
        <v/>
      </c>
      <c r="BR5" s="4">
        <f>BO5-#REF!</f>
        <v/>
      </c>
      <c r="BS5" s="79">
        <f>BR5/#REF!</f>
        <v/>
      </c>
      <c r="BT5" s="79">
        <f>BQ5/BO4</f>
        <v/>
      </c>
      <c r="BU5" s="79" t="n"/>
      <c r="BW5" s="4">
        <f>0.9566*BY67/10000</f>
        <v/>
      </c>
      <c r="BX5" s="4">
        <f>#REF!</f>
        <v/>
      </c>
      <c r="BY5" s="4">
        <f>BW5-BW4</f>
        <v/>
      </c>
      <c r="BZ5" s="4">
        <f>BW5-#REF!</f>
        <v/>
      </c>
      <c r="CA5" s="79">
        <f>BZ5/#REF!</f>
        <v/>
      </c>
      <c r="CB5" s="79">
        <f>BY5/BW4</f>
        <v/>
      </c>
      <c r="CC5" s="79" t="n"/>
      <c r="CE5" s="4">
        <f>4042663.9/10000</f>
        <v/>
      </c>
      <c r="CF5" s="4">
        <f>#REF!</f>
        <v/>
      </c>
      <c r="CG5" s="4">
        <f>CE5-CE4</f>
        <v/>
      </c>
      <c r="CH5" s="4">
        <f>CE5-#REF!</f>
        <v/>
      </c>
      <c r="CI5" s="79">
        <f>CH5/#REF!</f>
        <v/>
      </c>
      <c r="CJ5" s="79">
        <f>CG5/CE4</f>
        <v/>
      </c>
      <c r="CK5" s="79" t="n"/>
      <c r="CM5" s="4">
        <f>1729034.67/10000</f>
        <v/>
      </c>
      <c r="CN5" s="4">
        <f>#REF!</f>
        <v/>
      </c>
      <c r="CO5" s="4">
        <f>CM5-CM4</f>
        <v/>
      </c>
      <c r="CP5" s="4">
        <f>CM5-#REF!</f>
        <v/>
      </c>
      <c r="CQ5" s="79">
        <f>CP5/#REF!</f>
        <v/>
      </c>
      <c r="CR5" s="79">
        <f>CO5/CM4</f>
        <v/>
      </c>
      <c r="CS5" s="79" t="n"/>
      <c r="CU5" s="4">
        <f>1590712.92/10000</f>
        <v/>
      </c>
      <c r="CV5" s="4">
        <f>#REF!</f>
        <v/>
      </c>
      <c r="CW5" s="4">
        <f>CU5-CU4</f>
        <v/>
      </c>
      <c r="CX5" s="4">
        <f>CU5-#REF!</f>
        <v/>
      </c>
      <c r="CY5" s="79">
        <f>CX5/#REF!</f>
        <v/>
      </c>
      <c r="CZ5" s="79">
        <f>CW5/CU4</f>
        <v/>
      </c>
      <c r="DA5" s="79" t="n"/>
      <c r="DB5" s="79" t="n"/>
      <c r="DC5" s="4">
        <f>1.9485*DE67/10000</f>
        <v/>
      </c>
      <c r="DD5" s="4">
        <f>#REF!</f>
        <v/>
      </c>
      <c r="DE5" s="4">
        <f>DC5-DC4</f>
        <v/>
      </c>
      <c r="DF5" s="4">
        <f>DC5-#REF!</f>
        <v/>
      </c>
      <c r="DG5" s="79">
        <f>DF5/#REF!</f>
        <v/>
      </c>
      <c r="DH5" s="79">
        <f>DE5/DC4</f>
        <v/>
      </c>
      <c r="DI5" s="79" t="n"/>
      <c r="DK5" s="4">
        <f>2260765.11/10000</f>
        <v/>
      </c>
      <c r="DL5" s="4">
        <f>#REF!</f>
        <v/>
      </c>
      <c r="DM5" s="4">
        <f>DK5-DK4</f>
        <v/>
      </c>
      <c r="DN5" s="4">
        <f>DK5-#REF!</f>
        <v/>
      </c>
      <c r="DO5" s="79">
        <f>DN5/#REF!</f>
        <v/>
      </c>
      <c r="DP5" s="79">
        <f>DM5/DK4</f>
        <v/>
      </c>
      <c r="DQ5" s="79" t="n"/>
      <c r="DS5" s="4">
        <f>4867024.07/10000</f>
        <v/>
      </c>
      <c r="DT5" s="4">
        <f>#REF!</f>
        <v/>
      </c>
      <c r="DU5" s="4">
        <f>DS5-DS4</f>
        <v/>
      </c>
      <c r="DV5" s="4">
        <f>DS5-#REF!</f>
        <v/>
      </c>
      <c r="DW5" s="79">
        <f>DV5/#REF!</f>
        <v/>
      </c>
      <c r="DX5" s="79">
        <f>DU5/DS4</f>
        <v/>
      </c>
      <c r="DY5" s="79" t="n"/>
      <c r="EA5" s="4">
        <f>7740137.94/10000</f>
        <v/>
      </c>
      <c r="EB5" s="4">
        <f>#REF!</f>
        <v/>
      </c>
      <c r="EC5" s="4">
        <f>EA5-EA4</f>
        <v/>
      </c>
      <c r="ED5" s="4">
        <f>EA5-#REF!</f>
        <v/>
      </c>
      <c r="EE5" s="79">
        <f>ED5/#REF!</f>
        <v/>
      </c>
      <c r="EF5" s="79">
        <f>EC5/EA4</f>
        <v/>
      </c>
      <c r="EG5" s="79" t="n"/>
      <c r="EI5" s="4">
        <f>1.6196*EK67/10000</f>
        <v/>
      </c>
      <c r="EJ5" s="4">
        <f>#REF!</f>
        <v/>
      </c>
      <c r="EK5" s="4">
        <f>EI5-EI4</f>
        <v/>
      </c>
      <c r="EL5" s="4">
        <f>EI5-#REF!</f>
        <v/>
      </c>
      <c r="EM5" s="79">
        <f>EL5/#REF!</f>
        <v/>
      </c>
      <c r="EN5" s="79">
        <f>EK5/EI4</f>
        <v/>
      </c>
      <c r="EO5" s="79" t="n"/>
      <c r="EQ5" s="650">
        <f>1129119.1/10000</f>
        <v/>
      </c>
      <c r="ER5" s="4">
        <f>#REF!</f>
        <v/>
      </c>
      <c r="ES5" s="650">
        <f>EQ5-EQ4</f>
        <v/>
      </c>
      <c r="ET5" s="650">
        <f>EQ5-#REF!</f>
        <v/>
      </c>
      <c r="EU5" s="79">
        <f>ET5/#REF!</f>
        <v/>
      </c>
      <c r="EV5" s="79">
        <f>ES5/EQ4</f>
        <v/>
      </c>
      <c r="EW5" s="79" t="n"/>
      <c r="EY5" s="4">
        <f>1104542.4/10000</f>
        <v/>
      </c>
      <c r="EZ5" s="4">
        <f>#REF!</f>
        <v/>
      </c>
      <c r="FA5" s="4">
        <f>EY5-EY4</f>
        <v/>
      </c>
      <c r="FB5" s="4">
        <f>EY5-#REF!</f>
        <v/>
      </c>
      <c r="FC5" s="79">
        <f>FB5/#REF!</f>
        <v/>
      </c>
      <c r="FD5" s="79">
        <f>FA5/EY4</f>
        <v/>
      </c>
      <c r="FE5" s="79" t="n"/>
      <c r="FG5" s="4">
        <f>1.8594*FI67/10000</f>
        <v/>
      </c>
      <c r="FH5" s="4">
        <f>#REF!</f>
        <v/>
      </c>
      <c r="FI5" s="650">
        <f>FG5-FG4</f>
        <v/>
      </c>
      <c r="FJ5" s="4">
        <f>FG5-#REF!</f>
        <v/>
      </c>
      <c r="FK5" s="79">
        <f>FJ5/#REF!</f>
        <v/>
      </c>
      <c r="FL5" s="79">
        <f>FI5/FG4</f>
        <v/>
      </c>
      <c r="FM5" s="79" t="n"/>
      <c r="FN5" s="79" t="n"/>
      <c r="FO5" s="4">
        <f>2677854.57/10000</f>
        <v/>
      </c>
      <c r="FP5" s="4">
        <f>#REF!</f>
        <v/>
      </c>
      <c r="FQ5" s="4">
        <f>FO5-FO4</f>
        <v/>
      </c>
      <c r="FR5" s="4">
        <f>FO5-#REF!</f>
        <v/>
      </c>
      <c r="FS5" s="79">
        <f>FR5/#REF!</f>
        <v/>
      </c>
      <c r="FT5" s="79">
        <f>FQ5/FO4</f>
        <v/>
      </c>
      <c r="FU5" s="79" t="n"/>
      <c r="FV5" s="79" t="n"/>
      <c r="FW5" s="4">
        <f>2789513.64/10000</f>
        <v/>
      </c>
      <c r="FX5" s="4">
        <f>#REF!</f>
        <v/>
      </c>
      <c r="FY5" s="4">
        <f>FW5-FW4</f>
        <v/>
      </c>
      <c r="FZ5" s="4">
        <f>FW5-#REF!</f>
        <v/>
      </c>
      <c r="GA5" s="79">
        <f>FZ5/#REF!</f>
        <v/>
      </c>
      <c r="GB5" s="79">
        <f>FY5/FW4</f>
        <v/>
      </c>
      <c r="GC5" s="79" t="n"/>
      <c r="GD5" s="79" t="n"/>
      <c r="GE5" s="96">
        <f>1756501.84/10000</f>
        <v/>
      </c>
      <c r="GF5" s="4">
        <f>#REF!</f>
        <v/>
      </c>
      <c r="GG5" s="96">
        <f>GE5-GE4</f>
        <v/>
      </c>
      <c r="GH5" s="4">
        <f>GE5-#REF!</f>
        <v/>
      </c>
      <c r="GI5" s="79">
        <f>GH5/#REF!</f>
        <v/>
      </c>
      <c r="GJ5" s="79">
        <f>GG5/GE4</f>
        <v/>
      </c>
      <c r="GK5" s="79" t="n"/>
      <c r="GL5" s="79" t="n"/>
      <c r="GM5" s="4">
        <f>0.8218*GO67/10000</f>
        <v/>
      </c>
      <c r="GN5" s="4">
        <f>#REF!</f>
        <v/>
      </c>
      <c r="GO5" s="4">
        <f>GM5-GM4</f>
        <v/>
      </c>
      <c r="GP5" s="4">
        <f>GM5-#REF!</f>
        <v/>
      </c>
      <c r="GQ5" s="79">
        <f>GP5/#REF!</f>
        <v/>
      </c>
      <c r="GR5" s="79">
        <f>GO5/GM4</f>
        <v/>
      </c>
      <c r="GS5" s="79" t="n"/>
      <c r="GT5" s="79" t="n"/>
      <c r="GU5" s="4">
        <f>1164569.72/10000</f>
        <v/>
      </c>
      <c r="GV5" s="4">
        <f>#REF!</f>
        <v/>
      </c>
      <c r="GW5" s="4">
        <f>GU5-GU4</f>
        <v/>
      </c>
      <c r="GX5" s="4">
        <f>GU5-#REF!</f>
        <v/>
      </c>
      <c r="GY5" s="79">
        <f>GX5/#REF!</f>
        <v/>
      </c>
      <c r="GZ5" s="79">
        <f>GW5/GU4</f>
        <v/>
      </c>
      <c r="HA5" s="79" t="n"/>
      <c r="HB5" s="79" t="n"/>
      <c r="HC5" s="4">
        <f>1.096*HE67/10000</f>
        <v/>
      </c>
      <c r="HD5" s="4">
        <f>#REF!</f>
        <v/>
      </c>
      <c r="HE5" s="4">
        <f>HC5-HC4</f>
        <v/>
      </c>
      <c r="HF5" s="4">
        <f>HC5-#REF!</f>
        <v/>
      </c>
      <c r="HG5" s="79">
        <f>HF5/#REF!</f>
        <v/>
      </c>
      <c r="HH5" s="79">
        <f>HE5/HC4</f>
        <v/>
      </c>
      <c r="HI5" s="79" t="n"/>
      <c r="HJ5" s="79" t="n"/>
      <c r="HK5" s="4">
        <f>197812.73/10000</f>
        <v/>
      </c>
      <c r="HL5" s="4">
        <f>#REF!</f>
        <v/>
      </c>
      <c r="HM5" s="4">
        <f>HK5-HK4</f>
        <v/>
      </c>
      <c r="HN5" s="4">
        <f>HK5-#REF!</f>
        <v/>
      </c>
      <c r="HO5" s="79">
        <f>HN5/#REF!</f>
        <v/>
      </c>
      <c r="HP5" s="79">
        <f>HM5/HK4</f>
        <v/>
      </c>
      <c r="HQ5" s="79" t="n"/>
      <c r="HR5" s="79" t="n"/>
      <c r="HS5" s="4">
        <f>0.741*HU67/10000</f>
        <v/>
      </c>
      <c r="HT5" s="4">
        <f>#REF!</f>
        <v/>
      </c>
      <c r="HU5" s="4">
        <f>HS5-HS4</f>
        <v/>
      </c>
      <c r="HV5" s="4">
        <f>HS5-#REF!</f>
        <v/>
      </c>
      <c r="HW5" s="79">
        <f>HV5/#REF!</f>
        <v/>
      </c>
      <c r="HX5" s="79">
        <f>HU5/HS4</f>
        <v/>
      </c>
      <c r="HY5" s="79" t="n"/>
      <c r="HZ5" s="79" t="n"/>
      <c r="IA5" s="4">
        <f>767305.92/10000</f>
        <v/>
      </c>
      <c r="IB5" s="4">
        <f>#REF!</f>
        <v/>
      </c>
      <c r="IC5" s="4">
        <f>IA5-IA4</f>
        <v/>
      </c>
      <c r="ID5" s="87">
        <f>IA5-#REF!</f>
        <v/>
      </c>
      <c r="IE5" s="86">
        <f>ID5/#REF!</f>
        <v/>
      </c>
      <c r="IF5" s="79">
        <f>IC5/IA4</f>
        <v/>
      </c>
      <c r="IG5" s="79" t="n"/>
      <c r="IH5" s="79" t="n"/>
      <c r="II5" s="4">
        <f>1.0612*IK67/10000</f>
        <v/>
      </c>
      <c r="IJ5" s="4">
        <f>#REF!</f>
        <v/>
      </c>
      <c r="IK5" s="4">
        <f>II5-II4</f>
        <v/>
      </c>
      <c r="IL5" s="4">
        <f>II5-#REF!</f>
        <v/>
      </c>
      <c r="IM5" s="79">
        <f>IL5/#REF!</f>
        <v/>
      </c>
      <c r="IN5" s="79">
        <f>IK5/II4</f>
        <v/>
      </c>
      <c r="IO5" s="79" t="n"/>
      <c r="IP5" s="79" t="n"/>
      <c r="IQ5" s="4">
        <f>301173.45/10000</f>
        <v/>
      </c>
      <c r="IR5" s="4">
        <f>#REF!</f>
        <v/>
      </c>
      <c r="IS5" s="4">
        <f>IQ5-IQ4</f>
        <v/>
      </c>
      <c r="IT5" s="4">
        <f>IQ5-#REF!</f>
        <v/>
      </c>
      <c r="IU5" s="79">
        <f>IT5/#REF!</f>
        <v/>
      </c>
      <c r="IV5" s="79">
        <f>IS5/IQ4</f>
        <v/>
      </c>
      <c r="IW5" s="79" t="n"/>
      <c r="IX5" s="79" t="n"/>
      <c r="IY5" s="97">
        <f>5746136.67/10000</f>
        <v/>
      </c>
      <c r="IZ5" s="4">
        <f>#REF!</f>
        <v/>
      </c>
      <c r="JA5" s="4">
        <f>IY5-IY4</f>
        <v/>
      </c>
      <c r="JB5" s="4">
        <f>IY5-#REF!</f>
        <v/>
      </c>
      <c r="JC5" s="79">
        <f>JB5/#REF!</f>
        <v/>
      </c>
      <c r="JD5" s="79">
        <f>JA5/IY4</f>
        <v/>
      </c>
      <c r="JE5" s="79" t="n"/>
      <c r="JF5" s="79" t="n"/>
      <c r="JG5" s="4">
        <f>1148668.72/10000</f>
        <v/>
      </c>
      <c r="JH5" s="4">
        <f>#REF!</f>
        <v/>
      </c>
      <c r="JI5" s="4">
        <f>JG5-JG4</f>
        <v/>
      </c>
      <c r="JJ5" s="4">
        <f>JG5-#REF!</f>
        <v/>
      </c>
      <c r="JK5" s="79">
        <f>JJ5/#REF!</f>
        <v/>
      </c>
      <c r="JL5" s="79">
        <f>JI5/JG4</f>
        <v/>
      </c>
      <c r="JM5" s="79" t="n"/>
      <c r="JN5" s="79" t="n"/>
      <c r="JO5" s="4">
        <f>0.8375*JQ67/10000</f>
        <v/>
      </c>
      <c r="JP5" s="4">
        <f>#REF!</f>
        <v/>
      </c>
      <c r="JQ5" s="4">
        <f>JO5-JO4</f>
        <v/>
      </c>
      <c r="JR5" s="4">
        <f>JO5-#REF!</f>
        <v/>
      </c>
      <c r="JS5" s="79">
        <f>JR5/#REF!</f>
        <v/>
      </c>
      <c r="JT5" s="79">
        <f>JQ5/JO4</f>
        <v/>
      </c>
      <c r="JU5" s="79" t="n"/>
      <c r="JV5" s="79" t="n"/>
      <c r="JW5" s="4">
        <f>2583988.88/10000</f>
        <v/>
      </c>
      <c r="JX5" s="4">
        <f>#REF!</f>
        <v/>
      </c>
      <c r="JY5" s="4">
        <f>JW5-JW4</f>
        <v/>
      </c>
      <c r="JZ5" s="4">
        <f>JW5-#REF!</f>
        <v/>
      </c>
      <c r="KA5" s="79">
        <f>JZ5/#REF!</f>
        <v/>
      </c>
      <c r="KB5" s="79">
        <f>JY5/JW4</f>
        <v/>
      </c>
      <c r="KC5" s="79" t="n"/>
      <c r="KD5" s="79" t="n"/>
      <c r="KE5" s="650">
        <f>1.5815*KG67/10000</f>
        <v/>
      </c>
      <c r="KF5" s="4">
        <f>#REF!</f>
        <v/>
      </c>
      <c r="KG5" s="650">
        <f>KE5-KE4</f>
        <v/>
      </c>
      <c r="KH5" s="650">
        <f>KE5-#REF!</f>
        <v/>
      </c>
      <c r="KI5" s="79">
        <f>KH5/#REF!</f>
        <v/>
      </c>
      <c r="KJ5" s="79">
        <f>KG5/KE4</f>
        <v/>
      </c>
      <c r="KK5" s="79" t="n"/>
      <c r="KL5" s="79" t="n"/>
      <c r="KM5" s="4">
        <f>5199183.89/10000</f>
        <v/>
      </c>
      <c r="KN5" s="4">
        <f>#REF!</f>
        <v/>
      </c>
      <c r="KO5" s="4">
        <f>KM5-KM4</f>
        <v/>
      </c>
      <c r="KP5" s="650">
        <f>KM5-#REF!</f>
        <v/>
      </c>
      <c r="KQ5" s="79">
        <f>KP5/#REF!</f>
        <v/>
      </c>
      <c r="KR5" s="79">
        <f>KO5/KM4</f>
        <v/>
      </c>
      <c r="KS5" s="79" t="n"/>
      <c r="KT5" s="79" t="n"/>
      <c r="KU5" s="4">
        <f>0.7455*KW67/10000</f>
        <v/>
      </c>
      <c r="KV5" s="4">
        <f>#REF!</f>
        <v/>
      </c>
      <c r="KW5" s="4">
        <f>KU5-KU4</f>
        <v/>
      </c>
      <c r="KX5" s="4">
        <f>KU5-#REF!</f>
        <v/>
      </c>
      <c r="KY5" s="79">
        <f>KX5/#REF!</f>
        <v/>
      </c>
      <c r="KZ5" s="79">
        <f>KW5/KU4</f>
        <v/>
      </c>
      <c r="LA5" s="79" t="n"/>
      <c r="LB5" s="79" t="n"/>
      <c r="LC5" s="4">
        <f>1058238.66/10000</f>
        <v/>
      </c>
      <c r="LD5" s="4">
        <f>#REF!</f>
        <v/>
      </c>
      <c r="LE5" s="4">
        <f>LC5-LC4</f>
        <v/>
      </c>
      <c r="LF5" s="4">
        <f>LC5-#REF!</f>
        <v/>
      </c>
      <c r="LG5" s="79">
        <f>LF5/#REF!</f>
        <v/>
      </c>
      <c r="LH5" s="79">
        <f>LE5/LC4</f>
        <v/>
      </c>
      <c r="LI5" s="79" t="n"/>
      <c r="LJ5" s="79" t="n"/>
      <c r="LK5" s="4">
        <f>1806554.9/10000</f>
        <v/>
      </c>
      <c r="LL5" s="4">
        <f>#REF!</f>
        <v/>
      </c>
      <c r="LM5" s="650">
        <f>LK5-LK4</f>
        <v/>
      </c>
      <c r="LN5" s="4">
        <f>LK5-#REF!</f>
        <v/>
      </c>
      <c r="LO5" s="79">
        <f>LN5/#REF!</f>
        <v/>
      </c>
      <c r="LP5" s="79">
        <f>LM5/LK4</f>
        <v/>
      </c>
      <c r="LQ5" s="79" t="n"/>
      <c r="LR5" s="79" t="n"/>
      <c r="LS5" s="4">
        <f>0.7701*LU67/10000</f>
        <v/>
      </c>
      <c r="LT5" s="4">
        <f>#REF!</f>
        <v/>
      </c>
      <c r="LU5" s="4">
        <f>LS5-LS4</f>
        <v/>
      </c>
      <c r="LV5" s="4">
        <f>LS5-#REF!</f>
        <v/>
      </c>
      <c r="LW5" s="79">
        <f>LV5/#REF!</f>
        <v/>
      </c>
      <c r="LX5" s="79">
        <f>LU5/LS4</f>
        <v/>
      </c>
      <c r="LY5" s="79" t="n"/>
      <c r="LZ5" s="79" t="n"/>
      <c r="MA5" s="4">
        <f>937881.77/10000</f>
        <v/>
      </c>
      <c r="MB5" s="4">
        <f>#REF!</f>
        <v/>
      </c>
      <c r="MC5" s="4">
        <f>MA5-MA4</f>
        <v/>
      </c>
      <c r="MD5" s="4">
        <f>MA5-#REF!</f>
        <v/>
      </c>
      <c r="ME5" s="79">
        <f>MD5/#REF!</f>
        <v/>
      </c>
      <c r="MF5" s="79">
        <f>MC5/MA4</f>
        <v/>
      </c>
      <c r="MG5" s="79" t="n"/>
      <c r="MH5" s="79" t="n"/>
      <c r="MJ5" s="4">
        <f>1.0985*ML67/10000</f>
        <v/>
      </c>
      <c r="MK5" s="4">
        <f>#REF!</f>
        <v/>
      </c>
      <c r="ML5" s="4">
        <f>MJ5-MJ4</f>
        <v/>
      </c>
      <c r="MM5" s="4">
        <f>MJ5-#REF!</f>
        <v/>
      </c>
      <c r="MN5" s="79">
        <f>MM5/#REF!</f>
        <v/>
      </c>
      <c r="MO5" s="79">
        <f>ML5/MJ4</f>
        <v/>
      </c>
      <c r="MP5" s="79" t="n"/>
      <c r="MQ5" s="79" t="n"/>
      <c r="MR5" s="79" t="n"/>
      <c r="MS5" s="88">
        <f>MU67*MS67/10000</f>
        <v/>
      </c>
      <c r="MT5" s="4">
        <f>#REF!</f>
        <v/>
      </c>
      <c r="MU5" s="4">
        <f>MS5-MS4</f>
        <v/>
      </c>
      <c r="MW5" s="79" t="n"/>
      <c r="MX5" s="79">
        <f>MU5/MS4</f>
        <v/>
      </c>
      <c r="MY5" s="79" t="n"/>
      <c r="MZ5" s="79" t="n"/>
      <c r="NA5" s="79" t="n"/>
      <c r="NB5" s="4">
        <f>ND67*NB67/10000</f>
        <v/>
      </c>
      <c r="NC5" s="4">
        <f>#REF!</f>
        <v/>
      </c>
      <c r="ND5" s="4">
        <f>NB5-NB4</f>
        <v/>
      </c>
      <c r="NF5" s="79" t="n"/>
      <c r="NG5" s="79">
        <f>ND5/NB4</f>
        <v/>
      </c>
      <c r="NH5" s="79" t="n"/>
      <c r="NI5" s="79" t="n"/>
      <c r="NJ5" s="79" t="n"/>
      <c r="NK5" s="79" t="n"/>
      <c r="NL5" s="4">
        <f>2976892.98/10000</f>
        <v/>
      </c>
      <c r="NM5" s="4">
        <f>#REF!</f>
        <v/>
      </c>
      <c r="NN5" s="4">
        <f>NL5-NL4</f>
        <v/>
      </c>
      <c r="NO5" s="4">
        <f>NL5-#REF!</f>
        <v/>
      </c>
      <c r="NP5" s="79">
        <f>NO5/#REF!</f>
        <v/>
      </c>
      <c r="NQ5" s="79">
        <f>NN5/NL4</f>
        <v/>
      </c>
      <c r="NR5" s="79" t="n"/>
      <c r="NS5" s="4" t="n"/>
      <c r="NT5" s="4">
        <f>254959.2/10000</f>
        <v/>
      </c>
      <c r="NU5" s="4">
        <f>#REF!</f>
        <v/>
      </c>
      <c r="NV5" s="4">
        <f>NT5-NT4</f>
        <v/>
      </c>
      <c r="NX5" s="79" t="n"/>
      <c r="NY5" s="79">
        <f>NV5/NT4</f>
        <v/>
      </c>
      <c r="NZ5" s="79" t="n"/>
      <c r="OB5" s="4">
        <f>1318144.08/10000</f>
        <v/>
      </c>
      <c r="OC5" s="4">
        <f>#REF!</f>
        <v/>
      </c>
      <c r="OD5" s="4">
        <f>OB5-OB4</f>
        <v/>
      </c>
      <c r="OE5" s="4">
        <f>OB5-#REF!</f>
        <v/>
      </c>
      <c r="OF5" s="79">
        <f>OE5/#REF!</f>
        <v/>
      </c>
      <c r="OG5" s="79">
        <f>OD5/OB4</f>
        <v/>
      </c>
      <c r="OH5" s="79" t="n"/>
      <c r="OI5" s="79" t="n"/>
      <c r="OJ5" s="4">
        <f>1506293.56/10000</f>
        <v/>
      </c>
      <c r="OK5" s="4">
        <f>#REF!</f>
        <v/>
      </c>
      <c r="OL5" s="4">
        <f>OJ5-OJ4</f>
        <v/>
      </c>
      <c r="OM5" s="4">
        <f>OJ5-#REF!</f>
        <v/>
      </c>
      <c r="ON5" s="79">
        <f>OM5/#REF!</f>
        <v/>
      </c>
      <c r="OO5" s="79">
        <f>OL5/OJ4</f>
        <v/>
      </c>
      <c r="OP5" s="79" t="n"/>
      <c r="OQ5" s="79" t="n"/>
      <c r="OT5" s="88">
        <f>OK5</f>
        <v/>
      </c>
      <c r="OW5" s="650" t="n"/>
      <c r="OX5" s="79" t="n"/>
    </row>
    <row r="6" ht="22.5" customFormat="1" customHeight="1" s="5">
      <c r="A6" s="654" t="n"/>
      <c r="B6" s="99" t="n"/>
      <c r="C6" s="655" t="n"/>
      <c r="D6" s="101" t="n"/>
      <c r="E6" s="99" t="n"/>
      <c r="F6" s="93" t="n"/>
      <c r="G6" s="93" t="n"/>
      <c r="H6" s="93" t="n"/>
      <c r="I6" s="93" t="n"/>
      <c r="J6" s="99" t="n"/>
      <c r="K6" s="99" t="n"/>
      <c r="L6" s="101" t="n"/>
      <c r="M6" s="99" t="n"/>
      <c r="N6" s="93" t="n"/>
      <c r="O6" s="93" t="n"/>
      <c r="P6" s="93" t="n"/>
      <c r="Q6" s="93" t="n"/>
      <c r="R6" s="99" t="n"/>
      <c r="S6" s="99" t="n"/>
      <c r="T6" s="101" t="n"/>
      <c r="U6" s="99" t="n"/>
      <c r="V6" s="93" t="n"/>
      <c r="W6" s="93" t="n"/>
      <c r="X6" s="93" t="n"/>
      <c r="Y6" s="93" t="n"/>
      <c r="Z6" s="99" t="n"/>
      <c r="AA6" s="99" t="n"/>
      <c r="AB6" s="101" t="n"/>
      <c r="AC6" s="99" t="n"/>
      <c r="AD6" s="93" t="n"/>
      <c r="AE6" s="93" t="n"/>
      <c r="AF6" s="93" t="n"/>
      <c r="AG6" s="93" t="n"/>
      <c r="AH6" s="99" t="n"/>
      <c r="AI6" s="99" t="n"/>
      <c r="AJ6" s="101" t="n"/>
      <c r="AK6" s="102" t="n"/>
      <c r="AL6" s="93" t="n"/>
      <c r="AM6" s="93" t="n"/>
      <c r="AN6" s="93" t="n"/>
      <c r="AO6" s="93" t="n"/>
      <c r="AP6" s="656" t="n"/>
      <c r="AQ6" s="99" t="n"/>
      <c r="AR6" s="657" t="n"/>
      <c r="AS6" s="99" t="n"/>
      <c r="AT6" s="93" t="n"/>
      <c r="AU6" s="93" t="n"/>
      <c r="AV6" s="93" t="n"/>
      <c r="AW6" s="93" t="n"/>
      <c r="AX6" s="99" t="n"/>
      <c r="AY6" s="99" t="n"/>
      <c r="AZ6" s="99" t="n"/>
      <c r="BA6" s="99" t="n"/>
      <c r="BB6" s="99" t="n"/>
      <c r="BC6" s="93" t="n"/>
      <c r="BD6" s="93" t="n"/>
      <c r="BE6" s="19" t="n"/>
      <c r="BF6" s="19" t="n"/>
      <c r="BG6" s="647" t="n"/>
      <c r="BH6" s="105" t="n"/>
      <c r="BI6" s="105" t="n"/>
      <c r="BJ6" s="105" t="n"/>
      <c r="BK6" s="105" t="n"/>
      <c r="BL6" s="106" t="n"/>
      <c r="BM6" s="107" t="n"/>
      <c r="BN6" s="19" t="n"/>
      <c r="BO6" s="108" t="n"/>
      <c r="BP6" s="108" t="n"/>
      <c r="BQ6" s="658" t="n"/>
      <c r="BR6" s="108" t="n"/>
      <c r="BS6" s="108" t="n"/>
      <c r="BT6" s="110" t="n"/>
      <c r="BU6" s="19" t="n"/>
      <c r="BW6" s="19" t="n"/>
      <c r="BX6" s="108" t="n"/>
      <c r="BY6" s="108" t="n"/>
      <c r="BZ6" s="108" t="n"/>
      <c r="CA6" s="108" t="n"/>
      <c r="CB6" s="110" t="n"/>
      <c r="CC6" s="19" t="n"/>
      <c r="CE6" s="111" t="n"/>
      <c r="CF6" s="108" t="n"/>
      <c r="CG6" s="108" t="n"/>
      <c r="CI6" s="108" t="n"/>
      <c r="CJ6" s="110" t="n"/>
      <c r="CK6" s="19" t="n"/>
      <c r="CM6" s="111" t="n"/>
      <c r="CN6" s="108" t="n"/>
      <c r="CO6" s="108" t="n"/>
      <c r="CP6" s="108" t="n"/>
      <c r="CQ6" s="108" t="n"/>
      <c r="CR6" s="110" t="n"/>
      <c r="CS6" s="111" t="n"/>
      <c r="CU6" s="111" t="n"/>
      <c r="CV6" s="108" t="n"/>
      <c r="CW6" s="108" t="n"/>
      <c r="CX6" s="108" t="n"/>
      <c r="CY6" s="108" t="n"/>
      <c r="CZ6" s="110" t="n"/>
      <c r="DA6" s="19" t="n"/>
      <c r="DB6" s="19" t="n"/>
      <c r="DC6" s="112" t="n"/>
      <c r="DD6" s="108" t="n"/>
      <c r="DE6" s="108" t="n"/>
      <c r="DF6" s="108" t="n"/>
      <c r="DG6" s="108" t="n"/>
      <c r="DH6" s="110" t="n"/>
      <c r="DI6" s="19" t="n"/>
      <c r="DK6" s="19" t="n"/>
      <c r="DL6" s="108" t="n"/>
      <c r="DM6" s="108" t="n"/>
      <c r="DN6" s="108" t="n"/>
      <c r="DO6" s="108" t="n"/>
      <c r="DP6" s="110" t="n"/>
      <c r="DQ6" s="19" t="n"/>
      <c r="DS6" s="19" t="n"/>
      <c r="DT6" s="108" t="n"/>
      <c r="DU6" s="108" t="n"/>
      <c r="DV6" s="108" t="n"/>
      <c r="DW6" s="108" t="n"/>
      <c r="DX6" s="110" t="n"/>
      <c r="DY6" s="19" t="n"/>
      <c r="EA6" s="19" t="n"/>
      <c r="EB6" s="108" t="n"/>
      <c r="EC6" s="108" t="n"/>
      <c r="ED6" s="108" t="n"/>
      <c r="EE6" s="108" t="n"/>
      <c r="EF6" s="110" t="n"/>
      <c r="EG6" s="19" t="n"/>
      <c r="EI6" s="19" t="n"/>
      <c r="EJ6" s="108" t="n"/>
      <c r="EK6" s="108" t="n"/>
      <c r="EL6" s="108" t="n"/>
      <c r="EM6" s="108" t="n"/>
      <c r="EN6" s="110" t="n"/>
      <c r="EO6" s="19" t="n"/>
      <c r="EQ6" s="19" t="n"/>
      <c r="ER6" s="113" t="n"/>
      <c r="ES6" s="108" t="n"/>
      <c r="ET6" s="108" t="n"/>
      <c r="EU6" s="108" t="n"/>
      <c r="EV6" s="110" t="n"/>
      <c r="EW6" s="19" t="n"/>
      <c r="EY6" s="19" t="n"/>
      <c r="EZ6" s="108" t="n"/>
      <c r="FA6" s="108" t="n"/>
      <c r="FB6" s="108" t="n"/>
      <c r="FC6" s="108" t="n"/>
      <c r="FD6" s="110" t="n"/>
      <c r="FE6" s="19" t="n"/>
      <c r="FF6" s="19" t="n"/>
      <c r="FG6" s="19" t="n"/>
      <c r="FH6" s="108" t="n"/>
      <c r="FI6" s="658" t="n"/>
      <c r="FJ6" s="114" t="n"/>
      <c r="FK6" s="108" t="n"/>
      <c r="FL6" s="110" t="n"/>
      <c r="FM6" s="111" t="n"/>
      <c r="FN6" s="111" t="n"/>
      <c r="FO6" s="108" t="n"/>
      <c r="FP6" s="108" t="n"/>
      <c r="FQ6" s="108" t="n"/>
      <c r="FR6" s="108" t="n"/>
      <c r="FS6" s="108" t="n"/>
      <c r="FT6" s="110" t="n"/>
      <c r="FU6" s="19" t="n"/>
      <c r="FV6" s="19" t="n"/>
      <c r="FW6" s="108" t="n"/>
      <c r="FX6" s="108" t="n"/>
      <c r="FY6" s="108" t="n"/>
      <c r="FZ6" s="108" t="n"/>
      <c r="GA6" s="108" t="n"/>
      <c r="GB6" s="110" t="n"/>
      <c r="GC6" s="19" t="n"/>
      <c r="GD6" s="19" t="n"/>
      <c r="GE6" s="108" t="n"/>
      <c r="GF6" s="108" t="n"/>
      <c r="GG6" s="108" t="n"/>
      <c r="GH6" s="108" t="n"/>
      <c r="GI6" s="110" t="n"/>
      <c r="GJ6" s="110" t="n"/>
      <c r="GK6" s="19" t="n"/>
      <c r="GL6" s="19" t="n"/>
      <c r="GM6" s="108" t="n"/>
      <c r="GN6" s="108" t="n"/>
      <c r="GO6" s="108" t="n"/>
      <c r="GP6" s="108" t="n"/>
      <c r="GQ6" s="108" t="n"/>
      <c r="GR6" s="110" t="n"/>
      <c r="GS6" s="19" t="n"/>
      <c r="GT6" s="19" t="n"/>
      <c r="GU6" s="108" t="n"/>
      <c r="GV6" s="108" t="n"/>
      <c r="GW6" s="108" t="n"/>
      <c r="GX6" s="99" t="n"/>
      <c r="GY6" s="93" t="n"/>
      <c r="GZ6" s="110" t="n"/>
      <c r="HA6" s="19" t="n"/>
      <c r="HB6" s="19" t="n"/>
      <c r="HC6" s="108" t="n"/>
      <c r="HD6" s="108" t="n"/>
      <c r="HE6" s="108" t="n"/>
      <c r="HF6" s="108" t="n"/>
      <c r="HG6" s="108" t="n"/>
      <c r="HH6" s="110" t="n"/>
      <c r="HI6" s="111" t="n"/>
      <c r="HJ6" s="19" t="n"/>
      <c r="HK6" s="108" t="n"/>
      <c r="HL6" s="108" t="n"/>
      <c r="HM6" s="108" t="n"/>
      <c r="HN6" s="108" t="n"/>
      <c r="HO6" s="108" t="n"/>
      <c r="HP6" s="110" t="n"/>
      <c r="HQ6" s="19" t="n"/>
      <c r="HR6" s="19" t="n"/>
      <c r="HS6" s="108" t="n"/>
      <c r="HT6" s="108" t="n"/>
      <c r="HU6" s="108" t="n"/>
      <c r="HV6" s="108" t="n"/>
      <c r="HW6" s="108" t="n"/>
      <c r="HX6" s="110" t="n"/>
      <c r="HY6" s="19" t="n"/>
      <c r="HZ6" s="19" t="n"/>
      <c r="IA6" s="108" t="n"/>
      <c r="IB6" s="108" t="n"/>
      <c r="IC6" s="108" t="n"/>
      <c r="ID6" s="108" t="n"/>
      <c r="IE6" s="108" t="n"/>
      <c r="IF6" s="110" t="n"/>
      <c r="IG6" s="111" t="n"/>
      <c r="IH6" s="19" t="n"/>
      <c r="II6" s="108" t="n"/>
      <c r="IJ6" s="108" t="n"/>
      <c r="IK6" s="108" t="n"/>
      <c r="IL6" s="108" t="n"/>
      <c r="IM6" s="108" t="n"/>
      <c r="IN6" s="110" t="n"/>
      <c r="IO6" s="19" t="n"/>
      <c r="IP6" s="19" t="n"/>
      <c r="IQ6" s="108" t="n"/>
      <c r="IR6" s="108" t="n"/>
      <c r="IS6" s="108" t="n"/>
      <c r="IT6" s="108" t="n"/>
      <c r="IU6" s="108" t="n"/>
      <c r="IV6" s="110" t="n"/>
      <c r="IW6" s="19" t="n"/>
      <c r="IX6" s="19" t="n"/>
      <c r="IY6" s="108" t="n"/>
      <c r="IZ6" s="108" t="n"/>
      <c r="JA6" s="108" t="n"/>
      <c r="JB6" s="108" t="n"/>
      <c r="JC6" s="108" t="n"/>
      <c r="JD6" s="110" t="n"/>
      <c r="JE6" s="19" t="n"/>
      <c r="JF6" s="19" t="n"/>
      <c r="JG6" s="108" t="n"/>
      <c r="JH6" s="108" t="n"/>
      <c r="JI6" s="108" t="n"/>
      <c r="JJ6" s="108" t="n"/>
      <c r="JK6" s="108" t="n"/>
      <c r="JL6" s="110" t="n"/>
      <c r="JM6" s="19" t="n"/>
      <c r="JN6" s="19" t="n"/>
      <c r="JO6" s="108" t="n"/>
      <c r="JP6" s="5" t="n"/>
      <c r="JQ6" s="108" t="n"/>
      <c r="JR6" s="108" t="n"/>
      <c r="JS6" s="108" t="n"/>
      <c r="JT6" s="110" t="n"/>
      <c r="JU6" s="19" t="n"/>
      <c r="JV6" s="19" t="n"/>
      <c r="JW6" s="111" t="n"/>
      <c r="JX6" s="108" t="n"/>
      <c r="JY6" s="108" t="n"/>
      <c r="JZ6" s="108" t="n"/>
      <c r="KA6" s="108" t="n"/>
      <c r="KB6" s="110" t="n"/>
      <c r="KC6" s="19" t="n"/>
      <c r="KD6" s="19" t="n"/>
      <c r="KE6" s="111" t="n"/>
      <c r="KF6" s="108" t="n"/>
      <c r="KG6" s="108" t="n"/>
      <c r="KH6" s="108" t="n"/>
      <c r="KI6" s="108" t="n"/>
      <c r="KJ6" s="108" t="n"/>
      <c r="KK6" s="111" t="n"/>
      <c r="KL6" s="111" t="n"/>
      <c r="KM6" s="108" t="n"/>
      <c r="KN6" s="108" t="n"/>
      <c r="KO6" s="108" t="n"/>
      <c r="KP6" s="108" t="n"/>
      <c r="KQ6" s="108" t="n"/>
      <c r="KR6" s="110" t="n"/>
      <c r="KS6" s="19" t="n"/>
      <c r="KT6" s="19" t="n"/>
      <c r="KU6" s="108" t="n"/>
      <c r="KV6" s="108" t="n"/>
      <c r="KW6" s="108" t="n"/>
      <c r="KX6" s="108" t="n"/>
      <c r="KY6" s="108" t="n"/>
      <c r="KZ6" s="110" t="n"/>
      <c r="LA6" s="111" t="n"/>
      <c r="LB6" s="19" t="n"/>
      <c r="LC6" s="108" t="n"/>
      <c r="LD6" s="108" t="n"/>
      <c r="LE6" s="108" t="n"/>
      <c r="LF6" s="108" t="n"/>
      <c r="LG6" s="108" t="n"/>
      <c r="LH6" s="110" t="n"/>
      <c r="LI6" s="19" t="n"/>
      <c r="LJ6" s="19" t="n"/>
      <c r="LK6" s="108" t="n"/>
      <c r="LL6" s="108" t="n"/>
      <c r="LM6" s="658" t="n"/>
      <c r="LN6" s="108" t="n"/>
      <c r="LO6" s="108" t="n"/>
      <c r="LP6" s="110" t="n"/>
      <c r="LQ6" s="19" t="n"/>
      <c r="LR6" s="19" t="n"/>
      <c r="LS6" s="108" t="n"/>
      <c r="LT6" s="108" t="n"/>
      <c r="LU6" s="108" t="n"/>
      <c r="LV6" s="108" t="n"/>
      <c r="LW6" s="108" t="n"/>
      <c r="LX6" s="110" t="n"/>
      <c r="LY6" s="19" t="n"/>
      <c r="LZ6" s="19" t="n"/>
      <c r="MA6" s="108" t="n"/>
      <c r="MB6" s="5" t="n"/>
      <c r="MC6" s="108" t="n"/>
      <c r="MD6" s="108" t="n"/>
      <c r="ME6" s="108" t="n"/>
      <c r="MF6" s="110" t="n"/>
      <c r="MG6" s="19" t="n"/>
      <c r="MH6" s="19" t="n"/>
      <c r="MI6" s="108" t="n"/>
      <c r="MJ6" s="108" t="n"/>
      <c r="MK6" s="108" t="n"/>
      <c r="ML6" s="108" t="n"/>
      <c r="MM6" s="113" t="n"/>
      <c r="MN6" s="108" t="n"/>
      <c r="MO6" s="110" t="n"/>
      <c r="MP6" s="115" t="n"/>
      <c r="MQ6" s="116" t="n"/>
      <c r="MR6" s="116" t="n"/>
      <c r="MS6" s="110" t="n"/>
      <c r="MT6" s="25" t="n"/>
      <c r="MW6" s="19" t="n"/>
      <c r="MX6" s="19" t="n"/>
      <c r="MY6" s="19" t="n"/>
      <c r="MZ6" s="19" t="n"/>
      <c r="NA6" s="19" t="n"/>
      <c r="NB6" s="19" t="n"/>
      <c r="NC6" s="5" t="n"/>
      <c r="NF6" s="19" t="n"/>
      <c r="NG6" s="19" t="n"/>
      <c r="NH6" s="19" t="n"/>
      <c r="NI6" s="19" t="n"/>
      <c r="NJ6" s="19" t="n"/>
      <c r="NK6" s="19" t="n"/>
      <c r="NL6" s="5" t="n"/>
      <c r="NM6" s="5" t="n"/>
      <c r="NN6" s="5" t="n"/>
      <c r="NP6" s="19" t="n"/>
      <c r="NQ6" s="19" t="n"/>
      <c r="NR6" s="19" t="n"/>
      <c r="NS6" s="5" t="n"/>
      <c r="NV6" s="108" t="n"/>
      <c r="NW6" s="108" t="n"/>
      <c r="NX6" s="110" t="n"/>
      <c r="NY6" s="110" t="n"/>
      <c r="NZ6" s="110" t="n"/>
      <c r="OA6" s="108" t="n"/>
      <c r="OB6" s="108" t="n"/>
      <c r="OC6" s="108" t="n"/>
      <c r="OD6" s="108" t="n"/>
      <c r="OE6" s="108" t="n"/>
      <c r="OF6" s="108" t="n"/>
      <c r="OG6" s="110" t="n"/>
      <c r="OH6" s="19" t="n"/>
      <c r="OI6" s="19" t="n"/>
      <c r="OJ6" s="108" t="n"/>
      <c r="OK6" s="108" t="n"/>
      <c r="OL6" s="108" t="n"/>
      <c r="OM6" s="108" t="n"/>
      <c r="ON6" s="108" t="n"/>
      <c r="OO6" s="110" t="n"/>
      <c r="OP6" s="19" t="n"/>
      <c r="OQ6" s="19" t="n"/>
      <c r="OT6" s="25" t="n"/>
      <c r="OW6" s="633" t="n"/>
      <c r="OX6" s="19" t="n"/>
    </row>
    <row r="7" ht="22.5" customFormat="1" customHeight="1" s="5">
      <c r="A7" s="9" t="inlineStr">
        <is>
          <t>上季市值</t>
        </is>
      </c>
      <c r="B7" s="9" t="n">
        <v>1070.974526</v>
      </c>
      <c r="C7" s="5" t="n"/>
      <c r="D7" s="24" t="n"/>
      <c r="E7" s="5" t="n"/>
      <c r="F7" s="5" t="n"/>
      <c r="G7" s="5" t="n"/>
      <c r="H7" s="5" t="n"/>
      <c r="I7" s="5" t="n"/>
      <c r="J7" s="5" t="n">
        <v>510.88055</v>
      </c>
      <c r="K7" s="5" t="n"/>
      <c r="L7" s="24" t="n"/>
      <c r="M7" s="4" t="n"/>
      <c r="N7" s="4" t="n"/>
      <c r="O7" s="5" t="n"/>
      <c r="P7" s="5" t="n"/>
      <c r="Q7" s="5" t="n"/>
      <c r="R7" s="5" t="n">
        <v>212.957015</v>
      </c>
      <c r="S7" s="5" t="n"/>
      <c r="T7" s="24" t="n"/>
      <c r="U7" s="5" t="n"/>
      <c r="V7" s="5" t="n"/>
      <c r="W7" s="5" t="n"/>
      <c r="X7" s="5" t="n"/>
      <c r="Y7" s="5" t="n"/>
      <c r="Z7" s="5" t="n">
        <v>419.460791</v>
      </c>
      <c r="AA7" s="5" t="n"/>
      <c r="AB7" s="24" t="n"/>
      <c r="AC7" s="5" t="n"/>
      <c r="AD7" s="5" t="n"/>
      <c r="AE7" s="5" t="n"/>
      <c r="AF7" s="5" t="n"/>
      <c r="AG7" s="5" t="n"/>
      <c r="AH7" s="5" t="n">
        <v>207.233716</v>
      </c>
      <c r="AI7" s="5" t="n"/>
      <c r="AJ7" s="24" t="n"/>
      <c r="AK7" s="20" t="n"/>
      <c r="AL7" s="5" t="n"/>
      <c r="AM7" s="5" t="n"/>
      <c r="AN7" s="5" t="n"/>
      <c r="AO7" s="5" t="n"/>
      <c r="AP7" s="5" t="n">
        <v>651.732793</v>
      </c>
      <c r="AQ7" s="5" t="n"/>
      <c r="AR7" s="20" t="n"/>
      <c r="AS7" s="5" t="n"/>
      <c r="AT7" s="5" t="n"/>
      <c r="AU7" s="5" t="n"/>
      <c r="AV7" s="5" t="n"/>
      <c r="AW7" s="5" t="n"/>
      <c r="AX7" s="5" t="n"/>
      <c r="AY7" s="5" t="n">
        <v>316.681391</v>
      </c>
      <c r="AZ7" s="5" t="n"/>
      <c r="BA7" s="5" t="n"/>
      <c r="BB7" s="5" t="n"/>
      <c r="BC7" s="5" t="n"/>
      <c r="BD7" s="5" t="n"/>
      <c r="BE7" s="5" t="n"/>
      <c r="BF7" s="5" t="n"/>
      <c r="BG7" s="117" t="n">
        <v>171.943497</v>
      </c>
      <c r="BH7" s="105" t="n"/>
      <c r="BI7" s="105" t="n"/>
      <c r="BJ7" s="105" t="n"/>
      <c r="BK7" s="105" t="n"/>
      <c r="BL7" s="105" t="n"/>
      <c r="BM7" s="118" t="n"/>
      <c r="BN7" s="5" t="n"/>
      <c r="BO7" s="108" t="n">
        <v>90.82458200000001</v>
      </c>
      <c r="BP7" s="108" t="n"/>
      <c r="BQ7" s="108" t="n"/>
      <c r="BR7" s="108" t="n"/>
      <c r="BS7" s="108" t="n"/>
      <c r="BT7" s="108" t="n"/>
      <c r="BU7" s="5" t="n"/>
      <c r="BW7" s="0" t="n">
        <v>118.227824</v>
      </c>
      <c r="BX7" s="108" t="n"/>
      <c r="BY7" s="108" t="n"/>
      <c r="BZ7" s="108" t="n"/>
      <c r="CA7" s="108" t="n"/>
      <c r="CB7" s="108" t="n"/>
      <c r="CC7" s="5" t="n"/>
      <c r="CE7" s="114" t="n">
        <v>227.783552</v>
      </c>
      <c r="CF7" s="108" t="n"/>
      <c r="CG7" s="108" t="n"/>
      <c r="CI7" s="108" t="n"/>
      <c r="CJ7" s="108" t="n"/>
      <c r="CK7" s="5" t="n"/>
      <c r="CM7" s="114" t="n">
        <v>87.334566</v>
      </c>
      <c r="CN7" s="108" t="n"/>
      <c r="CO7" s="108" t="n"/>
      <c r="CP7" s="108" t="n"/>
      <c r="CQ7" s="108" t="n"/>
      <c r="CR7" s="108" t="n"/>
      <c r="CS7" s="114" t="n"/>
      <c r="CU7" s="114" t="n">
        <v>125.793379</v>
      </c>
      <c r="CV7" s="108" t="n"/>
      <c r="CW7" s="108" t="n"/>
      <c r="CX7" s="108" t="n"/>
      <c r="CY7" s="108" t="n"/>
      <c r="CZ7" s="108" t="n"/>
      <c r="DA7" s="5" t="n"/>
      <c r="DB7" s="5" t="n"/>
      <c r="DC7" s="112" t="n">
        <v>405.974194</v>
      </c>
      <c r="DD7" s="108" t="n"/>
      <c r="DE7" s="108" t="n"/>
      <c r="DF7" s="108" t="n"/>
      <c r="DG7" s="108" t="n"/>
      <c r="DH7" s="108" t="n"/>
      <c r="DI7" s="5" t="n"/>
      <c r="DK7" s="0" t="n">
        <v>189.109169</v>
      </c>
      <c r="DL7" s="108" t="n"/>
      <c r="DM7" s="108" t="n"/>
      <c r="DN7" s="108" t="n"/>
      <c r="DO7" s="108" t="n"/>
      <c r="DP7" s="108" t="n"/>
      <c r="DQ7" s="5" t="n"/>
      <c r="DS7" s="0" t="n">
        <v>469.942391</v>
      </c>
      <c r="DT7" s="108" t="n"/>
      <c r="DU7" s="108" t="n"/>
      <c r="DV7" s="108" t="n"/>
      <c r="DW7" s="108" t="n"/>
      <c r="DX7" s="108" t="n"/>
      <c r="DY7" s="5" t="n"/>
      <c r="EA7" s="0" t="n">
        <v>913.939598</v>
      </c>
      <c r="EB7" s="108" t="n"/>
      <c r="EC7" s="108" t="n"/>
      <c r="ED7" s="108" t="n"/>
      <c r="EE7" s="108" t="n"/>
      <c r="EF7" s="108" t="n"/>
      <c r="EG7" s="5" t="n"/>
      <c r="EI7" s="0" t="n">
        <v>197.574327</v>
      </c>
      <c r="EJ7" s="108" t="n"/>
      <c r="EK7" s="108" t="n"/>
      <c r="EL7" s="108" t="n"/>
      <c r="EM7" s="108" t="n"/>
      <c r="EN7" s="108" t="n"/>
      <c r="EO7" s="5" t="n"/>
      <c r="EQ7" s="0" t="n">
        <v>79.041524</v>
      </c>
      <c r="ER7" s="113" t="n"/>
      <c r="ES7" s="108" t="n"/>
      <c r="ET7" s="108" t="n"/>
      <c r="EU7" s="108" t="n"/>
      <c r="EV7" s="108" t="n"/>
      <c r="EW7" s="5" t="n"/>
      <c r="EY7" s="0" t="n">
        <v>75.254231</v>
      </c>
      <c r="EZ7" s="108" t="n"/>
      <c r="FA7" s="108" t="n"/>
      <c r="FB7" s="108" t="n"/>
      <c r="FC7" s="108" t="n"/>
      <c r="FD7" s="108" t="n"/>
      <c r="FE7" s="5" t="n"/>
      <c r="FF7" s="5" t="n"/>
      <c r="FG7" s="5" t="n">
        <v>118.045945</v>
      </c>
      <c r="FH7" s="108" t="n"/>
      <c r="FI7" s="108" t="n"/>
      <c r="FJ7" s="114" t="n"/>
      <c r="FK7" s="108" t="n"/>
      <c r="FL7" s="108" t="n"/>
      <c r="FM7" s="114" t="n"/>
      <c r="FN7" s="114" t="n"/>
      <c r="FO7" s="108" t="n">
        <v>164.0271</v>
      </c>
      <c r="FP7" s="108" t="n"/>
      <c r="FQ7" s="108" t="n"/>
      <c r="FR7" s="108" t="n"/>
      <c r="FS7" s="108" t="n"/>
      <c r="FT7" s="108" t="n"/>
      <c r="FU7" s="5" t="n"/>
      <c r="FV7" s="5" t="n"/>
      <c r="FW7" s="108" t="n">
        <v>245.238183</v>
      </c>
      <c r="FX7" s="108" t="n"/>
      <c r="FY7" s="108" t="n"/>
      <c r="FZ7" s="108" t="n"/>
      <c r="GA7" s="108" t="n"/>
      <c r="GB7" s="108" t="n"/>
      <c r="GC7" s="5" t="n"/>
      <c r="GD7" s="5" t="n"/>
      <c r="GE7" s="108" t="n">
        <v>151.636976</v>
      </c>
      <c r="GF7" s="108" t="n"/>
      <c r="GG7" s="108" t="n"/>
      <c r="GH7" s="108" t="n"/>
      <c r="GI7" s="108" t="n"/>
      <c r="GJ7" s="108" t="n"/>
      <c r="GK7" s="5" t="n"/>
      <c r="GL7" s="5" t="n"/>
      <c r="GM7" s="108" t="n">
        <v>158.548513</v>
      </c>
      <c r="GN7" s="108" t="n"/>
      <c r="GO7" s="108" t="n"/>
      <c r="GP7" s="108" t="n"/>
      <c r="GQ7" s="108" t="n"/>
      <c r="GR7" s="108" t="n"/>
      <c r="GS7" s="5" t="n"/>
      <c r="GT7" s="5" t="n"/>
      <c r="GU7" s="108" t="n">
        <v>46.711273</v>
      </c>
      <c r="GV7" s="108" t="n"/>
      <c r="GW7" s="108" t="n"/>
      <c r="GX7" s="99" t="n"/>
      <c r="GY7" s="99" t="n"/>
      <c r="GZ7" s="108" t="n"/>
      <c r="HA7" s="5" t="n"/>
      <c r="HB7" s="5" t="n"/>
      <c r="HC7" s="108" t="n">
        <v>63.527069</v>
      </c>
      <c r="HD7" s="108" t="n"/>
      <c r="HE7" s="108" t="n"/>
      <c r="HF7" s="108" t="n"/>
      <c r="HG7" s="108" t="n"/>
      <c r="HH7" s="108" t="n"/>
      <c r="HI7" s="114" t="n"/>
      <c r="HJ7" s="5" t="n"/>
      <c r="HK7" s="108" t="n">
        <v>11.363855</v>
      </c>
      <c r="HL7" s="108" t="n"/>
      <c r="HM7" s="108" t="n"/>
      <c r="HN7" s="108" t="n"/>
      <c r="HO7" s="108" t="n"/>
      <c r="HP7" s="108" t="n"/>
      <c r="HQ7" s="5" t="n"/>
      <c r="HR7" s="5" t="n"/>
      <c r="HS7" s="108" t="n">
        <v>7.368182</v>
      </c>
      <c r="HT7" s="108" t="n"/>
      <c r="HU7" s="108" t="n"/>
      <c r="HV7" s="108" t="n"/>
      <c r="HW7" s="108" t="n"/>
      <c r="HX7" s="108" t="n"/>
      <c r="HY7" s="5" t="n"/>
      <c r="HZ7" s="5" t="n"/>
      <c r="IA7" s="108" t="n">
        <v>48.520523</v>
      </c>
      <c r="IB7" s="108" t="n"/>
      <c r="IC7" s="108" t="n"/>
      <c r="ID7" s="108" t="n"/>
      <c r="IE7" s="108" t="n"/>
      <c r="IF7" s="108" t="n"/>
      <c r="IG7" s="114" t="n"/>
      <c r="IH7" s="5" t="n"/>
      <c r="II7" s="108" t="n">
        <v>89.72947499999999</v>
      </c>
      <c r="IJ7" s="108" t="n"/>
      <c r="IK7" s="108" t="n"/>
      <c r="IL7" s="108" t="n"/>
      <c r="IM7" s="108" t="n"/>
      <c r="IN7" s="108" t="n"/>
      <c r="IO7" s="5" t="n"/>
      <c r="IP7" s="5" t="n"/>
      <c r="IQ7" s="108" t="n">
        <v>28.65076</v>
      </c>
      <c r="IR7" s="108" t="n"/>
      <c r="IS7" s="108" t="n"/>
      <c r="IT7" s="108" t="n"/>
      <c r="IU7" s="108" t="n"/>
      <c r="IV7" s="108" t="n"/>
      <c r="IW7" s="5" t="n"/>
      <c r="IX7" s="5" t="n"/>
      <c r="IY7" s="108" t="n">
        <v>583.929629</v>
      </c>
      <c r="IZ7" s="108" t="n"/>
      <c r="JA7" s="108" t="n"/>
      <c r="JB7" s="108" t="n"/>
      <c r="JC7" s="108" t="n"/>
      <c r="JD7" s="108" t="n"/>
      <c r="JE7" s="5" t="n"/>
      <c r="JF7" s="5" t="n"/>
      <c r="JG7" s="108" t="n">
        <v>99.38883</v>
      </c>
      <c r="JH7" s="108" t="n"/>
      <c r="JI7" s="108" t="n"/>
      <c r="JJ7" s="108" t="n"/>
      <c r="JK7" s="108" t="n"/>
      <c r="JL7" s="108" t="n"/>
      <c r="JM7" s="5" t="n"/>
      <c r="JN7" s="5" t="n"/>
      <c r="JO7" s="5" t="n">
        <v>61.562503</v>
      </c>
      <c r="JP7" s="108" t="n"/>
      <c r="JQ7" s="108" t="n"/>
      <c r="JR7" s="108" t="n"/>
      <c r="JS7" s="108" t="n"/>
      <c r="JT7" s="108" t="n"/>
      <c r="JU7" s="5" t="n"/>
      <c r="JV7" s="5" t="n"/>
      <c r="JW7" s="114" t="n">
        <v>175.900249</v>
      </c>
      <c r="JX7" s="108" t="n"/>
      <c r="JY7" s="108" t="n"/>
      <c r="JZ7" s="108" t="n"/>
      <c r="KA7" s="108" t="n"/>
      <c r="KB7" s="108" t="n"/>
      <c r="KC7" s="5" t="n"/>
      <c r="KD7" s="5" t="n"/>
      <c r="KE7" s="114" t="n">
        <v>82.197908</v>
      </c>
      <c r="KF7" s="108" t="n"/>
      <c r="KG7" s="108" t="n"/>
      <c r="KH7" s="108" t="n"/>
      <c r="KI7" s="108" t="n"/>
      <c r="KJ7" s="108" t="n"/>
      <c r="KK7" s="114" t="n"/>
      <c r="KL7" s="114" t="n"/>
      <c r="KM7" s="108" t="n">
        <v>380.580516</v>
      </c>
      <c r="KN7" s="108" t="n"/>
      <c r="KO7" s="108" t="n"/>
      <c r="KP7" s="108" t="n"/>
      <c r="KQ7" s="108" t="n"/>
      <c r="KR7" s="108" t="n"/>
      <c r="KS7" s="5" t="n"/>
      <c r="KT7" s="5" t="n"/>
      <c r="KU7" s="108" t="n">
        <v>71.66106000000001</v>
      </c>
      <c r="KV7" s="108" t="n"/>
      <c r="KW7" s="108" t="n"/>
      <c r="KX7" s="108" t="n"/>
      <c r="KY7" s="108" t="n"/>
      <c r="KZ7" s="108" t="n"/>
      <c r="LA7" s="114" t="n"/>
      <c r="LB7" s="5" t="n"/>
      <c r="LC7" s="108" t="n">
        <v>58.872694</v>
      </c>
      <c r="LD7" s="108" t="n"/>
      <c r="LE7" s="108" t="n"/>
      <c r="LF7" s="108" t="n"/>
      <c r="LG7" s="108" t="n"/>
      <c r="LH7" s="108" t="n"/>
      <c r="LI7" s="5" t="n"/>
      <c r="LJ7" s="5" t="n"/>
      <c r="LK7" s="108" t="n">
        <v>133.04114</v>
      </c>
      <c r="LL7" s="108" t="n"/>
      <c r="LM7" s="108" t="n"/>
      <c r="LN7" s="108" t="n"/>
      <c r="LO7" s="108" t="n"/>
      <c r="LP7" s="108" t="n"/>
      <c r="LQ7" s="5" t="n"/>
      <c r="LR7" s="5" t="n"/>
      <c r="LS7" s="108" t="n">
        <v>146.248671</v>
      </c>
      <c r="LT7" s="108" t="n"/>
      <c r="LU7" s="108" t="n"/>
      <c r="LV7" s="108" t="n"/>
      <c r="LW7" s="108" t="n"/>
      <c r="LX7" s="108" t="n"/>
      <c r="LY7" s="5" t="n"/>
      <c r="LZ7" s="5" t="n"/>
      <c r="MA7" s="108" t="n">
        <v>99.081782</v>
      </c>
      <c r="MB7" s="108" t="n"/>
      <c r="MC7" s="108" t="n"/>
      <c r="MD7" s="108" t="n"/>
      <c r="ME7" s="108" t="n"/>
      <c r="MF7" s="108" t="n"/>
      <c r="MG7" s="5" t="n"/>
      <c r="MH7" s="5" t="n"/>
      <c r="MI7" s="108" t="n"/>
      <c r="MJ7" s="108" t="n">
        <v>15.099018</v>
      </c>
      <c r="MK7" s="108" t="n"/>
      <c r="ML7" s="108" t="n"/>
      <c r="MM7" s="113" t="n"/>
      <c r="MN7" s="108" t="n"/>
      <c r="MO7" s="108" t="n"/>
      <c r="MP7" s="119" t="n"/>
      <c r="MQ7" s="113" t="n"/>
      <c r="MR7" s="113" t="n"/>
      <c r="MS7" s="108" t="n">
        <v>17.190774</v>
      </c>
      <c r="MT7" s="25" t="n"/>
      <c r="NB7" s="0" t="n">
        <v>3.980686</v>
      </c>
      <c r="NL7" s="0" t="n">
        <v>307.995245</v>
      </c>
      <c r="NT7" s="0" t="n">
        <v>21.328603</v>
      </c>
      <c r="NV7" s="108" t="n"/>
      <c r="NW7" s="108" t="n"/>
      <c r="NX7" s="108" t="n"/>
      <c r="NY7" s="108" t="n"/>
      <c r="NZ7" s="108" t="n"/>
      <c r="OA7" s="108" t="n"/>
      <c r="OB7" s="108" t="n">
        <v>241.073157</v>
      </c>
      <c r="OC7" s="108" t="n"/>
      <c r="OD7" s="108" t="n"/>
      <c r="OE7" s="108" t="n"/>
      <c r="OF7" s="108" t="n"/>
      <c r="OG7" s="108" t="n"/>
      <c r="OH7" s="5" t="n"/>
      <c r="OI7" s="5" t="n"/>
      <c r="OJ7" s="108" t="n">
        <v>242.103231</v>
      </c>
      <c r="OK7" s="108" t="n"/>
      <c r="OL7" s="108" t="n"/>
      <c r="OM7" s="108" t="n"/>
      <c r="ON7" s="108" t="n"/>
      <c r="OO7" s="108" t="n"/>
      <c r="OP7" s="5" t="n"/>
      <c r="OQ7" s="5" t="n"/>
      <c r="OS7" s="0" t="n">
        <v>34.957995</v>
      </c>
      <c r="OT7" s="25" t="n"/>
    </row>
    <row r="8" ht="22.5" customFormat="1" customHeight="1" s="5">
      <c r="A8" s="9" t="inlineStr">
        <is>
          <t>上月市值</t>
        </is>
      </c>
      <c r="B8" s="9" t="n">
        <v>1091.379543</v>
      </c>
      <c r="C8" s="5" t="n"/>
      <c r="D8" s="24" t="n"/>
      <c r="E8" s="5" t="n"/>
      <c r="F8" s="5" t="n"/>
      <c r="G8" s="5" t="n"/>
      <c r="H8" s="5" t="n"/>
      <c r="I8" s="5" t="n"/>
      <c r="J8" s="5" t="n">
        <v>519.637077</v>
      </c>
      <c r="K8" s="5" t="n"/>
      <c r="L8" s="24" t="n"/>
      <c r="M8" s="4" t="n"/>
      <c r="N8" s="4" t="n"/>
      <c r="O8" s="5" t="n"/>
      <c r="P8" s="5" t="n"/>
      <c r="Q8" s="5" t="n"/>
      <c r="R8" s="5" t="n">
        <v>207.586772</v>
      </c>
      <c r="S8" s="5" t="n"/>
      <c r="T8" s="24" t="n"/>
      <c r="U8" s="5" t="n"/>
      <c r="V8" s="5" t="n"/>
      <c r="W8" s="5" t="n"/>
      <c r="X8" s="5" t="n"/>
      <c r="Y8" s="5" t="n"/>
      <c r="Z8" s="5" t="n">
        <v>424.973214</v>
      </c>
      <c r="AA8" s="5" t="n"/>
      <c r="AB8" s="24" t="n"/>
      <c r="AC8" s="5" t="n"/>
      <c r="AD8" s="5" t="n"/>
      <c r="AE8" s="5" t="n"/>
      <c r="AF8" s="5" t="n"/>
      <c r="AG8" s="5" t="n"/>
      <c r="AH8" s="5" t="n">
        <v>210.265584</v>
      </c>
      <c r="AI8" s="5" t="n"/>
      <c r="AJ8" s="24" t="n"/>
      <c r="AK8" s="20" t="n"/>
      <c r="AL8" s="5" t="n"/>
      <c r="AM8" s="5" t="n"/>
      <c r="AN8" s="5" t="n"/>
      <c r="AO8" s="5" t="n"/>
      <c r="AP8" s="5" t="n">
        <v>651.293543</v>
      </c>
      <c r="AQ8" s="5" t="n"/>
      <c r="AR8" s="20" t="n"/>
      <c r="AS8" s="5" t="n"/>
      <c r="AT8" s="5" t="n"/>
      <c r="AU8" s="5" t="n"/>
      <c r="AV8" s="5" t="n"/>
      <c r="AW8" s="5" t="n"/>
      <c r="AX8" s="5" t="n"/>
      <c r="AY8" s="5" t="n">
        <v>307.520194</v>
      </c>
      <c r="AZ8" s="5" t="n"/>
      <c r="BA8" s="5" t="n"/>
      <c r="BB8" s="5" t="n"/>
      <c r="BC8" s="5" t="n"/>
      <c r="BD8" s="5" t="n"/>
      <c r="BE8" s="5" t="n"/>
      <c r="BF8" s="5" t="n"/>
      <c r="BG8" s="117" t="n">
        <v>198.534383</v>
      </c>
      <c r="BH8" s="105" t="n"/>
      <c r="BI8" s="105" t="n"/>
      <c r="BJ8" s="105" t="n"/>
      <c r="BK8" s="105" t="n"/>
      <c r="BL8" s="105" t="n"/>
      <c r="BM8" s="118" t="n"/>
      <c r="BN8" s="5" t="n"/>
      <c r="BO8" s="108" t="n">
        <v>96.12824999999999</v>
      </c>
      <c r="BP8" s="108" t="n"/>
      <c r="BQ8" s="108" t="n"/>
      <c r="BR8" s="108" t="n"/>
      <c r="BS8" s="108" t="n"/>
      <c r="BT8" s="108" t="n"/>
      <c r="BU8" s="5" t="n"/>
      <c r="BW8" s="0" t="n">
        <v>140.377904</v>
      </c>
      <c r="BX8" s="108" t="n"/>
      <c r="BY8" s="108" t="n"/>
      <c r="BZ8" s="108" t="n"/>
      <c r="CA8" s="108" t="n"/>
      <c r="CB8" s="108" t="n"/>
      <c r="CC8" s="5" t="n"/>
      <c r="CE8" s="114" t="n">
        <v>268.723797</v>
      </c>
      <c r="CF8" s="108" t="n"/>
      <c r="CG8" s="108" t="n"/>
      <c r="CH8" s="5" t="n"/>
      <c r="CI8" s="108" t="n"/>
      <c r="CJ8" s="108" t="n"/>
      <c r="CK8" s="5" t="n"/>
      <c r="CM8" s="114" t="n">
        <v>99.85460999999999</v>
      </c>
      <c r="CN8" s="108" t="n"/>
      <c r="CO8" s="108" t="n"/>
      <c r="CP8" s="108" t="n"/>
      <c r="CQ8" s="108" t="n"/>
      <c r="CR8" s="108" t="n"/>
      <c r="CS8" s="114" t="n"/>
      <c r="CU8" s="114" t="n">
        <v>147.062791</v>
      </c>
      <c r="CV8" s="108" t="n"/>
      <c r="CW8" s="108" t="n"/>
      <c r="CX8" s="108" t="n"/>
      <c r="CY8" s="108" t="n"/>
      <c r="CZ8" s="108" t="n"/>
      <c r="DA8" s="5" t="n"/>
      <c r="DB8" s="5" t="n"/>
      <c r="DC8" s="112" t="n">
        <v>441.366066</v>
      </c>
      <c r="DD8" s="108" t="n"/>
      <c r="DE8" s="108" t="n"/>
      <c r="DF8" s="108" t="n"/>
      <c r="DG8" s="108" t="n"/>
      <c r="DH8" s="108" t="n"/>
      <c r="DI8" s="5" t="n"/>
      <c r="DK8" s="0" t="n">
        <v>203.114916</v>
      </c>
      <c r="DL8" s="108" t="n"/>
      <c r="DM8" s="108" t="n"/>
      <c r="DN8" s="108" t="n"/>
      <c r="DO8" s="108" t="n"/>
      <c r="DP8" s="108" t="n"/>
      <c r="DQ8" s="5" t="n"/>
      <c r="DS8" s="0" t="n">
        <v>505.201511</v>
      </c>
      <c r="DT8" s="108" t="n"/>
      <c r="DU8" s="108" t="n"/>
      <c r="DV8" s="108" t="n"/>
      <c r="DW8" s="108" t="n"/>
      <c r="DX8" s="108" t="n"/>
      <c r="DY8" s="5" t="n"/>
      <c r="EA8" s="0" t="n">
        <v>894.4825939999999</v>
      </c>
      <c r="EB8" s="108" t="n"/>
      <c r="EC8" s="108" t="n"/>
      <c r="ED8" s="108" t="n"/>
      <c r="EE8" s="108" t="n"/>
      <c r="EF8" s="108" t="n"/>
      <c r="EG8" s="5" t="n"/>
      <c r="EI8" s="0" t="n">
        <v>209.465922</v>
      </c>
      <c r="EJ8" s="108" t="n"/>
      <c r="EK8" s="108" t="n"/>
      <c r="EL8" s="108" t="n"/>
      <c r="EM8" s="108" t="n"/>
      <c r="EN8" s="108" t="n"/>
      <c r="EO8" s="5" t="n"/>
      <c r="EQ8" s="0" t="n">
        <v>84.820909</v>
      </c>
      <c r="ER8" s="113" t="n"/>
      <c r="ES8" s="108" t="n"/>
      <c r="ET8" s="108" t="n"/>
      <c r="EU8" s="108" t="n"/>
      <c r="EV8" s="108" t="n"/>
      <c r="EW8" s="5" t="n"/>
      <c r="EY8" s="0" t="n">
        <v>69.354574</v>
      </c>
      <c r="EZ8" s="108" t="n"/>
      <c r="FA8" s="108" t="n"/>
      <c r="FB8" s="108" t="n"/>
      <c r="FC8" s="108" t="n"/>
      <c r="FD8" s="108" t="n"/>
      <c r="FE8" s="5" t="n"/>
      <c r="FF8" s="5" t="n"/>
      <c r="FG8" s="5" t="n">
        <v>126.205072</v>
      </c>
      <c r="FH8" s="108" t="n"/>
      <c r="FI8" s="108" t="n"/>
      <c r="FJ8" s="114" t="n"/>
      <c r="FK8" s="108" t="n"/>
      <c r="FL8" s="108" t="n"/>
      <c r="FM8" s="114" t="n"/>
      <c r="FN8" s="114" t="n"/>
      <c r="FO8" s="108" t="n">
        <v>180.916577</v>
      </c>
      <c r="FP8" s="108" t="n"/>
      <c r="FQ8" s="108" t="n"/>
      <c r="FR8" s="108" t="n"/>
      <c r="FS8" s="108" t="n"/>
      <c r="FT8" s="108" t="n"/>
      <c r="FU8" s="5" t="n"/>
      <c r="FV8" s="5" t="n"/>
      <c r="FW8" s="108" t="n">
        <v>242.672541</v>
      </c>
      <c r="FX8" s="108" t="n"/>
      <c r="FY8" s="108" t="n"/>
      <c r="FZ8" s="108" t="n"/>
      <c r="GA8" s="108" t="n"/>
      <c r="GB8" s="108" t="n"/>
      <c r="GC8" s="5" t="n"/>
      <c r="GD8" s="5" t="n"/>
      <c r="GE8" s="108" t="n">
        <v>151.162133</v>
      </c>
      <c r="GF8" s="108" t="n"/>
      <c r="GG8" s="108" t="n"/>
      <c r="GH8" s="108" t="n"/>
      <c r="GI8" s="108" t="n"/>
      <c r="GJ8" s="108" t="n"/>
      <c r="GK8" s="5" t="n"/>
      <c r="GL8" s="5" t="n"/>
      <c r="GM8" s="108" t="n">
        <v>169.189463</v>
      </c>
      <c r="GN8" s="108" t="n"/>
      <c r="GO8" s="108" t="n"/>
      <c r="GP8" s="108" t="n"/>
      <c r="GQ8" s="108" t="n"/>
      <c r="GR8" s="108" t="n"/>
      <c r="GS8" s="5" t="n"/>
      <c r="GT8" s="5" t="n"/>
      <c r="GU8" s="108" t="n">
        <v>50.13586</v>
      </c>
      <c r="GV8" s="108" t="n"/>
      <c r="GW8" s="108" t="n"/>
      <c r="GX8" s="99" t="n"/>
      <c r="GY8" s="99" t="n"/>
      <c r="GZ8" s="108" t="n"/>
      <c r="HA8" s="5" t="n"/>
      <c r="HB8" s="5" t="n"/>
      <c r="HC8" s="108" t="n">
        <v>75.45055600000001</v>
      </c>
      <c r="HD8" s="108" t="n"/>
      <c r="HE8" s="108" t="n"/>
      <c r="HF8" s="108" t="n"/>
      <c r="HG8" s="108" t="n"/>
      <c r="HH8" s="108" t="n"/>
      <c r="HI8" s="114" t="n"/>
      <c r="HJ8" s="5" t="n"/>
      <c r="HK8" s="108" t="n">
        <v>13.179774</v>
      </c>
      <c r="HL8" s="108" t="n"/>
      <c r="HM8" s="108" t="n"/>
      <c r="HN8" s="108" t="n"/>
      <c r="HO8" s="108" t="n"/>
      <c r="HP8" s="108" t="n"/>
      <c r="HQ8" s="5" t="n"/>
      <c r="HR8" s="5" t="n"/>
      <c r="HS8" s="108" t="n">
        <v>7.664812</v>
      </c>
      <c r="HT8" s="108" t="n"/>
      <c r="HU8" s="108" t="n"/>
      <c r="HV8" s="108" t="n"/>
      <c r="HW8" s="108" t="n"/>
      <c r="HX8" s="108" t="n"/>
      <c r="HY8" s="5" t="n"/>
      <c r="HZ8" s="5" t="n"/>
      <c r="IA8" s="108" t="n">
        <v>34.967583</v>
      </c>
      <c r="IB8" s="108" t="n"/>
      <c r="IC8" s="108" t="n"/>
      <c r="ID8" s="108" t="n"/>
      <c r="IE8" s="108" t="n"/>
      <c r="IF8" s="108" t="n"/>
      <c r="IG8" s="114" t="n"/>
      <c r="IH8" s="5" t="n"/>
      <c r="II8" s="108" t="n">
        <v>98.209289</v>
      </c>
      <c r="IJ8" s="108" t="n"/>
      <c r="IK8" s="108" t="n"/>
      <c r="IL8" s="108" t="n"/>
      <c r="IM8" s="108" t="n"/>
      <c r="IN8" s="108" t="n"/>
      <c r="IO8" s="5" t="n"/>
      <c r="IP8" s="5" t="n"/>
      <c r="IQ8" s="108" t="n">
        <v>26.222165</v>
      </c>
      <c r="IR8" s="108" t="n"/>
      <c r="IS8" s="108" t="n"/>
      <c r="IT8" s="108" t="n"/>
      <c r="IU8" s="108" t="n"/>
      <c r="IV8" s="108" t="n"/>
      <c r="IW8" s="5" t="n"/>
      <c r="IX8" s="5" t="n"/>
      <c r="IY8" s="108" t="n">
        <v>629.455421</v>
      </c>
      <c r="IZ8" s="108" t="n"/>
      <c r="JA8" s="108" t="n"/>
      <c r="JB8" s="108" t="n"/>
      <c r="JC8" s="108" t="n"/>
      <c r="JD8" s="108" t="n"/>
      <c r="JE8" s="5" t="n"/>
      <c r="JF8" s="5" t="n"/>
      <c r="JG8" s="108" t="n">
        <v>99.37289199999999</v>
      </c>
      <c r="JH8" s="108" t="n"/>
      <c r="JI8" s="108" t="n"/>
      <c r="JJ8" s="108" t="n"/>
      <c r="JK8" s="108" t="n"/>
      <c r="JL8" s="108" t="n"/>
      <c r="JM8" s="5" t="n"/>
      <c r="JN8" s="5" t="n"/>
      <c r="JO8" s="5" t="n">
        <v>63.69122</v>
      </c>
      <c r="JP8" s="108" t="n"/>
      <c r="JQ8" s="108" t="n"/>
      <c r="JR8" s="108" t="n"/>
      <c r="JS8" s="108" t="n"/>
      <c r="JT8" s="108" t="n"/>
      <c r="JU8" s="5" t="n"/>
      <c r="JV8" s="5" t="n"/>
      <c r="JW8" s="114" t="n">
        <v>185.801173</v>
      </c>
      <c r="JX8" s="108" t="n"/>
      <c r="JY8" s="108" t="n"/>
      <c r="JZ8" s="108" t="n"/>
      <c r="KA8" s="108" t="n"/>
      <c r="KB8" s="108" t="n"/>
      <c r="KC8" s="5" t="n"/>
      <c r="KD8" s="5" t="n"/>
      <c r="KE8" s="114" t="n">
        <v>86.870434</v>
      </c>
      <c r="KF8" s="108" t="n"/>
      <c r="KG8" s="108" t="n"/>
      <c r="KH8" s="108" t="n"/>
      <c r="KI8" s="108" t="n"/>
      <c r="KJ8" s="108" t="n"/>
      <c r="KK8" s="114" t="n"/>
      <c r="KL8" s="114" t="n"/>
      <c r="KM8" s="108" t="n">
        <v>404.76214</v>
      </c>
      <c r="KN8" s="108" t="n"/>
      <c r="KO8" s="108" t="n"/>
      <c r="KP8" s="108" t="n"/>
      <c r="KQ8" s="108" t="n"/>
      <c r="KR8" s="108" t="n"/>
      <c r="KS8" s="5" t="n"/>
      <c r="KT8" s="5" t="n"/>
      <c r="KU8" s="108" t="n">
        <v>76.392645</v>
      </c>
      <c r="KV8" s="108" t="n"/>
      <c r="KW8" s="108" t="n"/>
      <c r="KX8" s="108" t="n"/>
      <c r="KY8" s="108" t="n"/>
      <c r="KZ8" s="108" t="n"/>
      <c r="LA8" s="114" t="n"/>
      <c r="LB8" s="5" t="n"/>
      <c r="LC8" s="108" t="n">
        <v>67.76135499999999</v>
      </c>
      <c r="LD8" s="108" t="n"/>
      <c r="LE8" s="108" t="n"/>
      <c r="LF8" s="108" t="n"/>
      <c r="LG8" s="108" t="n"/>
      <c r="LH8" s="108" t="n"/>
      <c r="LI8" s="5" t="n"/>
      <c r="LJ8" s="5" t="n"/>
      <c r="LK8" s="108" t="n">
        <v>134.109121</v>
      </c>
      <c r="LL8" s="108" t="n"/>
      <c r="LM8" s="108" t="n"/>
      <c r="LN8" s="108" t="n"/>
      <c r="LO8" s="108" t="n"/>
      <c r="LP8" s="108" t="n"/>
      <c r="LQ8" s="5" t="n"/>
      <c r="LR8" s="5" t="n"/>
      <c r="LS8" s="108" t="n">
        <v>154.823214</v>
      </c>
      <c r="LT8" s="108" t="n"/>
      <c r="LU8" s="108" t="n"/>
      <c r="LV8" s="108" t="n"/>
      <c r="LW8" s="108" t="n"/>
      <c r="LX8" s="108" t="n"/>
      <c r="LY8" s="5" t="n"/>
      <c r="LZ8" s="5" t="n"/>
      <c r="MA8" s="108" t="n">
        <v>144.223918</v>
      </c>
      <c r="MB8" s="108" t="n"/>
      <c r="MC8" s="108" t="n"/>
      <c r="MD8" s="108" t="n"/>
      <c r="ME8" s="108" t="n"/>
      <c r="MF8" s="108" t="n"/>
      <c r="MG8" s="5" t="n"/>
      <c r="MH8" s="5" t="n"/>
      <c r="MI8" s="108" t="n"/>
      <c r="MJ8" s="108" t="n">
        <v>15.59309</v>
      </c>
      <c r="MK8" s="108" t="n"/>
      <c r="ML8" s="108" t="n"/>
      <c r="MM8" s="113" t="n"/>
      <c r="MN8" s="108" t="n"/>
      <c r="MO8" s="108" t="n"/>
      <c r="MP8" s="119" t="n"/>
      <c r="MQ8" s="113" t="n"/>
      <c r="MR8" s="113" t="n"/>
      <c r="MS8" s="108" t="n">
        <v>20.194352</v>
      </c>
      <c r="MT8" s="25" t="n"/>
      <c r="NB8" s="0" t="n">
        <v>4.861681</v>
      </c>
      <c r="NL8" s="0" t="n">
        <v>333.16532</v>
      </c>
      <c r="NT8" s="0" t="n">
        <v>21.611596</v>
      </c>
      <c r="NV8" s="108" t="n"/>
      <c r="NW8" s="108" t="n"/>
      <c r="NX8" s="108" t="n"/>
      <c r="NY8" s="108" t="n"/>
      <c r="NZ8" s="108" t="n"/>
      <c r="OA8" s="108" t="n"/>
      <c r="OB8" s="108" t="n">
        <v>210.617029</v>
      </c>
      <c r="OC8" s="108" t="n"/>
      <c r="OD8" s="108" t="n"/>
      <c r="OE8" s="108" t="n"/>
      <c r="OF8" s="108" t="n"/>
      <c r="OG8" s="108" t="n"/>
      <c r="OH8" s="5" t="n"/>
      <c r="OI8" s="5" t="n"/>
      <c r="OJ8" s="108" t="n">
        <v>228.721022</v>
      </c>
      <c r="OK8" s="108" t="n"/>
      <c r="OL8" s="108" t="n"/>
      <c r="OM8" s="108" t="n"/>
      <c r="ON8" s="108" t="n"/>
      <c r="OO8" s="108" t="n"/>
      <c r="OP8" s="5" t="n"/>
      <c r="OQ8" s="5" t="n"/>
      <c r="OS8" s="0" t="n">
        <v>34.356082</v>
      </c>
      <c r="OT8" s="25" t="n"/>
    </row>
    <row r="9" ht="22.5" customFormat="1" customHeight="1" s="5">
      <c r="A9" s="9" t="inlineStr">
        <is>
          <t>上周市值</t>
        </is>
      </c>
      <c r="B9" s="9" t="n">
        <v>1367.454708</v>
      </c>
      <c r="C9" s="5" t="n"/>
      <c r="D9" s="24" t="n"/>
      <c r="E9" s="5" t="n"/>
      <c r="F9" s="5" t="n"/>
      <c r="G9" s="5" t="n"/>
      <c r="H9" s="5" t="n"/>
      <c r="I9" s="5" t="n"/>
      <c r="J9" s="5" t="n">
        <v>694.528486</v>
      </c>
      <c r="K9" s="5" t="n"/>
      <c r="L9" s="24" t="n"/>
      <c r="M9" s="5" t="n"/>
      <c r="N9" s="5" t="n"/>
      <c r="O9" s="5" t="n"/>
      <c r="P9" s="5" t="n"/>
      <c r="Q9" s="5" t="n"/>
      <c r="R9" s="5" t="n">
        <v>372.487054</v>
      </c>
      <c r="S9" s="5" t="n"/>
      <c r="T9" s="24" t="n"/>
      <c r="U9" s="5" t="n"/>
      <c r="V9" s="5" t="n"/>
      <c r="W9" s="5" t="n"/>
      <c r="X9" s="5" t="n"/>
      <c r="Y9" s="5" t="n"/>
      <c r="Z9" s="5" t="n">
        <v>442.150922</v>
      </c>
      <c r="AA9" s="5" t="n"/>
      <c r="AB9" s="24" t="n"/>
      <c r="AC9" s="5" t="n"/>
      <c r="AD9" s="5" t="n"/>
      <c r="AE9" s="5" t="n"/>
      <c r="AF9" s="5" t="n"/>
      <c r="AG9" s="5" t="n"/>
      <c r="AH9" s="5" t="n">
        <v>265.458988</v>
      </c>
      <c r="AI9" s="5" t="n"/>
      <c r="AJ9" s="24" t="n"/>
      <c r="AK9" s="20" t="n"/>
      <c r="AL9" s="5" t="n"/>
      <c r="AM9" s="5" t="n"/>
      <c r="AN9" s="5" t="n"/>
      <c r="AO9" s="5" t="n"/>
      <c r="AP9" s="5" t="n">
        <v>875.634624</v>
      </c>
      <c r="AQ9" s="5" t="n"/>
      <c r="AR9" s="20" t="n"/>
      <c r="AS9" s="5" t="n"/>
      <c r="AT9" s="5" t="n"/>
      <c r="AU9" s="5" t="n"/>
      <c r="AV9" s="5" t="n"/>
      <c r="AW9" s="5" t="n"/>
      <c r="AX9" s="5" t="n"/>
      <c r="AY9" s="5" t="n">
        <v>428.36459</v>
      </c>
      <c r="AZ9" s="5" t="n"/>
      <c r="BA9" s="5" t="n"/>
      <c r="BB9" s="5" t="n"/>
      <c r="BC9" s="5" t="n"/>
      <c r="BD9" s="5" t="n"/>
      <c r="BE9" s="5" t="n"/>
      <c r="BF9" s="5" t="n"/>
      <c r="BG9" s="117" t="n">
        <v>150.074125</v>
      </c>
      <c r="BH9" s="105" t="n"/>
      <c r="BI9" s="105" t="n"/>
      <c r="BJ9" s="105" t="n"/>
      <c r="BK9" s="105" t="n"/>
      <c r="BL9" s="105" t="n"/>
      <c r="BM9" s="118" t="n"/>
      <c r="BN9" s="5" t="n"/>
      <c r="BO9" s="108" t="n">
        <v>87.14452300000001</v>
      </c>
      <c r="BP9" s="108" t="n"/>
      <c r="BQ9" s="108" t="n"/>
      <c r="BR9" s="108" t="n"/>
      <c r="BS9" s="108" t="n"/>
      <c r="BT9" s="108" t="n"/>
      <c r="BU9" s="5" t="n"/>
      <c r="BW9" s="5" t="n">
        <v>98.98653400000001</v>
      </c>
      <c r="BX9" s="108" t="n"/>
      <c r="BY9" s="108" t="n"/>
      <c r="BZ9" s="108" t="n"/>
      <c r="CA9" s="108" t="n"/>
      <c r="CB9" s="108" t="n"/>
      <c r="CC9" s="5" t="n"/>
      <c r="CE9" s="114" t="n">
        <v>202.344105</v>
      </c>
      <c r="CF9" s="108" t="n"/>
      <c r="CG9" s="108" t="n"/>
      <c r="CH9" s="5" t="n"/>
      <c r="CI9" s="108" t="n"/>
      <c r="CJ9" s="108" t="n"/>
      <c r="CK9" s="5" t="n"/>
      <c r="CM9" s="114" t="n">
        <v>79.368211</v>
      </c>
      <c r="CN9" s="108" t="n"/>
      <c r="CO9" s="108" t="n"/>
      <c r="CP9" s="108" t="n"/>
      <c r="CQ9" s="108" t="n"/>
      <c r="CR9" s="108" t="n"/>
      <c r="CS9" s="114" t="n"/>
      <c r="CU9" s="114" t="n">
        <v>126.701715</v>
      </c>
      <c r="CV9" s="108" t="n"/>
      <c r="CW9" s="108" t="n"/>
      <c r="CX9" s="108" t="n"/>
      <c r="CY9" s="108" t="n"/>
      <c r="CZ9" s="108" t="n"/>
      <c r="DA9" s="5" t="n"/>
      <c r="DB9" s="5" t="n"/>
      <c r="DC9" s="112" t="n">
        <v>314.955559</v>
      </c>
      <c r="DD9" s="108" t="n"/>
      <c r="DE9" s="108" t="n"/>
      <c r="DF9" s="108" t="n"/>
      <c r="DG9" s="108" t="n"/>
      <c r="DH9" s="108" t="n"/>
      <c r="DI9" s="5" t="n"/>
      <c r="DK9" s="0" t="n">
        <v>177.1819</v>
      </c>
      <c r="DL9" s="108" t="n"/>
      <c r="DM9" s="108" t="n"/>
      <c r="DN9" s="108" t="n"/>
      <c r="DO9" s="108" t="n"/>
      <c r="DP9" s="108" t="n"/>
      <c r="DQ9" s="5" t="n"/>
      <c r="DS9" s="5" t="n">
        <v>414.42687</v>
      </c>
      <c r="DT9" s="108" t="n"/>
      <c r="DU9" s="108" t="n"/>
      <c r="DV9" s="108" t="n"/>
      <c r="DW9" s="108" t="n"/>
      <c r="DX9" s="108" t="n"/>
      <c r="DY9" s="5" t="n"/>
      <c r="EA9" s="0" t="n">
        <v>1130.954541</v>
      </c>
      <c r="EB9" s="108" t="n"/>
      <c r="EC9" s="108" t="n"/>
      <c r="ED9" s="108" t="n"/>
      <c r="EE9" s="108" t="n"/>
      <c r="EF9" s="108" t="n"/>
      <c r="EG9" s="5" t="n"/>
      <c r="EI9" s="5" t="n">
        <v>174.865018</v>
      </c>
      <c r="EJ9" s="108" t="n"/>
      <c r="EK9" s="108" t="n"/>
      <c r="EL9" s="108" t="n"/>
      <c r="EM9" s="108" t="n"/>
      <c r="EN9" s="108" t="n"/>
      <c r="EO9" s="5" t="n"/>
      <c r="EQ9" s="5" t="n">
        <v>71.09072500000001</v>
      </c>
      <c r="ER9" s="113" t="n"/>
      <c r="ES9" s="108" t="n"/>
      <c r="ET9" s="108" t="n"/>
      <c r="EU9" s="108" t="n"/>
      <c r="EV9" s="108" t="n"/>
      <c r="EW9" s="5" t="n"/>
      <c r="EY9" s="5" t="n">
        <v>81.814559</v>
      </c>
      <c r="EZ9" s="108" t="n"/>
      <c r="FA9" s="108" t="n"/>
      <c r="FB9" s="108" t="n"/>
      <c r="FC9" s="108" t="n"/>
      <c r="FD9" s="108" t="n"/>
      <c r="FE9" s="5" t="n"/>
      <c r="FF9" s="5" t="n"/>
      <c r="FG9" s="5" t="n">
        <v>102.653901</v>
      </c>
      <c r="FH9" s="108" t="n"/>
      <c r="FI9" s="108" t="n"/>
      <c r="FJ9" s="114" t="n"/>
      <c r="FK9" s="108" t="n"/>
      <c r="FL9" s="108" t="n"/>
      <c r="FM9" s="114" t="n"/>
      <c r="FN9" s="114" t="n"/>
      <c r="FO9" s="108" t="n">
        <v>160.478707</v>
      </c>
      <c r="FP9" s="108" t="n"/>
      <c r="FQ9" s="108" t="n"/>
      <c r="FR9" s="108" t="n"/>
      <c r="FS9" s="108" t="n"/>
      <c r="FT9" s="108" t="n"/>
      <c r="FU9" s="5" t="n"/>
      <c r="FV9" s="5" t="n"/>
      <c r="FW9" s="108" t="n">
        <v>233.6658</v>
      </c>
      <c r="FX9" s="108" t="n"/>
      <c r="FY9" s="108" t="n"/>
      <c r="FZ9" s="108" t="n"/>
      <c r="GA9" s="108" t="n"/>
      <c r="GB9" s="108" t="n"/>
      <c r="GC9" s="5" t="n"/>
      <c r="GD9" s="5" t="n"/>
      <c r="GE9" s="108" t="n">
        <v>144.668613</v>
      </c>
      <c r="GF9" s="108" t="n"/>
      <c r="GG9" s="108" t="n"/>
      <c r="GH9" s="108" t="n"/>
      <c r="GI9" s="108" t="n"/>
      <c r="GJ9" s="108" t="n"/>
      <c r="GK9" s="5" t="n"/>
      <c r="GL9" s="5" t="n"/>
      <c r="GM9" s="108" t="n">
        <v>150.818701</v>
      </c>
      <c r="GN9" s="108" t="n"/>
      <c r="GO9" s="108" t="n"/>
      <c r="GP9" s="108" t="n"/>
      <c r="GQ9" s="108" t="n"/>
      <c r="GR9" s="108" t="n"/>
      <c r="GS9" s="5" t="n"/>
      <c r="GT9" s="5" t="n"/>
      <c r="GU9" s="108" t="n">
        <v>41.539352</v>
      </c>
      <c r="GV9" s="108" t="n"/>
      <c r="GW9" s="108" t="n"/>
      <c r="GX9" s="108" t="n"/>
      <c r="GY9" s="108" t="n"/>
      <c r="GZ9" s="108" t="n"/>
      <c r="HA9" s="5" t="n"/>
      <c r="HB9" s="5" t="n"/>
      <c r="HC9" s="108" t="n">
        <v>53.637176</v>
      </c>
      <c r="HD9" s="108" t="n"/>
      <c r="HE9" s="108" t="n"/>
      <c r="HF9" s="108" t="n"/>
      <c r="HG9" s="108" t="n"/>
      <c r="HH9" s="108" t="n"/>
      <c r="HI9" s="114" t="n"/>
      <c r="HJ9" s="5" t="n"/>
      <c r="HK9" s="108" t="n">
        <v>11.236482</v>
      </c>
      <c r="HL9" s="108" t="n"/>
      <c r="HM9" s="108" t="n"/>
      <c r="HN9" s="108" t="n"/>
      <c r="HO9" s="108" t="n"/>
      <c r="HP9" s="108" t="n"/>
      <c r="HQ9" s="5" t="n"/>
      <c r="HR9" s="5" t="n"/>
      <c r="HS9" s="108" t="n">
        <v>7.048079</v>
      </c>
      <c r="HT9" s="108" t="n"/>
      <c r="HU9" s="108" t="n"/>
      <c r="HV9" s="108" t="n"/>
      <c r="HW9" s="108" t="n"/>
      <c r="HX9" s="108" t="n"/>
      <c r="HY9" s="5" t="n"/>
      <c r="HZ9" s="5" t="n"/>
      <c r="IA9" s="108" t="n">
        <v>49.457032</v>
      </c>
      <c r="IB9" s="108" t="n"/>
      <c r="IC9" s="108" t="n"/>
      <c r="ID9" s="108" t="n"/>
      <c r="IE9" s="108" t="n"/>
      <c r="IF9" s="108" t="n"/>
      <c r="IG9" s="114" t="n"/>
      <c r="IH9" s="5" t="n"/>
      <c r="II9" s="108" t="n">
        <v>81.24451500000001</v>
      </c>
      <c r="IJ9" s="108" t="n"/>
      <c r="IK9" s="108" t="n"/>
      <c r="IL9" s="108" t="n"/>
      <c r="IM9" s="108" t="n"/>
      <c r="IN9" s="108" t="n"/>
      <c r="IO9" s="5" t="n"/>
      <c r="IP9" s="5" t="n"/>
      <c r="IQ9" s="108" t="n">
        <v>28.292199</v>
      </c>
      <c r="IR9" s="108" t="n"/>
      <c r="IS9" s="108" t="n"/>
      <c r="IT9" s="108" t="n"/>
      <c r="IU9" s="108" t="n"/>
      <c r="IV9" s="108" t="n"/>
      <c r="IW9" s="5" t="n"/>
      <c r="IX9" s="5" t="n"/>
      <c r="IY9" s="108" t="n">
        <v>575.822543</v>
      </c>
      <c r="IZ9" s="108" t="n"/>
      <c r="JA9" s="108" t="n"/>
      <c r="JB9" s="108" t="n"/>
      <c r="JC9" s="108" t="n"/>
      <c r="JD9" s="108" t="n"/>
      <c r="JE9" s="5" t="n"/>
      <c r="JF9" s="5" t="n"/>
      <c r="JG9" s="108" t="n">
        <v>97.64416799999999</v>
      </c>
      <c r="JH9" s="108" t="n"/>
      <c r="JI9" s="108" t="n"/>
      <c r="JJ9" s="108" t="n"/>
      <c r="JK9" s="108" t="n"/>
      <c r="JL9" s="108" t="n"/>
      <c r="JM9" s="5" t="n"/>
      <c r="JN9" s="5" t="n"/>
      <c r="JO9" s="5" t="n">
        <v>61.428364</v>
      </c>
      <c r="JP9" s="108" t="n"/>
      <c r="JQ9" s="108" t="n"/>
      <c r="JR9" s="108" t="n"/>
      <c r="JS9" s="108" t="n"/>
      <c r="JT9" s="108" t="n"/>
      <c r="JU9" s="5" t="n"/>
      <c r="JV9" s="5" t="n"/>
      <c r="JW9" s="114" t="n">
        <v>162.416045</v>
      </c>
      <c r="JX9" s="108" t="n"/>
      <c r="JY9" s="108" t="n"/>
      <c r="JZ9" s="108" t="n"/>
      <c r="KA9" s="108" t="n"/>
      <c r="KB9" s="108" t="n"/>
      <c r="KC9" s="5" t="n"/>
      <c r="KD9" s="5" t="n"/>
      <c r="KE9" s="114" t="n">
        <v>76.679481</v>
      </c>
      <c r="KF9" s="108" t="n"/>
      <c r="KG9" s="108" t="n"/>
      <c r="KH9" s="108" t="n"/>
      <c r="KI9" s="108" t="n"/>
      <c r="KJ9" s="108" t="n"/>
      <c r="KK9" s="114" t="n"/>
      <c r="KL9" s="114" t="n"/>
      <c r="KM9" s="108" t="n">
        <v>360.744079</v>
      </c>
      <c r="KN9" s="108" t="n"/>
      <c r="KO9" s="108" t="n"/>
      <c r="KP9" s="108" t="n"/>
      <c r="KQ9" s="108" t="n"/>
      <c r="KR9" s="108" t="n"/>
      <c r="KS9" s="5" t="n"/>
      <c r="KT9" s="5" t="n"/>
      <c r="KU9" s="108" t="n">
        <v>65.044939</v>
      </c>
      <c r="KV9" s="108" t="n"/>
      <c r="KW9" s="108" t="n"/>
      <c r="KX9" s="108" t="n"/>
      <c r="KY9" s="108" t="n"/>
      <c r="KZ9" s="108" t="n"/>
      <c r="LA9" s="114" t="n"/>
      <c r="LB9" s="5" t="n"/>
      <c r="LC9" s="108" t="n">
        <v>54.468433</v>
      </c>
      <c r="LD9" s="108" t="n"/>
      <c r="LE9" s="108" t="n"/>
      <c r="LF9" s="108" t="n"/>
      <c r="LG9" s="108" t="n"/>
      <c r="LH9" s="108" t="n"/>
      <c r="LI9" s="5" t="n"/>
      <c r="LJ9" s="5" t="n"/>
      <c r="LK9" s="108" t="n">
        <v>133.396563</v>
      </c>
      <c r="LL9" s="108" t="n"/>
      <c r="LM9" s="108" t="n"/>
      <c r="LN9" s="108" t="n"/>
      <c r="LO9" s="108" t="n"/>
      <c r="LP9" s="108" t="n"/>
      <c r="LQ9" s="5" t="n"/>
      <c r="LR9" s="5" t="n"/>
      <c r="LS9" s="108" t="n">
        <v>154.531567</v>
      </c>
      <c r="LT9" s="108" t="n"/>
      <c r="LU9" s="108" t="n"/>
      <c r="LV9" s="108" t="n"/>
      <c r="LW9" s="108" t="n"/>
      <c r="LX9" s="108" t="n"/>
      <c r="LY9" s="5" t="n"/>
      <c r="LZ9" s="5" t="n"/>
      <c r="MA9" s="108" t="n">
        <v>98.113232</v>
      </c>
      <c r="MB9" s="108" t="n"/>
      <c r="MC9" s="108" t="n"/>
      <c r="MD9" s="108" t="n"/>
      <c r="ME9" s="108" t="n"/>
      <c r="MF9" s="108" t="n"/>
      <c r="MG9" s="5" t="n"/>
      <c r="MH9" s="5" t="n"/>
      <c r="MI9" s="108" t="n"/>
      <c r="MJ9" s="108" t="n">
        <v>14.082201</v>
      </c>
      <c r="MK9" s="108" t="n"/>
      <c r="ML9" s="108" t="n"/>
      <c r="MM9" s="113" t="n"/>
      <c r="MN9" s="108" t="n"/>
      <c r="MO9" s="108" t="n"/>
      <c r="MP9" s="119" t="n"/>
      <c r="MQ9" s="113" t="n"/>
      <c r="MR9" s="113" t="n"/>
      <c r="MS9" s="108" t="n">
        <v>16.260451</v>
      </c>
      <c r="MT9" s="25" t="n"/>
      <c r="NB9" s="5" t="n">
        <v>3.744354</v>
      </c>
      <c r="NC9" s="5" t="n"/>
      <c r="NL9" s="5" t="n">
        <v>306.02814</v>
      </c>
      <c r="NM9" s="5" t="n"/>
      <c r="NN9" s="5" t="n"/>
      <c r="NT9" s="0" t="n">
        <v>20.98158</v>
      </c>
      <c r="NV9" s="108" t="n"/>
      <c r="NW9" s="108" t="n"/>
      <c r="NX9" s="108" t="n"/>
      <c r="NY9" s="108" t="n"/>
      <c r="NZ9" s="108" t="n"/>
      <c r="OA9" s="108" t="n"/>
      <c r="OB9" s="108" t="n">
        <v>293.105626</v>
      </c>
      <c r="OC9" s="108" t="n"/>
      <c r="OD9" s="108" t="n"/>
      <c r="OE9" s="108" t="n"/>
      <c r="OF9" s="108" t="n"/>
      <c r="OG9" s="108" t="n"/>
      <c r="OH9" s="5" t="n"/>
      <c r="OI9" s="5" t="n"/>
      <c r="OJ9" s="108" t="n">
        <v>265.333594</v>
      </c>
      <c r="OK9" s="108" t="n"/>
      <c r="OL9" s="108" t="n"/>
      <c r="OM9" s="108" t="n"/>
      <c r="ON9" s="108" t="n"/>
      <c r="OO9" s="108" t="n"/>
      <c r="OP9" s="5" t="n"/>
      <c r="OQ9" s="5" t="n"/>
      <c r="OS9" s="0" t="n">
        <v>34.158907</v>
      </c>
      <c r="OT9" s="25" t="n"/>
    </row>
    <row r="10" ht="18" customFormat="1" customHeight="1" s="6">
      <c r="A10" s="6" t="inlineStr">
        <is>
          <t>当前市值</t>
        </is>
      </c>
      <c r="B10" s="120" t="n">
        <v>1240.276531</v>
      </c>
      <c r="C10" s="121" t="inlineStr">
        <is>
          <t>日期</t>
        </is>
      </c>
      <c r="D10" s="121" t="inlineStr">
        <is>
          <t>当日盘前份额</t>
        </is>
      </c>
      <c r="E10" s="121" t="inlineStr">
        <is>
          <t>前日盘前份额</t>
        </is>
      </c>
      <c r="F10" s="122" t="inlineStr">
        <is>
          <t>盘前份额增长</t>
        </is>
      </c>
      <c r="G10" s="122" t="inlineStr">
        <is>
          <t>盘前份额涨幅</t>
        </is>
      </c>
      <c r="H10" s="6" t="inlineStr">
        <is>
          <t>当日涨跌</t>
        </is>
      </c>
      <c r="I10" s="121" t="n"/>
      <c r="J10" s="121" t="n">
        <v>680.636848</v>
      </c>
      <c r="K10" s="121">
        <f>C10</f>
        <v/>
      </c>
      <c r="L10" s="121" t="inlineStr">
        <is>
          <t>当日盘前份额</t>
        </is>
      </c>
      <c r="M10" s="121" t="inlineStr">
        <is>
          <t>前日盘前份额</t>
        </is>
      </c>
      <c r="N10" s="122" t="inlineStr">
        <is>
          <t>盘前份额增长</t>
        </is>
      </c>
      <c r="O10" s="122" t="inlineStr">
        <is>
          <t>盘前份额涨幅</t>
        </is>
      </c>
      <c r="P10" s="6" t="n"/>
      <c r="Q10" s="121" t="n"/>
      <c r="R10" s="121" t="n">
        <v>323.025129</v>
      </c>
      <c r="S10" s="121">
        <f>C10</f>
        <v/>
      </c>
      <c r="T10" s="121" t="inlineStr">
        <is>
          <t>当日盘前份额</t>
        </is>
      </c>
      <c r="U10" s="121" t="inlineStr">
        <is>
          <t>前日盘前份额</t>
        </is>
      </c>
      <c r="V10" s="122" t="inlineStr">
        <is>
          <t>盘前份额增长</t>
        </is>
      </c>
      <c r="W10" s="122" t="inlineStr">
        <is>
          <t>盘前份额涨幅</t>
        </is>
      </c>
      <c r="X10" s="6" t="n"/>
      <c r="Y10" s="121" t="n"/>
      <c r="Z10" s="121" t="n">
        <v>407.708534</v>
      </c>
      <c r="AA10" s="121">
        <f>S10</f>
        <v/>
      </c>
      <c r="AB10" s="121" t="inlineStr">
        <is>
          <t>当日盘前份额</t>
        </is>
      </c>
      <c r="AC10" s="121" t="inlineStr">
        <is>
          <t>前日盘前份额</t>
        </is>
      </c>
      <c r="AD10" s="122" t="inlineStr">
        <is>
          <t>盘前份额增长</t>
        </is>
      </c>
      <c r="AE10" s="122" t="inlineStr">
        <is>
          <t>盘前份额涨幅</t>
        </is>
      </c>
      <c r="AF10" s="6" t="n"/>
      <c r="AG10" s="121" t="n"/>
      <c r="AH10" s="121" t="n">
        <v>225.976856</v>
      </c>
      <c r="AI10" s="121">
        <f>C10</f>
        <v/>
      </c>
      <c r="AJ10" s="121" t="inlineStr">
        <is>
          <t>当日盘前份额</t>
        </is>
      </c>
      <c r="AK10" s="121" t="inlineStr">
        <is>
          <t>前日盘前份额</t>
        </is>
      </c>
      <c r="AL10" s="122" t="inlineStr">
        <is>
          <t>盘前份额增长</t>
        </is>
      </c>
      <c r="AM10" s="122" t="inlineStr">
        <is>
          <t>盘前份额涨幅</t>
        </is>
      </c>
      <c r="AN10" s="6" t="n"/>
      <c r="AO10" s="6" t="n"/>
      <c r="AP10" s="121" t="n">
        <v>849.160465</v>
      </c>
      <c r="AQ10" s="121">
        <f>C10</f>
        <v/>
      </c>
      <c r="AR10" s="121" t="inlineStr">
        <is>
          <t>当日盘前份额</t>
        </is>
      </c>
      <c r="AS10" s="121" t="inlineStr">
        <is>
          <t>前日盘前份额</t>
        </is>
      </c>
      <c r="AT10" s="122" t="inlineStr">
        <is>
          <t>盘前份额增长</t>
        </is>
      </c>
      <c r="AU10" s="122" t="inlineStr">
        <is>
          <t>盘前份额涨幅</t>
        </is>
      </c>
      <c r="AV10" s="6" t="n"/>
      <c r="AW10" s="6" t="n"/>
      <c r="AX10" s="6" t="n"/>
      <c r="AY10" s="123" t="n">
        <v>426.76028</v>
      </c>
      <c r="AZ10" s="121">
        <f>C10</f>
        <v/>
      </c>
      <c r="BA10" s="121" t="inlineStr">
        <is>
          <t>当日盘前份额</t>
        </is>
      </c>
      <c r="BB10" s="121" t="inlineStr">
        <is>
          <t>前日盘前份额</t>
        </is>
      </c>
      <c r="BC10" s="122" t="inlineStr">
        <is>
          <t>盘前份额增长</t>
        </is>
      </c>
      <c r="BD10" s="122" t="inlineStr">
        <is>
          <t>盘前份额涨幅</t>
        </is>
      </c>
      <c r="BE10" s="6" t="n"/>
      <c r="BF10" s="6" t="n"/>
      <c r="BG10" s="124" t="n">
        <v>152.835047</v>
      </c>
      <c r="BH10" s="125">
        <f>#REF!</f>
        <v/>
      </c>
      <c r="BI10" s="125" t="inlineStr">
        <is>
          <t>当日盘前份额</t>
        </is>
      </c>
      <c r="BJ10" s="125" t="inlineStr">
        <is>
          <t>前日盘前份额</t>
        </is>
      </c>
      <c r="BK10" s="126" t="inlineStr">
        <is>
          <t>盘前份额增长</t>
        </is>
      </c>
      <c r="BL10" s="126" t="inlineStr">
        <is>
          <t>盘前份额涨幅</t>
        </is>
      </c>
      <c r="BM10" s="124" t="n"/>
      <c r="BN10" s="6" t="inlineStr">
        <is>
          <t>月份额增减</t>
        </is>
      </c>
      <c r="BO10" s="121" t="n">
        <v>88.613905</v>
      </c>
      <c r="BP10" s="121">
        <f>#REF!</f>
        <v/>
      </c>
      <c r="BQ10" s="121" t="inlineStr">
        <is>
          <t>当日盘前份额</t>
        </is>
      </c>
      <c r="BR10" s="121" t="inlineStr">
        <is>
          <t>前日盘前份额</t>
        </is>
      </c>
      <c r="BS10" s="122" t="inlineStr">
        <is>
          <t>盘前份额增长</t>
        </is>
      </c>
      <c r="BT10" s="122" t="inlineStr">
        <is>
          <t>盘前份额涨幅</t>
        </is>
      </c>
      <c r="BU10" s="6" t="n"/>
      <c r="BV10" s="6" t="n"/>
      <c r="BW10" s="6" t="n">
        <v>102.969583</v>
      </c>
      <c r="BX10" s="121">
        <f>#REF!</f>
        <v/>
      </c>
      <c r="BY10" s="121" t="inlineStr">
        <is>
          <t>当日盘前份额</t>
        </is>
      </c>
      <c r="BZ10" s="121" t="inlineStr">
        <is>
          <t>前日盘前份额</t>
        </is>
      </c>
      <c r="CA10" s="122" t="inlineStr">
        <is>
          <t>盘前份额增长</t>
        </is>
      </c>
      <c r="CB10" s="122" t="inlineStr">
        <is>
          <t>盘前份额涨幅</t>
        </is>
      </c>
      <c r="CC10" s="6" t="n"/>
      <c r="CD10" s="6" t="n"/>
      <c r="CE10" s="122" t="n">
        <v>200.200568</v>
      </c>
      <c r="CF10" s="122">
        <f>#REF!</f>
        <v/>
      </c>
      <c r="CG10" s="122" t="inlineStr">
        <is>
          <t>场内份额</t>
        </is>
      </c>
      <c r="CH10" s="6" t="n"/>
      <c r="CI10" s="122" t="inlineStr">
        <is>
          <t>场内新增</t>
        </is>
      </c>
      <c r="CJ10" s="122" t="inlineStr">
        <is>
          <t>份额涨幅</t>
        </is>
      </c>
      <c r="CK10" s="6" t="n"/>
      <c r="CL10" s="6" t="n"/>
      <c r="CM10" s="121" t="n">
        <v>77.865928</v>
      </c>
      <c r="CN10" s="121">
        <f>#REF!</f>
        <v/>
      </c>
      <c r="CO10" s="121" t="inlineStr">
        <is>
          <t>当日盘前份额</t>
        </is>
      </c>
      <c r="CP10" s="121" t="inlineStr">
        <is>
          <t>前日盘前份额</t>
        </is>
      </c>
      <c r="CQ10" s="122" t="inlineStr">
        <is>
          <t>盘前份额增长</t>
        </is>
      </c>
      <c r="CR10" s="122" t="inlineStr">
        <is>
          <t>盘前份额涨幅</t>
        </is>
      </c>
      <c r="CS10" s="121" t="n"/>
      <c r="CT10" s="6" t="n"/>
      <c r="CU10" s="121" t="n">
        <v>130.295258</v>
      </c>
      <c r="CV10" s="121">
        <f>#REF!</f>
        <v/>
      </c>
      <c r="CW10" s="121" t="inlineStr">
        <is>
          <t>当日盘前份额</t>
        </is>
      </c>
      <c r="CX10" s="121" t="inlineStr">
        <is>
          <t>前日盘前份额</t>
        </is>
      </c>
      <c r="CY10" s="122" t="inlineStr">
        <is>
          <t>盘前份额增长</t>
        </is>
      </c>
      <c r="CZ10" s="122" t="inlineStr">
        <is>
          <t>盘前份额涨幅</t>
        </is>
      </c>
      <c r="DA10" s="6" t="n"/>
      <c r="DB10" s="6" t="n"/>
      <c r="DC10" s="127" t="n">
        <v>336.626015</v>
      </c>
      <c r="DD10" s="121">
        <f>#REF!</f>
        <v/>
      </c>
      <c r="DE10" s="121" t="inlineStr">
        <is>
          <t>当日盘前份额</t>
        </is>
      </c>
      <c r="DF10" s="121" t="inlineStr">
        <is>
          <t>前日盘前份额</t>
        </is>
      </c>
      <c r="DG10" s="122" t="inlineStr">
        <is>
          <t>盘前份额增长</t>
        </is>
      </c>
      <c r="DH10" s="122" t="inlineStr">
        <is>
          <t>盘前份额涨幅</t>
        </is>
      </c>
      <c r="DI10" s="6" t="n"/>
      <c r="DJ10" s="6" t="n"/>
      <c r="DK10" s="6" t="n">
        <v>170.924378</v>
      </c>
      <c r="DL10" s="121">
        <f>#REF!</f>
        <v/>
      </c>
      <c r="DM10" s="121" t="inlineStr">
        <is>
          <t>当日盘前份额</t>
        </is>
      </c>
      <c r="DN10" s="121" t="inlineStr">
        <is>
          <t>前日盘前份额</t>
        </is>
      </c>
      <c r="DO10" s="122" t="inlineStr">
        <is>
          <t>盘前份额增长</t>
        </is>
      </c>
      <c r="DP10" s="122" t="inlineStr">
        <is>
          <t>盘前份额涨幅</t>
        </is>
      </c>
      <c r="DQ10" s="6" t="n"/>
      <c r="DR10" s="6" t="n"/>
      <c r="DS10" s="6" t="n">
        <v>399.873839</v>
      </c>
      <c r="DT10" s="121">
        <f>#REF!</f>
        <v/>
      </c>
      <c r="DU10" s="121" t="inlineStr">
        <is>
          <t>当日盘前份额</t>
        </is>
      </c>
      <c r="DV10" s="121" t="inlineStr">
        <is>
          <t>前日盘前份额</t>
        </is>
      </c>
      <c r="DW10" s="122" t="inlineStr">
        <is>
          <t>盘前份额增长</t>
        </is>
      </c>
      <c r="DX10" s="122" t="inlineStr">
        <is>
          <t>盘前份额涨幅</t>
        </is>
      </c>
      <c r="DY10" s="6" t="n"/>
      <c r="DZ10" s="6" t="n"/>
      <c r="EA10" s="6" t="n">
        <v>1029.523251</v>
      </c>
      <c r="EB10" s="121">
        <f>#REF!</f>
        <v/>
      </c>
      <c r="EC10" s="121" t="inlineStr">
        <is>
          <t>当日盘前份额</t>
        </is>
      </c>
      <c r="ED10" s="121" t="inlineStr">
        <is>
          <t>前日盘前份额</t>
        </is>
      </c>
      <c r="EE10" s="122" t="inlineStr">
        <is>
          <t>盘前份额增长</t>
        </is>
      </c>
      <c r="EF10" s="122" t="inlineStr">
        <is>
          <t>盘前份额涨幅</t>
        </is>
      </c>
      <c r="EG10" s="6" t="n"/>
      <c r="EH10" s="6" t="n"/>
      <c r="EI10" s="6" t="n">
        <v>179.466667</v>
      </c>
      <c r="EJ10" s="121">
        <f>#REF!</f>
        <v/>
      </c>
      <c r="EK10" s="121" t="inlineStr">
        <is>
          <t>当日盘前份额</t>
        </is>
      </c>
      <c r="EL10" s="121" t="inlineStr">
        <is>
          <t>前日盘前份额</t>
        </is>
      </c>
      <c r="EM10" s="122" t="inlineStr">
        <is>
          <t>盘前份额增长</t>
        </is>
      </c>
      <c r="EN10" s="122" t="inlineStr">
        <is>
          <t>盘前份额涨幅</t>
        </is>
      </c>
      <c r="EO10" s="6" t="n"/>
      <c r="EP10" s="6" t="n"/>
      <c r="EQ10" s="120" t="n">
        <v>68.090379</v>
      </c>
      <c r="ER10" s="128">
        <f>#REF!</f>
        <v/>
      </c>
      <c r="ES10" s="121" t="inlineStr">
        <is>
          <t>当日盘前份额</t>
        </is>
      </c>
      <c r="ET10" s="121" t="inlineStr">
        <is>
          <t>前日盘前份额</t>
        </is>
      </c>
      <c r="EU10" s="122" t="inlineStr">
        <is>
          <t>盘前份额增长</t>
        </is>
      </c>
      <c r="EV10" s="122" t="inlineStr">
        <is>
          <t>盘前份额涨幅</t>
        </is>
      </c>
      <c r="EW10" s="6" t="n"/>
      <c r="EX10" s="6" t="n"/>
      <c r="EY10" s="6" t="n">
        <v>80.19671</v>
      </c>
      <c r="EZ10" s="121">
        <f>#REF!</f>
        <v/>
      </c>
      <c r="FA10" s="121" t="inlineStr">
        <is>
          <t>当日盘前份额</t>
        </is>
      </c>
      <c r="FB10" s="121" t="inlineStr">
        <is>
          <t>前日盘前份额</t>
        </is>
      </c>
      <c r="FC10" s="122" t="inlineStr">
        <is>
          <t>盘前份额增长</t>
        </is>
      </c>
      <c r="FD10" s="122" t="inlineStr">
        <is>
          <t>盘前份额涨幅</t>
        </is>
      </c>
      <c r="FE10" s="6" t="n"/>
      <c r="FF10" s="6" t="n"/>
      <c r="FG10" s="120" t="n">
        <v>106.219614</v>
      </c>
      <c r="FH10" s="121">
        <f>#REF!</f>
        <v/>
      </c>
      <c r="FI10" s="121" t="inlineStr">
        <is>
          <t>场内份额</t>
        </is>
      </c>
      <c r="FJ10" s="121" t="n"/>
      <c r="FK10" s="121" t="inlineStr">
        <is>
          <t>场内新增</t>
        </is>
      </c>
      <c r="FL10" s="121" t="inlineStr">
        <is>
          <t>份额涨幅</t>
        </is>
      </c>
      <c r="FM10" s="121" t="n"/>
      <c r="FN10" s="121" t="n"/>
      <c r="FO10" s="121" t="n">
        <v>151.430837</v>
      </c>
      <c r="FP10" s="121">
        <f>#REF!</f>
        <v/>
      </c>
      <c r="FQ10" s="121" t="inlineStr">
        <is>
          <t>当日盘前份额</t>
        </is>
      </c>
      <c r="FR10" s="121" t="inlineStr">
        <is>
          <t>前日盘前份额</t>
        </is>
      </c>
      <c r="FS10" s="122" t="inlineStr">
        <is>
          <t>盘前份额增长</t>
        </is>
      </c>
      <c r="FT10" s="122" t="inlineStr">
        <is>
          <t>盘前份额涨幅</t>
        </is>
      </c>
      <c r="FU10" s="6" t="n"/>
      <c r="FV10" s="6" t="n"/>
      <c r="FW10" s="121" t="n">
        <v>228.293955</v>
      </c>
      <c r="FX10" s="121">
        <f>#REF!</f>
        <v/>
      </c>
      <c r="FY10" s="121" t="inlineStr">
        <is>
          <t>当日盘前份额</t>
        </is>
      </c>
      <c r="FZ10" s="121" t="inlineStr">
        <is>
          <t>前日盘前份额</t>
        </is>
      </c>
      <c r="GA10" s="122" t="inlineStr">
        <is>
          <t>盘前份额增长</t>
        </is>
      </c>
      <c r="GB10" s="122" t="inlineStr">
        <is>
          <t>盘前份额涨幅</t>
        </is>
      </c>
      <c r="GC10" s="6" t="n"/>
      <c r="GD10" s="6" t="n"/>
      <c r="GE10" s="121" t="n">
        <v>141.185757</v>
      </c>
      <c r="GF10" s="121">
        <f>#REF!</f>
        <v/>
      </c>
      <c r="GG10" s="121" t="inlineStr">
        <is>
          <t>当日盘前份额</t>
        </is>
      </c>
      <c r="GH10" s="121" t="inlineStr">
        <is>
          <t>前日盘前份额</t>
        </is>
      </c>
      <c r="GI10" s="122" t="inlineStr">
        <is>
          <t>盘前份额增长</t>
        </is>
      </c>
      <c r="GJ10" s="122" t="inlineStr">
        <is>
          <t>盘前份额涨幅</t>
        </is>
      </c>
      <c r="GK10" s="6" t="n"/>
      <c r="GL10" s="6" t="n"/>
      <c r="GM10" s="121" t="n">
        <v>155.650339</v>
      </c>
      <c r="GN10" s="121">
        <f>#REF!</f>
        <v/>
      </c>
      <c r="GO10" s="121" t="inlineStr">
        <is>
          <t>当日盘前份额</t>
        </is>
      </c>
      <c r="GP10" s="121" t="inlineStr">
        <is>
          <t>前日盘前份额</t>
        </is>
      </c>
      <c r="GQ10" s="122" t="inlineStr">
        <is>
          <t>盘前份额增长</t>
        </is>
      </c>
      <c r="GR10" s="122" t="inlineStr">
        <is>
          <t>盘前份额涨幅</t>
        </is>
      </c>
      <c r="GS10" s="6" t="n"/>
      <c r="GT10" s="6" t="n"/>
      <c r="GU10" s="121" t="n">
        <v>41.424508</v>
      </c>
      <c r="GV10" s="121">
        <f>#REF!</f>
        <v/>
      </c>
      <c r="GW10" s="121" t="inlineStr">
        <is>
          <t>当日盘前份额</t>
        </is>
      </c>
      <c r="GX10" s="121" t="inlineStr">
        <is>
          <t>前日盘前份额</t>
        </is>
      </c>
      <c r="GY10" s="122" t="inlineStr">
        <is>
          <t>盘前份额增长</t>
        </is>
      </c>
      <c r="GZ10" s="122" t="inlineStr">
        <is>
          <t>盘前份额涨幅</t>
        </is>
      </c>
      <c r="HA10" s="6" t="n"/>
      <c r="HB10" s="6" t="n"/>
      <c r="HC10" s="121" t="n">
        <v>54.547969</v>
      </c>
      <c r="HD10" s="121">
        <f>#REF!</f>
        <v/>
      </c>
      <c r="HE10" s="121" t="inlineStr">
        <is>
          <t>当日盘前份额</t>
        </is>
      </c>
      <c r="HF10" s="121" t="inlineStr">
        <is>
          <t>前日盘前份额</t>
        </is>
      </c>
      <c r="HG10" s="122" t="inlineStr">
        <is>
          <t>盘前份额增长</t>
        </is>
      </c>
      <c r="HH10" s="122" t="inlineStr">
        <is>
          <t>盘前份额涨幅</t>
        </is>
      </c>
      <c r="HI10" s="121" t="n"/>
      <c r="HJ10" s="6" t="n"/>
      <c r="HK10" s="121" t="n">
        <v>11.288192</v>
      </c>
      <c r="HL10" s="121">
        <f>#REF!</f>
        <v/>
      </c>
      <c r="HM10" s="121" t="inlineStr">
        <is>
          <t>当日盘前份额</t>
        </is>
      </c>
      <c r="HN10" s="121" t="inlineStr">
        <is>
          <t>前日盘前份额</t>
        </is>
      </c>
      <c r="HO10" s="122" t="inlineStr">
        <is>
          <t>盘前份额增长</t>
        </is>
      </c>
      <c r="HP10" s="122" t="inlineStr">
        <is>
          <t>盘前份额涨幅</t>
        </is>
      </c>
      <c r="HQ10" s="6" t="n"/>
      <c r="HR10" s="6" t="n"/>
      <c r="HS10" s="121" t="n">
        <v>7.322883</v>
      </c>
      <c r="HT10" s="121">
        <f>#REF!</f>
        <v/>
      </c>
      <c r="HU10" s="121" t="inlineStr">
        <is>
          <t>当日盘前份额</t>
        </is>
      </c>
      <c r="HV10" s="121" t="inlineStr">
        <is>
          <t>前日盘前份额</t>
        </is>
      </c>
      <c r="HW10" s="122" t="inlineStr">
        <is>
          <t>盘前份额增长</t>
        </is>
      </c>
      <c r="HX10" s="122" t="inlineStr">
        <is>
          <t>盘前份额涨幅</t>
        </is>
      </c>
      <c r="HY10" s="6" t="n"/>
      <c r="HZ10" s="6" t="n"/>
      <c r="IA10" s="121" t="n">
        <v>48.796282</v>
      </c>
      <c r="IB10" s="121">
        <f>#REF!</f>
        <v/>
      </c>
      <c r="IC10" s="121" t="inlineStr">
        <is>
          <t>当日盘前份额</t>
        </is>
      </c>
      <c r="ID10" s="121" t="inlineStr">
        <is>
          <t>前日盘前份额</t>
        </is>
      </c>
      <c r="IE10" s="122" t="inlineStr">
        <is>
          <t>盘前份额增长</t>
        </is>
      </c>
      <c r="IF10" s="122" t="inlineStr">
        <is>
          <t>盘前份额涨幅</t>
        </is>
      </c>
      <c r="IG10" s="122" t="n"/>
      <c r="IH10" s="6" t="n"/>
      <c r="II10" s="121" t="n">
        <v>82.825315</v>
      </c>
      <c r="IJ10" s="121">
        <f>#REF!</f>
        <v/>
      </c>
      <c r="IK10" s="121" t="inlineStr">
        <is>
          <t>当日盘前份额</t>
        </is>
      </c>
      <c r="IL10" s="121" t="inlineStr">
        <is>
          <t>前日盘前份额</t>
        </is>
      </c>
      <c r="IM10" s="122" t="inlineStr">
        <is>
          <t>盘前份额增长</t>
        </is>
      </c>
      <c r="IN10" s="122" t="inlineStr">
        <is>
          <t>盘前份额涨幅</t>
        </is>
      </c>
      <c r="IO10" s="6" t="n"/>
      <c r="IP10" s="6" t="n"/>
      <c r="IQ10" s="121" t="n">
        <v>26.891385</v>
      </c>
      <c r="IR10" s="121">
        <f>#REF!</f>
        <v/>
      </c>
      <c r="IS10" s="121" t="inlineStr">
        <is>
          <t>当日盘前份额</t>
        </is>
      </c>
      <c r="IT10" s="121" t="inlineStr">
        <is>
          <t>前日盘前份额</t>
        </is>
      </c>
      <c r="IU10" s="122" t="inlineStr">
        <is>
          <t>盘前份额增长</t>
        </is>
      </c>
      <c r="IV10" s="122" t="inlineStr">
        <is>
          <t>盘前份额涨幅</t>
        </is>
      </c>
      <c r="IW10" s="6" t="n"/>
      <c r="IX10" s="6" t="n"/>
      <c r="IY10" s="121" t="n">
        <v>571.612915</v>
      </c>
      <c r="IZ10" s="121">
        <f>#REF!</f>
        <v/>
      </c>
      <c r="JA10" s="121" t="inlineStr">
        <is>
          <t>当日盘前份额</t>
        </is>
      </c>
      <c r="JB10" s="121" t="inlineStr">
        <is>
          <t>前日盘前份额</t>
        </is>
      </c>
      <c r="JC10" s="122" t="inlineStr">
        <is>
          <t>盘前份额增长</t>
        </is>
      </c>
      <c r="JD10" s="122" t="inlineStr">
        <is>
          <t>盘前份额涨幅</t>
        </is>
      </c>
      <c r="JE10" s="6" t="n"/>
      <c r="JF10" s="6" t="n"/>
      <c r="JG10" s="121" t="n">
        <v>98.938462</v>
      </c>
      <c r="JH10" s="121">
        <f>#REF!</f>
        <v/>
      </c>
      <c r="JI10" s="121" t="inlineStr">
        <is>
          <t>当日盘前份额</t>
        </is>
      </c>
      <c r="JJ10" s="121" t="inlineStr">
        <is>
          <t>前日盘前份额</t>
        </is>
      </c>
      <c r="JK10" s="122" t="inlineStr">
        <is>
          <t>盘前份额增长</t>
        </is>
      </c>
      <c r="JL10" s="122" t="inlineStr">
        <is>
          <t>盘前份额涨幅</t>
        </is>
      </c>
      <c r="JM10" s="6" t="n"/>
      <c r="JN10" s="6" t="n"/>
      <c r="JO10" s="120" t="n">
        <v>62.907733</v>
      </c>
      <c r="JP10" s="121">
        <f>#REF!</f>
        <v/>
      </c>
      <c r="JQ10" s="121" t="inlineStr">
        <is>
          <t>当日盘前份额</t>
        </is>
      </c>
      <c r="JR10" s="121" t="inlineStr">
        <is>
          <t>前日盘前份额</t>
        </is>
      </c>
      <c r="JS10" s="122" t="inlineStr">
        <is>
          <t>盘前份额增长</t>
        </is>
      </c>
      <c r="JT10" s="122" t="inlineStr">
        <is>
          <t>盘前份额涨幅</t>
        </is>
      </c>
      <c r="JU10" s="6" t="n"/>
      <c r="JV10" s="6" t="n"/>
      <c r="JW10" s="121" t="n">
        <v>158.848759</v>
      </c>
      <c r="JX10" s="121">
        <f>#REF!</f>
        <v/>
      </c>
      <c r="JY10" s="121" t="inlineStr">
        <is>
          <t>当日盘前份额</t>
        </is>
      </c>
      <c r="JZ10" s="121" t="inlineStr">
        <is>
          <t>前日盘前份额</t>
        </is>
      </c>
      <c r="KA10" s="122" t="inlineStr">
        <is>
          <t>盘前份额增长</t>
        </is>
      </c>
      <c r="KB10" s="122" t="inlineStr">
        <is>
          <t>盘前份额涨幅</t>
        </is>
      </c>
      <c r="KC10" s="6" t="n"/>
      <c r="KD10" s="6" t="n"/>
      <c r="KE10" s="121" t="n">
        <v>79.055864</v>
      </c>
      <c r="KF10" s="121">
        <f>#REF!</f>
        <v/>
      </c>
      <c r="KG10" s="121" t="inlineStr">
        <is>
          <t>当日盘前份额</t>
        </is>
      </c>
      <c r="KH10" s="121" t="inlineStr">
        <is>
          <t>前日盘前份额</t>
        </is>
      </c>
      <c r="KI10" s="122" t="inlineStr">
        <is>
          <t>盘前份额增长</t>
        </is>
      </c>
      <c r="KJ10" s="122" t="inlineStr">
        <is>
          <t>盘前份额涨幅</t>
        </is>
      </c>
      <c r="KK10" s="121" t="n"/>
      <c r="KL10" s="121" t="n"/>
      <c r="KM10" s="121" t="n">
        <v>344.174358</v>
      </c>
      <c r="KN10" s="121">
        <f>#REF!</f>
        <v/>
      </c>
      <c r="KO10" s="121" t="inlineStr">
        <is>
          <t>当日盘前份额</t>
        </is>
      </c>
      <c r="KP10" s="121" t="inlineStr">
        <is>
          <t>前日盘前份额</t>
        </is>
      </c>
      <c r="KQ10" s="122" t="inlineStr">
        <is>
          <t>盘前份额增长</t>
        </is>
      </c>
      <c r="KR10" s="122" t="inlineStr">
        <is>
          <t>盘前份额涨幅</t>
        </is>
      </c>
      <c r="KS10" s="6" t="n"/>
      <c r="KT10" s="6" t="n"/>
      <c r="KU10" s="121" t="n">
        <v>69.245992</v>
      </c>
      <c r="KV10" s="121">
        <f>#REF!</f>
        <v/>
      </c>
      <c r="KW10" s="121" t="inlineStr">
        <is>
          <t>当日盘前份额</t>
        </is>
      </c>
      <c r="KX10" s="121" t="inlineStr">
        <is>
          <t>前日盘前份额</t>
        </is>
      </c>
      <c r="KY10" s="122" t="inlineStr">
        <is>
          <t>盘前份额增长</t>
        </is>
      </c>
      <c r="KZ10" s="122" t="inlineStr">
        <is>
          <t>盘前份额涨幅</t>
        </is>
      </c>
      <c r="LA10" s="122" t="n"/>
      <c r="LB10" s="6" t="n"/>
      <c r="LC10" s="121" t="n">
        <v>53.37876</v>
      </c>
      <c r="LD10" s="121">
        <f>#REF!</f>
        <v/>
      </c>
      <c r="LE10" s="121" t="inlineStr">
        <is>
          <t>当日盘前份额</t>
        </is>
      </c>
      <c r="LF10" s="121" t="inlineStr">
        <is>
          <t>前日盘前份额</t>
        </is>
      </c>
      <c r="LG10" s="122" t="inlineStr">
        <is>
          <t>盘前份额增长</t>
        </is>
      </c>
      <c r="LH10" s="122" t="inlineStr">
        <is>
          <t>盘前份额涨幅</t>
        </is>
      </c>
      <c r="LI10" s="6" t="n"/>
      <c r="LJ10" s="6" t="n"/>
      <c r="LK10" s="121" t="n">
        <v>129.533511</v>
      </c>
      <c r="LL10" s="121">
        <f>#REF!</f>
        <v/>
      </c>
      <c r="LM10" s="121" t="inlineStr">
        <is>
          <t>当日盘前份额</t>
        </is>
      </c>
      <c r="LN10" s="121" t="inlineStr">
        <is>
          <t>前日盘前份额</t>
        </is>
      </c>
      <c r="LO10" s="122" t="inlineStr">
        <is>
          <t>盘前份额增长</t>
        </is>
      </c>
      <c r="LP10" s="122" t="inlineStr">
        <is>
          <t>盘前份额涨幅</t>
        </is>
      </c>
      <c r="LQ10" s="6" t="n"/>
      <c r="LR10" s="6" t="n"/>
      <c r="LS10" s="121" t="n">
        <v>152.905261</v>
      </c>
      <c r="LT10" s="121">
        <f>#REF!</f>
        <v/>
      </c>
      <c r="LU10" s="121" t="inlineStr">
        <is>
          <t>当日盘前份额</t>
        </is>
      </c>
      <c r="LV10" s="121" t="inlineStr">
        <is>
          <t>前日盘前份额</t>
        </is>
      </c>
      <c r="LW10" s="122" t="inlineStr">
        <is>
          <t>盘前份额增长</t>
        </is>
      </c>
      <c r="LX10" s="122" t="inlineStr">
        <is>
          <t>盘前份额涨幅</t>
        </is>
      </c>
      <c r="LY10" s="6" t="n"/>
      <c r="LZ10" s="6" t="n"/>
      <c r="MA10" s="121" t="n">
        <v>101.865617</v>
      </c>
      <c r="MB10" s="121">
        <f>#REF!</f>
        <v/>
      </c>
      <c r="MC10" s="121" t="inlineStr">
        <is>
          <t>当日盘前份额</t>
        </is>
      </c>
      <c r="MD10" s="121" t="inlineStr">
        <is>
          <t>前日盘前份额</t>
        </is>
      </c>
      <c r="ME10" s="122" t="inlineStr">
        <is>
          <t>盘前份额增长</t>
        </is>
      </c>
      <c r="MF10" s="122" t="inlineStr">
        <is>
          <t>盘前份额涨幅</t>
        </is>
      </c>
      <c r="MG10" s="6" t="n"/>
      <c r="MH10" s="6" t="n"/>
      <c r="MI10" s="129" t="n"/>
      <c r="MJ10" s="123" t="n">
        <v>14.117436</v>
      </c>
      <c r="MK10" s="121">
        <f>#REF!</f>
        <v/>
      </c>
      <c r="ML10" s="121" t="inlineStr">
        <is>
          <t>当日盘前份额</t>
        </is>
      </c>
      <c r="MM10" s="121" t="inlineStr">
        <is>
          <t>前日盘前份额</t>
        </is>
      </c>
      <c r="MN10" s="122" t="inlineStr">
        <is>
          <t>盘前份额增长</t>
        </is>
      </c>
      <c r="MO10" s="122" t="inlineStr">
        <is>
          <t>盘前份额涨幅</t>
        </is>
      </c>
      <c r="MP10" s="6" t="n"/>
      <c r="MQ10" s="129" t="n"/>
      <c r="MR10" s="129" t="n"/>
      <c r="MS10" s="123" t="n">
        <v>16.484786</v>
      </c>
      <c r="MT10" s="121">
        <f>#REF!</f>
        <v/>
      </c>
      <c r="MU10" s="121" t="inlineStr">
        <is>
          <t>当日盘前份额</t>
        </is>
      </c>
      <c r="MV10" s="121" t="inlineStr">
        <is>
          <t>前日盘前份额</t>
        </is>
      </c>
      <c r="MW10" s="122" t="inlineStr">
        <is>
          <t>盘前份额增长</t>
        </is>
      </c>
      <c r="MX10" s="122" t="inlineStr">
        <is>
          <t>盘前份额涨幅</t>
        </is>
      </c>
      <c r="MY10" s="6" t="n"/>
      <c r="MZ10" s="6" t="n"/>
      <c r="NA10" s="6" t="n"/>
      <c r="NB10" s="123" t="n">
        <v>3.710814</v>
      </c>
      <c r="NC10" s="121">
        <f>#REF!</f>
        <v/>
      </c>
      <c r="ND10" s="121" t="inlineStr">
        <is>
          <t>当日盘前份额</t>
        </is>
      </c>
      <c r="NE10" s="121" t="inlineStr">
        <is>
          <t>前日盘前份额</t>
        </is>
      </c>
      <c r="NF10" s="122" t="inlineStr">
        <is>
          <t>盘前份额增长</t>
        </is>
      </c>
      <c r="NG10" s="122" t="inlineStr">
        <is>
          <t>盘前份额涨幅</t>
        </is>
      </c>
      <c r="NH10" s="6" t="n"/>
      <c r="NI10" s="6" t="n"/>
      <c r="NJ10" s="6" t="n"/>
      <c r="NK10" s="6" t="n"/>
      <c r="NL10" s="128" t="n">
        <v>306.920012</v>
      </c>
      <c r="NM10" s="121">
        <f>#REF!</f>
        <v/>
      </c>
      <c r="NN10" s="121" t="inlineStr">
        <is>
          <t>当日盘前份额</t>
        </is>
      </c>
      <c r="NO10" s="121" t="inlineStr">
        <is>
          <t>前日盘前份额</t>
        </is>
      </c>
      <c r="NP10" s="122" t="inlineStr">
        <is>
          <t>盘前份额增长</t>
        </is>
      </c>
      <c r="NQ10" s="122" t="inlineStr">
        <is>
          <t>盘前份额涨幅</t>
        </is>
      </c>
      <c r="NR10" s="130" t="n"/>
      <c r="NS10" s="123" t="inlineStr">
        <is>
          <t>净值</t>
        </is>
      </c>
      <c r="NT10" s="129" t="n">
        <v>20.935702</v>
      </c>
      <c r="NU10" s="121">
        <f>#REF!</f>
        <v/>
      </c>
      <c r="NV10" s="121" t="inlineStr">
        <is>
          <t>当日盘前份额</t>
        </is>
      </c>
      <c r="NW10" s="121" t="inlineStr">
        <is>
          <t>前日盘前份额</t>
        </is>
      </c>
      <c r="NX10" s="121" t="inlineStr">
        <is>
          <t>盘前份额增长</t>
        </is>
      </c>
      <c r="NY10" s="121" t="inlineStr">
        <is>
          <t>盘前份额涨幅</t>
        </is>
      </c>
      <c r="NZ10" s="121" t="n"/>
      <c r="OA10" s="121" t="n"/>
      <c r="OB10" s="121" t="n">
        <v>284.605707</v>
      </c>
      <c r="OC10" s="121">
        <f>#REF!</f>
        <v/>
      </c>
      <c r="OD10" s="121" t="inlineStr">
        <is>
          <t>当日盘前份额</t>
        </is>
      </c>
      <c r="OE10" s="121" t="inlineStr">
        <is>
          <t>前日盘前份额</t>
        </is>
      </c>
      <c r="OF10" s="122" t="inlineStr">
        <is>
          <t>盘前份额增长</t>
        </is>
      </c>
      <c r="OG10" s="122" t="inlineStr">
        <is>
          <t>盘前份额涨幅</t>
        </is>
      </c>
      <c r="OH10" s="6" t="n"/>
      <c r="OI10" s="6" t="n"/>
      <c r="OJ10" s="121" t="n">
        <v>263.566981</v>
      </c>
      <c r="OK10" s="121">
        <f>#REF!</f>
        <v/>
      </c>
      <c r="OL10" s="121" t="inlineStr">
        <is>
          <t>当日盘前份额</t>
        </is>
      </c>
      <c r="OM10" s="121" t="inlineStr">
        <is>
          <t>前日盘前份额</t>
        </is>
      </c>
      <c r="ON10" s="122" t="inlineStr">
        <is>
          <t>盘前份额增长</t>
        </is>
      </c>
      <c r="OO10" s="122" t="inlineStr">
        <is>
          <t>盘前份额涨幅</t>
        </is>
      </c>
      <c r="OP10" s="6" t="n"/>
      <c r="OQ10" s="6" t="n"/>
      <c r="OR10" s="6" t="n"/>
      <c r="OS10" s="120" t="n">
        <v>34.374961</v>
      </c>
      <c r="OT10" s="121">
        <f>OK10</f>
        <v/>
      </c>
      <c r="OU10" s="121" t="inlineStr">
        <is>
          <t>当日盘前份额</t>
        </is>
      </c>
      <c r="OV10" s="121" t="inlineStr">
        <is>
          <t>前日盘前份额</t>
        </is>
      </c>
      <c r="OW10" s="122" t="inlineStr">
        <is>
          <t>盘前份额增长</t>
        </is>
      </c>
      <c r="OX10" s="122" t="inlineStr">
        <is>
          <t>盘前份额涨幅</t>
        </is>
      </c>
    </row>
    <row r="11" ht="18" customHeight="1" s="659">
      <c r="C11" s="660" t="n"/>
      <c r="D11" s="114" t="inlineStr">
        <is>
          <t>(万份)</t>
        </is>
      </c>
      <c r="E11" s="114" t="inlineStr">
        <is>
          <t>(万份)</t>
        </is>
      </c>
      <c r="F11" s="132" t="inlineStr">
        <is>
          <t>(万份)</t>
        </is>
      </c>
      <c r="G11" s="133" t="n"/>
      <c r="I11" s="111" t="n"/>
      <c r="J11" s="111" t="n"/>
      <c r="K11" s="133">
        <f>C11</f>
        <v/>
      </c>
      <c r="L11" s="114" t="inlineStr">
        <is>
          <t>(万份)</t>
        </is>
      </c>
      <c r="M11" s="114" t="inlineStr">
        <is>
          <t>(万份)</t>
        </is>
      </c>
      <c r="N11" s="132" t="inlineStr">
        <is>
          <t>(万份)</t>
        </is>
      </c>
      <c r="O11" s="133" t="n"/>
      <c r="Q11" s="111" t="n"/>
      <c r="R11" s="114" t="n"/>
      <c r="S11" s="133">
        <f>C11</f>
        <v/>
      </c>
      <c r="T11" s="114" t="inlineStr">
        <is>
          <t>(万份)</t>
        </is>
      </c>
      <c r="U11" s="114" t="inlineStr">
        <is>
          <t>(万份)</t>
        </is>
      </c>
      <c r="V11" s="132" t="inlineStr">
        <is>
          <t>(万份)</t>
        </is>
      </c>
      <c r="W11" s="133" t="n"/>
      <c r="Y11" s="111" t="n"/>
      <c r="Z11" s="114" t="n"/>
      <c r="AA11" s="133">
        <f>S11</f>
        <v/>
      </c>
      <c r="AB11" s="114" t="inlineStr">
        <is>
          <t>(万份)</t>
        </is>
      </c>
      <c r="AC11" s="114" t="inlineStr">
        <is>
          <t>(万份)</t>
        </is>
      </c>
      <c r="AD11" s="132" t="inlineStr">
        <is>
          <t>(万份)</t>
        </is>
      </c>
      <c r="AE11" s="133" t="n"/>
      <c r="AG11" s="111" t="n"/>
      <c r="AH11" s="114" t="n"/>
      <c r="AI11" s="133">
        <f>C11</f>
        <v/>
      </c>
      <c r="AJ11" s="114" t="inlineStr">
        <is>
          <t>(万份)</t>
        </is>
      </c>
      <c r="AK11" s="114" t="inlineStr">
        <is>
          <t>(万份)</t>
        </is>
      </c>
      <c r="AL11" s="132" t="inlineStr">
        <is>
          <t>(万份)</t>
        </is>
      </c>
      <c r="AM11" s="133" t="n"/>
      <c r="AP11" s="114" t="n"/>
      <c r="AQ11" s="133">
        <f>C11</f>
        <v/>
      </c>
      <c r="AR11" s="661" t="inlineStr">
        <is>
          <t>(万份)</t>
        </is>
      </c>
      <c r="AS11" s="114" t="inlineStr">
        <is>
          <t>(万份)</t>
        </is>
      </c>
      <c r="AT11" s="132" t="inlineStr">
        <is>
          <t>(万份)</t>
        </is>
      </c>
      <c r="AU11" s="133" t="n"/>
      <c r="AY11" s="135" t="n"/>
      <c r="AZ11" s="133">
        <f>C11</f>
        <v/>
      </c>
      <c r="BA11" s="114" t="inlineStr">
        <is>
          <t>(万份)</t>
        </is>
      </c>
      <c r="BB11" s="114" t="inlineStr">
        <is>
          <t>(万份)</t>
        </is>
      </c>
      <c r="BC11" s="132" t="inlineStr">
        <is>
          <t>(万份)</t>
        </is>
      </c>
      <c r="BD11" s="133" t="n"/>
      <c r="BG11" s="647" t="n"/>
      <c r="BH11" s="133">
        <f>C10</f>
        <v/>
      </c>
      <c r="BI11" s="105" t="inlineStr">
        <is>
          <t>(万份)</t>
        </is>
      </c>
      <c r="BJ11" s="105" t="inlineStr">
        <is>
          <t>(万份)</t>
        </is>
      </c>
      <c r="BK11" s="136" t="inlineStr">
        <is>
          <t>(万份)</t>
        </is>
      </c>
      <c r="BL11" s="133" t="n"/>
      <c r="BM11" s="107" t="n"/>
      <c r="BO11" s="133" t="n"/>
      <c r="BP11" s="133">
        <f>C10</f>
        <v/>
      </c>
      <c r="BQ11" s="661" t="inlineStr">
        <is>
          <t>(万份)</t>
        </is>
      </c>
      <c r="BR11" s="114" t="inlineStr">
        <is>
          <t>(万份)</t>
        </is>
      </c>
      <c r="BS11" s="132" t="inlineStr">
        <is>
          <t>(万份)</t>
        </is>
      </c>
      <c r="BT11" s="133" t="n"/>
      <c r="BW11" s="19" t="n"/>
      <c r="BX11" s="133">
        <f>C10</f>
        <v/>
      </c>
      <c r="BY11" s="114" t="inlineStr">
        <is>
          <t>(万份)</t>
        </is>
      </c>
      <c r="BZ11" s="114" t="inlineStr">
        <is>
          <t>(万份)</t>
        </is>
      </c>
      <c r="CA11" s="132" t="inlineStr">
        <is>
          <t>(万份)</t>
        </is>
      </c>
      <c r="CB11" s="133" t="n"/>
      <c r="CE11" s="137" t="n"/>
      <c r="CF11" s="133">
        <f>C10</f>
        <v/>
      </c>
      <c r="CG11" s="132" t="inlineStr">
        <is>
          <t>(万份)</t>
        </is>
      </c>
      <c r="CI11" s="132" t="inlineStr">
        <is>
          <t>(万份)</t>
        </is>
      </c>
      <c r="CJ11" s="133" t="n"/>
      <c r="CM11" s="111" t="n"/>
      <c r="CN11" s="133">
        <f>C10</f>
        <v/>
      </c>
      <c r="CO11" s="114" t="inlineStr">
        <is>
          <t>(万份)</t>
        </is>
      </c>
      <c r="CP11" s="114" t="inlineStr">
        <is>
          <t>(万份)</t>
        </is>
      </c>
      <c r="CQ11" s="132" t="inlineStr">
        <is>
          <t>(万份)</t>
        </is>
      </c>
      <c r="CR11" s="133" t="n"/>
      <c r="CS11" s="111" t="n"/>
      <c r="CU11" s="111" t="n"/>
      <c r="CV11" s="133">
        <f>C10</f>
        <v/>
      </c>
      <c r="CW11" s="114" t="inlineStr">
        <is>
          <t>(万份)</t>
        </is>
      </c>
      <c r="CX11" s="114" t="inlineStr">
        <is>
          <t>(万份)</t>
        </is>
      </c>
      <c r="CY11" s="132" t="inlineStr">
        <is>
          <t>(万份)</t>
        </is>
      </c>
      <c r="CZ11" s="133" t="n"/>
      <c r="DC11" s="138" t="n"/>
      <c r="DD11" s="133">
        <f>C10</f>
        <v/>
      </c>
      <c r="DE11" s="114" t="inlineStr">
        <is>
          <t>(万份)</t>
        </is>
      </c>
      <c r="DF11" s="114" t="inlineStr">
        <is>
          <t>(万份)</t>
        </is>
      </c>
      <c r="DG11" s="132" t="inlineStr">
        <is>
          <t>(万份)</t>
        </is>
      </c>
      <c r="DH11" s="133" t="n"/>
      <c r="DK11" s="19" t="n"/>
      <c r="DL11" s="133">
        <f>C10</f>
        <v/>
      </c>
      <c r="DM11" s="114" t="inlineStr">
        <is>
          <t>(万份)</t>
        </is>
      </c>
      <c r="DN11" s="114" t="inlineStr">
        <is>
          <t>(万份)</t>
        </is>
      </c>
      <c r="DO11" s="132" t="inlineStr">
        <is>
          <t>(万份)</t>
        </is>
      </c>
      <c r="DP11" s="133" t="n"/>
      <c r="DS11" s="19" t="n"/>
      <c r="DT11" s="133">
        <f>C10</f>
        <v/>
      </c>
      <c r="DU11" s="114" t="inlineStr">
        <is>
          <t>(万份)</t>
        </is>
      </c>
      <c r="DV11" s="114" t="inlineStr">
        <is>
          <t>(万份)</t>
        </is>
      </c>
      <c r="DW11" s="132" t="inlineStr">
        <is>
          <t>(万份)</t>
        </is>
      </c>
      <c r="DX11" s="133" t="n"/>
      <c r="EA11" s="19" t="n"/>
      <c r="EB11" s="133">
        <f>C10</f>
        <v/>
      </c>
      <c r="EC11" s="114" t="inlineStr">
        <is>
          <t>(万份)</t>
        </is>
      </c>
      <c r="ED11" s="114" t="inlineStr">
        <is>
          <t>(万份)</t>
        </is>
      </c>
      <c r="EE11" s="132" t="inlineStr">
        <is>
          <t>(万份)</t>
        </is>
      </c>
      <c r="EF11" s="133" t="n"/>
      <c r="EI11" s="19" t="n"/>
      <c r="EJ11" s="133">
        <f>C10</f>
        <v/>
      </c>
      <c r="EK11" s="114" t="inlineStr">
        <is>
          <t>(万份)</t>
        </is>
      </c>
      <c r="EL11" s="114" t="inlineStr">
        <is>
          <t>(万份)</t>
        </is>
      </c>
      <c r="EM11" s="132" t="inlineStr">
        <is>
          <t>(万份)</t>
        </is>
      </c>
      <c r="EN11" s="133" t="n"/>
      <c r="ER11" s="135">
        <f>C10</f>
        <v/>
      </c>
      <c r="ES11" s="114" t="inlineStr">
        <is>
          <t>(万份)</t>
        </is>
      </c>
      <c r="ET11" s="114" t="inlineStr">
        <is>
          <t>(万份)</t>
        </is>
      </c>
      <c r="EU11" s="132" t="inlineStr">
        <is>
          <t>(万份)</t>
        </is>
      </c>
      <c r="EV11" s="133" t="n"/>
      <c r="EY11" s="19" t="n"/>
      <c r="EZ11" s="133">
        <f>C10</f>
        <v/>
      </c>
      <c r="FA11" s="114" t="inlineStr">
        <is>
          <t>(万份)</t>
        </is>
      </c>
      <c r="FB11" s="114" t="inlineStr">
        <is>
          <t>(万份)</t>
        </is>
      </c>
      <c r="FC11" s="132" t="inlineStr">
        <is>
          <t>(万份)</t>
        </is>
      </c>
      <c r="FD11" s="133" t="n"/>
      <c r="FH11" s="133">
        <f>C10</f>
        <v/>
      </c>
      <c r="FI11" s="661" t="inlineStr">
        <is>
          <t>(万份)</t>
        </is>
      </c>
      <c r="FJ11" s="114" t="n"/>
      <c r="FK11" s="114" t="inlineStr">
        <is>
          <t>(万份)</t>
        </is>
      </c>
      <c r="FL11" s="133" t="n"/>
      <c r="FM11" s="111" t="n"/>
      <c r="FN11" s="111" t="n"/>
      <c r="FO11" s="133" t="n"/>
      <c r="FP11" s="133">
        <f>C10</f>
        <v/>
      </c>
      <c r="FQ11" s="114" t="inlineStr">
        <is>
          <t>(万份)</t>
        </is>
      </c>
      <c r="FR11" s="114" t="inlineStr">
        <is>
          <t>(万份)</t>
        </is>
      </c>
      <c r="FS11" s="132" t="inlineStr">
        <is>
          <t>(万份)</t>
        </is>
      </c>
      <c r="FT11" s="133" t="n"/>
      <c r="FW11" s="133" t="n"/>
      <c r="FX11" s="133">
        <f>C10</f>
        <v/>
      </c>
      <c r="FY11" s="114" t="inlineStr">
        <is>
          <t>(万份)</t>
        </is>
      </c>
      <c r="FZ11" s="114" t="inlineStr">
        <is>
          <t>(万份)</t>
        </is>
      </c>
      <c r="GA11" s="132" t="inlineStr">
        <is>
          <t>(万份)</t>
        </is>
      </c>
      <c r="GB11" s="133" t="n"/>
      <c r="GE11" s="133" t="n"/>
      <c r="GF11" s="133">
        <f>C10</f>
        <v/>
      </c>
      <c r="GG11" s="114" t="inlineStr">
        <is>
          <t>(万份)</t>
        </is>
      </c>
      <c r="GH11" s="114" t="inlineStr">
        <is>
          <t>(万份)</t>
        </is>
      </c>
      <c r="GI11" s="132" t="inlineStr">
        <is>
          <t>(万份)</t>
        </is>
      </c>
      <c r="GJ11" s="133" t="n"/>
      <c r="GM11" s="133" t="n"/>
      <c r="GN11" s="133">
        <f>C10</f>
        <v/>
      </c>
      <c r="GO11" s="114" t="inlineStr">
        <is>
          <t>(万份)</t>
        </is>
      </c>
      <c r="GP11" s="114" t="inlineStr">
        <is>
          <t>(万份)</t>
        </is>
      </c>
      <c r="GQ11" s="132" t="inlineStr">
        <is>
          <t>(万份)</t>
        </is>
      </c>
      <c r="GR11" s="133" t="n"/>
      <c r="GU11" s="133" t="n"/>
      <c r="GV11" s="133">
        <f>C10</f>
        <v/>
      </c>
      <c r="GW11" s="114" t="inlineStr">
        <is>
          <t>(万份)</t>
        </is>
      </c>
      <c r="GX11" s="114" t="inlineStr">
        <is>
          <t>(万份)</t>
        </is>
      </c>
      <c r="GY11" s="132" t="inlineStr">
        <is>
          <t>(万份)</t>
        </is>
      </c>
      <c r="GZ11" s="133" t="n"/>
      <c r="HC11" s="133" t="n"/>
      <c r="HD11" s="133">
        <f>C10</f>
        <v/>
      </c>
      <c r="HE11" s="114" t="inlineStr">
        <is>
          <t>(万份)</t>
        </is>
      </c>
      <c r="HF11" s="114" t="inlineStr">
        <is>
          <t>(万份)</t>
        </is>
      </c>
      <c r="HG11" s="132" t="inlineStr">
        <is>
          <t>(万份)</t>
        </is>
      </c>
      <c r="HH11" s="133" t="n"/>
      <c r="HI11" s="111" t="n"/>
      <c r="HK11" s="133" t="n"/>
      <c r="HL11" s="133">
        <f>C10</f>
        <v/>
      </c>
      <c r="HM11" s="114" t="inlineStr">
        <is>
          <t>(万份)</t>
        </is>
      </c>
      <c r="HN11" s="114" t="inlineStr">
        <is>
          <t>(万份)</t>
        </is>
      </c>
      <c r="HO11" s="132" t="inlineStr">
        <is>
          <t>(万份)</t>
        </is>
      </c>
      <c r="HP11" s="133" t="n"/>
      <c r="HS11" s="133" t="n"/>
      <c r="HT11" s="133">
        <f>C10</f>
        <v/>
      </c>
      <c r="HU11" s="114" t="inlineStr">
        <is>
          <t>(万份)</t>
        </is>
      </c>
      <c r="HV11" s="114" t="inlineStr">
        <is>
          <t>(万份)</t>
        </is>
      </c>
      <c r="HW11" s="132" t="inlineStr">
        <is>
          <t>(万份)</t>
        </is>
      </c>
      <c r="HX11" s="133" t="n"/>
      <c r="IA11" s="133" t="n"/>
      <c r="IB11" s="133">
        <f>C10</f>
        <v/>
      </c>
      <c r="IC11" s="114" t="inlineStr">
        <is>
          <t>(万份)</t>
        </is>
      </c>
      <c r="ID11" s="114" t="inlineStr">
        <is>
          <t>(万份)</t>
        </is>
      </c>
      <c r="IE11" s="132" t="inlineStr">
        <is>
          <t>(万份)</t>
        </is>
      </c>
      <c r="IF11" s="133" t="n"/>
      <c r="IG11" s="137" t="n"/>
      <c r="II11" s="133" t="n"/>
      <c r="IJ11" s="133">
        <f>C10</f>
        <v/>
      </c>
      <c r="IK11" s="114" t="inlineStr">
        <is>
          <t>(万份)</t>
        </is>
      </c>
      <c r="IL11" s="114" t="inlineStr">
        <is>
          <t>(万份)</t>
        </is>
      </c>
      <c r="IM11" s="132" t="inlineStr">
        <is>
          <t>(万份)</t>
        </is>
      </c>
      <c r="IN11" s="133" t="n"/>
      <c r="IQ11" s="133" t="n"/>
      <c r="IR11" s="133">
        <f>C10</f>
        <v/>
      </c>
      <c r="IS11" s="114" t="inlineStr">
        <is>
          <t>(万份)</t>
        </is>
      </c>
      <c r="IT11" s="114" t="inlineStr">
        <is>
          <t>(万份)</t>
        </is>
      </c>
      <c r="IU11" s="132" t="inlineStr">
        <is>
          <t>(万份)</t>
        </is>
      </c>
      <c r="IV11" s="133" t="n"/>
      <c r="IY11" s="133" t="n"/>
      <c r="IZ11" s="133">
        <f>C10</f>
        <v/>
      </c>
      <c r="JA11" s="114" t="inlineStr">
        <is>
          <t>(万份)</t>
        </is>
      </c>
      <c r="JB11" s="114" t="inlineStr">
        <is>
          <t>(万份)</t>
        </is>
      </c>
      <c r="JC11" s="132" t="inlineStr">
        <is>
          <t>(万份)</t>
        </is>
      </c>
      <c r="JD11" s="133" t="n"/>
      <c r="JG11" s="133" t="n"/>
      <c r="JH11" s="133">
        <f>C10</f>
        <v/>
      </c>
      <c r="JI11" s="114" t="inlineStr">
        <is>
          <t>(万份)</t>
        </is>
      </c>
      <c r="JJ11" s="114" t="inlineStr">
        <is>
          <t>(万份)</t>
        </is>
      </c>
      <c r="JK11" s="132" t="inlineStr">
        <is>
          <t>(万份)</t>
        </is>
      </c>
      <c r="JL11" s="133" t="n"/>
      <c r="JP11" s="133">
        <f>C10</f>
        <v/>
      </c>
      <c r="JQ11" s="114" t="inlineStr">
        <is>
          <t>(万份)</t>
        </is>
      </c>
      <c r="JR11" s="114" t="inlineStr">
        <is>
          <t>(万份)</t>
        </is>
      </c>
      <c r="JS11" s="132" t="inlineStr">
        <is>
          <t>(万份)</t>
        </is>
      </c>
      <c r="JT11" s="133" t="n"/>
      <c r="JW11" s="111" t="n"/>
      <c r="JX11" s="133">
        <f>C10</f>
        <v/>
      </c>
      <c r="JY11" s="114" t="inlineStr">
        <is>
          <t>(万份)</t>
        </is>
      </c>
      <c r="JZ11" s="114" t="inlineStr">
        <is>
          <t>(万份)</t>
        </is>
      </c>
      <c r="KA11" s="132" t="inlineStr">
        <is>
          <t>(万份)</t>
        </is>
      </c>
      <c r="KB11" s="133" t="n"/>
      <c r="KE11" s="111" t="n"/>
      <c r="KF11" s="133">
        <f>C10</f>
        <v/>
      </c>
      <c r="KG11" s="114" t="inlineStr">
        <is>
          <t>(万份)</t>
        </is>
      </c>
      <c r="KH11" s="114" t="inlineStr">
        <is>
          <t>(万份)</t>
        </is>
      </c>
      <c r="KI11" s="132" t="inlineStr">
        <is>
          <t>(万份)</t>
        </is>
      </c>
      <c r="KJ11" s="133" t="n"/>
      <c r="KK11" s="111" t="n"/>
      <c r="KL11" s="111" t="n"/>
      <c r="KM11" s="133" t="n"/>
      <c r="KN11" s="133">
        <f>C10</f>
        <v/>
      </c>
      <c r="KO11" s="114" t="inlineStr">
        <is>
          <t>(万份)</t>
        </is>
      </c>
      <c r="KP11" s="114" t="inlineStr">
        <is>
          <t>(万份)</t>
        </is>
      </c>
      <c r="KQ11" s="132" t="inlineStr">
        <is>
          <t>(万份)</t>
        </is>
      </c>
      <c r="KR11" s="133" t="n"/>
      <c r="KU11" s="133" t="n"/>
      <c r="KV11" s="133">
        <f>C10</f>
        <v/>
      </c>
      <c r="KW11" s="114" t="inlineStr">
        <is>
          <t>(万份)</t>
        </is>
      </c>
      <c r="KX11" s="114" t="inlineStr">
        <is>
          <t>(万份)</t>
        </is>
      </c>
      <c r="KY11" s="132" t="inlineStr">
        <is>
          <t>(万份)</t>
        </is>
      </c>
      <c r="KZ11" s="133" t="n"/>
      <c r="LA11" s="133" t="n"/>
      <c r="LC11" s="133" t="n"/>
      <c r="LD11" s="133">
        <f>C10</f>
        <v/>
      </c>
      <c r="LE11" s="114" t="inlineStr">
        <is>
          <t>(万份)</t>
        </is>
      </c>
      <c r="LF11" s="114" t="inlineStr">
        <is>
          <t>(万份)</t>
        </is>
      </c>
      <c r="LG11" s="132" t="inlineStr">
        <is>
          <t>(万份)</t>
        </is>
      </c>
      <c r="LH11" s="133" t="n"/>
      <c r="LK11" s="133" t="n"/>
      <c r="LL11" s="133">
        <f>C10</f>
        <v/>
      </c>
      <c r="LM11" s="661" t="inlineStr">
        <is>
          <t>(万份)</t>
        </is>
      </c>
      <c r="LN11" s="114" t="inlineStr">
        <is>
          <t>(万份)</t>
        </is>
      </c>
      <c r="LO11" s="132" t="inlineStr">
        <is>
          <t>(万份)</t>
        </is>
      </c>
      <c r="LP11" s="133" t="n"/>
      <c r="LS11" s="133" t="n"/>
      <c r="LT11" s="133">
        <f>C10</f>
        <v/>
      </c>
      <c r="LU11" s="114" t="inlineStr">
        <is>
          <t>(万份)</t>
        </is>
      </c>
      <c r="LV11" s="114" t="inlineStr">
        <is>
          <t>(万份)</t>
        </is>
      </c>
      <c r="LW11" s="132" t="inlineStr">
        <is>
          <t>(万份)</t>
        </is>
      </c>
      <c r="LX11" s="133" t="n"/>
      <c r="MA11" s="133" t="n"/>
      <c r="MB11" s="133">
        <f>C10</f>
        <v/>
      </c>
      <c r="MC11" s="114" t="inlineStr">
        <is>
          <t>(万份)</t>
        </is>
      </c>
      <c r="MD11" s="114" t="inlineStr">
        <is>
          <t>(万份)</t>
        </is>
      </c>
      <c r="ME11" s="132" t="inlineStr">
        <is>
          <t>(万份)</t>
        </is>
      </c>
      <c r="MF11" s="133" t="n"/>
      <c r="MI11" s="119" t="n"/>
      <c r="MJ11" s="135" t="n"/>
      <c r="MK11" s="133">
        <f>C10</f>
        <v/>
      </c>
      <c r="ML11" s="114" t="inlineStr">
        <is>
          <t>(万份)</t>
        </is>
      </c>
      <c r="MM11" s="114" t="inlineStr">
        <is>
          <t>(万份)</t>
        </is>
      </c>
      <c r="MN11" s="132" t="inlineStr">
        <is>
          <t>(万份)</t>
        </is>
      </c>
      <c r="MO11" s="133" t="n"/>
      <c r="MQ11" s="115" t="n"/>
      <c r="MR11" s="115" t="n"/>
      <c r="MS11" s="135" t="n"/>
      <c r="MT11" s="133">
        <f>C10</f>
        <v/>
      </c>
      <c r="MU11" s="114" t="inlineStr">
        <is>
          <t>(万份)</t>
        </is>
      </c>
      <c r="MV11" s="114" t="inlineStr">
        <is>
          <t>(万份)</t>
        </is>
      </c>
      <c r="MW11" s="132" t="inlineStr">
        <is>
          <t>(万份)</t>
        </is>
      </c>
      <c r="MX11" s="133" t="n"/>
      <c r="NB11" s="135" t="n"/>
      <c r="NC11" s="133">
        <f>C10</f>
        <v/>
      </c>
      <c r="ND11" s="114" t="inlineStr">
        <is>
          <t>(万份)</t>
        </is>
      </c>
      <c r="NE11" s="114" t="inlineStr">
        <is>
          <t>(万份)</t>
        </is>
      </c>
      <c r="NF11" s="132" t="inlineStr">
        <is>
          <t>(万份)</t>
        </is>
      </c>
      <c r="NG11" s="133" t="n"/>
      <c r="NL11" s="135" t="n"/>
      <c r="NM11" s="133">
        <f>C10</f>
        <v/>
      </c>
      <c r="NN11" s="114" t="inlineStr">
        <is>
          <t>(万份)</t>
        </is>
      </c>
      <c r="NO11" s="114" t="inlineStr">
        <is>
          <t>(万份)</t>
        </is>
      </c>
      <c r="NP11" s="132" t="inlineStr">
        <is>
          <t>(万份)</t>
        </is>
      </c>
      <c r="NQ11" s="133" t="n"/>
      <c r="NR11" s="139" t="n"/>
      <c r="NS11" s="135" t="n"/>
      <c r="NU11" s="133">
        <f>C10</f>
        <v/>
      </c>
      <c r="NV11" s="114" t="inlineStr">
        <is>
          <t>(万份)</t>
        </is>
      </c>
      <c r="NW11" s="114" t="inlineStr">
        <is>
          <t>(万份)</t>
        </is>
      </c>
      <c r="NX11" s="114" t="inlineStr">
        <is>
          <t>(万份)</t>
        </is>
      </c>
      <c r="NY11" s="133" t="n"/>
      <c r="NZ11" s="111" t="n"/>
      <c r="OA11" s="114" t="n"/>
      <c r="OB11" s="133" t="n"/>
      <c r="OC11" s="133">
        <f>C10</f>
        <v/>
      </c>
      <c r="OD11" s="114" t="inlineStr">
        <is>
          <t>(万份)</t>
        </is>
      </c>
      <c r="OE11" s="114" t="inlineStr">
        <is>
          <t>(万份)</t>
        </is>
      </c>
      <c r="OF11" s="132" t="inlineStr">
        <is>
          <t>(万份)</t>
        </is>
      </c>
      <c r="OG11" s="133" t="n"/>
      <c r="OJ11" s="133" t="n"/>
      <c r="OK11" s="133">
        <f>C10</f>
        <v/>
      </c>
      <c r="OL11" s="114" t="inlineStr">
        <is>
          <t>(万份)</t>
        </is>
      </c>
      <c r="OM11" s="114" t="inlineStr">
        <is>
          <t>(万份)</t>
        </is>
      </c>
      <c r="ON11" s="132" t="inlineStr">
        <is>
          <t>(万份)</t>
        </is>
      </c>
      <c r="OO11" s="133" t="n"/>
      <c r="OT11" s="140">
        <f>OK11</f>
        <v/>
      </c>
      <c r="OU11" s="114" t="inlineStr">
        <is>
          <t>(万份)</t>
        </is>
      </c>
      <c r="OV11" s="114" t="inlineStr">
        <is>
          <t>(万份)</t>
        </is>
      </c>
      <c r="OW11" s="662" t="inlineStr">
        <is>
          <t>(万份)</t>
        </is>
      </c>
    </row>
    <row r="12" ht="17" customFormat="1" customHeight="1" s="7">
      <c r="A12" s="663" t="n"/>
      <c r="B12" s="664" t="n"/>
      <c r="C12" s="663" t="n"/>
      <c r="BE12" s="144" t="n"/>
      <c r="BF12" s="144" t="n"/>
      <c r="BG12" s="665" t="n"/>
      <c r="BH12" s="146" t="n"/>
      <c r="BI12" s="146" t="n"/>
      <c r="BJ12" s="147" t="n"/>
      <c r="BK12" s="147" t="n"/>
      <c r="BL12" s="148" t="n"/>
      <c r="BM12" s="149" t="n"/>
      <c r="BN12" s="150" t="n"/>
      <c r="BO12" s="146" t="n"/>
      <c r="BP12" s="146" t="n"/>
      <c r="BQ12" s="666" t="n"/>
      <c r="BR12" s="152" t="n"/>
      <c r="BS12" s="152" t="n"/>
      <c r="BT12" s="153" t="n"/>
      <c r="BU12" s="150" t="n"/>
      <c r="BW12" s="150" t="n"/>
      <c r="BX12" s="146" t="n"/>
      <c r="BY12" s="154" t="n"/>
      <c r="BZ12" s="152" t="n"/>
      <c r="CA12" s="152" t="n"/>
      <c r="CB12" s="153" t="n"/>
      <c r="CC12" s="150" t="n"/>
      <c r="CE12" s="155" t="n"/>
      <c r="CF12" s="146" t="n"/>
      <c r="CG12" s="154" t="n"/>
      <c r="CH12" s="152" t="n"/>
      <c r="CI12" s="152" t="n"/>
      <c r="CJ12" s="153" t="n"/>
      <c r="CK12" s="150" t="n"/>
      <c r="CM12" s="155" t="n"/>
      <c r="CN12" s="146" t="n"/>
      <c r="CO12" s="154" t="n"/>
      <c r="CP12" s="152" t="n"/>
      <c r="CQ12" s="152" t="n"/>
      <c r="CR12" s="153" t="n"/>
      <c r="CS12" s="155" t="n"/>
      <c r="CU12" s="155" t="n"/>
      <c r="CV12" s="146" t="n"/>
      <c r="CW12" s="154" t="n"/>
      <c r="CX12" s="152" t="n"/>
      <c r="CY12" s="152" t="n"/>
      <c r="CZ12" s="153" t="n"/>
      <c r="DA12" s="150" t="n"/>
      <c r="DB12" s="150" t="n"/>
      <c r="DC12" s="156" t="n"/>
      <c r="DD12" s="146" t="n"/>
      <c r="DE12" s="154" t="n"/>
      <c r="DF12" s="152" t="n"/>
      <c r="DG12" s="152" t="n"/>
      <c r="DH12" s="153" t="n"/>
      <c r="DI12" s="150" t="n"/>
      <c r="DK12" s="150" t="n"/>
      <c r="DL12" s="146" t="n"/>
      <c r="DM12" s="154" t="n"/>
      <c r="DN12" s="152" t="n"/>
      <c r="DO12" s="152" t="n"/>
      <c r="DP12" s="153" t="n"/>
      <c r="DQ12" s="150" t="n"/>
      <c r="DS12" s="150" t="n"/>
      <c r="DT12" s="146" t="n"/>
      <c r="DU12" s="154" t="n"/>
      <c r="DV12" s="152" t="n"/>
      <c r="DW12" s="152" t="n"/>
      <c r="DX12" s="153" t="n"/>
      <c r="DY12" s="150" t="n"/>
      <c r="EA12" s="150" t="n"/>
      <c r="EB12" s="146" t="n"/>
      <c r="EC12" s="154" t="n"/>
      <c r="ED12" s="152" t="n"/>
      <c r="EE12" s="152" t="n"/>
      <c r="EF12" s="153" t="n"/>
      <c r="EG12" s="150" t="n"/>
      <c r="EI12" s="150" t="n"/>
      <c r="EJ12" s="146" t="n"/>
      <c r="EK12" s="154" t="n"/>
      <c r="EL12" s="152" t="n"/>
      <c r="EM12" s="152" t="n"/>
      <c r="EN12" s="153" t="n"/>
      <c r="EO12" s="150" t="n"/>
      <c r="EQ12" s="150" t="n"/>
      <c r="ER12" s="146" t="n"/>
      <c r="ET12" s="152" t="n"/>
      <c r="EU12" s="152" t="n"/>
      <c r="EV12" s="153" t="n"/>
      <c r="EW12" s="150" t="n"/>
      <c r="EY12" s="150" t="n"/>
      <c r="EZ12" s="146" t="n"/>
      <c r="FA12" s="154" t="n"/>
      <c r="FB12" s="152" t="n"/>
      <c r="FC12" s="152" t="n"/>
      <c r="FD12" s="153" t="n"/>
      <c r="FE12" s="150" t="n"/>
      <c r="FF12" s="150" t="n"/>
      <c r="FG12" s="150" t="n"/>
      <c r="FH12" s="146" t="n"/>
      <c r="FI12" s="666" t="n"/>
      <c r="FJ12" s="152" t="n"/>
      <c r="FK12" s="152" t="n"/>
      <c r="FL12" s="153" t="n"/>
      <c r="FM12" s="155" t="n"/>
      <c r="FN12" s="155" t="n"/>
      <c r="FO12" s="146" t="n"/>
      <c r="FP12" s="146" t="n"/>
      <c r="FQ12" s="154" t="n"/>
      <c r="FR12" s="152" t="n"/>
      <c r="FS12" s="152" t="n"/>
      <c r="FT12" s="153" t="n"/>
      <c r="FU12" s="150" t="n"/>
      <c r="FV12" s="150" t="n"/>
      <c r="FW12" s="146" t="n"/>
      <c r="FX12" s="146" t="n"/>
      <c r="FY12" s="154" t="n"/>
      <c r="FZ12" s="152" t="n"/>
      <c r="GA12" s="152" t="n"/>
      <c r="GB12" s="153" t="n"/>
      <c r="GC12" s="150" t="n"/>
      <c r="GD12" s="150" t="n"/>
      <c r="GE12" s="146" t="n"/>
      <c r="GF12" s="146" t="n"/>
      <c r="GG12" s="154" t="n"/>
      <c r="GH12" s="152" t="n"/>
      <c r="GI12" s="152" t="n"/>
      <c r="GJ12" s="153" t="n"/>
      <c r="GK12" s="150" t="n"/>
      <c r="GL12" s="150" t="n"/>
      <c r="GM12" s="146" t="n"/>
      <c r="GN12" s="146" t="n"/>
      <c r="GO12" s="154" t="n"/>
      <c r="GP12" s="152" t="n"/>
      <c r="GQ12" s="152" t="n"/>
      <c r="GR12" s="153" t="n"/>
      <c r="GS12" s="150" t="n"/>
      <c r="GT12" s="150" t="n"/>
      <c r="GU12" s="146" t="n"/>
      <c r="GV12" s="146" t="n"/>
      <c r="GW12" s="154" t="n"/>
      <c r="GX12" s="152" t="n"/>
      <c r="GY12" s="152" t="n"/>
      <c r="GZ12" s="153" t="n"/>
      <c r="HA12" s="150" t="n"/>
      <c r="HB12" s="150" t="n"/>
      <c r="HC12" s="146" t="n"/>
      <c r="HD12" s="146" t="n"/>
      <c r="HE12" s="154" t="n"/>
      <c r="HF12" s="152" t="n"/>
      <c r="HG12" s="152" t="n"/>
      <c r="HH12" s="153" t="n"/>
      <c r="HI12" s="155" t="n"/>
      <c r="HJ12" s="150" t="n"/>
      <c r="HK12" s="146" t="n"/>
      <c r="HL12" s="146" t="n"/>
      <c r="HM12" s="154" t="n"/>
      <c r="HN12" s="152" t="n"/>
      <c r="HO12" s="152" t="n"/>
      <c r="HP12" s="153" t="n"/>
      <c r="HQ12" s="150" t="n"/>
      <c r="HR12" s="150" t="n"/>
      <c r="HS12" s="146" t="n"/>
      <c r="HT12" s="146" t="n"/>
      <c r="HU12" s="154" t="n"/>
      <c r="HV12" s="152" t="n"/>
      <c r="HW12" s="152" t="n"/>
      <c r="HX12" s="153" t="n"/>
      <c r="HY12" s="150" t="n"/>
      <c r="HZ12" s="150" t="n"/>
      <c r="IA12" s="146" t="n"/>
      <c r="IB12" s="146" t="n"/>
      <c r="IC12" s="154" t="n"/>
      <c r="ID12" s="152" t="n"/>
      <c r="IE12" s="152" t="n"/>
      <c r="IF12" s="153" t="n"/>
      <c r="IG12" s="155" t="n"/>
      <c r="IH12" s="150" t="n"/>
      <c r="II12" s="146" t="n"/>
      <c r="IJ12" s="146" t="n"/>
      <c r="IK12" s="154" t="n"/>
      <c r="IL12" s="152" t="n"/>
      <c r="IM12" s="152" t="n"/>
      <c r="IN12" s="153" t="n"/>
      <c r="IO12" s="150" t="n"/>
      <c r="IP12" s="150" t="n"/>
      <c r="IQ12" s="146" t="n"/>
      <c r="IR12" s="146" t="n"/>
      <c r="IS12" s="154" t="n"/>
      <c r="IT12" s="152" t="n"/>
      <c r="IU12" s="152" t="n"/>
      <c r="IV12" s="153" t="n"/>
      <c r="IW12" s="150" t="n"/>
      <c r="IX12" s="150" t="n"/>
      <c r="IY12" s="146" t="n"/>
      <c r="IZ12" s="146" t="n"/>
      <c r="JA12" s="154" t="n"/>
      <c r="JB12" s="152" t="n"/>
      <c r="JC12" s="152" t="n"/>
      <c r="JD12" s="153" t="n"/>
      <c r="JE12" s="150" t="n"/>
      <c r="JF12" s="150" t="n"/>
      <c r="JG12" s="146" t="n"/>
      <c r="JH12" s="146" t="n"/>
      <c r="JI12" s="154" t="n"/>
      <c r="JJ12" s="152" t="n"/>
      <c r="JK12" s="152" t="n"/>
      <c r="JL12" s="153" t="n"/>
      <c r="JM12" s="150" t="n"/>
      <c r="JN12" s="150" t="n"/>
      <c r="JO12" s="150" t="n"/>
      <c r="JP12" s="146" t="n"/>
      <c r="JQ12" s="154" t="n"/>
      <c r="JR12" s="152" t="n"/>
      <c r="JS12" s="152" t="n"/>
      <c r="JT12" s="153" t="n"/>
      <c r="JU12" s="150" t="n"/>
      <c r="JV12" s="150" t="n"/>
      <c r="JW12" s="155" t="n"/>
      <c r="JX12" s="146" t="n"/>
      <c r="JY12" s="154" t="n"/>
      <c r="JZ12" s="152" t="n"/>
      <c r="KA12" s="152" t="n"/>
      <c r="KB12" s="153" t="n"/>
      <c r="KC12" s="150" t="n"/>
      <c r="KD12" s="150" t="n"/>
      <c r="KE12" s="155" t="n"/>
      <c r="KF12" s="146" t="n"/>
      <c r="KG12" s="154" t="n"/>
      <c r="KH12" s="152" t="n"/>
      <c r="KI12" s="152" t="n"/>
      <c r="KJ12" s="153" t="n"/>
      <c r="KK12" s="155" t="n"/>
      <c r="KL12" s="155" t="n"/>
      <c r="KM12" s="146" t="n"/>
      <c r="KN12" s="146" t="n"/>
      <c r="KO12" s="154" t="n"/>
      <c r="KP12" s="152" t="n"/>
      <c r="KQ12" s="152" t="n"/>
      <c r="KR12" s="153" t="n"/>
      <c r="KS12" s="150" t="n"/>
      <c r="KT12" s="150" t="n"/>
      <c r="KU12" s="146" t="n"/>
      <c r="KV12" s="146" t="n"/>
      <c r="KW12" s="154" t="n"/>
      <c r="KX12" s="152" t="n"/>
      <c r="KY12" s="152" t="n"/>
      <c r="KZ12" s="153" t="n"/>
      <c r="LA12" s="155" t="n"/>
      <c r="LB12" s="150" t="n"/>
      <c r="LC12" s="146" t="n"/>
      <c r="LD12" s="146" t="n"/>
      <c r="LE12" s="154" t="n"/>
      <c r="LF12" s="152" t="n"/>
      <c r="LG12" s="152" t="n"/>
      <c r="LH12" s="153" t="n"/>
      <c r="LI12" s="150" t="n"/>
      <c r="LJ12" s="150" t="n"/>
      <c r="LK12" s="146" t="n"/>
      <c r="LL12" s="146" t="n"/>
      <c r="LM12" s="666" t="n"/>
      <c r="LN12" s="152" t="n"/>
      <c r="LO12" s="152" t="n"/>
      <c r="LP12" s="153" t="n"/>
      <c r="LQ12" s="150" t="n"/>
      <c r="LR12" s="150" t="n"/>
      <c r="LS12" s="146" t="n"/>
      <c r="LT12" s="146" t="n"/>
      <c r="LU12" s="154" t="n"/>
      <c r="LV12" s="152" t="n"/>
      <c r="LW12" s="152" t="n"/>
      <c r="LX12" s="153" t="n"/>
      <c r="LY12" s="150" t="n"/>
      <c r="LZ12" s="150" t="n"/>
      <c r="MA12" s="146" t="n"/>
      <c r="MB12" s="146" t="n"/>
      <c r="MC12" s="154" t="n"/>
      <c r="MD12" s="152" t="n"/>
      <c r="ME12" s="152" t="n"/>
      <c r="MF12" s="153" t="n"/>
      <c r="MG12" s="150" t="n"/>
      <c r="MH12" s="150" t="n"/>
      <c r="MI12" s="7" t="n"/>
      <c r="MJ12" s="7" t="n"/>
      <c r="MK12" s="146" t="n"/>
      <c r="MM12" s="152" t="n"/>
      <c r="MN12" s="152" t="n"/>
      <c r="MO12" s="153" t="n"/>
      <c r="MP12" s="150" t="n"/>
      <c r="MQ12" s="155" t="n"/>
      <c r="MR12" s="155" t="n"/>
      <c r="MT12" s="146" t="n"/>
      <c r="MV12" s="157" t="n"/>
      <c r="MW12" s="7" t="n"/>
      <c r="MX12" s="150" t="n"/>
      <c r="MY12" s="150" t="n"/>
      <c r="MZ12" s="150" t="n"/>
      <c r="NA12" s="150" t="n"/>
      <c r="NC12" s="146" t="n"/>
      <c r="NE12" s="157" t="n"/>
      <c r="NF12" s="7" t="n"/>
      <c r="NG12" s="150" t="n"/>
      <c r="NH12" s="150" t="n"/>
      <c r="NI12" s="150" t="n"/>
      <c r="NJ12" s="150" t="n"/>
      <c r="NK12" s="150" t="n"/>
      <c r="NM12" s="146" t="n"/>
      <c r="NN12" s="7" t="n"/>
      <c r="NQ12" s="150" t="n"/>
      <c r="NR12" s="150" t="n"/>
      <c r="NT12" s="146" t="n"/>
      <c r="NU12" s="146" t="n"/>
      <c r="NW12" s="157" t="n"/>
      <c r="NX12" s="7" t="n"/>
      <c r="NY12" s="150" t="n"/>
      <c r="NZ12" s="155" t="n"/>
      <c r="OA12" s="154" t="n"/>
      <c r="OB12" s="146" t="n"/>
      <c r="OC12" s="146" t="n"/>
      <c r="OD12" s="154" t="n"/>
      <c r="OE12" s="152" t="n"/>
      <c r="OF12" s="152" t="n"/>
      <c r="OG12" s="153" t="n"/>
      <c r="OH12" s="150" t="n"/>
      <c r="OI12" s="150" t="n"/>
      <c r="OJ12" s="146" t="n"/>
      <c r="OK12" s="146" t="n"/>
      <c r="OL12" s="154" t="n"/>
      <c r="OM12" s="152" t="n"/>
      <c r="ON12" s="152" t="n"/>
      <c r="OO12" s="153" t="n"/>
      <c r="OP12" s="150" t="n"/>
      <c r="OQ12" s="150" t="n"/>
      <c r="OT12" s="158">
        <f>OK12</f>
        <v/>
      </c>
      <c r="OW12" s="667" t="n"/>
      <c r="OX12" s="150" t="n"/>
    </row>
    <row r="13" ht="17" customFormat="1" customHeight="1" s="8">
      <c r="A13" s="668" t="inlineStr">
        <is>
          <t>ETF代码</t>
        </is>
      </c>
      <c r="B13" s="161" t="n">
        <v>510300</v>
      </c>
      <c r="C13" s="668" t="n"/>
      <c r="D13" s="162" t="n"/>
      <c r="E13" s="20">
        <f>#REF!</f>
        <v/>
      </c>
      <c r="F13" s="20">
        <f>D13-E13</f>
        <v/>
      </c>
      <c r="G13" s="163">
        <f>F13/E13</f>
        <v/>
      </c>
      <c r="H13" s="164" t="n"/>
      <c r="I13" s="165" t="n"/>
      <c r="J13" s="161" t="n">
        <v>510310</v>
      </c>
      <c r="K13" s="8" t="n"/>
      <c r="L13" s="161" t="n"/>
      <c r="M13" s="161" t="n"/>
      <c r="N13" s="161" t="n"/>
      <c r="O13" s="165" t="n"/>
      <c r="P13" s="164" t="n"/>
      <c r="Q13" s="165" t="n"/>
      <c r="R13" s="161" t="n">
        <v>510050</v>
      </c>
      <c r="S13" s="8" t="n"/>
      <c r="T13" s="161" t="n"/>
      <c r="U13" s="161" t="n"/>
      <c r="V13" s="161" t="n"/>
      <c r="W13" s="165" t="n"/>
      <c r="X13" s="164" t="n"/>
      <c r="Y13" s="165" t="n"/>
      <c r="Z13" s="161" t="n">
        <v>510500</v>
      </c>
      <c r="AA13" s="8" t="n"/>
      <c r="AB13" s="161" t="n"/>
      <c r="AC13" s="161" t="n"/>
      <c r="AD13" s="161" t="n"/>
      <c r="AE13" s="165" t="n"/>
      <c r="AF13" s="164" t="n"/>
      <c r="AG13" s="165" t="n"/>
      <c r="AH13" s="161" t="n">
        <v>512100</v>
      </c>
      <c r="AI13" s="8" t="n"/>
      <c r="AJ13" s="161" t="n"/>
      <c r="AK13" s="161" t="n"/>
      <c r="AL13" s="161" t="n"/>
      <c r="AM13" s="165" t="n"/>
      <c r="AN13" s="164" t="n"/>
      <c r="AO13" s="164" t="n"/>
      <c r="AP13" s="669" t="n">
        <v>159915</v>
      </c>
      <c r="AQ13" s="8" t="n"/>
      <c r="AR13" s="669" t="n"/>
      <c r="AS13" s="161" t="n"/>
      <c r="AT13" s="161" t="n"/>
      <c r="AU13" s="165" t="n"/>
      <c r="AV13" s="164" t="n"/>
      <c r="AW13" s="164" t="n"/>
      <c r="AX13" s="167" t="n"/>
      <c r="AY13" s="669" t="n">
        <v>159919</v>
      </c>
      <c r="AZ13" s="8" t="n"/>
      <c r="BA13" s="161" t="n"/>
      <c r="BB13" s="162" t="n"/>
      <c r="BC13" s="161" t="n"/>
      <c r="BD13" s="165" t="n"/>
      <c r="BE13" s="164" t="n"/>
      <c r="BF13" s="164" t="n"/>
      <c r="BG13" s="168" t="n">
        <v>159326</v>
      </c>
      <c r="BH13" s="8" t="n"/>
      <c r="BI13" s="168" t="n"/>
      <c r="BJ13" s="169" t="n"/>
      <c r="BK13" s="169" t="n"/>
      <c r="BL13" s="170" t="n"/>
      <c r="BM13" s="171" t="n"/>
      <c r="BN13" s="172" t="n"/>
      <c r="BO13" s="168" t="n">
        <v>159852</v>
      </c>
      <c r="BP13" s="8" t="n"/>
      <c r="BQ13" s="670" t="n"/>
      <c r="BR13" s="174" t="n"/>
      <c r="BS13" s="174" t="n"/>
      <c r="BT13" s="175" t="n"/>
      <c r="BU13" s="172" t="n"/>
      <c r="BW13" s="168" t="n">
        <v>159870</v>
      </c>
      <c r="BX13" s="8" t="n"/>
      <c r="BY13" s="176" t="n"/>
      <c r="BZ13" s="174" t="n"/>
      <c r="CA13" s="174" t="n"/>
      <c r="CB13" s="175" t="n"/>
      <c r="CC13" s="172" t="n"/>
      <c r="CE13" s="168" t="n">
        <v>512400</v>
      </c>
      <c r="CF13" s="8" t="n"/>
      <c r="CG13" s="176" t="n"/>
      <c r="CH13" s="174" t="n"/>
      <c r="CI13" s="174" t="n"/>
      <c r="CJ13" s="175" t="n"/>
      <c r="CK13" s="172" t="n"/>
      <c r="CM13" s="168" t="n">
        <v>516650</v>
      </c>
      <c r="CN13" s="8" t="n"/>
      <c r="CO13" s="176" t="n"/>
      <c r="CP13" s="174" t="n"/>
      <c r="CQ13" s="174" t="n"/>
      <c r="CR13" s="175" t="n"/>
      <c r="CS13" s="177" t="n"/>
      <c r="CU13" s="168" t="n">
        <v>517520</v>
      </c>
      <c r="CV13" s="8" t="n"/>
      <c r="CW13" s="176" t="n"/>
      <c r="CX13" s="174" t="n"/>
      <c r="CY13" s="174" t="n"/>
      <c r="CZ13" s="175" t="n"/>
      <c r="DA13" s="172" t="n"/>
      <c r="DB13" s="172" t="n"/>
      <c r="DC13" s="168" t="n">
        <v>159516</v>
      </c>
      <c r="DD13" s="8" t="n"/>
      <c r="DE13" s="176" t="n"/>
      <c r="DF13" s="174" t="n"/>
      <c r="DG13" s="174" t="n"/>
      <c r="DH13" s="175" t="n"/>
      <c r="DI13" s="172" t="n"/>
      <c r="DK13" s="168" t="n">
        <v>512480</v>
      </c>
      <c r="DL13" s="8">
        <f>C13</f>
        <v/>
      </c>
      <c r="DM13" s="176" t="n"/>
      <c r="DN13" s="174">
        <f>#REF!</f>
        <v/>
      </c>
      <c r="DO13" s="174">
        <f>DM13-DN13</f>
        <v/>
      </c>
      <c r="DP13" s="175">
        <f>DO13/DN13</f>
        <v/>
      </c>
      <c r="DQ13" s="172" t="n"/>
      <c r="DS13" s="168" t="n">
        <v>588200</v>
      </c>
      <c r="DT13" s="8" t="n"/>
      <c r="DU13" s="176" t="n"/>
      <c r="DV13" s="174" t="n"/>
      <c r="DW13" s="174" t="n"/>
      <c r="DX13" s="175" t="n"/>
      <c r="DY13" s="172" t="n"/>
      <c r="EA13" s="168" t="n">
        <v>588000</v>
      </c>
      <c r="EB13" s="8" t="n"/>
      <c r="EC13" s="176" t="n"/>
      <c r="ED13" s="174" t="n"/>
      <c r="EE13" s="174" t="n"/>
      <c r="EF13" s="175" t="n"/>
      <c r="EG13" s="172" t="n"/>
      <c r="EI13" s="168" t="n">
        <v>159819</v>
      </c>
      <c r="EJ13" s="8" t="n"/>
      <c r="EK13" s="176" t="n"/>
      <c r="EL13" s="174" t="n"/>
      <c r="EM13" s="174" t="n"/>
      <c r="EN13" s="175" t="n"/>
      <c r="EO13" s="172" t="n"/>
      <c r="EQ13" s="168" t="n">
        <v>515070</v>
      </c>
      <c r="ER13" s="8" t="n"/>
      <c r="ES13" s="24" t="n"/>
      <c r="ET13" s="174" t="n"/>
      <c r="EU13" s="174" t="n"/>
      <c r="EV13" s="175" t="n"/>
      <c r="EW13" s="172" t="n"/>
      <c r="EY13" s="168" t="n">
        <v>512660</v>
      </c>
      <c r="EZ13" s="8" t="n"/>
      <c r="FA13" s="176" t="n"/>
      <c r="FB13" s="174" t="n"/>
      <c r="FC13" s="174" t="n"/>
      <c r="FD13" s="175" t="n"/>
      <c r="FE13" s="172" t="n"/>
      <c r="FF13" s="168" t="n"/>
      <c r="FG13" s="168" t="n">
        <v>159206</v>
      </c>
      <c r="FH13" s="8" t="n"/>
      <c r="FI13" s="670" t="n"/>
      <c r="FJ13" s="174" t="n"/>
      <c r="FK13" s="174" t="n"/>
      <c r="FL13" s="175" t="n"/>
      <c r="FM13" s="177" t="n"/>
      <c r="FN13" s="177" t="n"/>
      <c r="FO13" s="168" t="n">
        <v>562500</v>
      </c>
      <c r="FP13" s="8" t="n"/>
      <c r="FQ13" s="176" t="n"/>
      <c r="FR13" s="174" t="n"/>
      <c r="FS13" s="174" t="n"/>
      <c r="FT13" s="175" t="n"/>
      <c r="FU13" s="172" t="n"/>
      <c r="FV13" s="172" t="n"/>
      <c r="FW13" s="168" t="n">
        <v>512170</v>
      </c>
      <c r="FX13" s="8" t="n"/>
      <c r="FY13" s="176" t="n"/>
      <c r="FZ13" s="174" t="n"/>
      <c r="GA13" s="174" t="n"/>
      <c r="GB13" s="175" t="n"/>
      <c r="GC13" s="172" t="n"/>
      <c r="GD13" s="172" t="n"/>
      <c r="GE13" s="168" t="n">
        <v>512010</v>
      </c>
      <c r="GF13" s="8" t="n"/>
      <c r="GG13" s="176" t="n"/>
      <c r="GH13" s="174" t="n"/>
      <c r="GI13" s="174" t="n"/>
      <c r="GJ13" s="175" t="n"/>
      <c r="GK13" s="172" t="n"/>
      <c r="GL13" s="172" t="n"/>
      <c r="GM13" s="168" t="n">
        <v>159992</v>
      </c>
      <c r="GN13" s="8" t="n"/>
      <c r="GO13" s="176" t="n"/>
      <c r="GP13" s="174" t="n"/>
      <c r="GQ13" s="174" t="n"/>
      <c r="GR13" s="175" t="n"/>
      <c r="GS13" s="172" t="n"/>
      <c r="GT13" s="172" t="n"/>
      <c r="GU13" s="168" t="n">
        <v>515790</v>
      </c>
      <c r="GV13" s="8" t="n"/>
      <c r="GW13" s="176" t="n"/>
      <c r="GX13" s="174" t="n"/>
      <c r="GY13" s="174" t="n"/>
      <c r="GZ13" s="175" t="n"/>
      <c r="HA13" s="172" t="n"/>
      <c r="HB13" s="172" t="n"/>
      <c r="HC13" s="168" t="n">
        <v>159755</v>
      </c>
      <c r="HD13" s="8" t="n"/>
      <c r="HE13" s="176" t="n"/>
      <c r="HF13" s="174" t="n"/>
      <c r="HG13" s="174" t="n"/>
      <c r="HH13" s="175" t="n"/>
      <c r="HI13" s="177" t="n"/>
      <c r="HJ13" s="172" t="n"/>
      <c r="HK13" s="168" t="n">
        <v>516970</v>
      </c>
      <c r="HL13" s="8" t="n"/>
      <c r="HM13" s="176" t="n"/>
      <c r="HN13" s="174" t="n"/>
      <c r="HO13" s="174" t="n"/>
      <c r="HP13" s="175" t="n"/>
      <c r="HQ13" s="172" t="n"/>
      <c r="HR13" s="172" t="n"/>
      <c r="HS13" s="168" t="n">
        <v>159745</v>
      </c>
      <c r="HT13" s="8" t="n"/>
      <c r="HU13" s="176" t="n"/>
      <c r="HV13" s="174" t="n"/>
      <c r="HW13" s="174" t="n"/>
      <c r="HX13" s="175" t="n"/>
      <c r="HY13" s="172" t="n"/>
      <c r="HZ13" s="172" t="n"/>
      <c r="IA13" s="168" t="n">
        <v>512200</v>
      </c>
      <c r="IB13" s="8" t="n"/>
      <c r="IC13" s="176" t="n"/>
      <c r="ID13" s="174" t="n"/>
      <c r="IE13" s="174" t="n"/>
      <c r="IF13" s="175" t="n"/>
      <c r="IG13" s="177" t="n"/>
      <c r="IH13" s="172" t="n"/>
      <c r="II13" s="168" t="n">
        <v>159611</v>
      </c>
      <c r="IJ13" s="8" t="n"/>
      <c r="IK13" s="176" t="n"/>
      <c r="IL13" s="174" t="n"/>
      <c r="IM13" s="174" t="n"/>
      <c r="IN13" s="175" t="n"/>
      <c r="IO13" s="172" t="n"/>
      <c r="IP13" s="172" t="n"/>
      <c r="IQ13" s="168" t="n">
        <v>516510</v>
      </c>
      <c r="IR13" s="8" t="n"/>
      <c r="IS13" s="176" t="n"/>
      <c r="IT13" s="174" t="n"/>
      <c r="IU13" s="174" t="n"/>
      <c r="IV13" s="175" t="n"/>
      <c r="IW13" s="172" t="n"/>
      <c r="IX13" s="172" t="n"/>
      <c r="IY13" s="168" t="n">
        <v>512880</v>
      </c>
      <c r="IZ13" s="8" t="n"/>
      <c r="JA13" s="176" t="n"/>
      <c r="JB13" s="174" t="n"/>
      <c r="JC13" s="174" t="n"/>
      <c r="JD13" s="175" t="n"/>
      <c r="JE13" s="172" t="n"/>
      <c r="JF13" s="172" t="n"/>
      <c r="JG13" s="168" t="n">
        <v>512800</v>
      </c>
      <c r="JH13" s="8" t="n"/>
      <c r="JI13" s="176" t="n"/>
      <c r="JJ13" s="174" t="n"/>
      <c r="JK13" s="174" t="n"/>
      <c r="JL13" s="175" t="n"/>
      <c r="JM13" s="172" t="n"/>
      <c r="JN13" s="172" t="n"/>
      <c r="JO13" s="168" t="n">
        <v>159851</v>
      </c>
      <c r="JP13" s="8" t="n"/>
      <c r="JQ13" s="176" t="n"/>
      <c r="JR13" s="174" t="n"/>
      <c r="JS13" s="174" t="n"/>
      <c r="JT13" s="175" t="n"/>
      <c r="JU13" s="172" t="n"/>
      <c r="JV13" s="172" t="n"/>
      <c r="JW13" s="168" t="n">
        <v>513090</v>
      </c>
      <c r="JX13" s="8" t="n"/>
      <c r="JY13" s="176" t="n"/>
      <c r="JZ13" s="174" t="n"/>
      <c r="KA13" s="174" t="n"/>
      <c r="KB13" s="175" t="n"/>
      <c r="KC13" s="172" t="n"/>
      <c r="KD13" s="172" t="n"/>
      <c r="KE13" s="168" t="n">
        <v>159920</v>
      </c>
      <c r="KF13" s="8" t="n"/>
      <c r="KG13" s="176" t="n"/>
      <c r="KH13" s="174" t="n"/>
      <c r="KI13" s="174" t="n"/>
      <c r="KJ13" s="175" t="n"/>
      <c r="KK13" s="177" t="n"/>
      <c r="KL13" s="177" t="n"/>
      <c r="KM13" s="168" t="n">
        <v>513180</v>
      </c>
      <c r="KN13" s="8" t="n"/>
      <c r="KO13" s="176" t="n"/>
      <c r="KP13" s="174" t="n"/>
      <c r="KQ13" s="174" t="n"/>
      <c r="KR13" s="175" t="n"/>
      <c r="KS13" s="172" t="n"/>
      <c r="KT13" s="172" t="n"/>
      <c r="KU13" s="168" t="n">
        <v>159567</v>
      </c>
      <c r="KV13" s="8" t="n"/>
      <c r="KW13" s="176" t="n"/>
      <c r="KX13" s="174" t="n"/>
      <c r="KY13" s="174" t="n"/>
      <c r="KZ13" s="175" t="n"/>
      <c r="LA13" s="177" t="n"/>
      <c r="LB13" s="172" t="n"/>
      <c r="LC13" s="168" t="n">
        <v>516150</v>
      </c>
      <c r="LD13" s="8" t="n"/>
      <c r="LE13" s="176" t="n"/>
      <c r="LF13" s="174" t="n"/>
      <c r="LG13" s="174" t="n"/>
      <c r="LH13" s="175" t="n"/>
      <c r="LI13" s="172" t="n"/>
      <c r="LJ13" s="172" t="n"/>
      <c r="LK13" s="168" t="n">
        <v>512690</v>
      </c>
      <c r="LL13" s="8" t="n"/>
      <c r="LM13" s="670" t="n"/>
      <c r="LN13" s="174" t="n"/>
      <c r="LO13" s="174" t="n"/>
      <c r="LP13" s="175" t="n"/>
      <c r="LQ13" s="172" t="n"/>
      <c r="LR13" s="172" t="n"/>
      <c r="LS13" s="168" t="n">
        <v>159928</v>
      </c>
      <c r="LT13" s="8" t="n"/>
      <c r="LU13" s="176" t="n"/>
      <c r="LV13" s="174" t="n"/>
      <c r="LW13" s="174" t="n"/>
      <c r="LX13" s="175" t="n"/>
      <c r="LY13" s="172" t="n"/>
      <c r="LZ13" s="172" t="n"/>
      <c r="MA13" s="168" t="n">
        <v>515220</v>
      </c>
      <c r="MB13" s="8" t="n"/>
      <c r="MC13" s="176" t="n"/>
      <c r="MD13" s="174" t="n"/>
      <c r="ME13" s="174" t="n"/>
      <c r="MF13" s="175" t="n"/>
      <c r="MG13" s="172" t="n"/>
      <c r="MH13" s="172" t="n"/>
      <c r="MI13" s="8" t="n"/>
      <c r="MJ13" s="168" t="n">
        <v>159998</v>
      </c>
      <c r="MK13" s="8" t="n"/>
      <c r="ML13" s="24" t="n"/>
      <c r="MM13" s="174" t="n"/>
      <c r="MN13" s="174" t="n"/>
      <c r="MO13" s="175" t="n"/>
      <c r="MP13" s="172" t="n"/>
      <c r="MQ13" s="177" t="n"/>
      <c r="MR13" s="177" t="n"/>
      <c r="MS13" s="168" t="n">
        <v>561360</v>
      </c>
      <c r="MT13" s="8" t="n"/>
      <c r="MU13" s="24" t="n"/>
      <c r="MV13" s="178" t="n"/>
      <c r="MW13" s="8" t="n"/>
      <c r="MX13" s="172" t="n"/>
      <c r="MY13" s="172" t="n"/>
      <c r="MZ13" s="172" t="n"/>
      <c r="NA13" s="172" t="n"/>
      <c r="NB13" s="168" t="n">
        <v>510170</v>
      </c>
      <c r="NC13" s="8" t="n"/>
      <c r="ND13" s="24" t="n"/>
      <c r="NE13" s="178" t="n"/>
      <c r="NF13" s="8" t="n"/>
      <c r="NG13" s="172" t="n"/>
      <c r="NH13" s="172" t="n"/>
      <c r="NI13" s="172" t="n"/>
      <c r="NJ13" s="172" t="n"/>
      <c r="NK13" s="172" t="n"/>
      <c r="NL13" s="168" t="n">
        <v>512890</v>
      </c>
      <c r="NM13" s="8" t="n"/>
      <c r="NN13" s="24" t="n"/>
      <c r="NO13" s="8" t="n"/>
      <c r="NP13" s="8" t="n"/>
      <c r="NQ13" s="172" t="n"/>
      <c r="NR13" s="172" t="n"/>
      <c r="NT13" s="168" t="n">
        <v>560080</v>
      </c>
      <c r="NU13" s="8" t="n"/>
      <c r="NV13" s="24" t="n"/>
      <c r="NW13" s="178" t="n"/>
      <c r="NX13" s="8" t="n"/>
      <c r="NY13" s="172" t="n"/>
      <c r="NZ13" s="177" t="n"/>
      <c r="OA13" s="176" t="n"/>
      <c r="OB13" s="168" t="n">
        <v>511130</v>
      </c>
      <c r="OC13" s="8" t="n"/>
      <c r="OD13" s="176" t="n"/>
      <c r="OE13" s="174" t="n"/>
      <c r="OF13" s="174" t="n"/>
      <c r="OG13" s="175" t="n"/>
      <c r="OH13" s="172" t="n"/>
      <c r="OI13" s="172" t="n"/>
      <c r="OJ13" s="168" t="n">
        <v>511260</v>
      </c>
      <c r="OK13" s="8" t="n"/>
      <c r="OL13" s="176" t="n"/>
      <c r="OM13" s="174" t="n"/>
      <c r="ON13" s="174" t="n"/>
      <c r="OO13" s="175" t="n"/>
      <c r="OP13" s="172" t="n"/>
      <c r="OQ13" s="172" t="n"/>
      <c r="OS13" s="179" t="n">
        <v>159985</v>
      </c>
      <c r="OT13" s="180" t="n"/>
      <c r="OV13" s="9" t="n"/>
      <c r="OW13" s="671" t="n"/>
      <c r="OX13" s="182" t="n"/>
    </row>
    <row r="14" ht="17" customFormat="1" customHeight="1" s="9">
      <c r="A14" s="9" t="inlineStr">
        <is>
          <t>月末净值</t>
        </is>
      </c>
      <c r="B14" s="9" t="n">
        <v>4.432</v>
      </c>
      <c r="C14" s="114" t="n"/>
      <c r="D14" s="119" t="n"/>
      <c r="E14" s="20" t="n"/>
      <c r="F14" s="20" t="n"/>
      <c r="G14" s="20" t="n"/>
      <c r="H14" s="5" t="n"/>
      <c r="I14" s="114" t="n"/>
      <c r="J14" s="114" t="n">
        <v>4.305</v>
      </c>
      <c r="K14" s="114" t="n"/>
      <c r="L14" s="114" t="n"/>
      <c r="M14" s="114" t="n"/>
      <c r="N14" s="114" t="n"/>
      <c r="O14" s="114" t="n"/>
      <c r="P14" s="5" t="n"/>
      <c r="Q14" s="114" t="n"/>
      <c r="R14" s="114" t="n">
        <v>2.938</v>
      </c>
      <c r="S14" s="114" t="n"/>
      <c r="T14" s="114" t="n"/>
      <c r="U14" s="114" t="n"/>
      <c r="V14" s="114" t="n"/>
      <c r="W14" s="114" t="n"/>
      <c r="X14" s="5" t="n"/>
      <c r="Y14" s="114" t="n"/>
      <c r="Z14" s="114" t="n">
        <v>7.472</v>
      </c>
      <c r="AA14" s="114" t="n"/>
      <c r="AB14" s="114" t="n"/>
      <c r="AC14" s="114" t="n"/>
      <c r="AD14" s="114" t="n"/>
      <c r="AE14" s="114" t="n"/>
      <c r="AF14" s="5" t="n"/>
      <c r="AG14" s="114" t="n"/>
      <c r="AH14" s="114" t="n">
        <v>2.971</v>
      </c>
      <c r="AI14" s="114" t="n"/>
      <c r="AJ14" s="114" t="n"/>
      <c r="AK14" s="114" t="n"/>
      <c r="AL14" s="114" t="n"/>
      <c r="AM14" s="114" t="n"/>
      <c r="AN14" s="5" t="n"/>
      <c r="AO14" s="5" t="n"/>
      <c r="AP14" s="114" t="n">
        <v>3.1623</v>
      </c>
      <c r="AQ14" s="114" t="n"/>
      <c r="AR14" s="114" t="n"/>
      <c r="AS14" s="114" t="n"/>
      <c r="AT14" s="114" t="n"/>
      <c r="AU14" s="114" t="n"/>
      <c r="AV14" s="5" t="n"/>
      <c r="AW14" s="5" t="n"/>
      <c r="AX14" s="5" t="n"/>
      <c r="AY14" s="119" t="n">
        <v>4.6121</v>
      </c>
      <c r="AZ14" s="114" t="n"/>
      <c r="BA14" s="114" t="n"/>
      <c r="BB14" s="119" t="n"/>
      <c r="BC14" s="114" t="n"/>
      <c r="BD14" s="114" t="n"/>
      <c r="BE14" s="5" t="n"/>
      <c r="BF14" s="5" t="n"/>
      <c r="BG14" s="117" t="n">
        <v>1.5525</v>
      </c>
      <c r="BH14" s="183" t="n"/>
      <c r="BI14" s="183" t="n"/>
      <c r="BJ14" s="184" t="n"/>
      <c r="BK14" s="184" t="n"/>
      <c r="BL14" s="184" t="n"/>
      <c r="BM14" s="117" t="n"/>
      <c r="BN14" s="9" t="n"/>
      <c r="BO14" s="183" t="n">
        <v>0.6408</v>
      </c>
      <c r="BP14" s="183" t="n"/>
      <c r="BQ14" s="185" t="n"/>
      <c r="BR14" s="13" t="n"/>
      <c r="BS14" s="13" t="n"/>
      <c r="BT14" s="13" t="n"/>
      <c r="BU14" s="9" t="n"/>
      <c r="BV14" s="9" t="n"/>
      <c r="BW14" s="183" t="n">
        <v>0.7349</v>
      </c>
      <c r="BX14" s="183" t="n"/>
      <c r="BY14" s="185" t="n"/>
      <c r="BZ14" s="13" t="n"/>
      <c r="CA14" s="13" t="n"/>
      <c r="CB14" s="13" t="n"/>
      <c r="CC14" s="9" t="n"/>
      <c r="CD14" s="185" t="n"/>
      <c r="CE14" s="183" t="n">
        <v>1.621</v>
      </c>
      <c r="CF14" s="183" t="n"/>
      <c r="CG14" s="185" t="n"/>
      <c r="CH14" s="13" t="n"/>
      <c r="CI14" s="13" t="n"/>
      <c r="CJ14" s="13" t="n"/>
      <c r="CK14" s="9" t="n"/>
      <c r="CL14" s="185" t="n"/>
      <c r="CM14" s="183" t="n">
        <v>1.658</v>
      </c>
      <c r="CN14" s="183" t="n"/>
      <c r="CO14" s="185" t="n"/>
      <c r="CP14" s="13" t="n"/>
      <c r="CQ14" s="13" t="n"/>
      <c r="CR14" s="13" t="n"/>
      <c r="CS14" s="185" t="n"/>
      <c r="CT14" s="185" t="n"/>
      <c r="CU14" s="183" t="n">
        <v>1.876</v>
      </c>
      <c r="CV14" s="183" t="n"/>
      <c r="CW14" s="185" t="n"/>
      <c r="CX14" s="13" t="n"/>
      <c r="CY14" s="13" t="n"/>
      <c r="CZ14" s="13" t="n"/>
      <c r="DA14" s="9" t="n"/>
      <c r="DB14" s="9" t="n"/>
      <c r="DC14" s="186" t="n">
        <v>0.6696</v>
      </c>
      <c r="DD14" s="183" t="n"/>
      <c r="DE14" s="185" t="n"/>
      <c r="DF14" s="13" t="n"/>
      <c r="DG14" s="13" t="n"/>
      <c r="DH14" s="13" t="n"/>
      <c r="DI14" s="9" t="n"/>
      <c r="DJ14" s="9" t="n"/>
      <c r="DK14" s="183" t="n">
        <v>0.955</v>
      </c>
      <c r="DL14" s="183">
        <f>C14</f>
        <v/>
      </c>
      <c r="DM14" s="185" t="n"/>
      <c r="DN14" s="13" t="n"/>
      <c r="DO14" s="13" t="n"/>
      <c r="DP14" s="13" t="n"/>
      <c r="DQ14" s="9" t="n"/>
      <c r="DR14" s="9" t="n"/>
      <c r="DS14" s="183" t="n">
        <v>1.08</v>
      </c>
      <c r="DT14" s="183" t="n"/>
      <c r="DU14" s="185" t="n"/>
      <c r="DV14" s="13" t="n"/>
      <c r="DW14" s="13" t="n"/>
      <c r="DX14" s="13" t="n"/>
      <c r="DY14" s="9" t="n"/>
      <c r="DZ14" s="9" t="n"/>
      <c r="EA14" s="183" t="n">
        <v>1.616</v>
      </c>
      <c r="EB14" s="183" t="n"/>
      <c r="EC14" s="185" t="n"/>
      <c r="ED14" s="13" t="n"/>
      <c r="EE14" s="13" t="n"/>
      <c r="EF14" s="13" t="n"/>
      <c r="EG14" s="9" t="n"/>
      <c r="EH14" s="9" t="n"/>
      <c r="EI14" s="183" t="n">
        <v>1.6836</v>
      </c>
      <c r="EJ14" s="183" t="n"/>
      <c r="EK14" s="185" t="n"/>
      <c r="EL14" s="13" t="n"/>
      <c r="EM14" s="13" t="n"/>
      <c r="EN14" s="13" t="n"/>
      <c r="EO14" s="9" t="n"/>
      <c r="EP14" s="9" t="n"/>
      <c r="EQ14" s="183" t="n">
        <v>1.049</v>
      </c>
      <c r="ER14" s="183" t="n"/>
      <c r="ES14" s="187" t="n"/>
      <c r="ET14" s="13" t="n"/>
      <c r="EU14" s="13" t="n"/>
      <c r="EV14" s="13" t="n"/>
      <c r="EW14" s="9" t="n"/>
      <c r="EX14" s="9" t="n"/>
      <c r="EY14" s="183" t="n">
        <v>1.101</v>
      </c>
      <c r="EZ14" s="183" t="n"/>
      <c r="FA14" s="185" t="n"/>
      <c r="FB14" s="13" t="n"/>
      <c r="FC14" s="13" t="n"/>
      <c r="FD14" s="13" t="n"/>
      <c r="FE14" s="9" t="n"/>
      <c r="FF14" s="9" t="n"/>
      <c r="FG14" s="9" t="n">
        <v>1.2975</v>
      </c>
      <c r="FH14" s="183" t="n"/>
      <c r="FI14" s="185" t="n"/>
      <c r="FJ14" s="13" t="n"/>
      <c r="FK14" s="13" t="n"/>
      <c r="FL14" s="13" t="n"/>
      <c r="FM14" s="185" t="n"/>
      <c r="FN14" s="185" t="n"/>
      <c r="FO14" s="183" t="n">
        <v>0.897</v>
      </c>
      <c r="FP14" s="183" t="n"/>
      <c r="FQ14" s="185" t="n"/>
      <c r="FR14" s="13" t="n"/>
      <c r="FS14" s="13" t="n"/>
      <c r="FT14" s="13" t="n"/>
      <c r="FU14" s="9" t="n"/>
      <c r="FV14" s="9" t="n"/>
      <c r="FW14" s="183" t="n">
        <v>0.349</v>
      </c>
      <c r="FX14" s="183" t="n"/>
      <c r="FY14" s="185" t="n"/>
      <c r="FZ14" s="13" t="n"/>
      <c r="GA14" s="13" t="n"/>
      <c r="GB14" s="13" t="n"/>
      <c r="GC14" s="9" t="n"/>
      <c r="GD14" s="9" t="n"/>
      <c r="GE14" s="183" t="n">
        <v>0.388</v>
      </c>
      <c r="GF14" s="183" t="n"/>
      <c r="GG14" s="185" t="n"/>
      <c r="GH14" s="13" t="n"/>
      <c r="GI14" s="13" t="n"/>
      <c r="GJ14" s="13" t="n"/>
      <c r="GK14" s="9" t="n"/>
      <c r="GL14" s="9" t="n"/>
      <c r="GM14" s="183" t="n">
        <v>0.8426</v>
      </c>
      <c r="GN14" s="183" t="n"/>
      <c r="GO14" s="185" t="n"/>
      <c r="GP14" s="13" t="n"/>
      <c r="GQ14" s="13" t="n"/>
      <c r="GR14" s="13" t="n"/>
      <c r="GS14" s="9" t="n"/>
      <c r="GT14" s="9" t="n"/>
      <c r="GU14" s="183" t="n">
        <v>0.776</v>
      </c>
      <c r="GV14" s="183" t="n"/>
      <c r="GW14" s="185" t="n"/>
      <c r="GX14" s="13" t="n"/>
      <c r="GY14" s="13" t="n"/>
      <c r="GZ14" s="13" t="n"/>
      <c r="HA14" s="9" t="n"/>
      <c r="HB14" s="9" t="n"/>
      <c r="HC14" s="183" t="n">
        <v>0.8399</v>
      </c>
      <c r="HD14" s="183" t="n"/>
      <c r="HE14" s="185" t="n"/>
      <c r="HF14" s="13" t="n"/>
      <c r="HG14" s="13" t="n"/>
      <c r="HH14" s="13" t="n"/>
      <c r="HI14" s="185" t="n"/>
      <c r="HJ14" s="9" t="n"/>
      <c r="HK14" s="183" t="n">
        <v>1.07</v>
      </c>
      <c r="HL14" s="183" t="n"/>
      <c r="HM14" s="185" t="n"/>
      <c r="HN14" s="13" t="n"/>
      <c r="HO14" s="13" t="n"/>
      <c r="HP14" s="13" t="n"/>
      <c r="HQ14" s="9" t="n"/>
      <c r="HR14" s="9" t="n"/>
      <c r="HS14" s="183" t="n">
        <v>0.519</v>
      </c>
      <c r="HT14" s="183" t="n"/>
      <c r="HU14" s="185" t="n"/>
      <c r="HV14" s="13" t="n"/>
      <c r="HW14" s="13" t="n"/>
      <c r="HX14" s="13" t="n"/>
      <c r="HY14" s="9" t="n"/>
      <c r="HZ14" s="9" t="n"/>
      <c r="IA14" s="183" t="n">
        <v>1.3</v>
      </c>
      <c r="IB14" s="183" t="n"/>
      <c r="IC14" s="185" t="n"/>
      <c r="ID14" s="13" t="n"/>
      <c r="IE14" s="13" t="n"/>
      <c r="IF14" s="13" t="n"/>
      <c r="IG14" s="185" t="n"/>
      <c r="IH14" s="9" t="n"/>
      <c r="II14" s="183" t="n">
        <v>1.026</v>
      </c>
      <c r="IJ14" s="183" t="n"/>
      <c r="IK14" s="185" t="n"/>
      <c r="IL14" s="13" t="n"/>
      <c r="IM14" s="13" t="n"/>
      <c r="IN14" s="13" t="n"/>
      <c r="IO14" s="9" t="n"/>
      <c r="IP14" s="9" t="n"/>
      <c r="IQ14" s="183" t="n">
        <v>1.564</v>
      </c>
      <c r="IR14" s="183" t="n"/>
      <c r="IS14" s="185" t="n"/>
      <c r="IT14" s="13" t="n"/>
      <c r="IU14" s="13" t="n"/>
      <c r="IV14" s="13" t="n"/>
      <c r="IW14" s="9" t="n"/>
      <c r="IX14" s="9" t="n"/>
      <c r="IY14" s="183" t="n">
        <v>1.029</v>
      </c>
      <c r="IZ14" s="183" t="n"/>
      <c r="JA14" s="185" t="n"/>
      <c r="JB14" s="13" t="n"/>
      <c r="JC14" s="13" t="n"/>
      <c r="JD14" s="13" t="n"/>
      <c r="JE14" s="9" t="n"/>
      <c r="JF14" s="9" t="n"/>
      <c r="JG14" s="183" t="n">
        <v>0.853</v>
      </c>
      <c r="JH14" s="183" t="n"/>
      <c r="JI14" s="185" t="n"/>
      <c r="JJ14" s="13" t="n"/>
      <c r="JK14" s="13" t="n"/>
      <c r="JL14" s="13" t="n"/>
      <c r="JM14" s="9" t="n"/>
      <c r="JN14" s="9" t="n"/>
      <c r="JO14" s="9" t="n">
        <v>0.5847</v>
      </c>
      <c r="JP14" s="183" t="n"/>
      <c r="JQ14" s="185" t="n"/>
      <c r="JR14" s="13" t="n"/>
      <c r="JS14" s="13" t="n"/>
      <c r="JT14" s="13" t="n"/>
      <c r="JU14" s="9" t="n"/>
      <c r="JV14" s="9" t="n"/>
      <c r="JW14" s="185" t="n">
        <v>1.762</v>
      </c>
      <c r="JX14" s="183" t="n"/>
      <c r="JY14" s="185" t="n"/>
      <c r="JZ14" s="13" t="n"/>
      <c r="KA14" s="13" t="n"/>
      <c r="KB14" s="13" t="n"/>
      <c r="KC14" s="9" t="n"/>
      <c r="KD14" s="9" t="n"/>
      <c r="KE14" s="185" t="n">
        <v>1.4493</v>
      </c>
      <c r="KF14" s="183" t="n"/>
      <c r="KG14" s="185" t="n"/>
      <c r="KH14" s="13" t="n"/>
      <c r="KI14" s="13" t="n"/>
      <c r="KJ14" s="13" t="n"/>
      <c r="KK14" s="185" t="n"/>
      <c r="KL14" s="185" t="n"/>
      <c r="KM14" s="183" t="n">
        <v>0.534</v>
      </c>
      <c r="KN14" s="183" t="n"/>
      <c r="KO14" s="185" t="n"/>
      <c r="KP14" s="13" t="n"/>
      <c r="KQ14" s="13" t="n"/>
      <c r="KR14" s="13" t="n"/>
      <c r="KS14" s="9" t="n"/>
      <c r="KT14" s="9" t="n"/>
      <c r="KU14" s="183" t="n">
        <v>0.7059</v>
      </c>
      <c r="KV14" s="183" t="n"/>
      <c r="KW14" s="185" t="n"/>
      <c r="KX14" s="13" t="n"/>
      <c r="KY14" s="13" t="n"/>
      <c r="KZ14" s="13" t="n"/>
      <c r="LA14" s="185" t="n"/>
      <c r="LB14" s="9" t="n"/>
      <c r="LC14" s="183" t="n">
        <v>1.576</v>
      </c>
      <c r="LD14" s="183" t="n"/>
      <c r="LE14" s="185" t="n"/>
      <c r="LF14" s="13" t="n"/>
      <c r="LG14" s="13" t="n"/>
      <c r="LH14" s="13" t="n"/>
      <c r="LI14" s="9" t="n"/>
      <c r="LJ14" s="9" t="n"/>
      <c r="LK14" s="183" t="n">
        <v>0.417</v>
      </c>
      <c r="LL14" s="183" t="n"/>
      <c r="LM14" s="185" t="n"/>
      <c r="LN14" s="13" t="n"/>
      <c r="LO14" s="13" t="n"/>
      <c r="LP14" s="13" t="n"/>
      <c r="LQ14" s="9" t="n"/>
      <c r="LR14" s="9" t="n"/>
      <c r="LS14" s="183" t="n">
        <v>0.6471</v>
      </c>
      <c r="LT14" s="183" t="n"/>
      <c r="LU14" s="185" t="n"/>
      <c r="LV14" s="13" t="n"/>
      <c r="LW14" s="13" t="n"/>
      <c r="LX14" s="13" t="n"/>
      <c r="LY14" s="9" t="n"/>
      <c r="LZ14" s="9" t="n"/>
      <c r="MA14" s="183" t="n">
        <v>1.256</v>
      </c>
      <c r="MB14" s="183" t="n"/>
      <c r="MC14" s="185" t="n"/>
      <c r="MD14" s="13" t="n"/>
      <c r="ME14" s="13" t="n"/>
      <c r="MF14" s="13" t="n"/>
      <c r="MG14" s="9" t="n"/>
      <c r="MH14" s="9" t="n"/>
      <c r="MJ14" s="0" t="n">
        <v>0.9066</v>
      </c>
      <c r="MK14" s="183" t="n"/>
      <c r="ML14" s="187" t="n"/>
      <c r="MM14" s="13" t="n"/>
      <c r="MN14" s="13" t="n"/>
      <c r="MO14" s="13" t="n"/>
      <c r="MP14" s="9" t="n"/>
      <c r="MQ14" s="185" t="n"/>
      <c r="MR14" s="185" t="n"/>
      <c r="MS14" s="0" t="n">
        <v>1.442</v>
      </c>
      <c r="MT14" s="183" t="n"/>
      <c r="MU14" s="187" t="n"/>
      <c r="MV14" s="188" t="n"/>
      <c r="NB14" s="0" t="n">
        <v>1.297</v>
      </c>
      <c r="NC14" s="183" t="n"/>
      <c r="ND14" s="187" t="n"/>
      <c r="NE14" s="188" t="n"/>
      <c r="NL14" s="0" t="n">
        <v>1.196</v>
      </c>
      <c r="NM14" s="183" t="n"/>
      <c r="NN14" s="187" t="n"/>
      <c r="NT14" s="183" t="n">
        <v>0.9370000000000001</v>
      </c>
      <c r="NU14" s="183" t="n"/>
      <c r="NV14" s="187" t="n"/>
      <c r="NW14" s="188" t="n"/>
      <c r="NZ14" s="185" t="n"/>
      <c r="OA14" s="185" t="n"/>
      <c r="OB14" s="183" t="n">
        <v>109.549</v>
      </c>
      <c r="OC14" s="183" t="n"/>
      <c r="OD14" s="185" t="n"/>
      <c r="OE14" s="13" t="n"/>
      <c r="OF14" s="13" t="n"/>
      <c r="OG14" s="13" t="n"/>
      <c r="OH14" s="9" t="n"/>
      <c r="OI14" s="9" t="n"/>
      <c r="OJ14" s="183" t="n">
        <v>134.804</v>
      </c>
      <c r="OK14" s="183" t="n"/>
      <c r="OL14" s="185" t="n"/>
      <c r="OM14" s="13" t="n"/>
      <c r="ON14" s="13" t="n"/>
      <c r="OO14" s="13" t="n"/>
      <c r="OP14" s="9" t="n"/>
      <c r="OQ14" s="9" t="n"/>
      <c r="OS14" s="0" t="n">
        <v>2.2026</v>
      </c>
      <c r="OT14" s="25" t="n"/>
    </row>
    <row r="15" ht="17" customFormat="1" customHeight="1" s="9">
      <c r="A15" s="9" t="inlineStr">
        <is>
          <t>最新净值</t>
        </is>
      </c>
      <c r="B15" s="9" t="n">
        <v>4.178</v>
      </c>
      <c r="C15" s="114" t="n"/>
      <c r="D15" s="119" t="n"/>
      <c r="E15" s="20" t="n"/>
      <c r="F15" s="20" t="n"/>
      <c r="G15" s="20" t="n"/>
      <c r="H15" s="5" t="n"/>
      <c r="I15" s="114" t="n"/>
      <c r="J15" s="114" t="n">
        <v>4.058</v>
      </c>
      <c r="K15" s="114" t="n"/>
      <c r="L15" s="114" t="n"/>
      <c r="M15" s="114" t="n"/>
      <c r="N15" s="114" t="n"/>
      <c r="O15" s="114" t="n"/>
      <c r="P15" s="5" t="n"/>
      <c r="Q15" s="114" t="n"/>
      <c r="R15" s="114" t="n">
        <v>2.869</v>
      </c>
      <c r="S15" s="114" t="n"/>
      <c r="T15" s="114" t="n"/>
      <c r="U15" s="114" t="n"/>
      <c r="V15" s="114" t="n"/>
      <c r="W15" s="114" t="n"/>
      <c r="X15" s="5" t="n"/>
      <c r="Y15" s="114" t="n"/>
      <c r="Z15" s="114" t="n">
        <v>6.857</v>
      </c>
      <c r="AA15" s="114" t="n"/>
      <c r="AB15" s="114" t="n"/>
      <c r="AC15" s="114" t="n"/>
      <c r="AD15" s="114" t="n"/>
      <c r="AE15" s="114" t="n"/>
      <c r="AF15" s="5" t="n"/>
      <c r="AG15" s="114" t="n"/>
      <c r="AH15" s="114" t="n">
        <v>2.742</v>
      </c>
      <c r="AI15" s="114" t="n"/>
      <c r="AJ15" s="114" t="n"/>
      <c r="AK15" s="114" t="n"/>
      <c r="AL15" s="114" t="n"/>
      <c r="AM15" s="114" t="n"/>
      <c r="AN15" s="5" t="n"/>
      <c r="AO15" s="5" t="n"/>
      <c r="AP15" s="114" t="n">
        <v>2.5939</v>
      </c>
      <c r="AQ15" s="114" t="n"/>
      <c r="AR15" s="114" t="n"/>
      <c r="AS15" s="114" t="n"/>
      <c r="AT15" s="114" t="n"/>
      <c r="AU15" s="114" t="n"/>
      <c r="AV15" s="5" t="n"/>
      <c r="AW15" s="5" t="n"/>
      <c r="AX15" s="5" t="n"/>
      <c r="AY15" s="119" t="n">
        <v>4.289</v>
      </c>
      <c r="AZ15" s="114" t="n"/>
      <c r="BA15" s="114" t="n"/>
      <c r="BB15" s="119" t="n"/>
      <c r="BC15" s="114" t="n"/>
      <c r="BD15" s="114" t="n"/>
      <c r="BE15" s="5" t="n"/>
      <c r="BF15" s="5" t="n"/>
      <c r="BG15" s="117" t="n">
        <v>1.4466</v>
      </c>
      <c r="BH15" s="183" t="n"/>
      <c r="BI15" s="183" t="n"/>
      <c r="BJ15" s="184" t="n"/>
      <c r="BK15" s="184" t="n"/>
      <c r="BL15" s="184" t="n"/>
      <c r="BM15" s="117" t="n"/>
      <c r="BN15" s="9" t="n"/>
      <c r="BO15" s="183" t="n">
        <v>0.6227</v>
      </c>
      <c r="BP15" s="183" t="n"/>
      <c r="BQ15" s="185" t="n"/>
      <c r="BR15" s="13" t="n"/>
      <c r="BS15" s="13" t="n"/>
      <c r="BT15" s="13" t="n"/>
      <c r="BU15" s="9" t="n"/>
      <c r="BV15" s="9" t="n"/>
      <c r="BW15" s="183" t="n">
        <v>0.6715</v>
      </c>
      <c r="BX15" s="183" t="n"/>
      <c r="BY15" s="185" t="n"/>
      <c r="BZ15" s="13" t="n"/>
      <c r="CA15" s="13" t="n"/>
      <c r="CB15" s="13" t="n"/>
      <c r="CC15" s="9" t="n"/>
      <c r="CD15" s="185" t="n"/>
      <c r="CE15" s="183" t="n">
        <v>1.487</v>
      </c>
      <c r="CF15" s="183" t="n"/>
      <c r="CG15" s="185" t="n"/>
      <c r="CH15" s="13" t="n"/>
      <c r="CI15" s="13" t="n"/>
      <c r="CJ15" s="13" t="n"/>
      <c r="CK15" s="9" t="n"/>
      <c r="CL15" s="185" t="n"/>
      <c r="CM15" s="183" t="n">
        <v>1.53</v>
      </c>
      <c r="CN15" s="183" t="n"/>
      <c r="CO15" s="185" t="n"/>
      <c r="CP15" s="13" t="n"/>
      <c r="CQ15" s="13" t="n"/>
      <c r="CR15" s="13" t="n"/>
      <c r="CS15" s="185" t="n"/>
      <c r="CT15" s="185" t="n"/>
      <c r="CU15" s="183" t="n">
        <v>1.734</v>
      </c>
      <c r="CV15" s="183" t="n"/>
      <c r="CW15" s="185" t="n"/>
      <c r="CX15" s="13" t="n"/>
      <c r="CY15" s="13" t="n"/>
      <c r="CZ15" s="13" t="n"/>
      <c r="DA15" s="9" t="n"/>
      <c r="DB15" s="9" t="n"/>
      <c r="DC15" s="186" t="n">
        <v>0.5342</v>
      </c>
      <c r="DD15" s="183" t="n"/>
      <c r="DE15" s="185" t="n"/>
      <c r="DF15" s="13" t="n"/>
      <c r="DG15" s="13" t="n"/>
      <c r="DH15" s="13" t="n"/>
      <c r="DI15" s="9" t="n"/>
      <c r="DJ15" s="9" t="n"/>
      <c r="DK15" s="183" t="n">
        <v>0.836</v>
      </c>
      <c r="DL15" s="183">
        <f>C15</f>
        <v/>
      </c>
      <c r="DM15" s="185" t="n"/>
      <c r="DN15" s="13" t="n"/>
      <c r="DO15" s="13" t="n"/>
      <c r="DP15" s="13" t="n"/>
      <c r="DQ15" s="9" t="n"/>
      <c r="DR15" s="9" t="n"/>
      <c r="DS15" s="183" t="n">
        <v>0.922</v>
      </c>
      <c r="DT15" s="183" t="n"/>
      <c r="DU15" s="185" t="n"/>
      <c r="DV15" s="13" t="n"/>
      <c r="DW15" s="13" t="n"/>
      <c r="DX15" s="13" t="n"/>
      <c r="DY15" s="9" t="n"/>
      <c r="DZ15" s="9" t="n"/>
      <c r="EA15" s="183" t="n">
        <v>1.422</v>
      </c>
      <c r="EB15" s="183" t="n"/>
      <c r="EC15" s="185" t="n"/>
      <c r="ED15" s="13" t="n"/>
      <c r="EE15" s="13" t="n"/>
      <c r="EF15" s="13" t="n"/>
      <c r="EG15" s="9" t="n"/>
      <c r="EH15" s="9" t="n"/>
      <c r="EI15" s="183" t="n">
        <v>1.436</v>
      </c>
      <c r="EJ15" s="183" t="n"/>
      <c r="EK15" s="185" t="n"/>
      <c r="EL15" s="13" t="n"/>
      <c r="EM15" s="13" t="n"/>
      <c r="EN15" s="13" t="n"/>
      <c r="EO15" s="9" t="n"/>
      <c r="EP15" s="9" t="n"/>
      <c r="EQ15" s="183" t="n">
        <v>0.947</v>
      </c>
      <c r="ER15" s="183" t="n"/>
      <c r="ES15" s="187" t="n"/>
      <c r="ET15" s="13" t="n"/>
      <c r="EU15" s="13" t="n"/>
      <c r="EV15" s="13" t="n"/>
      <c r="EW15" s="9" t="n"/>
      <c r="EX15" s="9" t="n"/>
      <c r="EY15" s="183" t="n">
        <v>1.061</v>
      </c>
      <c r="EZ15" s="183" t="n"/>
      <c r="FA15" s="185" t="n"/>
      <c r="FB15" s="13" t="n"/>
      <c r="FC15" s="13" t="n"/>
      <c r="FD15" s="13" t="n"/>
      <c r="FE15" s="9" t="n"/>
      <c r="FF15" s="9" t="n"/>
      <c r="FG15" s="9" t="n">
        <v>1.1775</v>
      </c>
      <c r="FH15" s="183" t="n"/>
      <c r="FI15" s="185" t="n"/>
      <c r="FJ15" s="13" t="n"/>
      <c r="FK15" s="13" t="n"/>
      <c r="FL15" s="13" t="n"/>
      <c r="FM15" s="185" t="n"/>
      <c r="FN15" s="185" t="n"/>
      <c r="FO15" s="183" t="n">
        <v>0.885</v>
      </c>
      <c r="FP15" s="183" t="n"/>
      <c r="FQ15" s="185" t="n"/>
      <c r="FR15" s="13" t="n"/>
      <c r="FS15" s="13" t="n"/>
      <c r="FT15" s="13" t="n"/>
      <c r="FU15" s="9" t="n"/>
      <c r="FV15" s="9" t="n"/>
      <c r="FW15" s="183" t="n">
        <v>0.334</v>
      </c>
      <c r="FX15" s="183" t="n"/>
      <c r="FY15" s="185" t="n"/>
      <c r="FZ15" s="13" t="n"/>
      <c r="GA15" s="13" t="n"/>
      <c r="GB15" s="13" t="n"/>
      <c r="GC15" s="9" t="n"/>
      <c r="GD15" s="9" t="n"/>
      <c r="GE15" s="183" t="n">
        <v>0.376</v>
      </c>
      <c r="GF15" s="183" t="n"/>
      <c r="GG15" s="185" t="n"/>
      <c r="GH15" s="13" t="n"/>
      <c r="GI15" s="13" t="n"/>
      <c r="GJ15" s="13" t="n"/>
      <c r="GK15" s="9" t="n"/>
      <c r="GL15" s="9" t="n"/>
      <c r="GM15" s="183" t="n">
        <v>0.7917</v>
      </c>
      <c r="GN15" s="183" t="n"/>
      <c r="GO15" s="185" t="n"/>
      <c r="GP15" s="13" t="n"/>
      <c r="GQ15" s="13" t="n"/>
      <c r="GR15" s="13" t="n"/>
      <c r="GS15" s="9" t="n"/>
      <c r="GT15" s="9" t="n"/>
      <c r="GU15" s="183" t="n">
        <v>0.717</v>
      </c>
      <c r="GV15" s="183" t="n"/>
      <c r="GW15" s="185" t="n"/>
      <c r="GX15" s="13" t="n"/>
      <c r="GY15" s="13" t="n"/>
      <c r="GZ15" s="13" t="n"/>
      <c r="HA15" s="9" t="n"/>
      <c r="HB15" s="9" t="n"/>
      <c r="HC15" s="183" t="n">
        <v>0.7289</v>
      </c>
      <c r="HD15" s="183" t="n"/>
      <c r="HE15" s="185" t="n"/>
      <c r="HF15" s="13" t="n"/>
      <c r="HG15" s="13" t="n"/>
      <c r="HH15" s="13" t="n"/>
      <c r="HI15" s="185" t="n"/>
      <c r="HJ15" s="9" t="n"/>
      <c r="HK15" s="183" t="n">
        <v>1.015</v>
      </c>
      <c r="HL15" s="183" t="n"/>
      <c r="HM15" s="185" t="n"/>
      <c r="HN15" s="13" t="n"/>
      <c r="HO15" s="13" t="n"/>
      <c r="HP15" s="13" t="n"/>
      <c r="HQ15" s="9" t="n"/>
      <c r="HR15" s="9" t="n"/>
      <c r="HS15" s="183" t="n">
        <v>0.5142</v>
      </c>
      <c r="HT15" s="183" t="n"/>
      <c r="HU15" s="185" t="n"/>
      <c r="HV15" s="13" t="n"/>
      <c r="HW15" s="13" t="n"/>
      <c r="HX15" s="13" t="n"/>
      <c r="HY15" s="9" t="n"/>
      <c r="HZ15" s="9" t="n"/>
      <c r="IA15" s="183" t="n">
        <v>1.166</v>
      </c>
      <c r="IB15" s="183" t="n"/>
      <c r="IC15" s="185" t="n"/>
      <c r="ID15" s="13" t="n"/>
      <c r="IE15" s="13" t="n"/>
      <c r="IF15" s="13" t="n"/>
      <c r="IG15" s="185" t="n"/>
      <c r="IH15" s="9" t="n"/>
      <c r="II15" s="183" t="n">
        <v>1.028</v>
      </c>
      <c r="IJ15" s="183" t="n"/>
      <c r="IK15" s="185" t="n"/>
      <c r="IL15" s="13" t="n"/>
      <c r="IM15" s="13" t="n"/>
      <c r="IN15" s="13" t="n"/>
      <c r="IO15" s="9" t="n"/>
      <c r="IP15" s="9" t="n"/>
      <c r="IQ15" s="183" t="n">
        <v>1.501</v>
      </c>
      <c r="IR15" s="183" t="n"/>
      <c r="IS15" s="185" t="n"/>
      <c r="IT15" s="13" t="n"/>
      <c r="IU15" s="13" t="n"/>
      <c r="IV15" s="13" t="n"/>
      <c r="IW15" s="9" t="n"/>
      <c r="IX15" s="9" t="n"/>
      <c r="IY15" s="183" t="n">
        <v>1.013</v>
      </c>
      <c r="IZ15" s="183" t="n"/>
      <c r="JA15" s="185" t="n"/>
      <c r="JB15" s="13" t="n"/>
      <c r="JC15" s="13" t="n"/>
      <c r="JD15" s="13" t="n"/>
      <c r="JE15" s="9" t="n"/>
      <c r="JF15" s="9" t="n"/>
      <c r="JG15" s="183" t="n">
        <v>0.849</v>
      </c>
      <c r="JH15" s="183" t="n"/>
      <c r="JI15" s="185" t="n"/>
      <c r="JJ15" s="13" t="n"/>
      <c r="JK15" s="13" t="n"/>
      <c r="JL15" s="13" t="n"/>
      <c r="JM15" s="9" t="n"/>
      <c r="JN15" s="9" t="n"/>
      <c r="JO15" s="9" t="n">
        <v>0.5658</v>
      </c>
      <c r="JP15" s="183" t="n"/>
      <c r="JQ15" s="185" t="n"/>
      <c r="JR15" s="13" t="n"/>
      <c r="JS15" s="13" t="n"/>
      <c r="JT15" s="13" t="n"/>
      <c r="JU15" s="9" t="n"/>
      <c r="JV15" s="9" t="n"/>
      <c r="JW15" s="185" t="n">
        <v>1.624</v>
      </c>
      <c r="JX15" s="183" t="n"/>
      <c r="JY15" s="185" t="n"/>
      <c r="JZ15" s="13" t="n"/>
      <c r="KA15" s="13" t="n"/>
      <c r="KB15" s="13" t="n"/>
      <c r="KC15" s="9" t="n"/>
      <c r="KD15" s="9" t="n"/>
      <c r="KE15" s="185" t="n">
        <v>1.352</v>
      </c>
      <c r="KF15" s="183" t="n"/>
      <c r="KG15" s="185" t="n"/>
      <c r="KH15" s="13" t="n"/>
      <c r="KI15" s="13" t="n"/>
      <c r="KJ15" s="13" t="n"/>
      <c r="KK15" s="185" t="n"/>
      <c r="KL15" s="185" t="n"/>
      <c r="KM15" s="183" t="n">
        <v>0.487</v>
      </c>
      <c r="KN15" s="183" t="n"/>
      <c r="KO15" s="185" t="n"/>
      <c r="KP15" s="13" t="n"/>
      <c r="KQ15" s="13" t="n"/>
      <c r="KR15" s="13" t="n"/>
      <c r="KS15" s="9" t="n"/>
      <c r="KT15" s="9" t="n"/>
      <c r="KU15" s="183" t="n">
        <v>0.6379</v>
      </c>
      <c r="KV15" s="183" t="n"/>
      <c r="KW15" s="185" t="n"/>
      <c r="KX15" s="13" t="n"/>
      <c r="KY15" s="13" t="n"/>
      <c r="KZ15" s="13" t="n"/>
      <c r="LA15" s="185" t="n"/>
      <c r="LB15" s="9" t="n"/>
      <c r="LC15" s="183" t="n">
        <v>1.498</v>
      </c>
      <c r="LD15" s="183" t="n"/>
      <c r="LE15" s="185" t="n"/>
      <c r="LF15" s="13" t="n"/>
      <c r="LG15" s="13" t="n"/>
      <c r="LH15" s="13" t="n"/>
      <c r="LI15" s="9" t="n"/>
      <c r="LJ15" s="9" t="n"/>
      <c r="LK15" s="183" t="n">
        <v>0.415</v>
      </c>
      <c r="LL15" s="183" t="n"/>
      <c r="LM15" s="185" t="n"/>
      <c r="LN15" s="13" t="n"/>
      <c r="LO15" s="13" t="n"/>
      <c r="LP15" s="13" t="n"/>
      <c r="LQ15" s="9" t="n"/>
      <c r="LR15" s="9" t="n"/>
      <c r="LS15" s="183" t="n">
        <v>0.6545</v>
      </c>
      <c r="LT15" s="183" t="n"/>
      <c r="LU15" s="185" t="n"/>
      <c r="LV15" s="13" t="n"/>
      <c r="LW15" s="13" t="n"/>
      <c r="LX15" s="13" t="n"/>
      <c r="LY15" s="9" t="n"/>
      <c r="LZ15" s="9" t="n"/>
      <c r="MA15" s="183" t="n">
        <v>1.205</v>
      </c>
      <c r="MB15" s="183" t="n"/>
      <c r="MC15" s="185" t="n"/>
      <c r="MD15" s="13" t="n"/>
      <c r="ME15" s="13" t="n"/>
      <c r="MF15" s="13" t="n"/>
      <c r="MG15" s="9" t="n"/>
      <c r="MH15" s="9" t="n"/>
      <c r="MJ15" s="0" t="n">
        <v>0.8377</v>
      </c>
      <c r="MK15" s="183" t="n"/>
      <c r="ML15" s="187" t="n"/>
      <c r="MM15" s="13" t="n"/>
      <c r="MN15" s="13" t="n"/>
      <c r="MO15" s="13" t="n"/>
      <c r="MP15" s="9" t="n"/>
      <c r="MQ15" s="185" t="n"/>
      <c r="MR15" s="185" t="n"/>
      <c r="MS15" s="0" t="n">
        <v>1.379</v>
      </c>
      <c r="MT15" s="183" t="n"/>
      <c r="MU15" s="187" t="n"/>
      <c r="MV15" s="188" t="n"/>
      <c r="NB15" s="0" t="n">
        <v>1.228</v>
      </c>
      <c r="NC15" s="183" t="n"/>
      <c r="ND15" s="187" t="n"/>
      <c r="NE15" s="188" t="n"/>
      <c r="NL15" s="0" t="n">
        <v>1.201</v>
      </c>
      <c r="NM15" s="183" t="n"/>
      <c r="NN15" s="187" t="n"/>
      <c r="NT15" s="183" t="n">
        <v>0.951</v>
      </c>
      <c r="NU15" s="183" t="n"/>
      <c r="NV15" s="187" t="n"/>
      <c r="NW15" s="188" t="n"/>
      <c r="NZ15" s="185" t="n"/>
      <c r="OA15" s="185" t="n"/>
      <c r="OB15" s="183" t="n">
        <v>110</v>
      </c>
      <c r="OC15" s="183" t="n"/>
      <c r="OD15" s="185" t="n"/>
      <c r="OE15" s="13" t="n"/>
      <c r="OF15" s="13" t="n"/>
      <c r="OG15" s="13" t="n"/>
      <c r="OH15" s="9" t="n"/>
      <c r="OI15" s="9" t="n"/>
      <c r="OJ15" s="183" t="n">
        <v>135.356</v>
      </c>
      <c r="OK15" s="183" t="n"/>
      <c r="OL15" s="185" t="n"/>
      <c r="OM15" s="13" t="n"/>
      <c r="ON15" s="13" t="n"/>
      <c r="OO15" s="13" t="n"/>
      <c r="OP15" s="9" t="n"/>
      <c r="OQ15" s="9" t="n"/>
      <c r="OS15" s="0" t="n">
        <v>2.1329</v>
      </c>
      <c r="OT15" s="25" t="n"/>
      <c r="OU15" s="187" t="n"/>
    </row>
    <row r="16" ht="17" customFormat="1" customHeight="1" s="9">
      <c r="A16" s="9" t="inlineStr">
        <is>
          <t>资金流动</t>
        </is>
      </c>
      <c r="B16" s="9" t="n">
        <v>104.984784</v>
      </c>
      <c r="C16" s="9" t="n"/>
      <c r="D16" s="119" t="n"/>
      <c r="E16" s="20" t="n"/>
      <c r="F16" s="20" t="n"/>
      <c r="G16" s="20" t="n"/>
      <c r="H16" s="5" t="n"/>
      <c r="I16" s="114" t="n"/>
      <c r="J16" s="114" t="n">
        <v>50.509926</v>
      </c>
      <c r="K16" s="114" t="n"/>
      <c r="L16" s="114" t="n"/>
      <c r="M16" s="114" t="n"/>
      <c r="N16" s="114" t="n"/>
      <c r="O16" s="114" t="n"/>
      <c r="P16" s="5" t="n"/>
      <c r="Q16" s="114" t="n"/>
      <c r="R16" s="114" t="n">
        <v>0.284031</v>
      </c>
      <c r="S16" s="114" t="n"/>
      <c r="T16" s="114" t="n"/>
      <c r="U16" s="114" t="n"/>
      <c r="V16" s="114" t="n"/>
      <c r="W16" s="114" t="n"/>
      <c r="X16" s="5" t="n"/>
      <c r="Y16" s="114" t="n"/>
      <c r="Z16" s="114" t="n">
        <v>58.503924</v>
      </c>
      <c r="AA16" s="114" t="n"/>
      <c r="AB16" s="114" t="n"/>
      <c r="AC16" s="114" t="n"/>
      <c r="AD16" s="114" t="n"/>
      <c r="AE16" s="114" t="n"/>
      <c r="AF16" s="5" t="n"/>
      <c r="AG16" s="114" t="n"/>
      <c r="AH16" s="114" t="n">
        <v>32.79432</v>
      </c>
      <c r="AI16" s="114" t="n"/>
      <c r="AJ16" s="114" t="n"/>
      <c r="AK16" s="114" t="n"/>
      <c r="AL16" s="114" t="n"/>
      <c r="AM16" s="114" t="n"/>
      <c r="AN16" s="5" t="n"/>
      <c r="AO16" s="5" t="n"/>
      <c r="AP16" s="114" t="n">
        <v>63.602428</v>
      </c>
      <c r="AQ16" s="114" t="n"/>
      <c r="AR16" s="114" t="n"/>
      <c r="AS16" s="114" t="n"/>
      <c r="AT16" s="114" t="n"/>
      <c r="AU16" s="114" t="n"/>
      <c r="AV16" s="5" t="n"/>
      <c r="AW16" s="5" t="n"/>
      <c r="AX16" s="5" t="n"/>
      <c r="AY16" s="119" t="n">
        <v>9.418644</v>
      </c>
      <c r="AZ16" s="114" t="n"/>
      <c r="BA16" s="114" t="n"/>
      <c r="BB16" s="119" t="n"/>
      <c r="BC16" s="114" t="n"/>
      <c r="BD16" s="114" t="n"/>
      <c r="BE16" s="5" t="n"/>
      <c r="BF16" s="5" t="n"/>
      <c r="BG16" s="117" t="n">
        <v>-0.954756</v>
      </c>
      <c r="BH16" s="183" t="n"/>
      <c r="BI16" s="183" t="n"/>
      <c r="BJ16" s="184" t="n"/>
      <c r="BK16" s="184" t="n"/>
      <c r="BL16" s="184" t="n"/>
      <c r="BM16" s="117" t="n"/>
      <c r="BN16" s="9" t="n"/>
      <c r="BO16" s="183" t="n">
        <v>0.410982</v>
      </c>
      <c r="BP16" s="183" t="n"/>
      <c r="BQ16" s="185" t="n"/>
      <c r="BR16" s="13" t="n"/>
      <c r="BS16" s="13" t="n"/>
      <c r="BT16" s="13" t="n"/>
      <c r="BU16" s="9" t="n"/>
      <c r="BV16" s="9" t="n"/>
      <c r="BW16" s="183" t="n">
        <v>-0.84609</v>
      </c>
      <c r="BX16" s="183" t="n"/>
      <c r="BY16" s="185" t="n"/>
      <c r="BZ16" s="13" t="n"/>
      <c r="CA16" s="13" t="n"/>
      <c r="CB16" s="13" t="n"/>
      <c r="CC16" s="9" t="n"/>
      <c r="CD16" s="185" t="n"/>
      <c r="CE16" s="183" t="n">
        <v>-1.53161</v>
      </c>
      <c r="CF16" s="183" t="n"/>
      <c r="CG16" s="185" t="n"/>
      <c r="CH16" s="13" t="n"/>
      <c r="CI16" s="13" t="n"/>
      <c r="CJ16" s="13" t="n"/>
      <c r="CK16" s="9" t="n"/>
      <c r="CL16" s="185" t="n"/>
      <c r="CM16" s="183" t="n">
        <v>-0.2295</v>
      </c>
      <c r="CN16" s="183" t="n"/>
      <c r="CO16" s="185" t="n"/>
      <c r="CP16" s="13" t="n"/>
      <c r="CQ16" s="13" t="n"/>
      <c r="CR16" s="13" t="n"/>
      <c r="CS16" s="185" t="n"/>
      <c r="CT16" s="185" t="n"/>
      <c r="CU16" s="183" t="n">
        <v>-2.0808</v>
      </c>
      <c r="CV16" s="183" t="n"/>
      <c r="CW16" s="185" t="n"/>
      <c r="CX16" s="13" t="n"/>
      <c r="CY16" s="13" t="n"/>
      <c r="CZ16" s="13" t="n"/>
      <c r="DA16" s="9" t="n"/>
      <c r="DB16" s="9" t="n"/>
      <c r="DC16" s="186" t="n">
        <v>-8.413650000000001</v>
      </c>
      <c r="DD16" s="183" t="n"/>
      <c r="DE16" s="185" t="n"/>
      <c r="DF16" s="13" t="n"/>
      <c r="DG16" s="13" t="n"/>
      <c r="DH16" s="13" t="n"/>
      <c r="DI16" s="9" t="n"/>
      <c r="DJ16" s="9" t="n"/>
      <c r="DK16" s="183" t="n">
        <v>1.5048</v>
      </c>
      <c r="DL16" s="183" t="n"/>
      <c r="DM16" s="185" t="n"/>
      <c r="DN16" s="13" t="n"/>
      <c r="DO16" s="13" t="n"/>
      <c r="DP16" s="13" t="n"/>
      <c r="DQ16" s="9" t="n"/>
      <c r="DR16" s="9" t="n"/>
      <c r="DS16" s="183" t="n">
        <v>-1.99152</v>
      </c>
      <c r="DT16" s="183" t="n"/>
      <c r="DU16" s="185" t="n"/>
      <c r="DV16" s="13" t="n"/>
      <c r="DW16" s="13" t="n"/>
      <c r="DX16" s="13" t="n"/>
      <c r="DY16" s="9" t="n"/>
      <c r="DZ16" s="9" t="n"/>
      <c r="EA16" s="183" t="n">
        <v>39.2472</v>
      </c>
      <c r="EB16" s="183" t="n"/>
      <c r="EC16" s="185" t="n"/>
      <c r="ED16" s="13" t="n"/>
      <c r="EE16" s="13" t="n"/>
      <c r="EF16" s="13" t="n"/>
      <c r="EG16" s="9" t="n"/>
      <c r="EH16" s="9" t="n"/>
      <c r="EI16" s="183" t="n">
        <v>1.37856</v>
      </c>
      <c r="EJ16" s="183" t="n"/>
      <c r="EK16" s="185" t="n"/>
      <c r="EL16" s="13" t="n"/>
      <c r="EM16" s="13" t="n"/>
      <c r="EN16" s="13" t="n"/>
      <c r="EO16" s="9" t="n"/>
      <c r="EP16" s="9" t="n"/>
      <c r="EQ16" s="183" t="n">
        <v>-0.24622</v>
      </c>
      <c r="ER16" s="183" t="n"/>
      <c r="ES16" s="187" t="n"/>
      <c r="ET16" s="13" t="n"/>
      <c r="EU16" s="13" t="n"/>
      <c r="EV16" s="13" t="n"/>
      <c r="EW16" s="9" t="n"/>
      <c r="EX16" s="9" t="n"/>
      <c r="EY16" s="183" t="n">
        <v>0.23342</v>
      </c>
      <c r="EZ16" s="183" t="n"/>
      <c r="FA16" s="185" t="n"/>
      <c r="FB16" s="13" t="n"/>
      <c r="FC16" s="13" t="n"/>
      <c r="FD16" s="13" t="n"/>
      <c r="FE16" s="9" t="n"/>
      <c r="FF16" s="9" t="n"/>
      <c r="FG16" s="9" t="n">
        <v>0.058875</v>
      </c>
      <c r="FH16" s="183" t="n"/>
      <c r="FI16" s="185" t="n"/>
      <c r="FJ16" s="13" t="n"/>
      <c r="FK16" s="13" t="n"/>
      <c r="FL16" s="13" t="n"/>
      <c r="FM16" s="185" t="n"/>
      <c r="FN16" s="185" t="n"/>
      <c r="FO16" s="183" t="n">
        <v>2.84085</v>
      </c>
      <c r="FP16" s="183" t="n"/>
      <c r="FQ16" s="185" t="n"/>
      <c r="FR16" s="13" t="n"/>
      <c r="FS16" s="13" t="n"/>
      <c r="FT16" s="13" t="n"/>
      <c r="FU16" s="9" t="n"/>
      <c r="FV16" s="9" t="n"/>
      <c r="FW16" s="183" t="n">
        <v>-0.64796</v>
      </c>
      <c r="FX16" s="183" t="n"/>
      <c r="FY16" s="185" t="n"/>
      <c r="FZ16" s="13" t="n"/>
      <c r="GA16" s="13" t="n"/>
      <c r="GB16" s="13" t="n"/>
      <c r="GC16" s="9" t="n"/>
      <c r="GD16" s="9" t="n"/>
      <c r="GE16" s="183" t="n">
        <v>-0.54896</v>
      </c>
      <c r="GF16" s="183" t="n"/>
      <c r="GG16" s="185" t="n"/>
      <c r="GH16" s="13" t="n"/>
      <c r="GI16" s="13" t="n"/>
      <c r="GJ16" s="13" t="n"/>
      <c r="GK16" s="9" t="n"/>
      <c r="GL16" s="9" t="n"/>
      <c r="GM16" s="183" t="n">
        <v>-0.085504</v>
      </c>
      <c r="GN16" s="183" t="n"/>
      <c r="GO16" s="185" t="n"/>
      <c r="GP16" s="13" t="n"/>
      <c r="GQ16" s="13" t="n"/>
      <c r="GR16" s="13" t="n"/>
      <c r="GS16" s="9" t="n"/>
      <c r="GT16" s="9" t="n"/>
      <c r="GU16" s="183" t="n">
        <v>-0.15774</v>
      </c>
      <c r="GV16" s="183" t="n"/>
      <c r="GW16" s="185" t="n"/>
      <c r="GX16" s="13" t="n"/>
      <c r="GY16" s="13" t="n"/>
      <c r="GZ16" s="13" t="n"/>
      <c r="HA16" s="9" t="n"/>
      <c r="HB16" s="9" t="n"/>
      <c r="HC16" s="183" t="n">
        <v>0.160358</v>
      </c>
      <c r="HD16" s="183" t="n"/>
      <c r="HE16" s="185" t="n"/>
      <c r="HF16" s="13" t="n"/>
      <c r="HG16" s="13" t="n"/>
      <c r="HH16" s="13" t="n"/>
      <c r="HI16" s="185" t="n"/>
      <c r="HJ16" s="9" t="n"/>
      <c r="HK16" s="183" t="n">
        <v>0.01015</v>
      </c>
      <c r="HL16" s="183" t="n"/>
      <c r="HM16" s="185" t="n"/>
      <c r="HN16" s="13" t="n"/>
      <c r="HO16" s="13" t="n"/>
      <c r="HP16" s="13" t="n"/>
      <c r="HQ16" s="9" t="n"/>
      <c r="HR16" s="9" t="n"/>
      <c r="HS16" s="183" t="n">
        <v>-0.20568</v>
      </c>
      <c r="HT16" s="183" t="n"/>
      <c r="HU16" s="185" t="n"/>
      <c r="HV16" s="13" t="n"/>
      <c r="HW16" s="13" t="n"/>
      <c r="HX16" s="13" t="n"/>
      <c r="HY16" s="9" t="n"/>
      <c r="HZ16" s="9" t="n"/>
      <c r="IA16" s="183" t="n">
        <v>0.055385</v>
      </c>
      <c r="IB16" s="183" t="n"/>
      <c r="IC16" s="185" t="n"/>
      <c r="ID16" s="13" t="n"/>
      <c r="IE16" s="13" t="n"/>
      <c r="IF16" s="13" t="n"/>
      <c r="IG16" s="185" t="n"/>
      <c r="IH16" s="9" t="n"/>
      <c r="II16" s="183" t="n">
        <v>-0.8224</v>
      </c>
      <c r="IJ16" s="183" t="n"/>
      <c r="IK16" s="185" t="n"/>
      <c r="IL16" s="13" t="n"/>
      <c r="IM16" s="13" t="n"/>
      <c r="IN16" s="13" t="n"/>
      <c r="IO16" s="9" t="n"/>
      <c r="IP16" s="9" t="n"/>
      <c r="IQ16" s="183" t="n">
        <v>-0.06004</v>
      </c>
      <c r="IR16" s="183" t="n"/>
      <c r="IS16" s="185" t="n"/>
      <c r="IT16" s="13" t="n"/>
      <c r="IU16" s="13" t="n"/>
      <c r="IV16" s="13" t="n"/>
      <c r="IW16" s="9" t="n"/>
      <c r="IX16" s="9" t="n"/>
      <c r="IY16" s="183" t="n">
        <v>-1.78288</v>
      </c>
      <c r="IZ16" s="183" t="n"/>
      <c r="JA16" s="185" t="n"/>
      <c r="JB16" s="13" t="n"/>
      <c r="JC16" s="13" t="n"/>
      <c r="JD16" s="13" t="n"/>
      <c r="JE16" s="9" t="n"/>
      <c r="JF16" s="9" t="n"/>
      <c r="JG16" s="183" t="n">
        <v>2.256642</v>
      </c>
      <c r="JH16" s="183" t="n"/>
      <c r="JI16" s="185" t="n"/>
      <c r="JJ16" s="13" t="n"/>
      <c r="JK16" s="13" t="n"/>
      <c r="JL16" s="13" t="n"/>
      <c r="JM16" s="9" t="n"/>
      <c r="JN16" s="9" t="n"/>
      <c r="JO16" s="9" t="n">
        <v>0.345138</v>
      </c>
      <c r="JP16" s="183" t="n"/>
      <c r="JQ16" s="185" t="n"/>
      <c r="JR16" s="13" t="n"/>
      <c r="JS16" s="13" t="n"/>
      <c r="JT16" s="13" t="n"/>
      <c r="JU16" s="9" t="n"/>
      <c r="JV16" s="9" t="n"/>
      <c r="JW16" s="185" t="n">
        <v>0.03248</v>
      </c>
      <c r="JX16" s="183" t="n"/>
      <c r="JY16" s="185" t="n"/>
      <c r="JZ16" s="13" t="n"/>
      <c r="KA16" s="13" t="n"/>
      <c r="KB16" s="13" t="n"/>
      <c r="KC16" s="9" t="n"/>
      <c r="KD16" s="9" t="n"/>
      <c r="KE16" s="185" t="n">
        <v>0</v>
      </c>
      <c r="KF16" s="183" t="n"/>
      <c r="KG16" s="185" t="n"/>
      <c r="KH16" s="13" t="n"/>
      <c r="KI16" s="13" t="n"/>
      <c r="KJ16" s="13" t="n"/>
      <c r="KK16" s="185" t="n"/>
      <c r="KL16" s="185" t="n"/>
      <c r="KM16" s="183" t="n">
        <v>0.00487</v>
      </c>
      <c r="KN16" s="183" t="n"/>
      <c r="KO16" s="185" t="n"/>
      <c r="KP16" s="13" t="n"/>
      <c r="KQ16" s="13" t="n"/>
      <c r="KR16" s="13" t="n"/>
      <c r="KS16" s="9" t="n"/>
      <c r="KT16" s="9" t="n"/>
      <c r="KU16" s="183" t="n">
        <v>0</v>
      </c>
      <c r="KV16" s="183" t="n"/>
      <c r="KW16" s="185" t="n"/>
      <c r="KX16" s="13" t="n"/>
      <c r="KY16" s="13" t="n"/>
      <c r="KZ16" s="13" t="n"/>
      <c r="LA16" s="185" t="n"/>
      <c r="LB16" s="9" t="n"/>
      <c r="LC16" s="183" t="n">
        <v>0.05243</v>
      </c>
      <c r="LD16" s="183" t="n"/>
      <c r="LE16" s="185" t="n"/>
      <c r="LF16" s="13" t="n"/>
      <c r="LG16" s="13" t="n"/>
      <c r="LH16" s="13" t="n"/>
      <c r="LI16" s="9" t="n"/>
      <c r="LJ16" s="9" t="n"/>
      <c r="LK16" s="183" t="n">
        <v>-0.73953</v>
      </c>
      <c r="LL16" s="183" t="n"/>
      <c r="LM16" s="185" t="n"/>
      <c r="LN16" s="13" t="n"/>
      <c r="LO16" s="13" t="n"/>
      <c r="LP16" s="13" t="n"/>
      <c r="LQ16" s="9" t="n"/>
      <c r="LR16" s="9" t="n"/>
      <c r="LS16" s="183" t="n">
        <v>2.27766</v>
      </c>
      <c r="LT16" s="183" t="n"/>
      <c r="LU16" s="185" t="n"/>
      <c r="LV16" s="13" t="n"/>
      <c r="LW16" s="13" t="n"/>
      <c r="LX16" s="13" t="n"/>
      <c r="LY16" s="9" t="n"/>
      <c r="LZ16" s="9" t="n"/>
      <c r="MA16" s="183" t="n">
        <v>-5.175475</v>
      </c>
      <c r="MB16" s="183" t="n"/>
      <c r="MC16" s="185" t="n"/>
      <c r="MD16" s="13" t="n"/>
      <c r="ME16" s="13" t="n"/>
      <c r="MF16" s="13" t="n"/>
      <c r="MG16" s="9" t="n"/>
      <c r="MH16" s="9" t="n"/>
      <c r="MJ16" s="0" t="n">
        <v>0.271415</v>
      </c>
      <c r="MK16" s="183" t="n"/>
      <c r="ML16" s="187" t="n"/>
      <c r="MM16" s="13" t="n"/>
      <c r="MN16" s="13" t="n"/>
      <c r="MO16" s="13" t="n"/>
      <c r="MP16" s="9" t="n"/>
      <c r="MQ16" s="185" t="n"/>
      <c r="MR16" s="185" t="n"/>
      <c r="MS16" s="0" t="n">
        <v>-0.01379</v>
      </c>
      <c r="MT16" s="183" t="n"/>
      <c r="MU16" s="187" t="n"/>
      <c r="MV16" s="188" t="n"/>
      <c r="NB16" s="0" t="n">
        <v>0</v>
      </c>
      <c r="NC16" s="183" t="n"/>
      <c r="ND16" s="187" t="n"/>
      <c r="NE16" s="188" t="n"/>
      <c r="NL16" s="0" t="n">
        <v>5.02018</v>
      </c>
      <c r="NM16" s="183" t="n"/>
      <c r="NN16" s="187" t="n"/>
      <c r="NT16" s="183" t="n">
        <v>-0.08559</v>
      </c>
      <c r="NU16" s="183" t="n"/>
      <c r="NV16" s="187" t="n"/>
      <c r="NW16" s="188" t="n"/>
      <c r="NZ16" s="185" t="n"/>
      <c r="OA16" s="185" t="n"/>
      <c r="OB16" s="183" t="n">
        <v>3.19</v>
      </c>
      <c r="OC16" s="183" t="n"/>
      <c r="OD16" s="185" t="n"/>
      <c r="OE16" s="13" t="n"/>
      <c r="OF16" s="13" t="n"/>
      <c r="OG16" s="13" t="n"/>
      <c r="OH16" s="9" t="n"/>
      <c r="OI16" s="9" t="n"/>
      <c r="OJ16" s="183" t="n">
        <v>0.717387</v>
      </c>
      <c r="OK16" s="183" t="n"/>
      <c r="OL16" s="185" t="n"/>
      <c r="OM16" s="13" t="n"/>
      <c r="ON16" s="13" t="n"/>
      <c r="OO16" s="13" t="n"/>
      <c r="OP16" s="9" t="n"/>
      <c r="OQ16" s="9" t="n"/>
      <c r="OS16" s="0" t="n">
        <v>0.025595</v>
      </c>
      <c r="OT16" s="25" t="n"/>
      <c r="OU16" s="24" t="n"/>
    </row>
    <row r="17" ht="17" customFormat="1" customHeight="1" s="9">
      <c r="D17" s="119" t="n"/>
      <c r="E17" s="20" t="n"/>
      <c r="F17" s="20" t="n"/>
      <c r="G17" s="20" t="n"/>
      <c r="H17" s="5" t="n"/>
      <c r="I17" s="114" t="n"/>
      <c r="J17" s="114" t="n"/>
      <c r="K17" s="114" t="n"/>
      <c r="L17" s="114" t="n"/>
      <c r="M17" s="114" t="n"/>
      <c r="N17" s="114" t="n"/>
      <c r="O17" s="114" t="n"/>
      <c r="P17" s="5" t="n"/>
      <c r="Q17" s="114" t="n"/>
      <c r="R17" s="114" t="n"/>
      <c r="S17" s="114" t="n"/>
      <c r="T17" s="114" t="n"/>
      <c r="U17" s="114" t="n"/>
      <c r="V17" s="114" t="n"/>
      <c r="W17" s="114" t="n"/>
      <c r="X17" s="5" t="n"/>
      <c r="Y17" s="114" t="n"/>
      <c r="Z17" s="114" t="n"/>
      <c r="AA17" s="114" t="n"/>
      <c r="AB17" s="114" t="n"/>
      <c r="AC17" s="114" t="n"/>
      <c r="AD17" s="114" t="n"/>
      <c r="AE17" s="114" t="n"/>
      <c r="AF17" s="5" t="n"/>
      <c r="AG17" s="114" t="n"/>
      <c r="AH17" s="114" t="n"/>
      <c r="AI17" s="114" t="n"/>
      <c r="AJ17" s="114" t="n"/>
      <c r="AK17" s="114" t="n"/>
      <c r="AL17" s="114" t="n"/>
      <c r="AM17" s="114" t="n"/>
      <c r="AN17" s="5" t="n"/>
      <c r="AO17" s="5" t="n"/>
      <c r="AP17" s="114" t="n"/>
      <c r="AQ17" s="114" t="n"/>
      <c r="AR17" s="114" t="n"/>
      <c r="AS17" s="114" t="n"/>
      <c r="AT17" s="114" t="n"/>
      <c r="AU17" s="114" t="n"/>
      <c r="AV17" s="5" t="n"/>
      <c r="AW17" s="5" t="n"/>
      <c r="AX17" s="5" t="n"/>
      <c r="AY17" s="119" t="n"/>
      <c r="AZ17" s="114" t="n"/>
      <c r="BA17" s="114" t="n"/>
      <c r="BB17" s="119" t="n"/>
      <c r="BC17" s="114" t="n"/>
      <c r="BD17" s="114" t="n"/>
      <c r="BE17" s="5" t="n"/>
      <c r="BF17" s="5" t="n"/>
      <c r="BG17" s="117" t="n"/>
      <c r="BH17" s="183" t="n"/>
      <c r="BI17" s="183" t="n"/>
      <c r="BJ17" s="184" t="n"/>
      <c r="BK17" s="184" t="n"/>
      <c r="BL17" s="184" t="n"/>
      <c r="BM17" s="117" t="n"/>
      <c r="BN17" s="9" t="n"/>
      <c r="BO17" s="183" t="n"/>
      <c r="BP17" s="183" t="n"/>
      <c r="BQ17" s="185" t="n"/>
      <c r="BR17" s="13" t="n"/>
      <c r="BS17" s="13" t="n"/>
      <c r="BT17" s="13" t="n"/>
      <c r="BU17" s="9" t="n"/>
      <c r="BV17" s="9" t="n"/>
      <c r="BW17" s="183" t="n"/>
      <c r="BX17" s="183" t="n"/>
      <c r="BY17" s="185" t="n"/>
      <c r="BZ17" s="13" t="n"/>
      <c r="CA17" s="13" t="n"/>
      <c r="CB17" s="13" t="n"/>
      <c r="CC17" s="9" t="n"/>
      <c r="CD17" s="185" t="n"/>
      <c r="CE17" s="183" t="n"/>
      <c r="CF17" s="183" t="n"/>
      <c r="CG17" s="185" t="n"/>
      <c r="CH17" s="13" t="n"/>
      <c r="CI17" s="13" t="n"/>
      <c r="CJ17" s="13" t="n"/>
      <c r="CK17" s="9" t="n"/>
      <c r="CL17" s="185" t="n"/>
      <c r="CM17" s="183" t="n"/>
      <c r="CN17" s="183" t="n"/>
      <c r="CO17" s="185" t="n"/>
      <c r="CP17" s="13" t="n"/>
      <c r="CQ17" s="13" t="n"/>
      <c r="CR17" s="13" t="n"/>
      <c r="CS17" s="185" t="n"/>
      <c r="CT17" s="185" t="n"/>
      <c r="CU17" s="183" t="n"/>
      <c r="CV17" s="183" t="n"/>
      <c r="CW17" s="185" t="n"/>
      <c r="CX17" s="13" t="n"/>
      <c r="CY17" s="13" t="n"/>
      <c r="CZ17" s="13" t="n"/>
      <c r="DA17" s="9" t="n"/>
      <c r="DB17" s="9" t="n"/>
      <c r="DC17" s="186" t="n"/>
      <c r="DD17" s="183" t="n"/>
      <c r="DE17" s="185" t="n"/>
      <c r="DF17" s="13" t="n"/>
      <c r="DG17" s="13" t="n"/>
      <c r="DH17" s="13" t="n"/>
      <c r="DI17" s="9" t="n"/>
      <c r="DJ17" s="9" t="n"/>
      <c r="DK17" s="183" t="n"/>
      <c r="DL17" s="183" t="n"/>
      <c r="DM17" s="185" t="n"/>
      <c r="DN17" s="13" t="n"/>
      <c r="DO17" s="13" t="n"/>
      <c r="DP17" s="13" t="n"/>
      <c r="DQ17" s="9" t="n"/>
      <c r="DR17" s="9" t="n"/>
      <c r="DS17" s="183" t="n"/>
      <c r="DT17" s="183" t="n"/>
      <c r="DU17" s="185" t="n"/>
      <c r="DV17" s="13" t="n"/>
      <c r="DW17" s="13" t="n"/>
      <c r="DX17" s="13" t="n"/>
      <c r="DY17" s="9" t="n"/>
      <c r="DZ17" s="9" t="n"/>
      <c r="EA17" s="183" t="n"/>
      <c r="EB17" s="183" t="n"/>
      <c r="EC17" s="185" t="n"/>
      <c r="ED17" s="13" t="n"/>
      <c r="EE17" s="13" t="n"/>
      <c r="EF17" s="13" t="n"/>
      <c r="EG17" s="9" t="n"/>
      <c r="EH17" s="9" t="n"/>
      <c r="EI17" s="183" t="n"/>
      <c r="EJ17" s="183" t="n"/>
      <c r="EK17" s="185" t="n"/>
      <c r="EL17" s="13" t="n"/>
      <c r="EM17" s="13" t="n"/>
      <c r="EN17" s="13" t="n"/>
      <c r="EO17" s="9" t="n"/>
      <c r="EP17" s="9" t="n"/>
      <c r="EQ17" s="183" t="n"/>
      <c r="ER17" s="183" t="n"/>
      <c r="ES17" s="187" t="n"/>
      <c r="ET17" s="13" t="n"/>
      <c r="EU17" s="13" t="n"/>
      <c r="EV17" s="13" t="n"/>
      <c r="EW17" s="9" t="n"/>
      <c r="EX17" s="9" t="n"/>
      <c r="EY17" s="183" t="n"/>
      <c r="EZ17" s="183" t="n"/>
      <c r="FA17" s="185" t="n"/>
      <c r="FB17" s="13" t="n"/>
      <c r="FC17" s="13" t="n"/>
      <c r="FD17" s="13" t="n"/>
      <c r="FE17" s="9" t="n"/>
      <c r="FF17" s="9" t="n"/>
      <c r="FG17" s="9" t="n"/>
      <c r="FH17" s="183" t="n"/>
      <c r="FI17" s="185" t="n"/>
      <c r="FJ17" s="13" t="n"/>
      <c r="FK17" s="13" t="n"/>
      <c r="FL17" s="13" t="n"/>
      <c r="FM17" s="185" t="n"/>
      <c r="FN17" s="185" t="n"/>
      <c r="FO17" s="183" t="n"/>
      <c r="FP17" s="183" t="n"/>
      <c r="FQ17" s="185" t="n"/>
      <c r="FR17" s="13" t="n"/>
      <c r="FS17" s="13" t="n"/>
      <c r="FT17" s="13" t="n"/>
      <c r="FU17" s="9" t="n"/>
      <c r="FV17" s="9" t="n"/>
      <c r="FW17" s="183" t="n"/>
      <c r="FX17" s="183" t="n"/>
      <c r="FY17" s="185" t="n"/>
      <c r="FZ17" s="13" t="n"/>
      <c r="GA17" s="13" t="n"/>
      <c r="GB17" s="13" t="n"/>
      <c r="GC17" s="9" t="n"/>
      <c r="GD17" s="9" t="n"/>
      <c r="GE17" s="183" t="n"/>
      <c r="GF17" s="183" t="n"/>
      <c r="GG17" s="185" t="n"/>
      <c r="GH17" s="13" t="n"/>
      <c r="GI17" s="13" t="n"/>
      <c r="GJ17" s="13" t="n"/>
      <c r="GK17" s="9" t="n"/>
      <c r="GL17" s="9" t="n"/>
      <c r="GM17" s="183" t="n"/>
      <c r="GN17" s="183" t="n"/>
      <c r="GO17" s="185" t="n"/>
      <c r="GP17" s="13" t="n"/>
      <c r="GQ17" s="13" t="n"/>
      <c r="GR17" s="13" t="n"/>
      <c r="GS17" s="9" t="n"/>
      <c r="GT17" s="9" t="n"/>
      <c r="GU17" s="183" t="n"/>
      <c r="GV17" s="183" t="n"/>
      <c r="GW17" s="185" t="n"/>
      <c r="GX17" s="13" t="n"/>
      <c r="GY17" s="13" t="n"/>
      <c r="GZ17" s="13" t="n"/>
      <c r="HA17" s="9" t="n"/>
      <c r="HB17" s="9" t="n"/>
      <c r="HC17" s="183" t="n"/>
      <c r="HD17" s="183" t="n"/>
      <c r="HE17" s="185" t="n"/>
      <c r="HF17" s="13" t="n"/>
      <c r="HG17" s="13" t="n"/>
      <c r="HH17" s="13" t="n"/>
      <c r="HI17" s="185" t="n"/>
      <c r="HJ17" s="9" t="n"/>
      <c r="HK17" s="183" t="n"/>
      <c r="HL17" s="183" t="n"/>
      <c r="HM17" s="185" t="n"/>
      <c r="HN17" s="13" t="n"/>
      <c r="HO17" s="13" t="n"/>
      <c r="HP17" s="13" t="n"/>
      <c r="HQ17" s="9" t="n"/>
      <c r="HR17" s="9" t="n"/>
      <c r="HS17" s="183" t="n"/>
      <c r="HT17" s="183" t="n"/>
      <c r="HU17" s="185" t="n"/>
      <c r="HV17" s="13" t="n"/>
      <c r="HW17" s="13" t="n"/>
      <c r="HX17" s="13" t="n"/>
      <c r="HY17" s="9" t="n"/>
      <c r="HZ17" s="9" t="n"/>
      <c r="IA17" s="183" t="n"/>
      <c r="IB17" s="183" t="n"/>
      <c r="IC17" s="185" t="n"/>
      <c r="ID17" s="13" t="n"/>
      <c r="IE17" s="13" t="n"/>
      <c r="IF17" s="13" t="n"/>
      <c r="IG17" s="185" t="n"/>
      <c r="IH17" s="9" t="n"/>
      <c r="II17" s="183" t="n"/>
      <c r="IJ17" s="183" t="n"/>
      <c r="IK17" s="185" t="n"/>
      <c r="IL17" s="13" t="n"/>
      <c r="IM17" s="13" t="n"/>
      <c r="IN17" s="13" t="n"/>
      <c r="IO17" s="9" t="n"/>
      <c r="IP17" s="9" t="n"/>
      <c r="IQ17" s="183" t="n"/>
      <c r="IR17" s="183" t="n"/>
      <c r="IS17" s="185" t="n"/>
      <c r="IT17" s="13" t="n"/>
      <c r="IU17" s="13" t="n"/>
      <c r="IV17" s="13" t="n"/>
      <c r="IW17" s="9" t="n"/>
      <c r="IX17" s="9" t="n"/>
      <c r="IY17" s="183" t="n"/>
      <c r="IZ17" s="183" t="n"/>
      <c r="JA17" s="185" t="n"/>
      <c r="JB17" s="13" t="n"/>
      <c r="JC17" s="13" t="n"/>
      <c r="JD17" s="13" t="n"/>
      <c r="JE17" s="9" t="n"/>
      <c r="JF17" s="9" t="n"/>
      <c r="JG17" s="183" t="n"/>
      <c r="JH17" s="183" t="n"/>
      <c r="JI17" s="185" t="n"/>
      <c r="JJ17" s="13" t="n"/>
      <c r="JK17" s="13" t="n"/>
      <c r="JL17" s="13" t="n"/>
      <c r="JM17" s="9" t="n"/>
      <c r="JN17" s="9" t="n"/>
      <c r="JO17" s="9" t="n"/>
      <c r="JP17" s="183" t="n"/>
      <c r="JQ17" s="185" t="n"/>
      <c r="JR17" s="13" t="n"/>
      <c r="JS17" s="13" t="n"/>
      <c r="JT17" s="13" t="n"/>
      <c r="JU17" s="9" t="n"/>
      <c r="JV17" s="9" t="n"/>
      <c r="JW17" s="185" t="n"/>
      <c r="JX17" s="183" t="n"/>
      <c r="JY17" s="185" t="n"/>
      <c r="JZ17" s="13" t="n"/>
      <c r="KA17" s="13" t="n"/>
      <c r="KB17" s="13" t="n"/>
      <c r="KC17" s="9" t="n"/>
      <c r="KD17" s="9" t="n"/>
      <c r="KE17" s="185" t="n"/>
      <c r="KF17" s="183" t="n"/>
      <c r="KG17" s="185" t="n"/>
      <c r="KH17" s="13" t="n"/>
      <c r="KI17" s="13" t="n"/>
      <c r="KJ17" s="13" t="n"/>
      <c r="KK17" s="185" t="n"/>
      <c r="KL17" s="185" t="n"/>
      <c r="KM17" s="183" t="n"/>
      <c r="KN17" s="183" t="n"/>
      <c r="KO17" s="185" t="n"/>
      <c r="KP17" s="13" t="n"/>
      <c r="KQ17" s="13" t="n"/>
      <c r="KR17" s="13" t="n"/>
      <c r="KS17" s="9" t="n"/>
      <c r="KT17" s="9" t="n"/>
      <c r="KU17" s="183" t="n"/>
      <c r="KV17" s="183" t="n"/>
      <c r="KW17" s="185" t="n"/>
      <c r="KX17" s="13" t="n"/>
      <c r="KY17" s="13" t="n"/>
      <c r="KZ17" s="13" t="n"/>
      <c r="LA17" s="185" t="n"/>
      <c r="LB17" s="9" t="n"/>
      <c r="LC17" s="183" t="n"/>
      <c r="LD17" s="183" t="n"/>
      <c r="LE17" s="185" t="n"/>
      <c r="LF17" s="13" t="n"/>
      <c r="LG17" s="13" t="n"/>
      <c r="LH17" s="13" t="n"/>
      <c r="LI17" s="9" t="n"/>
      <c r="LJ17" s="9" t="n"/>
      <c r="LK17" s="183" t="n"/>
      <c r="LL17" s="183" t="n"/>
      <c r="LM17" s="185" t="n"/>
      <c r="LN17" s="13" t="n"/>
      <c r="LO17" s="13" t="n"/>
      <c r="LP17" s="13" t="n"/>
      <c r="LQ17" s="9" t="n"/>
      <c r="LR17" s="9" t="n"/>
      <c r="LS17" s="183" t="n"/>
      <c r="LT17" s="183" t="n"/>
      <c r="LU17" s="185" t="n"/>
      <c r="LV17" s="13" t="n"/>
      <c r="LW17" s="13" t="n"/>
      <c r="LX17" s="13" t="n"/>
      <c r="LY17" s="9" t="n"/>
      <c r="LZ17" s="9" t="n"/>
      <c r="MA17" s="183" t="n"/>
      <c r="MB17" s="183" t="n"/>
      <c r="MC17" s="185" t="n"/>
      <c r="MD17" s="13" t="n"/>
      <c r="ME17" s="13" t="n"/>
      <c r="MF17" s="13" t="n"/>
      <c r="MG17" s="9" t="n"/>
      <c r="MH17" s="9" t="n"/>
      <c r="MK17" s="183" t="n"/>
      <c r="ML17" s="187" t="n"/>
      <c r="MM17" s="13" t="n"/>
      <c r="MN17" s="13" t="n"/>
      <c r="MO17" s="13" t="n"/>
      <c r="MP17" s="9" t="n"/>
      <c r="MQ17" s="185" t="n"/>
      <c r="MR17" s="185" t="n"/>
      <c r="MT17" s="183" t="n"/>
      <c r="MU17" s="187" t="n"/>
      <c r="MV17" s="188" t="n"/>
      <c r="NC17" s="183" t="n"/>
      <c r="ND17" s="187" t="n"/>
      <c r="NE17" s="188" t="n"/>
      <c r="NM17" s="183" t="n"/>
      <c r="NN17" s="187" t="n"/>
      <c r="NT17" s="183" t="n"/>
      <c r="NU17" s="183" t="n"/>
      <c r="NV17" s="187" t="n"/>
      <c r="NW17" s="188" t="n"/>
      <c r="NZ17" s="185" t="n"/>
      <c r="OA17" s="185" t="n"/>
      <c r="OB17" s="183" t="n"/>
      <c r="OC17" s="183" t="n"/>
      <c r="OD17" s="185" t="n"/>
      <c r="OE17" s="13" t="n"/>
      <c r="OF17" s="13" t="n"/>
      <c r="OG17" s="13" t="n"/>
      <c r="OH17" s="9" t="n"/>
      <c r="OI17" s="9" t="n"/>
      <c r="OJ17" s="183" t="n"/>
      <c r="OK17" s="183" t="n"/>
      <c r="OL17" s="185" t="n"/>
      <c r="OM17" s="13" t="n"/>
      <c r="ON17" s="13" t="n"/>
      <c r="OO17" s="13" t="n"/>
      <c r="OP17" s="9" t="n"/>
      <c r="OQ17" s="9" t="n"/>
      <c r="OT17" s="25" t="n"/>
      <c r="OU17" s="24" t="n"/>
    </row>
    <row r="18" ht="17" customFormat="1" customHeight="1" s="9">
      <c r="A18" s="631" t="n"/>
      <c r="B18" s="631" t="n"/>
      <c r="C18" s="654" t="inlineStr">
        <is>
          <t>2026//10/23</t>
        </is>
      </c>
      <c r="D18" s="189" t="n">
        <v>3524268.77</v>
      </c>
      <c r="E18" s="20">
        <f>D19</f>
        <v/>
      </c>
      <c r="F18" s="20">
        <f>D18-E18</f>
        <v/>
      </c>
      <c r="G18" s="163">
        <f>F18/E18</f>
        <v/>
      </c>
      <c r="H18" s="19" t="n">
        <v>0.0173</v>
      </c>
      <c r="I18" s="163" t="n"/>
      <c r="J18" s="163" t="n"/>
      <c r="K18" s="9">
        <f>C18</f>
        <v/>
      </c>
      <c r="L18" s="20" t="n">
        <v>1835974.4</v>
      </c>
      <c r="M18" s="20">
        <f>L19</f>
        <v/>
      </c>
      <c r="N18" s="20">
        <f>L18-M18</f>
        <v/>
      </c>
      <c r="O18" s="163">
        <f>N18/M18</f>
        <v/>
      </c>
      <c r="P18" s="19" t="n">
        <v>0.0173</v>
      </c>
      <c r="Q18" s="163" t="n"/>
      <c r="R18" s="20" t="n"/>
      <c r="S18" s="9">
        <f>C18</f>
        <v/>
      </c>
      <c r="T18" s="20" t="n">
        <v>1299306.68</v>
      </c>
      <c r="U18" s="20">
        <f>T19</f>
        <v/>
      </c>
      <c r="V18" s="20">
        <f>T18-U18</f>
        <v/>
      </c>
      <c r="W18" s="163">
        <f>V18/U18</f>
        <v/>
      </c>
      <c r="X18" s="19" t="n">
        <v>0.0116</v>
      </c>
      <c r="Y18" s="163" t="n"/>
      <c r="Z18" s="20" t="n"/>
      <c r="AA18" s="9">
        <f>S18</f>
        <v/>
      </c>
      <c r="AB18" s="20" t="n">
        <v>730136.86</v>
      </c>
      <c r="AC18" s="20">
        <f>AB19</f>
        <v/>
      </c>
      <c r="AD18" s="20">
        <f>AB18-AC18</f>
        <v/>
      </c>
      <c r="AE18" s="163">
        <f>AD18/AC18</f>
        <v/>
      </c>
      <c r="AF18" s="19" t="n">
        <v>0.0259</v>
      </c>
      <c r="AG18" s="163" t="n"/>
      <c r="AH18" s="20" t="n"/>
      <c r="AI18" s="9">
        <f>C18</f>
        <v/>
      </c>
      <c r="AJ18" s="20" t="n">
        <v>1087721.76</v>
      </c>
      <c r="AK18" s="20">
        <f>AJ19</f>
        <v/>
      </c>
      <c r="AL18" s="20">
        <f>AJ18-AK18</f>
        <v/>
      </c>
      <c r="AM18" s="163">
        <f>AL18/AK18</f>
        <v/>
      </c>
      <c r="AN18" s="19" t="n">
        <v>0.0262</v>
      </c>
      <c r="AO18" s="19" t="n"/>
      <c r="AP18" s="20" t="n"/>
      <c r="AQ18" s="9">
        <f>C18</f>
        <v/>
      </c>
      <c r="AR18" s="20" t="n">
        <v>3375745.4936</v>
      </c>
      <c r="AS18" s="20">
        <f>AR19</f>
        <v/>
      </c>
      <c r="AT18" s="20">
        <f>AR18-AS18</f>
        <v/>
      </c>
      <c r="AU18" s="163">
        <f>AT18/AS18</f>
        <v/>
      </c>
      <c r="AV18" s="19" t="n">
        <v>0.0424</v>
      </c>
      <c r="AW18" s="19" t="n"/>
      <c r="AX18" s="5" t="n"/>
      <c r="AY18" s="5" t="n"/>
      <c r="AZ18" s="9">
        <f>C18</f>
        <v/>
      </c>
      <c r="BA18" s="5" t="n">
        <v>998751.6676</v>
      </c>
      <c r="BB18" s="24">
        <f>BA19</f>
        <v/>
      </c>
      <c r="BC18" s="5">
        <f>BA18-BB18</f>
        <v/>
      </c>
      <c r="BD18" s="19">
        <f>BC18/BB18</f>
        <v/>
      </c>
      <c r="BE18" s="19" t="n">
        <v>0.0163</v>
      </c>
      <c r="BF18" s="19" t="n"/>
      <c r="BG18" s="647" t="n"/>
      <c r="BH18" s="183">
        <f>C18</f>
        <v/>
      </c>
      <c r="BI18" s="183" t="n">
        <v>1037426.5525</v>
      </c>
      <c r="BJ18" s="184">
        <f>BI19</f>
        <v/>
      </c>
      <c r="BK18" s="184">
        <f>BI18-BJ18</f>
        <v/>
      </c>
      <c r="BL18" s="190">
        <f>BK18/BJ18</f>
        <v/>
      </c>
      <c r="BM18" s="191" t="n">
        <v>0.018</v>
      </c>
      <c r="BN18" s="182" t="n"/>
      <c r="BO18" s="183" t="n"/>
      <c r="BP18" s="183">
        <f>C18</f>
        <v/>
      </c>
      <c r="BQ18" s="672" t="n">
        <v>1399462.3921</v>
      </c>
      <c r="BR18" s="13">
        <f>BQ19</f>
        <v/>
      </c>
      <c r="BS18" s="13">
        <f>BQ18-BR18</f>
        <v/>
      </c>
      <c r="BT18" s="193">
        <f>BS18/BR18</f>
        <v/>
      </c>
      <c r="BU18" s="182" t="n">
        <v>0.0644</v>
      </c>
      <c r="BV18" s="182" t="n"/>
      <c r="BW18" s="183" t="n"/>
      <c r="BX18" s="183">
        <f>C18</f>
        <v/>
      </c>
      <c r="BY18" s="185" t="n">
        <v>1474110.7019</v>
      </c>
      <c r="BZ18" s="13">
        <f>BY19</f>
        <v/>
      </c>
      <c r="CA18" s="13">
        <f>BY18-BZ18</f>
        <v/>
      </c>
      <c r="CB18" s="193">
        <f>CA18/BZ18</f>
        <v/>
      </c>
      <c r="CC18" s="182" t="n">
        <v>0.0254</v>
      </c>
      <c r="CD18" s="194" t="n"/>
      <c r="CE18" s="183" t="n"/>
      <c r="CF18" s="183">
        <f>C18</f>
        <v/>
      </c>
      <c r="CG18" s="185" t="n">
        <v>1350453.9</v>
      </c>
      <c r="CH18" s="13">
        <f>CG19</f>
        <v/>
      </c>
      <c r="CI18" s="13">
        <f>CG18-CH18</f>
        <v/>
      </c>
      <c r="CJ18" s="193">
        <f>CI18/CH18</f>
        <v/>
      </c>
      <c r="CK18" s="182" t="n">
        <v>0.0213</v>
      </c>
      <c r="CL18" s="194" t="n"/>
      <c r="CM18" s="183" t="n"/>
      <c r="CN18" s="183">
        <f>C18</f>
        <v/>
      </c>
      <c r="CO18" s="185" t="n">
        <v>517246.48</v>
      </c>
      <c r="CP18" s="13">
        <f>CO19</f>
        <v/>
      </c>
      <c r="CQ18" s="13">
        <f>CO18-CP18</f>
        <v/>
      </c>
      <c r="CR18" s="193">
        <f>CQ18/CP18</f>
        <v/>
      </c>
      <c r="CS18" s="194" t="n">
        <v>0.022</v>
      </c>
      <c r="CT18" s="194" t="n"/>
      <c r="CU18" s="183" t="n"/>
      <c r="CV18" s="183">
        <f>C18</f>
        <v/>
      </c>
      <c r="CW18" s="185" t="n">
        <v>718690.4</v>
      </c>
      <c r="CX18" s="13">
        <f>CW19</f>
        <v/>
      </c>
      <c r="CY18" s="13">
        <f>CW18-CX18</f>
        <v/>
      </c>
      <c r="CZ18" s="193">
        <f>CY18/CX18</f>
        <v/>
      </c>
      <c r="DA18" s="182" t="n">
        <v>0.0076</v>
      </c>
      <c r="DB18" s="182" t="n"/>
      <c r="DC18" s="186" t="n"/>
      <c r="DD18" s="183">
        <f>C18</f>
        <v/>
      </c>
      <c r="DE18" s="185" t="n">
        <v>5895835.9972</v>
      </c>
      <c r="DF18" s="13">
        <f>DE19</f>
        <v/>
      </c>
      <c r="DG18" s="13">
        <f>DE18-DF18</f>
        <v/>
      </c>
      <c r="DH18" s="193">
        <f>DG18/DF18</f>
        <v/>
      </c>
      <c r="DI18" s="182" t="n">
        <v>0.015</v>
      </c>
      <c r="DJ18" s="182" t="n"/>
      <c r="DK18" s="183" t="n"/>
      <c r="DL18" s="183">
        <f>C18</f>
        <v/>
      </c>
      <c r="DM18" s="185" t="n">
        <v>2137400.72</v>
      </c>
      <c r="DN18" s="13">
        <f>DM19</f>
        <v/>
      </c>
      <c r="DO18" s="13">
        <f>DM18-DN18</f>
        <v/>
      </c>
      <c r="DP18" s="193">
        <f>DO18/DN18</f>
        <v/>
      </c>
      <c r="DQ18" s="182" t="n">
        <v>0.0347</v>
      </c>
      <c r="DR18" s="182" t="n"/>
      <c r="DS18" s="183" t="n"/>
      <c r="DT18" s="183">
        <f>C18</f>
        <v/>
      </c>
      <c r="DU18" s="185" t="n">
        <v>4473268.43</v>
      </c>
      <c r="DV18" s="13">
        <f>DU19</f>
        <v/>
      </c>
      <c r="DW18" s="13">
        <f>DU18-DV18</f>
        <v/>
      </c>
      <c r="DX18" s="193">
        <f>DW18/DV18</f>
        <v/>
      </c>
      <c r="DY18" s="182" t="n">
        <v>0.0371</v>
      </c>
      <c r="DZ18" s="182" t="n"/>
      <c r="EA18" s="183" t="n"/>
      <c r="EB18" s="183">
        <f>C18</f>
        <v/>
      </c>
      <c r="EC18" s="185" t="n">
        <v>8229266.82</v>
      </c>
      <c r="ED18" s="13">
        <f>EC19</f>
        <v/>
      </c>
      <c r="EE18" s="13">
        <f>EC18-ED18</f>
        <v/>
      </c>
      <c r="EF18" s="193">
        <f>EE18/ED18</f>
        <v/>
      </c>
      <c r="EG18" s="182" t="n">
        <v>0.0327</v>
      </c>
      <c r="EH18" s="182" t="n"/>
      <c r="EI18" s="183" t="n"/>
      <c r="EJ18" s="183">
        <f>C18</f>
        <v/>
      </c>
      <c r="EK18" s="185" t="n">
        <v>1217722.9669</v>
      </c>
      <c r="EL18" s="13">
        <f>EK19</f>
        <v/>
      </c>
      <c r="EM18" s="13">
        <f>EK18-EL18</f>
        <v/>
      </c>
      <c r="EN18" s="193">
        <f>EM18/EL18</f>
        <v/>
      </c>
      <c r="EO18" s="182" t="n">
        <v>0.0432</v>
      </c>
      <c r="EP18" s="182" t="n"/>
      <c r="EQ18" s="183" t="n"/>
      <c r="ER18" s="183">
        <f>C18</f>
        <v/>
      </c>
      <c r="ES18" s="24" t="n">
        <v>748094.04</v>
      </c>
      <c r="ET18" s="13">
        <f>ES19</f>
        <v/>
      </c>
      <c r="EU18" s="13">
        <f>ES18-ET18</f>
        <v/>
      </c>
      <c r="EV18" s="193">
        <f>EU18/ET18</f>
        <v/>
      </c>
      <c r="EW18" s="182" t="n">
        <v>0.043</v>
      </c>
      <c r="EX18" s="182" t="n"/>
      <c r="EY18" s="183" t="n"/>
      <c r="EZ18" s="183">
        <f>C18</f>
        <v/>
      </c>
      <c r="FA18" s="185" t="n">
        <v>773308</v>
      </c>
      <c r="FB18" s="13">
        <f>FA19</f>
        <v/>
      </c>
      <c r="FC18" s="13">
        <f>FA18-FB18</f>
        <v/>
      </c>
      <c r="FD18" s="193">
        <f>FC18/FB18</f>
        <v/>
      </c>
      <c r="FE18" s="182" t="n">
        <v>0.0222</v>
      </c>
      <c r="FF18" s="182" t="n"/>
      <c r="FG18" s="182" t="n"/>
      <c r="FH18" s="183">
        <f>C18</f>
        <v/>
      </c>
      <c r="FI18" s="672" t="n">
        <v>871795.3365</v>
      </c>
      <c r="FJ18" s="13">
        <f>FI19</f>
        <v/>
      </c>
      <c r="FK18" s="13">
        <f>FI18-FJ18</f>
        <v/>
      </c>
      <c r="FL18" s="193">
        <f>FK18/FJ18</f>
        <v/>
      </c>
      <c r="FM18" s="194" t="n">
        <v>0.0273</v>
      </c>
      <c r="FN18" s="194" t="n"/>
      <c r="FO18" s="183" t="n"/>
      <c r="FP18" s="183">
        <f>C18</f>
        <v/>
      </c>
      <c r="FQ18" s="185" t="n">
        <v>1845418.73</v>
      </c>
      <c r="FR18" s="13">
        <f>FQ19</f>
        <v/>
      </c>
      <c r="FS18" s="13">
        <f>FQ18-FR18</f>
        <v/>
      </c>
      <c r="FT18" s="193">
        <f>FS18/FR18</f>
        <v/>
      </c>
      <c r="FU18" s="182" t="n">
        <v>0.06759999999999999</v>
      </c>
      <c r="FV18" s="182" t="n"/>
      <c r="FW18" s="183" t="n"/>
      <c r="FX18" s="183">
        <f>C18</f>
        <v/>
      </c>
      <c r="FY18" s="185" t="n">
        <v>6976582.05</v>
      </c>
      <c r="FZ18" s="13">
        <f>FY19</f>
        <v/>
      </c>
      <c r="GA18" s="13">
        <f>FY18-FZ18</f>
        <v/>
      </c>
      <c r="GB18" s="193">
        <f>GA18/FZ18</f>
        <v/>
      </c>
      <c r="GC18" s="182" t="n">
        <v>0.0245</v>
      </c>
      <c r="GD18" s="182" t="n"/>
      <c r="GE18" s="183" t="n"/>
      <c r="GF18" s="183">
        <f>C18</f>
        <v/>
      </c>
      <c r="GG18" s="185" t="n">
        <v>3832969.49</v>
      </c>
      <c r="GH18" s="13">
        <f>GG19</f>
        <v/>
      </c>
      <c r="GI18" s="13">
        <f>GG18-GH18</f>
        <v/>
      </c>
      <c r="GJ18" s="193">
        <f>GI18/GH18</f>
        <v/>
      </c>
      <c r="GK18" s="182" t="n">
        <v>0.0217</v>
      </c>
      <c r="GL18" s="182" t="n"/>
      <c r="GM18" s="183" t="n"/>
      <c r="GN18" s="183">
        <f>C18</f>
        <v/>
      </c>
      <c r="GO18" s="185" t="n">
        <v>1904998.1217</v>
      </c>
      <c r="GP18" s="13">
        <f>GO19</f>
        <v/>
      </c>
      <c r="GQ18" s="13">
        <f>GO18-GP18</f>
        <v/>
      </c>
      <c r="GR18" s="193">
        <f>GQ18/GP18</f>
        <v/>
      </c>
      <c r="GS18" s="182" t="n">
        <v>0.024</v>
      </c>
      <c r="GT18" s="182" t="n"/>
      <c r="GU18" s="183" t="n"/>
      <c r="GV18" s="183">
        <f>C18</f>
        <v/>
      </c>
      <c r="GW18" s="185" t="n">
        <v>577149.4</v>
      </c>
      <c r="GX18" s="13">
        <f>GW19</f>
        <v/>
      </c>
      <c r="GY18" s="13">
        <f>GW18-GX18</f>
        <v/>
      </c>
      <c r="GZ18" s="193">
        <f>GY18/GX18</f>
        <v/>
      </c>
      <c r="HA18" s="182" t="n">
        <v>0.0156</v>
      </c>
      <c r="HB18" s="182" t="n"/>
      <c r="HC18" s="183" t="n"/>
      <c r="HD18" s="183">
        <f>C18</f>
        <v/>
      </c>
      <c r="HE18" s="185" t="n">
        <v>735864.6746</v>
      </c>
      <c r="HF18" s="13">
        <f>HE19</f>
        <v/>
      </c>
      <c r="HG18" s="13">
        <f>HE18-HF18</f>
        <v/>
      </c>
      <c r="HH18" s="193">
        <f>HG18/HF18</f>
        <v/>
      </c>
      <c r="HI18" s="194" t="n">
        <v>0.044</v>
      </c>
      <c r="HJ18" s="182" t="n"/>
      <c r="HK18" s="183" t="n"/>
      <c r="HL18" s="183">
        <f>C18</f>
        <v/>
      </c>
      <c r="HM18" s="185" t="n">
        <v>110804.25</v>
      </c>
      <c r="HN18" s="195">
        <f>HM19</f>
        <v/>
      </c>
      <c r="HO18" s="195">
        <f>HM18-HN18</f>
        <v/>
      </c>
      <c r="HP18" s="196">
        <f>HO18/HN18</f>
        <v/>
      </c>
      <c r="HQ18" s="182" t="n">
        <v>-0.001</v>
      </c>
      <c r="HR18" s="182" t="n"/>
      <c r="HS18" s="183" t="n"/>
      <c r="HT18" s="183">
        <f>C18</f>
        <v/>
      </c>
      <c r="HU18" s="185" t="n">
        <v>137068.8265</v>
      </c>
      <c r="HV18" s="13">
        <f>HU19</f>
        <v/>
      </c>
      <c r="HW18" s="13">
        <f>HU18-HV18</f>
        <v/>
      </c>
      <c r="HX18" s="193">
        <f>HW18/HV18</f>
        <v/>
      </c>
      <c r="HY18" s="182" t="n">
        <v>0.0097</v>
      </c>
      <c r="HZ18" s="182" t="n"/>
      <c r="IA18" s="183" t="n"/>
      <c r="IB18" s="183">
        <f>C18</f>
        <v/>
      </c>
      <c r="IC18" s="185" t="n">
        <v>424634.79</v>
      </c>
      <c r="ID18" s="13">
        <f>IC19</f>
        <v/>
      </c>
      <c r="IE18" s="13">
        <f>IC18-ID18</f>
        <v/>
      </c>
      <c r="IF18" s="193">
        <f>IE18/ID18</f>
        <v/>
      </c>
      <c r="IG18" s="194" t="n">
        <v>0.0148</v>
      </c>
      <c r="IH18" s="182" t="n"/>
      <c r="II18" s="183" t="n"/>
      <c r="IJ18" s="183">
        <f>C18</f>
        <v/>
      </c>
      <c r="IK18" s="185" t="n">
        <v>790316.29</v>
      </c>
      <c r="IL18" s="13">
        <f>IK19</f>
        <v/>
      </c>
      <c r="IM18" s="13">
        <f>IK18-IL18</f>
        <v/>
      </c>
      <c r="IN18" s="193">
        <f>IM18/IL18</f>
        <v/>
      </c>
      <c r="IO18" s="182" t="n">
        <v>-0.0058</v>
      </c>
      <c r="IP18" s="182" t="n"/>
      <c r="IQ18" s="183" t="n"/>
      <c r="IR18" s="183">
        <f>C18</f>
        <v/>
      </c>
      <c r="IS18" s="185" t="n">
        <v>188089</v>
      </c>
      <c r="IT18" s="13">
        <f>IS19</f>
        <v/>
      </c>
      <c r="IU18" s="13">
        <f>IS18-IT18</f>
        <v/>
      </c>
      <c r="IV18" s="193">
        <f>IU18/IT18</f>
        <v/>
      </c>
      <c r="IW18" s="182" t="n">
        <v>0.0482</v>
      </c>
      <c r="IX18" s="182" t="n"/>
      <c r="IY18" s="183" t="n"/>
      <c r="IZ18" s="183">
        <f>C18</f>
        <v/>
      </c>
      <c r="JA18" s="185" t="n">
        <v>5666729.15</v>
      </c>
      <c r="JB18" s="13">
        <f>JA19</f>
        <v/>
      </c>
      <c r="JC18" s="13">
        <f>JA18-JB18</f>
        <v/>
      </c>
      <c r="JD18" s="193">
        <f>JC18/JB18</f>
        <v/>
      </c>
      <c r="JE18" s="182" t="n">
        <v>0.013</v>
      </c>
      <c r="JF18" s="182" t="n"/>
      <c r="JG18" s="183" t="n"/>
      <c r="JH18" s="183">
        <f>C18</f>
        <v/>
      </c>
      <c r="JI18" s="185" t="n">
        <v>1176687.99</v>
      </c>
      <c r="JJ18" s="13">
        <f>JI19</f>
        <v/>
      </c>
      <c r="JK18" s="13">
        <f>JI18-JJ18</f>
        <v/>
      </c>
      <c r="JL18" s="193">
        <f>JK18/JJ18</f>
        <v/>
      </c>
      <c r="JM18" s="182" t="n">
        <v>-0.0162</v>
      </c>
      <c r="JN18" s="182" t="n"/>
      <c r="JO18" s="182" t="n"/>
      <c r="JP18" s="183">
        <f>C18</f>
        <v/>
      </c>
      <c r="JQ18" s="185" t="n">
        <v>1085690.4148</v>
      </c>
      <c r="JR18" s="13">
        <f>JQ19</f>
        <v/>
      </c>
      <c r="JS18" s="13">
        <f>JQ18-JR18</f>
        <v/>
      </c>
      <c r="JT18" s="193">
        <f>JS18/JR18</f>
        <v/>
      </c>
      <c r="JU18" s="182" t="n">
        <v>0.0584</v>
      </c>
      <c r="JV18" s="182" t="n"/>
      <c r="JW18" s="194" t="n"/>
      <c r="JX18" s="183">
        <f>C18</f>
        <v/>
      </c>
      <c r="JY18" s="185" t="n">
        <v>1000298.8</v>
      </c>
      <c r="JZ18" s="13">
        <f>JY19</f>
        <v/>
      </c>
      <c r="KA18" s="13">
        <f>JY18-JZ18</f>
        <v/>
      </c>
      <c r="KB18" s="193">
        <f>KA18/JZ18</f>
        <v/>
      </c>
      <c r="KC18" s="182" t="n">
        <v>0.0214</v>
      </c>
      <c r="KD18" s="182" t="n"/>
      <c r="KE18" s="194" t="n"/>
      <c r="KF18" s="183">
        <f>C18</f>
        <v/>
      </c>
      <c r="KG18" s="185" t="n">
        <v>567155.9219</v>
      </c>
      <c r="KH18" s="13">
        <f>KG19</f>
        <v/>
      </c>
      <c r="KI18" s="13">
        <f>KG18-KH18</f>
        <v/>
      </c>
      <c r="KJ18" s="193">
        <f>KI18/KH18</f>
        <v/>
      </c>
      <c r="KK18" s="194" t="n">
        <v>0.0112</v>
      </c>
      <c r="KL18" s="194" t="n"/>
      <c r="KM18" s="183" t="n"/>
      <c r="KN18" s="183">
        <f>C18</f>
        <v/>
      </c>
      <c r="KO18" s="185" t="n">
        <v>7407575.95</v>
      </c>
      <c r="KP18" s="13">
        <f>KO19</f>
        <v/>
      </c>
      <c r="KQ18" s="13">
        <f>KO18-KP18</f>
        <v/>
      </c>
      <c r="KR18" s="193">
        <f>KQ18/KP18</f>
        <v/>
      </c>
      <c r="KS18" s="182" t="n">
        <v>0.0253</v>
      </c>
      <c r="KT18" s="182" t="n"/>
      <c r="KU18" s="183" t="n"/>
      <c r="KV18" s="183">
        <f>C18</f>
        <v/>
      </c>
      <c r="KW18" s="185" t="n">
        <v>1019672.9726</v>
      </c>
      <c r="KX18" s="13">
        <f>KW19</f>
        <v/>
      </c>
      <c r="KY18" s="13">
        <f>KW18-KX18</f>
        <v/>
      </c>
      <c r="KZ18" s="193">
        <f>KY18/KX18</f>
        <v/>
      </c>
      <c r="LA18" s="194" t="n">
        <v>0.0222</v>
      </c>
      <c r="LB18" s="182" t="n"/>
      <c r="LC18" s="183" t="n"/>
      <c r="LD18" s="183">
        <f>C18</f>
        <v/>
      </c>
      <c r="LE18" s="185" t="n">
        <v>363957.7</v>
      </c>
      <c r="LF18" s="13">
        <f>LE19</f>
        <v/>
      </c>
      <c r="LG18" s="13">
        <f>LE18-LF18</f>
        <v/>
      </c>
      <c r="LH18" s="193">
        <f>LG18/LF18</f>
        <v/>
      </c>
      <c r="LI18" s="182" t="n">
        <v>0.0253</v>
      </c>
      <c r="LJ18" s="182" t="n"/>
      <c r="LK18" s="183" t="n"/>
      <c r="LL18" s="183">
        <f>C18</f>
        <v/>
      </c>
      <c r="LM18" s="672" t="n">
        <v>3196555.02</v>
      </c>
      <c r="LN18" s="13">
        <f>LM19</f>
        <v/>
      </c>
      <c r="LO18" s="13">
        <f>LM18-LN18</f>
        <v/>
      </c>
      <c r="LP18" s="193">
        <f>LO18/LN18</f>
        <v/>
      </c>
      <c r="LQ18" s="182" t="n">
        <v>0.0272</v>
      </c>
      <c r="LR18" s="182" t="n"/>
      <c r="LS18" s="183" t="n"/>
      <c r="LT18" s="183">
        <f>C18</f>
        <v/>
      </c>
      <c r="LU18" s="185" t="n">
        <v>2361062.904</v>
      </c>
      <c r="LV18" s="13">
        <f>LU19</f>
        <v/>
      </c>
      <c r="LW18" s="13">
        <f>LU18-LV18</f>
        <v/>
      </c>
      <c r="LX18" s="193">
        <f>LW18/LV18</f>
        <v/>
      </c>
      <c r="LY18" s="182" t="n">
        <v>0.0138</v>
      </c>
      <c r="LZ18" s="182" t="n"/>
      <c r="MA18" s="183" t="n"/>
      <c r="MB18" s="183">
        <f>C18</f>
        <v/>
      </c>
      <c r="MC18" s="185" t="n">
        <v>771267.6899999999</v>
      </c>
      <c r="MD18" s="13">
        <f>MC19</f>
        <v/>
      </c>
      <c r="ME18" s="13">
        <f>MC18-MD18</f>
        <v/>
      </c>
      <c r="MF18" s="193">
        <f>ME18/MD18</f>
        <v/>
      </c>
      <c r="MG18" s="182" t="n">
        <v>0.0025</v>
      </c>
      <c r="MH18" s="182" t="n"/>
      <c r="MK18" s="183">
        <f>C18</f>
        <v/>
      </c>
      <c r="ML18" s="24" t="n">
        <v>168105.5354</v>
      </c>
      <c r="MM18" s="13">
        <f>ML19</f>
        <v/>
      </c>
      <c r="MN18" s="13">
        <f>ML18-MM18</f>
        <v/>
      </c>
      <c r="MO18" s="193">
        <f>MN18/MM18</f>
        <v/>
      </c>
      <c r="MP18" s="182" t="n">
        <v>0.0455</v>
      </c>
      <c r="MQ18" s="194" t="n"/>
      <c r="MR18" s="194" t="n"/>
      <c r="MT18" s="183">
        <f>C18</f>
        <v/>
      </c>
      <c r="MU18" s="24" t="n">
        <v>117814.8</v>
      </c>
      <c r="MV18" s="188">
        <f>MU19</f>
        <v/>
      </c>
      <c r="MW18" s="9">
        <f>MU18-MV18</f>
        <v/>
      </c>
      <c r="MX18" s="182">
        <f>MW18/MV18</f>
        <v/>
      </c>
      <c r="MY18" s="182" t="n">
        <v>0.0073</v>
      </c>
      <c r="MZ18" s="182" t="n"/>
      <c r="NA18" s="182" t="n"/>
      <c r="NC18" s="183">
        <f>C18</f>
        <v/>
      </c>
      <c r="ND18" s="24" t="n">
        <v>30491.48</v>
      </c>
      <c r="NE18" s="188">
        <f>ND19</f>
        <v/>
      </c>
      <c r="NF18" s="9">
        <f>ND18-NE18</f>
        <v/>
      </c>
      <c r="NG18" s="182">
        <f>NF18/NE18</f>
        <v/>
      </c>
      <c r="NH18" s="182" t="n">
        <v>0.008999999999999999</v>
      </c>
      <c r="NI18" s="182" t="n"/>
      <c r="NJ18" s="182" t="n"/>
      <c r="NK18" s="182" t="n"/>
      <c r="NM18" s="183">
        <f>C18</f>
        <v/>
      </c>
      <c r="NN18" s="24" t="n">
        <v>2589911.08</v>
      </c>
      <c r="NO18" s="9">
        <f>NN19</f>
        <v/>
      </c>
      <c r="NP18" s="197">
        <f>NN18-NO18</f>
        <v/>
      </c>
      <c r="NQ18" s="198">
        <f>NP18/NO18</f>
        <v/>
      </c>
      <c r="NR18" s="182" t="n">
        <v>-0.0008</v>
      </c>
      <c r="NT18" s="183" t="n"/>
      <c r="NU18" s="183">
        <f>C18</f>
        <v/>
      </c>
      <c r="NV18" s="24" t="n">
        <v>219726.5</v>
      </c>
      <c r="NW18" s="188">
        <f>NV19</f>
        <v/>
      </c>
      <c r="NX18" s="197">
        <f>NV18-NW18</f>
        <v/>
      </c>
      <c r="NY18" s="198">
        <f>NX18/NW18</f>
        <v/>
      </c>
      <c r="NZ18" s="194" t="n">
        <v>0.0074</v>
      </c>
      <c r="OA18" s="185" t="n"/>
      <c r="OB18" s="183" t="n"/>
      <c r="OC18" s="183">
        <f>C18</f>
        <v/>
      </c>
      <c r="OD18" s="185" t="n">
        <v>26935.97</v>
      </c>
      <c r="OE18" s="13">
        <f>OD19</f>
        <v/>
      </c>
      <c r="OF18" s="13">
        <f>OD18-OE18</f>
        <v/>
      </c>
      <c r="OG18" s="193">
        <f>OF18/OE18</f>
        <v/>
      </c>
      <c r="OH18" s="182" t="n">
        <v>-0.0041</v>
      </c>
      <c r="OI18" s="182" t="n"/>
      <c r="OJ18" s="183" t="n"/>
      <c r="OK18" s="183">
        <f>C18</f>
        <v/>
      </c>
      <c r="OL18" s="185" t="n">
        <v>19655.65</v>
      </c>
      <c r="OM18" s="13">
        <f>OL19</f>
        <v/>
      </c>
      <c r="ON18" s="13">
        <f>OL18-OM18</f>
        <v/>
      </c>
      <c r="OO18" s="193">
        <f>ON18/OM18</f>
        <v/>
      </c>
      <c r="OP18" s="182" t="n">
        <v>-0.0004</v>
      </c>
      <c r="OQ18" s="182" t="n"/>
      <c r="OT18" s="25">
        <f>OK18</f>
        <v/>
      </c>
      <c r="OU18" s="199" t="n">
        <v>160152.4066</v>
      </c>
      <c r="OV18" s="9">
        <f>OU19</f>
        <v/>
      </c>
      <c r="OW18" s="671">
        <f>OU18-OV18</f>
        <v/>
      </c>
      <c r="OX18" s="182">
        <f>OW18/OV18</f>
        <v/>
      </c>
      <c r="OY18" s="200" t="n">
        <v>0.0215</v>
      </c>
    </row>
    <row r="19" ht="17" customFormat="1" customHeight="1" s="9">
      <c r="A19" s="631" t="n"/>
      <c r="B19" s="631" t="n"/>
      <c r="C19" s="654" t="inlineStr">
        <is>
          <t>2026//10/22</t>
        </is>
      </c>
      <c r="D19" s="189" t="n">
        <v>3272988.77</v>
      </c>
      <c r="E19" s="20">
        <f>D20</f>
        <v/>
      </c>
      <c r="F19" s="20">
        <f>D19-E19</f>
        <v/>
      </c>
      <c r="G19" s="163">
        <f>F19/E19</f>
        <v/>
      </c>
      <c r="H19" s="19" t="n">
        <v>-0.0186</v>
      </c>
      <c r="I19" s="163" t="n"/>
      <c r="J19" s="163" t="n"/>
      <c r="K19" s="9">
        <f>C19</f>
        <v/>
      </c>
      <c r="L19" s="20" t="n">
        <v>1711504.4</v>
      </c>
      <c r="M19" s="20">
        <f>L20</f>
        <v/>
      </c>
      <c r="N19" s="20">
        <f>L19-M19</f>
        <v/>
      </c>
      <c r="O19" s="163">
        <f>N19/M19</f>
        <v/>
      </c>
      <c r="P19" s="19" t="n">
        <v>-0.0185</v>
      </c>
      <c r="Q19" s="163" t="n"/>
      <c r="R19" s="20" t="n"/>
      <c r="S19" s="9">
        <f>C19</f>
        <v/>
      </c>
      <c r="T19" s="20" t="n">
        <v>1298316.68</v>
      </c>
      <c r="U19" s="20">
        <f>T20</f>
        <v/>
      </c>
      <c r="V19" s="20">
        <f>T19-U19</f>
        <v/>
      </c>
      <c r="W19" s="163">
        <f>V19/U19</f>
        <v/>
      </c>
      <c r="X19" s="19" t="n">
        <v>-0.007</v>
      </c>
      <c r="Y19" s="163" t="n"/>
      <c r="Z19" s="20" t="n"/>
      <c r="AA19" s="9">
        <f>S19</f>
        <v/>
      </c>
      <c r="AB19" s="20" t="n">
        <v>644816.86</v>
      </c>
      <c r="AC19" s="20">
        <f>AB20</f>
        <v/>
      </c>
      <c r="AD19" s="20">
        <f>AB19-AC19</f>
        <v/>
      </c>
      <c r="AE19" s="163">
        <f>AD19/AC19</f>
        <v/>
      </c>
      <c r="AF19" s="19" t="n">
        <v>-0.0262</v>
      </c>
      <c r="AG19" s="163" t="n"/>
      <c r="AH19" s="20" t="n"/>
      <c r="AI19" s="9">
        <f>C19</f>
        <v/>
      </c>
      <c r="AJ19" s="20" t="n">
        <v>968121.76</v>
      </c>
      <c r="AK19" s="20">
        <f>AJ20</f>
        <v/>
      </c>
      <c r="AL19" s="20">
        <f>AJ19-AK19</f>
        <v/>
      </c>
      <c r="AM19" s="163">
        <f>AL19/AK19</f>
        <v/>
      </c>
      <c r="AN19" s="19" t="n">
        <v>-0.028</v>
      </c>
      <c r="AO19" s="19" t="n"/>
      <c r="AP19" s="20" t="n"/>
      <c r="AQ19" s="9">
        <f>C19</f>
        <v/>
      </c>
      <c r="AR19" s="20" t="n">
        <v>3130545.4936</v>
      </c>
      <c r="AS19" s="20">
        <f>AR20</f>
        <v/>
      </c>
      <c r="AT19" s="20">
        <f>AR19-AS19</f>
        <v/>
      </c>
      <c r="AU19" s="163">
        <f>AT19/AS19</f>
        <v/>
      </c>
      <c r="AV19" s="19" t="n">
        <v>-0.0446</v>
      </c>
      <c r="AW19" s="19" t="n"/>
      <c r="AX19" s="5" t="n"/>
      <c r="AY19" s="5" t="n"/>
      <c r="AZ19" s="9">
        <f>C19</f>
        <v/>
      </c>
      <c r="BA19" s="5" t="n">
        <v>976791.6676</v>
      </c>
      <c r="BB19" s="24">
        <f>BA20</f>
        <v/>
      </c>
      <c r="BC19" s="5">
        <f>BA19-BB19</f>
        <v/>
      </c>
      <c r="BD19" s="19">
        <f>BC19/BB19</f>
        <v/>
      </c>
      <c r="BE19" s="19" t="n">
        <v>-0.0188</v>
      </c>
      <c r="BF19" s="19" t="n"/>
      <c r="BG19" s="647" t="n"/>
      <c r="BH19" s="183">
        <f>C19</f>
        <v/>
      </c>
      <c r="BI19" s="183" t="n">
        <v>1044026.5525</v>
      </c>
      <c r="BJ19" s="184">
        <f>BI20</f>
        <v/>
      </c>
      <c r="BK19" s="184">
        <f>BI19-BJ19</f>
        <v/>
      </c>
      <c r="BL19" s="190">
        <f>BK19/BJ19</f>
        <v/>
      </c>
      <c r="BM19" s="191" t="n">
        <v>-0.0137</v>
      </c>
      <c r="BN19" s="182" t="n"/>
      <c r="BO19" s="183" t="n"/>
      <c r="BP19" s="183">
        <f>C19</f>
        <v/>
      </c>
      <c r="BQ19" s="672" t="n">
        <v>1392862.3921</v>
      </c>
      <c r="BR19" s="13">
        <f>BQ20</f>
        <v/>
      </c>
      <c r="BS19" s="13">
        <f>BQ19-BR19</f>
        <v/>
      </c>
      <c r="BT19" s="193">
        <f>BS19/BR19</f>
        <v/>
      </c>
      <c r="BU19" s="182" t="n">
        <v>-0.0236</v>
      </c>
      <c r="BV19" s="182" t="n"/>
      <c r="BW19" s="183" t="n"/>
      <c r="BX19" s="183">
        <f>C19</f>
        <v/>
      </c>
      <c r="BY19" s="185" t="n">
        <v>1486710.7019</v>
      </c>
      <c r="BZ19" s="13">
        <f>BY20</f>
        <v/>
      </c>
      <c r="CA19" s="13">
        <f>BY19-BZ19</f>
        <v/>
      </c>
      <c r="CB19" s="193">
        <f>CA19/BZ19</f>
        <v/>
      </c>
      <c r="CC19" s="182" t="n">
        <v>-0.0304</v>
      </c>
      <c r="CD19" s="194" t="n"/>
      <c r="CE19" s="183" t="n"/>
      <c r="CF19" s="183">
        <f>C19</f>
        <v/>
      </c>
      <c r="CG19" s="185" t="n">
        <v>1360753.9</v>
      </c>
      <c r="CH19" s="13">
        <f>CG20</f>
        <v/>
      </c>
      <c r="CI19" s="13">
        <f>CG19-CH19</f>
        <v/>
      </c>
      <c r="CJ19" s="193">
        <f>CI19/CH19</f>
        <v/>
      </c>
      <c r="CK19" s="182" t="n">
        <v>-0.0293</v>
      </c>
      <c r="CL19" s="194" t="n"/>
      <c r="CM19" s="183" t="n"/>
      <c r="CN19" s="183">
        <f>C19</f>
        <v/>
      </c>
      <c r="CO19" s="185" t="n">
        <v>518746.48</v>
      </c>
      <c r="CP19" s="13">
        <f>CO20</f>
        <v/>
      </c>
      <c r="CQ19" s="13">
        <f>CO19-CP19</f>
        <v/>
      </c>
      <c r="CR19" s="193">
        <f>CQ19/CP19</f>
        <v/>
      </c>
      <c r="CS19" s="194" t="n">
        <v>-0.0292</v>
      </c>
      <c r="CT19" s="194" t="n"/>
      <c r="CU19" s="183" t="n"/>
      <c r="CV19" s="183">
        <f>C19</f>
        <v/>
      </c>
      <c r="CW19" s="185" t="n">
        <v>730690.4</v>
      </c>
      <c r="CX19" s="13">
        <f>CW20</f>
        <v/>
      </c>
      <c r="CY19" s="13">
        <f>CW19-CX19</f>
        <v/>
      </c>
      <c r="CZ19" s="193">
        <f>CY19/CX19</f>
        <v/>
      </c>
      <c r="DA19" s="182" t="n">
        <v>-0.0428</v>
      </c>
      <c r="DB19" s="182" t="n"/>
      <c r="DC19" s="186" t="n"/>
      <c r="DD19" s="183">
        <f>C19</f>
        <v/>
      </c>
      <c r="DE19" s="185" t="n">
        <v>6053335.9972</v>
      </c>
      <c r="DF19" s="13">
        <f>DE20</f>
        <v/>
      </c>
      <c r="DG19" s="13">
        <f>DE19-DF19</f>
        <v/>
      </c>
      <c r="DH19" s="193">
        <f>DG19/DF19</f>
        <v/>
      </c>
      <c r="DI19" s="182" t="n">
        <v>-0.0432</v>
      </c>
      <c r="DJ19" s="182" t="n"/>
      <c r="DK19" s="183" t="n"/>
      <c r="DL19" s="183">
        <f>C19</f>
        <v/>
      </c>
      <c r="DM19" s="185" t="n">
        <v>2119400.72</v>
      </c>
      <c r="DN19" s="13">
        <f>DM20</f>
        <v/>
      </c>
      <c r="DO19" s="13">
        <f>DM19-DN19</f>
        <v/>
      </c>
      <c r="DP19" s="193">
        <f>DO19/DN19</f>
        <v/>
      </c>
      <c r="DQ19" s="182" t="n">
        <v>-0.0277</v>
      </c>
      <c r="DR19" s="182" t="n"/>
      <c r="DS19" s="183" t="n"/>
      <c r="DT19" s="183">
        <f>C19</f>
        <v/>
      </c>
      <c r="DU19" s="185" t="n">
        <v>4494868.43</v>
      </c>
      <c r="DV19" s="13">
        <f>DU20</f>
        <v/>
      </c>
      <c r="DW19" s="13">
        <f>DU19-DV19</f>
        <v/>
      </c>
      <c r="DX19" s="193">
        <f>DW19/DV19</f>
        <v/>
      </c>
      <c r="DY19" s="182" t="n">
        <v>-0.0379</v>
      </c>
      <c r="DZ19" s="182" t="n"/>
      <c r="EA19" s="183" t="n"/>
      <c r="EB19" s="183">
        <f>C19</f>
        <v/>
      </c>
      <c r="EC19" s="185" t="n">
        <v>7953266.82</v>
      </c>
      <c r="ED19" s="13">
        <f>EC20</f>
        <v/>
      </c>
      <c r="EE19" s="13">
        <f>EC19-ED19</f>
        <v/>
      </c>
      <c r="EF19" s="193">
        <f>EE19/ED19</f>
        <v/>
      </c>
      <c r="EG19" s="182" t="n">
        <v>-0.0289</v>
      </c>
      <c r="EH19" s="182" t="n"/>
      <c r="EI19" s="183" t="n"/>
      <c r="EJ19" s="183">
        <f>C19</f>
        <v/>
      </c>
      <c r="EK19" s="185" t="n">
        <v>1208122.9669</v>
      </c>
      <c r="EL19" s="13">
        <f>EK20</f>
        <v/>
      </c>
      <c r="EM19" s="13">
        <f>EK19-EL19</f>
        <v/>
      </c>
      <c r="EN19" s="193">
        <f>EM19/EL19</f>
        <v/>
      </c>
      <c r="EO19" s="182" t="n">
        <v>-0.0343</v>
      </c>
      <c r="EP19" s="182" t="n"/>
      <c r="EQ19" s="183" t="n"/>
      <c r="ER19" s="183">
        <f>C19</f>
        <v/>
      </c>
      <c r="ES19" s="24" t="n">
        <v>750694.04</v>
      </c>
      <c r="ET19" s="13">
        <f>ES20</f>
        <v/>
      </c>
      <c r="EU19" s="13">
        <f>ES19-ET19</f>
        <v/>
      </c>
      <c r="EV19" s="193">
        <f>EU19/ET19</f>
        <v/>
      </c>
      <c r="EW19" s="182" t="n">
        <v>-0.033</v>
      </c>
      <c r="EX19" s="182" t="n"/>
      <c r="EY19" s="183" t="n"/>
      <c r="EZ19" s="183">
        <f>C19</f>
        <v/>
      </c>
      <c r="FA19" s="185" t="n">
        <v>771108</v>
      </c>
      <c r="FB19" s="13">
        <f>FA20</f>
        <v/>
      </c>
      <c r="FC19" s="13">
        <f>FA19-FB19</f>
        <v/>
      </c>
      <c r="FD19" s="193">
        <f>FC19/FB19</f>
        <v/>
      </c>
      <c r="FE19" s="182" t="n">
        <v>-0.0235</v>
      </c>
      <c r="FF19" s="182" t="n"/>
      <c r="FG19" s="182" t="n"/>
      <c r="FH19" s="183">
        <f>C19</f>
        <v/>
      </c>
      <c r="FI19" s="672" t="n">
        <v>871295.3365</v>
      </c>
      <c r="FJ19" s="13">
        <f>FI20</f>
        <v/>
      </c>
      <c r="FK19" s="13">
        <f>FI19-FJ19</f>
        <v/>
      </c>
      <c r="FL19" s="193">
        <f>FK19/FJ19</f>
        <v/>
      </c>
      <c r="FM19" s="194" t="n">
        <v>-0.0361</v>
      </c>
      <c r="FN19" s="194" t="n"/>
      <c r="FO19" s="183" t="n"/>
      <c r="FP19" s="183">
        <f>C19</f>
        <v/>
      </c>
      <c r="FQ19" s="185" t="n">
        <v>1813318.73</v>
      </c>
      <c r="FR19" s="13">
        <f>FQ20</f>
        <v/>
      </c>
      <c r="FS19" s="13">
        <f>FQ19-FR19</f>
        <v/>
      </c>
      <c r="FT19" s="193">
        <f>FS19/FR19</f>
        <v/>
      </c>
      <c r="FU19" s="182" t="n">
        <v>-0.009599999999999999</v>
      </c>
      <c r="FV19" s="182" t="n"/>
      <c r="FW19" s="183" t="n"/>
      <c r="FX19" s="183">
        <f>C19</f>
        <v/>
      </c>
      <c r="FY19" s="185" t="n">
        <v>6995982.05</v>
      </c>
      <c r="FZ19" s="13">
        <f>FY20</f>
        <v/>
      </c>
      <c r="GA19" s="13">
        <f>FY19-FZ19</f>
        <v/>
      </c>
      <c r="GB19" s="193">
        <f>GA19/FZ19</f>
        <v/>
      </c>
      <c r="GC19" s="182" t="n">
        <v>-0.0181</v>
      </c>
      <c r="GD19" s="182" t="n"/>
      <c r="GE19" s="183" t="n"/>
      <c r="GF19" s="183">
        <f>C19</f>
        <v/>
      </c>
      <c r="GG19" s="185" t="n">
        <v>3847569.49</v>
      </c>
      <c r="GH19" s="13">
        <f>GG20</f>
        <v/>
      </c>
      <c r="GI19" s="13">
        <f>GG19-GH19</f>
        <v/>
      </c>
      <c r="GJ19" s="193">
        <f>GI19/GH19</f>
        <v/>
      </c>
      <c r="GK19" s="182" t="n">
        <v>-0.0213</v>
      </c>
      <c r="GL19" s="182" t="n"/>
      <c r="GM19" s="183" t="n"/>
      <c r="GN19" s="183">
        <f>C19</f>
        <v/>
      </c>
      <c r="GO19" s="185" t="n">
        <v>1906078.1217</v>
      </c>
      <c r="GP19" s="13">
        <f>GO20</f>
        <v/>
      </c>
      <c r="GQ19" s="13">
        <f>GO19-GP19</f>
        <v/>
      </c>
      <c r="GR19" s="193">
        <f>GQ19/GP19</f>
        <v/>
      </c>
      <c r="GS19" s="182" t="n">
        <v>-0.0294</v>
      </c>
      <c r="GT19" s="182" t="n"/>
      <c r="GU19" s="183" t="n"/>
      <c r="GV19" s="183">
        <f>C19</f>
        <v/>
      </c>
      <c r="GW19" s="185" t="n">
        <v>579349.4</v>
      </c>
      <c r="GX19" s="13">
        <f>GW20</f>
        <v/>
      </c>
      <c r="GY19" s="13">
        <f>GW19-GX19</f>
        <v/>
      </c>
      <c r="GZ19" s="193">
        <f>GY19/GX19</f>
        <v/>
      </c>
      <c r="HA19" s="182" t="n">
        <v>-0.0153</v>
      </c>
      <c r="HB19" s="182" t="n"/>
      <c r="HC19" s="183" t="n"/>
      <c r="HD19" s="183">
        <f>C19</f>
        <v/>
      </c>
      <c r="HE19" s="185" t="n">
        <v>733664.6746</v>
      </c>
      <c r="HF19" s="13">
        <f>HE20</f>
        <v/>
      </c>
      <c r="HG19" s="13">
        <f>HE19-HF19</f>
        <v/>
      </c>
      <c r="HH19" s="193">
        <f>HG19/HF19</f>
        <v/>
      </c>
      <c r="HI19" s="194" t="n">
        <v>-0.0189</v>
      </c>
      <c r="HJ19" s="182" t="n"/>
      <c r="HK19" s="183" t="n"/>
      <c r="HL19" s="183">
        <f>C19</f>
        <v/>
      </c>
      <c r="HM19" s="185" t="n">
        <v>110704.25</v>
      </c>
      <c r="HN19" s="195">
        <f>HM20</f>
        <v/>
      </c>
      <c r="HO19" s="195">
        <f>HM19-HN19</f>
        <v/>
      </c>
      <c r="HP19" s="196">
        <f>HO19/HN19</f>
        <v/>
      </c>
      <c r="HQ19" s="182" t="n">
        <v>-0.0193</v>
      </c>
      <c r="HR19" s="182" t="n"/>
      <c r="HS19" s="183" t="n"/>
      <c r="HT19" s="183">
        <f>C19</f>
        <v/>
      </c>
      <c r="HU19" s="185" t="n">
        <v>141068.8265</v>
      </c>
      <c r="HV19" s="13">
        <f>HU20</f>
        <v/>
      </c>
      <c r="HW19" s="13">
        <f>HU19-HV19</f>
        <v/>
      </c>
      <c r="HX19" s="193">
        <f>HW19/HV19</f>
        <v/>
      </c>
      <c r="HY19" s="182" t="n">
        <v>-0.0116</v>
      </c>
      <c r="HZ19" s="182" t="n"/>
      <c r="IA19" s="183" t="n"/>
      <c r="IB19" s="183">
        <f>C19</f>
        <v/>
      </c>
      <c r="IC19" s="185" t="n">
        <v>424159.79</v>
      </c>
      <c r="ID19" s="13">
        <f>IC20</f>
        <v/>
      </c>
      <c r="IE19" s="13">
        <f>IC19-ID19</f>
        <v/>
      </c>
      <c r="IF19" s="193">
        <f>IE19/ID19</f>
        <v/>
      </c>
      <c r="IG19" s="194" t="n">
        <v>-0.032</v>
      </c>
      <c r="IH19" s="182" t="n"/>
      <c r="II19" s="183" t="n"/>
      <c r="IJ19" s="183">
        <f>C19</f>
        <v/>
      </c>
      <c r="IK19" s="185" t="n">
        <v>798316.29</v>
      </c>
      <c r="IL19" s="13">
        <f>IK20</f>
        <v/>
      </c>
      <c r="IM19" s="13">
        <f>IK19-IL19</f>
        <v/>
      </c>
      <c r="IN19" s="193">
        <f>IM19/IL19</f>
        <v/>
      </c>
      <c r="IO19" s="182" t="n">
        <v>-0.0097</v>
      </c>
      <c r="IP19" s="182" t="n"/>
      <c r="IQ19" s="183" t="n"/>
      <c r="IR19" s="183">
        <f>C19</f>
        <v/>
      </c>
      <c r="IS19" s="185" t="n">
        <v>188489</v>
      </c>
      <c r="IT19" s="13">
        <f>IS20</f>
        <v/>
      </c>
      <c r="IU19" s="13">
        <f>IS19-IT19</f>
        <v/>
      </c>
      <c r="IV19" s="193">
        <f>IU19/IT19</f>
        <v/>
      </c>
      <c r="IW19" s="182" t="n">
        <v>-0.0337</v>
      </c>
      <c r="IX19" s="182" t="n"/>
      <c r="IY19" s="183" t="n"/>
      <c r="IZ19" s="183">
        <f>C19</f>
        <v/>
      </c>
      <c r="JA19" s="185" t="n">
        <v>5684329.15</v>
      </c>
      <c r="JB19" s="13">
        <f>JA20</f>
        <v/>
      </c>
      <c r="JC19" s="13">
        <f>JA19-JB19</f>
        <v/>
      </c>
      <c r="JD19" s="193">
        <f>JC19/JB19</f>
        <v/>
      </c>
      <c r="JE19" s="182" t="n">
        <v>-0.005</v>
      </c>
      <c r="JF19" s="182" t="n"/>
      <c r="JG19" s="183" t="n"/>
      <c r="JH19" s="183">
        <f>C19</f>
        <v/>
      </c>
      <c r="JI19" s="185" t="n">
        <v>1150107.99</v>
      </c>
      <c r="JJ19" s="13">
        <f>JI20</f>
        <v/>
      </c>
      <c r="JK19" s="13">
        <f>JI19-JJ19</f>
        <v/>
      </c>
      <c r="JL19" s="193">
        <f>JK19/JJ19</f>
        <v/>
      </c>
      <c r="JM19" s="182" t="n">
        <v>0.0012</v>
      </c>
      <c r="JN19" s="182" t="n"/>
      <c r="JO19" s="182" t="n"/>
      <c r="JP19" s="183">
        <f>C19</f>
        <v/>
      </c>
      <c r="JQ19" s="185" t="n">
        <v>1079590.4148</v>
      </c>
      <c r="JR19" s="13">
        <f>JQ20</f>
        <v/>
      </c>
      <c r="JS19" s="13">
        <f>JQ19-JR19</f>
        <v/>
      </c>
      <c r="JT19" s="193">
        <f>JS19/JR19</f>
        <v/>
      </c>
      <c r="JU19" s="182" t="n">
        <v>-0.0325</v>
      </c>
      <c r="JV19" s="182" t="n"/>
      <c r="JW19" s="194" t="n"/>
      <c r="JX19" s="183">
        <f>C19</f>
        <v/>
      </c>
      <c r="JY19" s="185" t="n">
        <v>1000098.8</v>
      </c>
      <c r="JZ19" s="13">
        <f>JY20</f>
        <v/>
      </c>
      <c r="KA19" s="13">
        <f>JY19-JZ19</f>
        <v/>
      </c>
      <c r="KB19" s="193">
        <f>KA19/JZ19</f>
        <v/>
      </c>
      <c r="KC19" s="182" t="n">
        <v>-0.034</v>
      </c>
      <c r="KD19" s="182" t="n"/>
      <c r="KE19" s="194" t="n"/>
      <c r="KF19" s="183">
        <f>C19</f>
        <v/>
      </c>
      <c r="KG19" s="185" t="n">
        <v>567155.9219</v>
      </c>
      <c r="KH19" s="13">
        <f>KG20</f>
        <v/>
      </c>
      <c r="KI19" s="13">
        <f>KG19-KH19</f>
        <v/>
      </c>
      <c r="KJ19" s="193">
        <f>KI19/KH19</f>
        <v/>
      </c>
      <c r="KK19" s="194" t="n">
        <v>-0.0317</v>
      </c>
      <c r="KL19" s="194" t="n"/>
      <c r="KM19" s="183" t="n"/>
      <c r="KN19" s="183">
        <f>C19</f>
        <v/>
      </c>
      <c r="KO19" s="185" t="n">
        <v>7407475.95</v>
      </c>
      <c r="KP19" s="13">
        <f>KO20</f>
        <v/>
      </c>
      <c r="KQ19" s="13">
        <f>KO19-KP19</f>
        <v/>
      </c>
      <c r="KR19" s="193">
        <f>KQ19/KP19</f>
        <v/>
      </c>
      <c r="KS19" s="182" t="n">
        <v>-0.0519</v>
      </c>
      <c r="KT19" s="182" t="n"/>
      <c r="KU19" s="183" t="n"/>
      <c r="KV19" s="183">
        <f>C19</f>
        <v/>
      </c>
      <c r="KW19" s="185" t="n">
        <v>1019672.9726</v>
      </c>
      <c r="KX19" s="13">
        <f>KW20</f>
        <v/>
      </c>
      <c r="KY19" s="13">
        <f>KW19-KX19</f>
        <v/>
      </c>
      <c r="KZ19" s="193">
        <f>KY19/KX19</f>
        <v/>
      </c>
      <c r="LA19" s="194" t="n">
        <v>-0.0609</v>
      </c>
      <c r="LB19" s="182" t="n"/>
      <c r="LC19" s="183" t="n"/>
      <c r="LD19" s="183">
        <f>C19</f>
        <v/>
      </c>
      <c r="LE19" s="185" t="n">
        <v>363607.7</v>
      </c>
      <c r="LF19" s="13">
        <f>LE20</f>
        <v/>
      </c>
      <c r="LG19" s="13">
        <f>LE19-LF19</f>
        <v/>
      </c>
      <c r="LH19" s="193">
        <f>LG19/LF19</f>
        <v/>
      </c>
      <c r="LI19" s="182" t="n">
        <v>-0.0041</v>
      </c>
      <c r="LJ19" s="182" t="n"/>
      <c r="LK19" s="183" t="n"/>
      <c r="LL19" s="183">
        <f>C19</f>
        <v/>
      </c>
      <c r="LM19" s="672" t="n">
        <v>3214375.02</v>
      </c>
      <c r="LN19" s="13">
        <f>LM20</f>
        <v/>
      </c>
      <c r="LO19" s="13">
        <f>LM19-LN19</f>
        <v/>
      </c>
      <c r="LP19" s="193">
        <f>LO19/LN19</f>
        <v/>
      </c>
      <c r="LQ19" s="182" t="n">
        <v>-0.0122</v>
      </c>
      <c r="LR19" s="182" t="n"/>
      <c r="LS19" s="183" t="n"/>
      <c r="LT19" s="183">
        <f>C19</f>
        <v/>
      </c>
      <c r="LU19" s="185" t="n">
        <v>2326262.904</v>
      </c>
      <c r="LV19" s="13">
        <f>LU20</f>
        <v/>
      </c>
      <c r="LW19" s="13">
        <f>LU19-LV19</f>
        <v/>
      </c>
      <c r="LX19" s="193">
        <f>LW19/LV19</f>
        <v/>
      </c>
      <c r="LY19" s="182" t="n">
        <v>-0.0046</v>
      </c>
      <c r="LZ19" s="182" t="n"/>
      <c r="MA19" s="183" t="n"/>
      <c r="MB19" s="183">
        <f>C19</f>
        <v/>
      </c>
      <c r="MC19" s="185" t="n">
        <v>814217.6899999999</v>
      </c>
      <c r="MD19" s="13">
        <f>MC20</f>
        <v/>
      </c>
      <c r="ME19" s="13">
        <f>MC19-MD19</f>
        <v/>
      </c>
      <c r="MF19" s="193">
        <f>ME19/MD19</f>
        <v/>
      </c>
      <c r="MG19" s="182" t="n">
        <v>-0.0283</v>
      </c>
      <c r="MH19" s="182" t="n"/>
      <c r="MK19" s="183">
        <f>C19</f>
        <v/>
      </c>
      <c r="ML19" s="24" t="n">
        <v>164865.5354</v>
      </c>
      <c r="MM19" s="13">
        <f>ML20</f>
        <v/>
      </c>
      <c r="MN19" s="13">
        <f>ML19-MM19</f>
        <v/>
      </c>
      <c r="MO19" s="193">
        <f>MN19/MM19</f>
        <v/>
      </c>
      <c r="MP19" s="182" t="n">
        <v>-0.0245</v>
      </c>
      <c r="MQ19" s="194" t="n"/>
      <c r="MR19" s="194" t="n"/>
      <c r="MT19" s="183">
        <f>C19</f>
        <v/>
      </c>
      <c r="MU19" s="24" t="n">
        <v>117914.8</v>
      </c>
      <c r="MV19" s="188">
        <f>MU20</f>
        <v/>
      </c>
      <c r="MW19" s="9">
        <f>MU19-MV19</f>
        <v/>
      </c>
      <c r="MX19" s="182">
        <f>MW19/MV19</f>
        <v/>
      </c>
      <c r="MY19" s="182" t="n">
        <v>-0.0291</v>
      </c>
      <c r="MZ19" s="182" t="n"/>
      <c r="NA19" s="182" t="n"/>
      <c r="NC19" s="183">
        <f>C19</f>
        <v/>
      </c>
      <c r="ND19" s="24" t="n">
        <v>30491.48</v>
      </c>
      <c r="NE19" s="188">
        <f>ND20</f>
        <v/>
      </c>
      <c r="NF19" s="9">
        <f>ND19-NE19</f>
        <v/>
      </c>
      <c r="NG19" s="182">
        <f>NF19/NE19</f>
        <v/>
      </c>
      <c r="NH19" s="182" t="n">
        <v>-0.0241</v>
      </c>
      <c r="NI19" s="182" t="n"/>
      <c r="NJ19" s="182" t="n"/>
      <c r="NK19" s="182" t="n"/>
      <c r="NM19" s="183">
        <f>C19</f>
        <v/>
      </c>
      <c r="NN19" s="24" t="n">
        <v>2548111.08</v>
      </c>
      <c r="NO19" s="9">
        <f>NN20</f>
        <v/>
      </c>
      <c r="NP19" s="197">
        <f>NN19-NO19</f>
        <v/>
      </c>
      <c r="NQ19" s="198">
        <f>NP19/NO19</f>
        <v/>
      </c>
      <c r="NR19" s="182" t="n">
        <v>-0.0091</v>
      </c>
      <c r="NT19" s="183" t="n"/>
      <c r="NU19" s="183">
        <f>C19</f>
        <v/>
      </c>
      <c r="NV19" s="24" t="n">
        <v>220626.5</v>
      </c>
      <c r="NW19" s="188">
        <f>NV20</f>
        <v/>
      </c>
      <c r="NX19" s="197">
        <f>NV19-NW19</f>
        <v/>
      </c>
      <c r="NY19" s="198">
        <f>NX19/NW19</f>
        <v/>
      </c>
      <c r="NZ19" s="194" t="n">
        <v>-0.0156</v>
      </c>
      <c r="OA19" s="185" t="n"/>
      <c r="OB19" s="183" t="n"/>
      <c r="OC19" s="183">
        <f>C19</f>
        <v/>
      </c>
      <c r="OD19" s="185" t="n">
        <v>26645.97</v>
      </c>
      <c r="OE19" s="13">
        <f>OD20</f>
        <v/>
      </c>
      <c r="OF19" s="13">
        <f>OD19-OE19</f>
        <v/>
      </c>
      <c r="OG19" s="193">
        <f>OF19/OE19</f>
        <v/>
      </c>
      <c r="OH19" s="182" t="n">
        <v>-0.0016</v>
      </c>
      <c r="OI19" s="182" t="n"/>
      <c r="OJ19" s="183" t="n"/>
      <c r="OK19" s="183">
        <f>C19</f>
        <v/>
      </c>
      <c r="OL19" s="185" t="n">
        <v>19602.65</v>
      </c>
      <c r="OM19" s="13">
        <f>OL20</f>
        <v/>
      </c>
      <c r="ON19" s="13">
        <f>OL19-OM19</f>
        <v/>
      </c>
      <c r="OO19" s="193">
        <f>ON19/OM19</f>
        <v/>
      </c>
      <c r="OP19" s="182" t="n">
        <v>-0.0001</v>
      </c>
      <c r="OQ19" s="182" t="n"/>
      <c r="OT19" s="201">
        <f>OK19</f>
        <v/>
      </c>
      <c r="OU19" s="199" t="n">
        <v>160032.4066</v>
      </c>
      <c r="OV19" s="9">
        <f>OU20</f>
        <v/>
      </c>
      <c r="OW19" s="671">
        <f>OU19-OV19</f>
        <v/>
      </c>
      <c r="OX19" s="182">
        <f>OW19/OV19</f>
        <v/>
      </c>
      <c r="OY19" s="0" t="n">
        <v>0.0009</v>
      </c>
    </row>
    <row r="20" ht="17" customFormat="1" customHeight="1" s="9">
      <c r="A20" s="631" t="n"/>
      <c r="B20" s="631" t="n"/>
      <c r="C20" s="654" t="inlineStr">
        <is>
          <t>2026//10/22</t>
        </is>
      </c>
      <c r="D20" s="189" t="n"/>
      <c r="E20" s="20">
        <f>D21</f>
        <v/>
      </c>
      <c r="F20" s="20">
        <f>D20-E20</f>
        <v/>
      </c>
      <c r="G20" s="163">
        <f>F20/E20</f>
        <v/>
      </c>
      <c r="H20" s="19" t="n"/>
      <c r="I20" s="163" t="n"/>
      <c r="J20" s="163" t="n"/>
      <c r="K20" s="9">
        <f>C20</f>
        <v/>
      </c>
      <c r="L20" s="20" t="n"/>
      <c r="M20" s="20">
        <f>L21</f>
        <v/>
      </c>
      <c r="N20" s="20">
        <f>L20-M20</f>
        <v/>
      </c>
      <c r="O20" s="163">
        <f>N20/M20</f>
        <v/>
      </c>
      <c r="P20" s="19" t="n"/>
      <c r="Q20" s="163" t="n"/>
      <c r="R20" s="20" t="n"/>
      <c r="S20" s="9">
        <f>C20</f>
        <v/>
      </c>
      <c r="T20" s="20" t="n"/>
      <c r="U20" s="20">
        <f>T21</f>
        <v/>
      </c>
      <c r="V20" s="20">
        <f>T20-U20</f>
        <v/>
      </c>
      <c r="W20" s="163">
        <f>V20/U20</f>
        <v/>
      </c>
      <c r="X20" s="19" t="n"/>
      <c r="Y20" s="163" t="n"/>
      <c r="Z20" s="20" t="n"/>
      <c r="AA20" s="9">
        <f>S20</f>
        <v/>
      </c>
      <c r="AB20" s="20" t="n"/>
      <c r="AC20" s="20">
        <f>AB21</f>
        <v/>
      </c>
      <c r="AD20" s="20">
        <f>AB20-AC20</f>
        <v/>
      </c>
      <c r="AE20" s="163">
        <f>AD20/AC20</f>
        <v/>
      </c>
      <c r="AF20" s="19" t="n"/>
      <c r="AG20" s="163" t="n"/>
      <c r="AH20" s="20" t="n"/>
      <c r="AI20" s="9">
        <f>C20</f>
        <v/>
      </c>
      <c r="AJ20" s="20" t="n"/>
      <c r="AK20" s="20">
        <f>AJ21</f>
        <v/>
      </c>
      <c r="AL20" s="20">
        <f>AJ20-AK20</f>
        <v/>
      </c>
      <c r="AM20" s="163">
        <f>AL20/AK20</f>
        <v/>
      </c>
      <c r="AN20" s="19" t="n"/>
      <c r="AO20" s="19" t="n"/>
      <c r="AP20" s="20" t="n"/>
      <c r="AQ20" s="9">
        <f>C20</f>
        <v/>
      </c>
      <c r="AR20" s="20" t="n">
        <v>2920445.4936</v>
      </c>
      <c r="AS20" s="20">
        <f>AR21</f>
        <v/>
      </c>
      <c r="AT20" s="20">
        <f>AR20-AS20</f>
        <v/>
      </c>
      <c r="AU20" s="163">
        <f>AT20/AS20</f>
        <v/>
      </c>
      <c r="AV20" s="19" t="n">
        <v>-0.0156</v>
      </c>
      <c r="AW20" s="19" t="n"/>
      <c r="AX20" s="5" t="n"/>
      <c r="AY20" s="5" t="n"/>
      <c r="AZ20" s="9">
        <f>C20</f>
        <v/>
      </c>
      <c r="BA20" s="5" t="n">
        <v>756561.6676</v>
      </c>
      <c r="BB20" s="24">
        <f>BA21</f>
        <v/>
      </c>
      <c r="BC20" s="5">
        <f>BA20-BB20</f>
        <v/>
      </c>
      <c r="BD20" s="19">
        <f>BC20/BB20</f>
        <v/>
      </c>
      <c r="BE20" s="19" t="n">
        <v>-0.0091</v>
      </c>
      <c r="BF20" s="19" t="n"/>
      <c r="BG20" s="647" t="n"/>
      <c r="BH20" s="183">
        <f>C20</f>
        <v/>
      </c>
      <c r="BI20" s="183" t="n">
        <v>1056926.5525</v>
      </c>
      <c r="BJ20" s="184">
        <f>BI21</f>
        <v/>
      </c>
      <c r="BK20" s="184">
        <f>BI20-BJ20</f>
        <v/>
      </c>
      <c r="BL20" s="190">
        <f>BK20/BJ20</f>
        <v/>
      </c>
      <c r="BM20" s="191" t="n">
        <v>-0.0041</v>
      </c>
      <c r="BN20" s="182" t="n"/>
      <c r="BO20" s="183" t="n"/>
      <c r="BP20" s="183">
        <f>C20</f>
        <v/>
      </c>
      <c r="BQ20" s="672" t="n">
        <v>1394862.3921</v>
      </c>
      <c r="BR20" s="13">
        <f>BQ21</f>
        <v/>
      </c>
      <c r="BS20" s="13">
        <f>BQ20-BR20</f>
        <v/>
      </c>
      <c r="BT20" s="193">
        <f>BS20/BR20</f>
        <v/>
      </c>
      <c r="BU20" s="182" t="n">
        <v>0.0047</v>
      </c>
      <c r="BV20" s="182" t="n"/>
      <c r="BW20" s="183" t="n"/>
      <c r="BX20" s="183">
        <f>C20</f>
        <v/>
      </c>
      <c r="BY20" s="185" t="n">
        <v>1503510.7019</v>
      </c>
      <c r="BZ20" s="13">
        <f>BY21</f>
        <v/>
      </c>
      <c r="CA20" s="13">
        <f>BY20-BZ20</f>
        <v/>
      </c>
      <c r="CB20" s="193">
        <f>CA20/BZ20</f>
        <v/>
      </c>
      <c r="CC20" s="182" t="n">
        <v>-0.0114</v>
      </c>
      <c r="CD20" s="194" t="n"/>
      <c r="CE20" s="183" t="n"/>
      <c r="CF20" s="183">
        <f>C20</f>
        <v/>
      </c>
      <c r="CG20" s="185" t="n"/>
      <c r="CH20" s="13">
        <f>CG21</f>
        <v/>
      </c>
      <c r="CI20" s="13">
        <f>CG20-CH20</f>
        <v/>
      </c>
      <c r="CJ20" s="193">
        <f>CI20/CH20</f>
        <v/>
      </c>
      <c r="CK20" s="182" t="n"/>
      <c r="CL20" s="194" t="n"/>
      <c r="CM20" s="183" t="n"/>
      <c r="CN20" s="183">
        <f>C20</f>
        <v/>
      </c>
      <c r="CO20" s="185" t="n"/>
      <c r="CP20" s="13">
        <f>CO21</f>
        <v/>
      </c>
      <c r="CQ20" s="13">
        <f>CO20-CP20</f>
        <v/>
      </c>
      <c r="CR20" s="193">
        <f>CQ20/CP20</f>
        <v/>
      </c>
      <c r="CS20" s="194" t="n"/>
      <c r="CT20" s="194" t="n"/>
      <c r="CU20" s="183" t="n"/>
      <c r="CV20" s="183">
        <f>C20</f>
        <v/>
      </c>
      <c r="CW20" s="185" t="n"/>
      <c r="CX20" s="13">
        <f>CW21</f>
        <v/>
      </c>
      <c r="CY20" s="13">
        <f>CW20-CX20</f>
        <v/>
      </c>
      <c r="CZ20" s="193">
        <f>CY20/CX20</f>
        <v/>
      </c>
      <c r="DA20" s="182" t="n"/>
      <c r="DB20" s="182" t="n"/>
      <c r="DC20" s="186" t="n"/>
      <c r="DD20" s="183">
        <f>C20</f>
        <v/>
      </c>
      <c r="DE20" s="185" t="n">
        <v>6219235.9972</v>
      </c>
      <c r="DF20" s="13">
        <f>DE21</f>
        <v/>
      </c>
      <c r="DG20" s="13">
        <f>DE20-DF20</f>
        <v/>
      </c>
      <c r="DH20" s="193">
        <f>DG20/DF20</f>
        <v/>
      </c>
      <c r="DI20" s="182" t="n">
        <v>-0.0107</v>
      </c>
      <c r="DJ20" s="182" t="n"/>
      <c r="DK20" s="183" t="n"/>
      <c r="DL20" s="183">
        <f>C20</f>
        <v/>
      </c>
      <c r="DM20" s="185" t="n"/>
      <c r="DN20" s="13">
        <f>DM21</f>
        <v/>
      </c>
      <c r="DO20" s="13">
        <f>DM20-DN20</f>
        <v/>
      </c>
      <c r="DP20" s="193">
        <f>DO20/DN20</f>
        <v/>
      </c>
      <c r="DQ20" s="182" t="n"/>
      <c r="DR20" s="182" t="n"/>
      <c r="DS20" s="183" t="n"/>
      <c r="DT20" s="183">
        <f>C20</f>
        <v/>
      </c>
      <c r="DU20" s="185" t="n"/>
      <c r="DV20" s="13">
        <f>DU21</f>
        <v/>
      </c>
      <c r="DW20" s="13">
        <f>DU20-DV20</f>
        <v/>
      </c>
      <c r="DX20" s="193">
        <f>DW20/DV20</f>
        <v/>
      </c>
      <c r="DY20" s="182" t="n"/>
      <c r="DZ20" s="182" t="n"/>
      <c r="EA20" s="183" t="n"/>
      <c r="EB20" s="183">
        <f>C20</f>
        <v/>
      </c>
      <c r="EC20" s="185" t="n"/>
      <c r="ED20" s="13">
        <f>EC21</f>
        <v/>
      </c>
      <c r="EE20" s="13">
        <f>EC20-ED20</f>
        <v/>
      </c>
      <c r="EF20" s="193">
        <f>EE20/ED20</f>
        <v/>
      </c>
      <c r="EG20" s="182" t="n"/>
      <c r="EH20" s="182" t="n"/>
      <c r="EI20" s="183" t="n"/>
      <c r="EJ20" s="183">
        <f>C20</f>
        <v/>
      </c>
      <c r="EK20" s="185" t="n">
        <v>1207722.9669</v>
      </c>
      <c r="EL20" s="13">
        <f>EK21</f>
        <v/>
      </c>
      <c r="EM20" s="13">
        <f>EK20-EL20</f>
        <v/>
      </c>
      <c r="EN20" s="193">
        <f>EM20/EL20</f>
        <v/>
      </c>
      <c r="EO20" s="182" t="n">
        <v>0.0075</v>
      </c>
      <c r="EP20" s="182" t="n"/>
      <c r="EQ20" s="183" t="n"/>
      <c r="ER20" s="183">
        <f>C20</f>
        <v/>
      </c>
      <c r="ES20" s="24" t="n"/>
      <c r="ET20" s="13">
        <f>ES21</f>
        <v/>
      </c>
      <c r="EU20" s="13">
        <f>ES20-ET20</f>
        <v/>
      </c>
      <c r="EV20" s="193">
        <f>EU20/ET20</f>
        <v/>
      </c>
      <c r="EW20" s="182" t="n"/>
      <c r="EX20" s="182" t="n"/>
      <c r="EY20" s="183" t="n"/>
      <c r="EZ20" s="183">
        <f>C20</f>
        <v/>
      </c>
      <c r="FA20" s="185" t="n"/>
      <c r="FB20" s="13">
        <f>FA21</f>
        <v/>
      </c>
      <c r="FC20" s="13">
        <f>FA20-FB20</f>
        <v/>
      </c>
      <c r="FD20" s="193">
        <f>FC20/FB20</f>
        <v/>
      </c>
      <c r="FE20" s="182" t="n"/>
      <c r="FF20" s="182" t="n"/>
      <c r="FG20" s="182" t="n"/>
      <c r="FH20" s="183">
        <f>C20</f>
        <v/>
      </c>
      <c r="FI20" s="672" t="n">
        <v>874395.3365</v>
      </c>
      <c r="FJ20" s="13">
        <f>FI21</f>
        <v/>
      </c>
      <c r="FK20" s="13">
        <f>FI20-FJ20</f>
        <v/>
      </c>
      <c r="FL20" s="193">
        <f>FK20/FJ20</f>
        <v/>
      </c>
      <c r="FM20" s="194" t="n">
        <v>0.0091</v>
      </c>
      <c r="FN20" s="194" t="n"/>
      <c r="FO20" s="183" t="n"/>
      <c r="FP20" s="183">
        <f>C20</f>
        <v/>
      </c>
      <c r="FQ20" s="185" t="n"/>
      <c r="FR20" s="13">
        <f>FQ21</f>
        <v/>
      </c>
      <c r="FS20" s="13">
        <f>FQ20-FR20</f>
        <v/>
      </c>
      <c r="FT20" s="193">
        <f>FS20/FR20</f>
        <v/>
      </c>
      <c r="FU20" s="182" t="n"/>
      <c r="FV20" s="182" t="n"/>
      <c r="FW20" s="183" t="n"/>
      <c r="FX20" s="183">
        <f>C20</f>
        <v/>
      </c>
      <c r="FY20" s="185" t="n"/>
      <c r="FZ20" s="13">
        <f>FY21</f>
        <v/>
      </c>
      <c r="GA20" s="13">
        <f>FY20-FZ20</f>
        <v/>
      </c>
      <c r="GB20" s="193">
        <f>GA20/FZ20</f>
        <v/>
      </c>
      <c r="GC20" s="182" t="n"/>
      <c r="GD20" s="182" t="n"/>
      <c r="GE20" s="183" t="n"/>
      <c r="GF20" s="183">
        <f>C20</f>
        <v/>
      </c>
      <c r="GG20" s="185" t="n"/>
      <c r="GH20" s="13">
        <f>GG21</f>
        <v/>
      </c>
      <c r="GI20" s="13">
        <f>GG20-GH20</f>
        <v/>
      </c>
      <c r="GJ20" s="193">
        <f>GI20/GH20</f>
        <v/>
      </c>
      <c r="GK20" s="182" t="n"/>
      <c r="GL20" s="182" t="n"/>
      <c r="GM20" s="183" t="n"/>
      <c r="GN20" s="183">
        <f>C20</f>
        <v/>
      </c>
      <c r="GO20" s="185" t="n">
        <v>1904878.1217</v>
      </c>
      <c r="GP20" s="13">
        <f>GO21</f>
        <v/>
      </c>
      <c r="GQ20" s="13">
        <f>GO20-GP20</f>
        <v/>
      </c>
      <c r="GR20" s="193">
        <f>GQ20/GP20</f>
        <v/>
      </c>
      <c r="GS20" s="182" t="n">
        <v>0</v>
      </c>
      <c r="GT20" s="182" t="n"/>
      <c r="GU20" s="183" t="n"/>
      <c r="GV20" s="183">
        <f>C20</f>
        <v/>
      </c>
      <c r="GW20" s="185" t="n"/>
      <c r="GX20" s="13">
        <f>GW21</f>
        <v/>
      </c>
      <c r="GY20" s="13">
        <f>GW20-GX20</f>
        <v/>
      </c>
      <c r="GZ20" s="193">
        <f>GY20/GX20</f>
        <v/>
      </c>
      <c r="HA20" s="182" t="n"/>
      <c r="HB20" s="182" t="n"/>
      <c r="HC20" s="183" t="n"/>
      <c r="HD20" s="183">
        <f>C20</f>
        <v/>
      </c>
      <c r="HE20" s="185" t="n">
        <v>741064.6746</v>
      </c>
      <c r="HF20" s="13">
        <f>HE21</f>
        <v/>
      </c>
      <c r="HG20" s="13">
        <f>HE20-HF20</f>
        <v/>
      </c>
      <c r="HH20" s="193">
        <f>HG20/HF20</f>
        <v/>
      </c>
      <c r="HI20" s="194" t="n">
        <v>-0.0426</v>
      </c>
      <c r="HJ20" s="182" t="n"/>
      <c r="HK20" s="183" t="n"/>
      <c r="HL20" s="183">
        <f>C20</f>
        <v/>
      </c>
      <c r="HM20" s="185" t="n"/>
      <c r="HN20" s="195">
        <f>HM21</f>
        <v/>
      </c>
      <c r="HO20" s="195">
        <f>HM20-HN20</f>
        <v/>
      </c>
      <c r="HP20" s="196">
        <f>HO20/HN20</f>
        <v/>
      </c>
      <c r="HQ20" s="182" t="n"/>
      <c r="HR20" s="182" t="n"/>
      <c r="HS20" s="183" t="n"/>
      <c r="HT20" s="183">
        <f>C20</f>
        <v/>
      </c>
      <c r="HU20" s="185" t="n">
        <v>142968.8265</v>
      </c>
      <c r="HV20" s="13">
        <f>HU21</f>
        <v/>
      </c>
      <c r="HW20" s="13">
        <f>HU20-HV20</f>
        <v/>
      </c>
      <c r="HX20" s="193">
        <f>HW20/HV20</f>
        <v/>
      </c>
      <c r="HY20" s="182" t="n">
        <v>0.0019</v>
      </c>
      <c r="HZ20" s="182" t="n"/>
      <c r="IA20" s="183" t="n"/>
      <c r="IB20" s="183">
        <f>C20</f>
        <v/>
      </c>
      <c r="IC20" s="185" t="n"/>
      <c r="ID20" s="13">
        <f>IC21</f>
        <v/>
      </c>
      <c r="IE20" s="13">
        <f>IC20-ID20</f>
        <v/>
      </c>
      <c r="IF20" s="193">
        <f>IE20/ID20</f>
        <v/>
      </c>
      <c r="IG20" s="194" t="n"/>
      <c r="IH20" s="182" t="n"/>
      <c r="II20" s="183" t="n"/>
      <c r="IJ20" s="183">
        <f>C20</f>
        <v/>
      </c>
      <c r="IK20" s="185" t="n">
        <v>806476.29</v>
      </c>
      <c r="IL20" s="13">
        <f>IK21</f>
        <v/>
      </c>
      <c r="IM20" s="13">
        <f>IK20-IL20</f>
        <v/>
      </c>
      <c r="IN20" s="193">
        <f>IM20/IL20</f>
        <v/>
      </c>
      <c r="IO20" s="182" t="n">
        <v>-0.0029</v>
      </c>
      <c r="IP20" s="182" t="n"/>
      <c r="IQ20" s="183" t="n"/>
      <c r="IR20" s="183">
        <f>C20</f>
        <v/>
      </c>
      <c r="IS20" s="185" t="n"/>
      <c r="IT20" s="13">
        <f>IS21</f>
        <v/>
      </c>
      <c r="IU20" s="13">
        <f>IS20-IT20</f>
        <v/>
      </c>
      <c r="IV20" s="193">
        <f>IU20/IT20</f>
        <v/>
      </c>
      <c r="IW20" s="182" t="n"/>
      <c r="IX20" s="182" t="n"/>
      <c r="IY20" s="183" t="n"/>
      <c r="IZ20" s="183">
        <f>C20</f>
        <v/>
      </c>
      <c r="JA20" s="185" t="n"/>
      <c r="JB20" s="13">
        <f>JA21</f>
        <v/>
      </c>
      <c r="JC20" s="13">
        <f>JA20-JB20</f>
        <v/>
      </c>
      <c r="JD20" s="193">
        <f>JC20/JB20</f>
        <v/>
      </c>
      <c r="JE20" s="182" t="n"/>
      <c r="JF20" s="182" t="n"/>
      <c r="JG20" s="183" t="n"/>
      <c r="JH20" s="183">
        <f>C20</f>
        <v/>
      </c>
      <c r="JI20" s="185" t="n"/>
      <c r="JJ20" s="13">
        <f>JI21</f>
        <v/>
      </c>
      <c r="JK20" s="13">
        <f>JI20-JJ20</f>
        <v/>
      </c>
      <c r="JL20" s="193">
        <f>JK20/JJ20</f>
        <v/>
      </c>
      <c r="JM20" s="182" t="n"/>
      <c r="JN20" s="182" t="n"/>
      <c r="JO20" s="182" t="n"/>
      <c r="JP20" s="183">
        <f>C20</f>
        <v/>
      </c>
      <c r="JQ20" s="185" t="n">
        <v>1080490.4148</v>
      </c>
      <c r="JR20" s="13">
        <f>JQ21</f>
        <v/>
      </c>
      <c r="JS20" s="13">
        <f>JQ20-JR20</f>
        <v/>
      </c>
      <c r="JT20" s="193">
        <f>JS20/JR20</f>
        <v/>
      </c>
      <c r="JU20" s="182" t="n">
        <v>0.0069</v>
      </c>
      <c r="JV20" s="182" t="n"/>
      <c r="JW20" s="194" t="n"/>
      <c r="JX20" s="183">
        <f>C20</f>
        <v/>
      </c>
      <c r="JY20" s="185" t="n"/>
      <c r="JZ20" s="13">
        <f>JY21</f>
        <v/>
      </c>
      <c r="KA20" s="13">
        <f>JY20-JZ20</f>
        <v/>
      </c>
      <c r="KB20" s="193">
        <f>KA20/JZ20</f>
        <v/>
      </c>
      <c r="KC20" s="182" t="n"/>
      <c r="KD20" s="182" t="n"/>
      <c r="KE20" s="194" t="n"/>
      <c r="KF20" s="183">
        <f>C20</f>
        <v/>
      </c>
      <c r="KG20" s="185" t="n">
        <v>567155.9219</v>
      </c>
      <c r="KH20" s="13">
        <f>KG21</f>
        <v/>
      </c>
      <c r="KI20" s="13">
        <f>KG20-KH20</f>
        <v/>
      </c>
      <c r="KJ20" s="193">
        <f>KI20/KH20</f>
        <v/>
      </c>
      <c r="KK20" s="194" t="n">
        <v>-0.009299999999999999</v>
      </c>
      <c r="KL20" s="194" t="n"/>
      <c r="KM20" s="183" t="n"/>
      <c r="KN20" s="183">
        <f>C20</f>
        <v/>
      </c>
      <c r="KO20" s="185" t="n"/>
      <c r="KP20" s="13">
        <f>KO21</f>
        <v/>
      </c>
      <c r="KQ20" s="13">
        <f>KO20-KP20</f>
        <v/>
      </c>
      <c r="KR20" s="193">
        <f>KQ20/KP20</f>
        <v/>
      </c>
      <c r="KS20" s="182" t="n"/>
      <c r="KT20" s="182" t="n"/>
      <c r="KU20" s="183" t="n"/>
      <c r="KV20" s="183">
        <f>C20</f>
        <v/>
      </c>
      <c r="KW20" s="185" t="n">
        <v>1019672.9726</v>
      </c>
      <c r="KX20" s="13">
        <f>KW21</f>
        <v/>
      </c>
      <c r="KY20" s="13">
        <f>KW20-KX20</f>
        <v/>
      </c>
      <c r="KZ20" s="193">
        <f>KY20/KX20</f>
        <v/>
      </c>
      <c r="LA20" s="194" t="n">
        <v>0</v>
      </c>
      <c r="LB20" s="182" t="n"/>
      <c r="LC20" s="183" t="n"/>
      <c r="LD20" s="183">
        <f>C20</f>
        <v/>
      </c>
      <c r="LE20" s="185" t="n"/>
      <c r="LF20" s="13">
        <f>LE21</f>
        <v/>
      </c>
      <c r="LG20" s="13">
        <f>LE20-LF20</f>
        <v/>
      </c>
      <c r="LH20" s="193">
        <f>LG20/LF20</f>
        <v/>
      </c>
      <c r="LI20" s="182" t="n"/>
      <c r="LJ20" s="182" t="n"/>
      <c r="LK20" s="183" t="n"/>
      <c r="LL20" s="183">
        <f>C20</f>
        <v/>
      </c>
      <c r="LM20" s="672" t="n"/>
      <c r="LN20" s="13">
        <f>LM21</f>
        <v/>
      </c>
      <c r="LO20" s="13">
        <f>LM20-LN20</f>
        <v/>
      </c>
      <c r="LP20" s="193">
        <f>LO20/LN20</f>
        <v/>
      </c>
      <c r="LQ20" s="182" t="n"/>
      <c r="LR20" s="182" t="n"/>
      <c r="LS20" s="183" t="n"/>
      <c r="LT20" s="183">
        <f>C20</f>
        <v/>
      </c>
      <c r="LU20" s="185" t="n">
        <v>2329862.904</v>
      </c>
      <c r="LV20" s="13">
        <f>LU21</f>
        <v/>
      </c>
      <c r="LW20" s="13">
        <f>LU20-LV20</f>
        <v/>
      </c>
      <c r="LX20" s="193">
        <f>LW20/LV20</f>
        <v/>
      </c>
      <c r="LY20" s="182" t="n">
        <v>-0.0105</v>
      </c>
      <c r="LZ20" s="182" t="n"/>
      <c r="MA20" s="183" t="n"/>
      <c r="MB20" s="183">
        <f>C20</f>
        <v/>
      </c>
      <c r="MC20" s="185" t="n"/>
      <c r="MD20" s="13">
        <f>MC21</f>
        <v/>
      </c>
      <c r="ME20" s="13">
        <f>MC20-MD20</f>
        <v/>
      </c>
      <c r="MF20" s="193">
        <f>ME20/MD20</f>
        <v/>
      </c>
      <c r="MG20" s="182" t="n"/>
      <c r="MH20" s="182" t="n"/>
      <c r="MK20" s="183">
        <f>C20</f>
        <v/>
      </c>
      <c r="ML20" s="24" t="n">
        <v>169425.5354</v>
      </c>
      <c r="MM20" s="13">
        <f>ML21</f>
        <v/>
      </c>
      <c r="MN20" s="13">
        <f>ML20-MM20</f>
        <v/>
      </c>
      <c r="MO20" s="193">
        <f>MN20/MM20</f>
        <v/>
      </c>
      <c r="MP20" s="182" t="n">
        <v>0.0047</v>
      </c>
      <c r="MQ20" s="194" t="n"/>
      <c r="MR20" s="194" t="n"/>
      <c r="MT20" s="183">
        <f>C20</f>
        <v/>
      </c>
      <c r="MU20" s="24" t="n"/>
      <c r="MV20" s="188">
        <f>MU21</f>
        <v/>
      </c>
      <c r="MW20" s="9">
        <f>MU20-MV20</f>
        <v/>
      </c>
      <c r="MX20" s="182">
        <f>MW20/MV20</f>
        <v/>
      </c>
      <c r="MY20" s="182" t="n"/>
      <c r="MZ20" s="182" t="n"/>
      <c r="NA20" s="182" t="n"/>
      <c r="NC20" s="183">
        <f>C20</f>
        <v/>
      </c>
      <c r="ND20" s="24" t="n"/>
      <c r="NE20" s="188">
        <f>ND21</f>
        <v/>
      </c>
      <c r="NF20" s="9">
        <f>ND20-NE20</f>
        <v/>
      </c>
      <c r="NG20" s="182">
        <f>NF20/NE20</f>
        <v/>
      </c>
      <c r="NH20" s="182" t="n"/>
      <c r="NI20" s="182" t="n"/>
      <c r="NJ20" s="182" t="n"/>
      <c r="NK20" s="182" t="n"/>
      <c r="NM20" s="183">
        <f>C20</f>
        <v/>
      </c>
      <c r="NN20" s="24" t="n"/>
      <c r="NO20" s="9">
        <f>NN21</f>
        <v/>
      </c>
      <c r="NP20" s="197">
        <f>NN20-NO20</f>
        <v/>
      </c>
      <c r="NQ20" s="198">
        <f>NP20/NO20</f>
        <v/>
      </c>
      <c r="NR20" s="182" t="n"/>
      <c r="NT20" s="183" t="n"/>
      <c r="NU20" s="183">
        <f>C20</f>
        <v/>
      </c>
      <c r="NV20" s="24" t="n"/>
      <c r="NW20" s="188">
        <f>NV21</f>
        <v/>
      </c>
      <c r="NX20" s="197">
        <f>NV20-NW20</f>
        <v/>
      </c>
      <c r="NY20" s="198">
        <f>NX20/NW20</f>
        <v/>
      </c>
      <c r="NZ20" s="194" t="n"/>
      <c r="OA20" s="185" t="n"/>
      <c r="OB20" s="183" t="n"/>
      <c r="OC20" s="183">
        <f>C20</f>
        <v/>
      </c>
      <c r="OD20" s="185" t="n"/>
      <c r="OE20" s="13">
        <f>OD21</f>
        <v/>
      </c>
      <c r="OF20" s="13">
        <f>OD20-OE20</f>
        <v/>
      </c>
      <c r="OG20" s="193">
        <f>OF20/OE20</f>
        <v/>
      </c>
      <c r="OH20" s="182" t="n"/>
      <c r="OI20" s="182" t="n"/>
      <c r="OJ20" s="183" t="n"/>
      <c r="OK20" s="183">
        <f>C20</f>
        <v/>
      </c>
      <c r="OL20" s="185" t="n"/>
      <c r="OM20" s="13">
        <f>OL21</f>
        <v/>
      </c>
      <c r="ON20" s="13">
        <f>OL20-OM20</f>
        <v/>
      </c>
      <c r="OO20" s="193">
        <f>ON20/OM20</f>
        <v/>
      </c>
      <c r="OP20" s="182" t="n"/>
      <c r="OQ20" s="182" t="n"/>
      <c r="OT20" s="201">
        <f>OK20</f>
        <v/>
      </c>
      <c r="OU20" s="199" t="n">
        <v>159912.4066</v>
      </c>
      <c r="OV20" s="9">
        <f>OU21</f>
        <v/>
      </c>
      <c r="OW20" s="671">
        <f>OU20-OV20</f>
        <v/>
      </c>
      <c r="OX20" s="182">
        <f>OW20/OV20</f>
        <v/>
      </c>
      <c r="OY20" s="0" t="n">
        <v>-0.0077</v>
      </c>
    </row>
    <row r="21" ht="17" customFormat="1" customHeight="1" s="10">
      <c r="A21" s="631" t="n"/>
      <c r="B21" s="631" t="n"/>
      <c r="C21" s="654" t="inlineStr">
        <is>
          <t>2026//10/20</t>
        </is>
      </c>
      <c r="D21" s="189" t="n">
        <v>2940078.77</v>
      </c>
      <c r="E21" s="20">
        <f>D22</f>
        <v/>
      </c>
      <c r="F21" s="20">
        <f>D21-E21</f>
        <v/>
      </c>
      <c r="G21" s="163">
        <f>F21/E21</f>
        <v/>
      </c>
      <c r="H21" s="19" t="n">
        <v>-0.0047</v>
      </c>
      <c r="I21" s="163" t="n"/>
      <c r="J21" s="163" t="n"/>
      <c r="K21" s="9">
        <f>C21</f>
        <v/>
      </c>
      <c r="L21" s="20" t="n">
        <v>1702864.4</v>
      </c>
      <c r="M21" s="20">
        <f>L22</f>
        <v/>
      </c>
      <c r="N21" s="20">
        <f>L21-M21</f>
        <v/>
      </c>
      <c r="O21" s="163">
        <f>N21/M21</f>
        <v/>
      </c>
      <c r="P21" s="19" t="n">
        <v>-0.0053</v>
      </c>
      <c r="Q21" s="163" t="n"/>
      <c r="R21" s="20" t="n"/>
      <c r="S21" s="9">
        <f>C21</f>
        <v/>
      </c>
      <c r="T21" s="20" t="n">
        <v>1116066.68</v>
      </c>
      <c r="U21" s="20">
        <f>T22</f>
        <v/>
      </c>
      <c r="V21" s="20">
        <f>T21-U21</f>
        <v/>
      </c>
      <c r="W21" s="163">
        <f>V21/U21</f>
        <v/>
      </c>
      <c r="X21" s="19" t="n">
        <v>-0.0031</v>
      </c>
      <c r="Y21" s="163" t="n"/>
      <c r="Z21" s="20" t="n"/>
      <c r="AA21" s="9">
        <f>S21</f>
        <v/>
      </c>
      <c r="AB21" s="20" t="n">
        <v>611056.86</v>
      </c>
      <c r="AC21" s="20">
        <f>AB22</f>
        <v/>
      </c>
      <c r="AD21" s="20">
        <f>AB21-AC21</f>
        <v/>
      </c>
      <c r="AE21" s="163">
        <f>AD21/AC21</f>
        <v/>
      </c>
      <c r="AF21" s="19" t="n">
        <v>0.006</v>
      </c>
      <c r="AG21" s="163" t="n"/>
      <c r="AH21" s="20" t="n"/>
      <c r="AI21" s="9">
        <f>C21</f>
        <v/>
      </c>
      <c r="AJ21" s="20" t="n">
        <v>833321.76</v>
      </c>
      <c r="AK21" s="20">
        <f>AJ22</f>
        <v/>
      </c>
      <c r="AL21" s="20">
        <f>AJ21-AK21</f>
        <v/>
      </c>
      <c r="AM21" s="163">
        <f>AL21/AK21</f>
        <v/>
      </c>
      <c r="AN21" s="19" t="n">
        <v>0.011</v>
      </c>
      <c r="AO21" s="19" t="n"/>
      <c r="AP21" s="20" t="n"/>
      <c r="AQ21" s="9">
        <f>C21</f>
        <v/>
      </c>
      <c r="AR21" s="20" t="n">
        <v>2734345.4936</v>
      </c>
      <c r="AS21" s="20">
        <f>AR22</f>
        <v/>
      </c>
      <c r="AT21" s="20">
        <f>AR21-AS21</f>
        <v/>
      </c>
      <c r="AU21" s="163">
        <f>AT21/AS21</f>
        <v/>
      </c>
      <c r="AV21" s="19" t="n">
        <v>-0.0022</v>
      </c>
      <c r="AW21" s="19" t="n"/>
      <c r="AX21" s="5" t="n"/>
      <c r="AY21" s="5" t="n"/>
      <c r="AZ21" s="9">
        <f>C21</f>
        <v/>
      </c>
      <c r="BA21" s="5" t="n">
        <v>734241.6676</v>
      </c>
      <c r="BB21" s="24">
        <f>BA22</f>
        <v/>
      </c>
      <c r="BC21" s="5">
        <f>BA21-BB21</f>
        <v/>
      </c>
      <c r="BD21" s="19">
        <f>BC21/BB21</f>
        <v/>
      </c>
      <c r="BE21" s="19" t="n">
        <v>-0.0043</v>
      </c>
      <c r="BF21" s="19" t="n"/>
      <c r="BG21" s="647" t="n"/>
      <c r="BH21" s="183">
        <f>C21</f>
        <v/>
      </c>
      <c r="BI21" s="183" t="n">
        <v>1065326.5525</v>
      </c>
      <c r="BJ21" s="184">
        <f>BI22</f>
        <v/>
      </c>
      <c r="BK21" s="184">
        <f>BI21-BJ21</f>
        <v/>
      </c>
      <c r="BL21" s="190">
        <f>BK21/BJ21</f>
        <v/>
      </c>
      <c r="BM21" s="191" t="n">
        <v>-0.0101</v>
      </c>
      <c r="BN21" s="182" t="n"/>
      <c r="BO21" s="183" t="n"/>
      <c r="BP21" s="183">
        <f>C21</f>
        <v/>
      </c>
      <c r="BQ21" s="672" t="n">
        <v>1405662.3921</v>
      </c>
      <c r="BR21" s="13">
        <f>BQ22</f>
        <v/>
      </c>
      <c r="BS21" s="13">
        <f>BQ21-BR21</f>
        <v/>
      </c>
      <c r="BT21" s="193">
        <f>BS21/BR21</f>
        <v/>
      </c>
      <c r="BU21" s="182" t="n">
        <v>0.0177</v>
      </c>
      <c r="BV21" s="182" t="n"/>
      <c r="BW21" s="183" t="n"/>
      <c r="BX21" s="183">
        <f>C21</f>
        <v/>
      </c>
      <c r="BY21" s="185" t="n">
        <v>1514010.7019</v>
      </c>
      <c r="BZ21" s="13">
        <f>BY22</f>
        <v/>
      </c>
      <c r="CA21" s="13">
        <f>BY21-BZ21</f>
        <v/>
      </c>
      <c r="CB21" s="193">
        <f>CA21/BZ21</f>
        <v/>
      </c>
      <c r="CC21" s="182" t="n">
        <v>-0.0014</v>
      </c>
      <c r="CD21" s="194" t="n"/>
      <c r="CE21" s="183" t="n"/>
      <c r="CF21" s="183">
        <f>C21</f>
        <v/>
      </c>
      <c r="CG21" s="185" t="n">
        <v>1380703.9</v>
      </c>
      <c r="CH21" s="13">
        <f>CG22</f>
        <v/>
      </c>
      <c r="CI21" s="13">
        <f>CG21-CH21</f>
        <v/>
      </c>
      <c r="CJ21" s="193">
        <f>CI21/CH21</f>
        <v/>
      </c>
      <c r="CK21" s="182" t="n">
        <v>-0.0125</v>
      </c>
      <c r="CL21" s="194" t="n"/>
      <c r="CM21" s="183" t="n"/>
      <c r="CN21" s="183">
        <f>C21</f>
        <v/>
      </c>
      <c r="CO21" s="185" t="n">
        <v>521946.48</v>
      </c>
      <c r="CP21" s="13">
        <f>CO22</f>
        <v/>
      </c>
      <c r="CQ21" s="13">
        <f>CO21-CP21</f>
        <v/>
      </c>
      <c r="CR21" s="193">
        <f>CQ21/CP21</f>
        <v/>
      </c>
      <c r="CS21" s="194" t="n">
        <v>-0.0146</v>
      </c>
      <c r="CT21" s="194" t="n"/>
      <c r="CU21" s="183" t="n"/>
      <c r="CV21" s="183">
        <f>C21</f>
        <v/>
      </c>
      <c r="CW21" s="185" t="n">
        <v>755990.4</v>
      </c>
      <c r="CX21" s="13">
        <f>CW22</f>
        <v/>
      </c>
      <c r="CY21" s="13">
        <f>CW21-CX21</f>
        <v/>
      </c>
      <c r="CZ21" s="193">
        <f>CY21/CX21</f>
        <v/>
      </c>
      <c r="DA21" s="182" t="n">
        <v>-0.0382</v>
      </c>
      <c r="DB21" s="182" t="n"/>
      <c r="DC21" s="186" t="n"/>
      <c r="DD21" s="183">
        <f>C21</f>
        <v/>
      </c>
      <c r="DE21" s="185" t="n">
        <v>6248335.9972</v>
      </c>
      <c r="DF21" s="13">
        <f>DE22</f>
        <v/>
      </c>
      <c r="DG21" s="13">
        <f>DE21-DF21</f>
        <v/>
      </c>
      <c r="DH21" s="193">
        <f>DG21/DF21</f>
        <v/>
      </c>
      <c r="DI21" s="182" t="n">
        <v>-0.0071</v>
      </c>
      <c r="DJ21" s="182" t="n"/>
      <c r="DK21" s="183" t="n"/>
      <c r="DL21" s="183">
        <f>C21</f>
        <v/>
      </c>
      <c r="DM21" s="185" t="n">
        <v>2099400.72</v>
      </c>
      <c r="DN21" s="13">
        <f>DM22</f>
        <v/>
      </c>
      <c r="DO21" s="13">
        <f>DM21-DN21</f>
        <v/>
      </c>
      <c r="DP21" s="193">
        <f>DO21/DN21</f>
        <v/>
      </c>
      <c r="DQ21" s="182" t="n">
        <v>0.011</v>
      </c>
      <c r="DR21" s="182" t="n"/>
      <c r="DS21" s="183" t="n"/>
      <c r="DT21" s="183">
        <f>C21</f>
        <v/>
      </c>
      <c r="DU21" s="185" t="n">
        <v>4433668.43</v>
      </c>
      <c r="DV21" s="13">
        <f>DU22</f>
        <v/>
      </c>
      <c r="DW21" s="13">
        <f>DU21-DV21</f>
        <v/>
      </c>
      <c r="DX21" s="193">
        <f>DW21/DV21</f>
        <v/>
      </c>
      <c r="DY21" s="182" t="n">
        <v>0.008800000000000001</v>
      </c>
      <c r="DZ21" s="182" t="n"/>
      <c r="EA21" s="183" t="n"/>
      <c r="EB21" s="183">
        <f>C21</f>
        <v/>
      </c>
      <c r="EC21" s="185" t="n">
        <v>7371866.82</v>
      </c>
      <c r="ED21" s="13">
        <f>EC22</f>
        <v/>
      </c>
      <c r="EE21" s="13">
        <f>EC21-ED21</f>
        <v/>
      </c>
      <c r="EF21" s="193">
        <f>EE21/ED21</f>
        <v/>
      </c>
      <c r="EG21" s="182" t="n">
        <v>0.008500000000000001</v>
      </c>
      <c r="EH21" s="182" t="n"/>
      <c r="EI21" s="183" t="n"/>
      <c r="EJ21" s="183">
        <f>C21</f>
        <v/>
      </c>
      <c r="EK21" s="185" t="n">
        <v>1209122.9669</v>
      </c>
      <c r="EL21" s="13">
        <f>EK22</f>
        <v/>
      </c>
      <c r="EM21" s="13">
        <f>EK21-EL21</f>
        <v/>
      </c>
      <c r="EN21" s="193">
        <f>EM21/EL21</f>
        <v/>
      </c>
      <c r="EO21" s="182" t="n">
        <v>0.0144</v>
      </c>
      <c r="EP21" s="182" t="n"/>
      <c r="EQ21" s="183" t="n"/>
      <c r="ER21" s="183">
        <f>C21</f>
        <v/>
      </c>
      <c r="ES21" s="24" t="n">
        <v>749294.04</v>
      </c>
      <c r="ET21" s="13">
        <f>ES22</f>
        <v/>
      </c>
      <c r="EU21" s="13">
        <f>ES21-ET21</f>
        <v/>
      </c>
      <c r="EV21" s="193">
        <f>EU21/ET21</f>
        <v/>
      </c>
      <c r="EW21" s="182" t="n">
        <v>0.013</v>
      </c>
      <c r="EX21" s="182" t="n"/>
      <c r="EY21" s="183" t="n"/>
      <c r="EZ21" s="183">
        <f>C21</f>
        <v/>
      </c>
      <c r="FA21" s="185" t="n">
        <v>764808</v>
      </c>
      <c r="FB21" s="13">
        <f>FA22</f>
        <v/>
      </c>
      <c r="FC21" s="13">
        <f>FA21-FB21</f>
        <v/>
      </c>
      <c r="FD21" s="193">
        <f>FC21/FB21</f>
        <v/>
      </c>
      <c r="FE21" s="182" t="n">
        <v>-0.0028</v>
      </c>
      <c r="FF21" s="182" t="n"/>
      <c r="FG21" s="182" t="n"/>
      <c r="FH21" s="183">
        <f>C21</f>
        <v/>
      </c>
      <c r="FI21" s="672" t="n">
        <v>873995.3365</v>
      </c>
      <c r="FJ21" s="13">
        <f>FI22</f>
        <v/>
      </c>
      <c r="FK21" s="13">
        <f>FI21-FJ21</f>
        <v/>
      </c>
      <c r="FL21" s="193">
        <f>FK21/FJ21</f>
        <v/>
      </c>
      <c r="FM21" s="194" t="n">
        <v>0.0246</v>
      </c>
      <c r="FN21" s="194" t="n"/>
      <c r="FO21" s="183" t="n"/>
      <c r="FP21" s="183">
        <f>C21</f>
        <v/>
      </c>
      <c r="FQ21" s="185" t="n">
        <v>1836568.73</v>
      </c>
      <c r="FR21" s="13">
        <f>FQ22</f>
        <v/>
      </c>
      <c r="FS21" s="13">
        <f>FQ21-FR21</f>
        <v/>
      </c>
      <c r="FT21" s="193">
        <f>FS21/FR21</f>
        <v/>
      </c>
      <c r="FU21" s="182" t="n">
        <v>0.0319</v>
      </c>
      <c r="FV21" s="182" t="n"/>
      <c r="FW21" s="183" t="n"/>
      <c r="FX21" s="183">
        <f>C21</f>
        <v/>
      </c>
      <c r="FY21" s="185" t="n">
        <v>7017482.05</v>
      </c>
      <c r="FZ21" s="13">
        <f>FY22</f>
        <v/>
      </c>
      <c r="GA21" s="13">
        <f>FY21-FZ21</f>
        <v/>
      </c>
      <c r="GB21" s="193">
        <f>GA21/FZ21</f>
        <v/>
      </c>
      <c r="GC21" s="182" t="n">
        <v>0.0215</v>
      </c>
      <c r="GD21" s="182" t="n"/>
      <c r="GE21" s="183" t="n"/>
      <c r="GF21" s="183">
        <f>C21</f>
        <v/>
      </c>
      <c r="GG21" s="185" t="n">
        <v>3848469.49</v>
      </c>
      <c r="GH21" s="13">
        <f>GG22</f>
        <v/>
      </c>
      <c r="GI21" s="13">
        <f>GG21-GH21</f>
        <v/>
      </c>
      <c r="GJ21" s="193">
        <f>GI21/GH21</f>
        <v/>
      </c>
      <c r="GK21" s="182" t="n">
        <v>0.0107</v>
      </c>
      <c r="GL21" s="182" t="n"/>
      <c r="GM21" s="183" t="n"/>
      <c r="GN21" s="183">
        <f>C21</f>
        <v/>
      </c>
      <c r="GO21" s="185" t="n">
        <v>1915138.1217</v>
      </c>
      <c r="GP21" s="13">
        <f>GO22</f>
        <v/>
      </c>
      <c r="GQ21" s="13">
        <f>GO21-GP21</f>
        <v/>
      </c>
      <c r="GR21" s="193">
        <f>GQ21/GP21</f>
        <v/>
      </c>
      <c r="GS21" s="182" t="n">
        <v>0.0137</v>
      </c>
      <c r="GT21" s="182" t="n"/>
      <c r="GU21" s="183" t="n"/>
      <c r="GV21" s="183">
        <f>C21</f>
        <v/>
      </c>
      <c r="GW21" s="185" t="n">
        <v>591949.4</v>
      </c>
      <c r="GX21" s="13">
        <f>GW22</f>
        <v/>
      </c>
      <c r="GY21" s="13">
        <f>GW21-GX21</f>
        <v/>
      </c>
      <c r="GZ21" s="193">
        <f>GY21/GX21</f>
        <v/>
      </c>
      <c r="HA21" s="182" t="n">
        <v>-0.0069</v>
      </c>
      <c r="HB21" s="182" t="n"/>
      <c r="HC21" s="183" t="n"/>
      <c r="HD21" s="183">
        <f>C21</f>
        <v/>
      </c>
      <c r="HE21" s="185" t="n">
        <v>735264.6746</v>
      </c>
      <c r="HF21" s="13">
        <f>HE22</f>
        <v/>
      </c>
      <c r="HG21" s="13">
        <f>HE21-HF21</f>
        <v/>
      </c>
      <c r="HH21" s="193">
        <f>HG21/HF21</f>
        <v/>
      </c>
      <c r="HI21" s="194" t="n">
        <v>0</v>
      </c>
      <c r="HJ21" s="182" t="n"/>
      <c r="HK21" s="183" t="n"/>
      <c r="HL21" s="183">
        <f>C21</f>
        <v/>
      </c>
      <c r="HM21" s="185" t="n">
        <v>111104.25</v>
      </c>
      <c r="HN21" s="195">
        <f>HM22</f>
        <v/>
      </c>
      <c r="HO21" s="195">
        <f>HM21-HN21</f>
        <v/>
      </c>
      <c r="HP21" s="196">
        <f>HO21/HN21</f>
        <v/>
      </c>
      <c r="HQ21" s="182" t="n">
        <v>-0.0019</v>
      </c>
      <c r="HR21" s="182" t="n"/>
      <c r="HS21" s="183" t="n"/>
      <c r="HT21" s="183">
        <f>C21</f>
        <v/>
      </c>
      <c r="HU21" s="185" t="n">
        <v>142968.8265</v>
      </c>
      <c r="HV21" s="13">
        <f>HU22</f>
        <v/>
      </c>
      <c r="HW21" s="13">
        <f>HU21-HV21</f>
        <v/>
      </c>
      <c r="HX21" s="193">
        <f>HW21/HV21</f>
        <v/>
      </c>
      <c r="HY21" s="182" t="n">
        <v>-0.009599999999999999</v>
      </c>
      <c r="HZ21" s="182" t="n"/>
      <c r="IA21" s="183" t="n"/>
      <c r="IB21" s="183">
        <f>C21</f>
        <v/>
      </c>
      <c r="IC21" s="185" t="n">
        <v>425109.79</v>
      </c>
      <c r="ID21" s="13">
        <f>IC22</f>
        <v/>
      </c>
      <c r="IE21" s="13">
        <f>IC21-ID21</f>
        <v/>
      </c>
      <c r="IF21" s="193">
        <f>IE21/ID21</f>
        <v/>
      </c>
      <c r="IG21" s="194" t="n">
        <v>-0.0051</v>
      </c>
      <c r="IH21" s="182" t="n"/>
      <c r="II21" s="183" t="n"/>
      <c r="IJ21" s="183">
        <f>C21</f>
        <v/>
      </c>
      <c r="IK21" s="185" t="n">
        <v>813276.29</v>
      </c>
      <c r="IL21" s="13">
        <f>IK22</f>
        <v/>
      </c>
      <c r="IM21" s="13">
        <f>IK21-IL21</f>
        <v/>
      </c>
      <c r="IN21" s="193">
        <f>IM21/IL21</f>
        <v/>
      </c>
      <c r="IO21" s="182" t="n">
        <v>-0.0105</v>
      </c>
      <c r="IP21" s="182" t="n"/>
      <c r="IQ21" s="183" t="n"/>
      <c r="IR21" s="183">
        <f>C21</f>
        <v/>
      </c>
      <c r="IS21" s="185" t="n">
        <v>186989</v>
      </c>
      <c r="IT21" s="13">
        <f>IS22</f>
        <v/>
      </c>
      <c r="IU21" s="13">
        <f>IS21-IT21</f>
        <v/>
      </c>
      <c r="IV21" s="193">
        <f>IU21/IT21</f>
        <v/>
      </c>
      <c r="IW21" s="182" t="n">
        <v>0.0223</v>
      </c>
      <c r="IX21" s="182" t="n"/>
      <c r="IY21" s="183" t="n"/>
      <c r="IZ21" s="183">
        <f>C21</f>
        <v/>
      </c>
      <c r="JA21" s="185" t="n">
        <v>5721729.15</v>
      </c>
      <c r="JB21" s="13">
        <f>JA22</f>
        <v/>
      </c>
      <c r="JC21" s="13">
        <f>JA21-JB21</f>
        <v/>
      </c>
      <c r="JD21" s="193">
        <f>JC21/JB21</f>
        <v/>
      </c>
      <c r="JE21" s="182" t="n">
        <v>-0.0174</v>
      </c>
      <c r="JF21" s="182" t="n"/>
      <c r="JG21" s="183" t="n"/>
      <c r="JH21" s="183">
        <f>C21</f>
        <v/>
      </c>
      <c r="JI21" s="185" t="n">
        <v>1167927.99</v>
      </c>
      <c r="JJ21" s="13">
        <f>JI22</f>
        <v/>
      </c>
      <c r="JK21" s="13">
        <f>JI21-JJ21</f>
        <v/>
      </c>
      <c r="JL21" s="193">
        <f>JK21/JJ21</f>
        <v/>
      </c>
      <c r="JM21" s="182" t="n">
        <v>-0.0125</v>
      </c>
      <c r="JN21" s="182" t="n"/>
      <c r="JO21" s="182" t="n"/>
      <c r="JP21" s="183">
        <f>C21</f>
        <v/>
      </c>
      <c r="JQ21" s="185" t="n">
        <v>1072990.4148</v>
      </c>
      <c r="JR21" s="13">
        <f>JQ22</f>
        <v/>
      </c>
      <c r="JS21" s="13">
        <f>JQ21-JR21</f>
        <v/>
      </c>
      <c r="JT21" s="193">
        <f>JS21/JR21</f>
        <v/>
      </c>
      <c r="JU21" s="182" t="n">
        <v>0.0035</v>
      </c>
      <c r="JV21" s="182" t="n"/>
      <c r="JW21" s="194" t="n"/>
      <c r="JX21" s="183">
        <f>C21</f>
        <v/>
      </c>
      <c r="JY21" s="185" t="n">
        <v>999598.8</v>
      </c>
      <c r="JZ21" s="13">
        <f>JY22</f>
        <v/>
      </c>
      <c r="KA21" s="13">
        <f>JY21-JZ21</f>
        <v/>
      </c>
      <c r="KB21" s="193">
        <f>KA21/JZ21</f>
        <v/>
      </c>
      <c r="KC21" s="182" t="n">
        <v>-0.0338</v>
      </c>
      <c r="KD21" s="182" t="n"/>
      <c r="KE21" s="194" t="n"/>
      <c r="KF21" s="183">
        <f>C21</f>
        <v/>
      </c>
      <c r="KG21" s="185" t="n">
        <v>567155.9219</v>
      </c>
      <c r="KH21" s="13">
        <f>KG22</f>
        <v/>
      </c>
      <c r="KI21" s="13">
        <f>KG21-KH21</f>
        <v/>
      </c>
      <c r="KJ21" s="193">
        <f>KI21/KH21</f>
        <v/>
      </c>
      <c r="KK21" s="194" t="n">
        <v>-0.0113</v>
      </c>
      <c r="KL21" s="194" t="n"/>
      <c r="KM21" s="183" t="n"/>
      <c r="KN21" s="183">
        <f>C21</f>
        <v/>
      </c>
      <c r="KO21" s="185" t="n">
        <v>7237375.95</v>
      </c>
      <c r="KP21" s="13">
        <f>KO22</f>
        <v/>
      </c>
      <c r="KQ21" s="13">
        <f>KO21-KP21</f>
        <v/>
      </c>
      <c r="KR21" s="193">
        <f>KQ21/KP21</f>
        <v/>
      </c>
      <c r="KS21" s="182" t="n">
        <v>-0.0078</v>
      </c>
      <c r="KT21" s="182" t="n"/>
      <c r="KU21" s="183" t="n"/>
      <c r="KV21" s="183">
        <f>C21</f>
        <v/>
      </c>
      <c r="KW21" s="185" t="n">
        <v>1019672.9726</v>
      </c>
      <c r="KX21" s="13">
        <f>KW22</f>
        <v/>
      </c>
      <c r="KY21" s="13">
        <f>KW21-KX21</f>
        <v/>
      </c>
      <c r="KZ21" s="193">
        <f>KY21/KX21</f>
        <v/>
      </c>
      <c r="LA21" s="194" t="n">
        <v>0.0151</v>
      </c>
      <c r="LB21" s="182" t="n"/>
      <c r="LC21" s="183" t="n"/>
      <c r="LD21" s="183">
        <f>C21</f>
        <v/>
      </c>
      <c r="LE21" s="185" t="n">
        <v>366307.7</v>
      </c>
      <c r="LF21" s="13">
        <f>LE22</f>
        <v/>
      </c>
      <c r="LG21" s="13">
        <f>LE21-LF21</f>
        <v/>
      </c>
      <c r="LH21" s="193">
        <f>LG21/LF21</f>
        <v/>
      </c>
      <c r="LI21" s="182" t="n">
        <v>0.0131</v>
      </c>
      <c r="LJ21" s="182" t="n"/>
      <c r="LK21" s="183" t="n"/>
      <c r="LL21" s="183">
        <f>C21</f>
        <v/>
      </c>
      <c r="LM21" s="672" t="n">
        <v>3204115.02</v>
      </c>
      <c r="LN21" s="13">
        <f>LM22</f>
        <v/>
      </c>
      <c r="LO21" s="13">
        <f>LM21-LN21</f>
        <v/>
      </c>
      <c r="LP21" s="193">
        <f>LO21/LN21</f>
        <v/>
      </c>
      <c r="LQ21" s="182" t="n">
        <v>-0.0095</v>
      </c>
      <c r="LR21" s="182" t="n"/>
      <c r="LS21" s="183" t="n"/>
      <c r="LT21" s="183">
        <f>C21</f>
        <v/>
      </c>
      <c r="LU21" s="185" t="n">
        <v>2329462.904</v>
      </c>
      <c r="LV21" s="13">
        <f>LU22</f>
        <v/>
      </c>
      <c r="LW21" s="13">
        <f>LU21-LV21</f>
        <v/>
      </c>
      <c r="LX21" s="193">
        <f>LW21/LV21</f>
        <v/>
      </c>
      <c r="LY21" s="182" t="n">
        <v>-0.003</v>
      </c>
      <c r="LZ21" s="182" t="n"/>
      <c r="MA21" s="183" t="n"/>
      <c r="MB21" s="183">
        <f>C21</f>
        <v/>
      </c>
      <c r="MC21" s="185" t="n">
        <v>858967.6899999999</v>
      </c>
      <c r="MD21" s="13">
        <f>MC22</f>
        <v/>
      </c>
      <c r="ME21" s="13">
        <f>MC21-MD21</f>
        <v/>
      </c>
      <c r="MF21" s="193">
        <f>ME21/MD21</f>
        <v/>
      </c>
      <c r="MG21" s="182" t="n">
        <v>-0.0195</v>
      </c>
      <c r="MH21" s="182" t="n"/>
      <c r="MI21" s="9" t="n"/>
      <c r="MJ21" s="9" t="n"/>
      <c r="MK21" s="183">
        <f>C21</f>
        <v/>
      </c>
      <c r="ML21" s="24" t="n">
        <v>169425.5354</v>
      </c>
      <c r="MM21" s="13">
        <f>ML22</f>
        <v/>
      </c>
      <c r="MN21" s="13">
        <f>ML21-MM21</f>
        <v/>
      </c>
      <c r="MO21" s="193">
        <f>MN21/MM21</f>
        <v/>
      </c>
      <c r="MP21" s="182" t="n">
        <v>0.0095</v>
      </c>
      <c r="MQ21" s="194" t="n"/>
      <c r="MR21" s="194" t="n"/>
      <c r="MS21" s="9" t="n"/>
      <c r="MT21" s="183">
        <f>C21</f>
        <v/>
      </c>
      <c r="MU21" s="24" t="n">
        <v>119814.8</v>
      </c>
      <c r="MV21" s="188">
        <f>MU22</f>
        <v/>
      </c>
      <c r="MW21" s="9">
        <f>MU21-MV21</f>
        <v/>
      </c>
      <c r="MX21" s="182">
        <f>MW21/MV21</f>
        <v/>
      </c>
      <c r="MY21" s="182" t="n">
        <v>-0.0035</v>
      </c>
      <c r="MZ21" s="182" t="n"/>
      <c r="NA21" s="182" t="n"/>
      <c r="NB21" s="9" t="n"/>
      <c r="NC21" s="183">
        <f>C21</f>
        <v/>
      </c>
      <c r="ND21" s="24" t="n">
        <v>30691.48</v>
      </c>
      <c r="NE21" s="188">
        <f>ND22</f>
        <v/>
      </c>
      <c r="NF21" s="9">
        <f>ND21-NE21</f>
        <v/>
      </c>
      <c r="NG21" s="182">
        <f>NF21/NE21</f>
        <v/>
      </c>
      <c r="NH21" s="182" t="n">
        <v>-0.008699999999999999</v>
      </c>
      <c r="NI21" s="182" t="n"/>
      <c r="NJ21" s="182" t="n"/>
      <c r="NK21" s="182" t="n"/>
      <c r="NL21" s="9" t="n"/>
      <c r="NM21" s="183">
        <f>C21</f>
        <v/>
      </c>
      <c r="NN21" s="24" t="n">
        <v>2569411.08</v>
      </c>
      <c r="NO21" s="9">
        <f>NN22</f>
        <v/>
      </c>
      <c r="NP21" s="197">
        <f>NN21-NO21</f>
        <v/>
      </c>
      <c r="NQ21" s="198">
        <f>NP21/NO21</f>
        <v/>
      </c>
      <c r="NR21" s="182" t="n">
        <v>-0.0105</v>
      </c>
      <c r="NS21" s="9" t="n"/>
      <c r="NT21" s="183" t="n"/>
      <c r="NU21" s="183">
        <f>C21</f>
        <v/>
      </c>
      <c r="NV21" s="24" t="n">
        <v>222826.5</v>
      </c>
      <c r="NW21" s="188">
        <f>NV22</f>
        <v/>
      </c>
      <c r="NX21" s="197">
        <f>NV21-NW21</f>
        <v/>
      </c>
      <c r="NY21" s="198">
        <f>NX21/NW21</f>
        <v/>
      </c>
      <c r="NZ21" s="194" t="n">
        <v>-0.0112</v>
      </c>
      <c r="OA21" s="185" t="n"/>
      <c r="OB21" s="183" t="n"/>
      <c r="OC21" s="183">
        <f>C21</f>
        <v/>
      </c>
      <c r="OD21" s="185" t="n">
        <v>24407.97</v>
      </c>
      <c r="OE21" s="13">
        <f>OD22</f>
        <v/>
      </c>
      <c r="OF21" s="13">
        <f>OD21-OE21</f>
        <v/>
      </c>
      <c r="OG21" s="193">
        <f>OF21/OE21</f>
        <v/>
      </c>
      <c r="OH21" s="182" t="n">
        <v>0.0069</v>
      </c>
      <c r="OI21" s="182" t="n"/>
      <c r="OJ21" s="183" t="n"/>
      <c r="OK21" s="183">
        <f>C21</f>
        <v/>
      </c>
      <c r="OL21" s="185" t="n">
        <v>19221.65</v>
      </c>
      <c r="OM21" s="13">
        <f>OL22</f>
        <v/>
      </c>
      <c r="ON21" s="13">
        <f>OL21-OM21</f>
        <v/>
      </c>
      <c r="OO21" s="193">
        <f>ON21/OM21</f>
        <v/>
      </c>
      <c r="OP21" s="182" t="n">
        <v>0.0024</v>
      </c>
      <c r="OQ21" s="182" t="n"/>
      <c r="OR21" s="9" t="n"/>
      <c r="OS21" s="9" t="n"/>
      <c r="OT21" s="25">
        <f>OK21</f>
        <v/>
      </c>
      <c r="OU21" s="199" t="n">
        <v>159792.4066</v>
      </c>
      <c r="OV21" s="9">
        <f>OU22</f>
        <v/>
      </c>
      <c r="OW21" s="671">
        <f>OU21-OV21</f>
        <v/>
      </c>
      <c r="OX21" s="182">
        <f>OW21/OV21</f>
        <v/>
      </c>
      <c r="OY21" s="200" t="n">
        <v>-0.0059</v>
      </c>
    </row>
    <row r="22" ht="17" customFormat="1" customHeight="1" s="9">
      <c r="A22" s="631" t="n"/>
      <c r="B22" s="631" t="n"/>
      <c r="C22" s="654" t="inlineStr">
        <is>
          <t>2026//10/20</t>
        </is>
      </c>
      <c r="D22" s="189" t="n"/>
      <c r="E22" s="20">
        <f>D23</f>
        <v/>
      </c>
      <c r="F22" s="20">
        <f>D22-E22</f>
        <v/>
      </c>
      <c r="G22" s="163">
        <f>F22/E22</f>
        <v/>
      </c>
      <c r="H22" s="19" t="n"/>
      <c r="I22" s="163" t="n"/>
      <c r="J22" s="163" t="n"/>
      <c r="K22" s="9">
        <f>C22</f>
        <v/>
      </c>
      <c r="L22" s="20" t="n"/>
      <c r="M22" s="20">
        <f>L23</f>
        <v/>
      </c>
      <c r="N22" s="20">
        <f>L22-M22</f>
        <v/>
      </c>
      <c r="O22" s="163">
        <f>N22/M22</f>
        <v/>
      </c>
      <c r="P22" s="19" t="n"/>
      <c r="Q22" s="163" t="n"/>
      <c r="R22" s="20" t="n"/>
      <c r="S22" s="9">
        <f>C22</f>
        <v/>
      </c>
      <c r="T22" s="20" t="n"/>
      <c r="U22" s="20">
        <f>T23</f>
        <v/>
      </c>
      <c r="V22" s="20">
        <f>T22-U22</f>
        <v/>
      </c>
      <c r="W22" s="163">
        <f>V22/U22</f>
        <v/>
      </c>
      <c r="X22" s="19" t="n"/>
      <c r="Y22" s="163" t="n"/>
      <c r="Z22" s="20" t="n"/>
      <c r="AA22" s="9">
        <f>S22</f>
        <v/>
      </c>
      <c r="AB22" s="20" t="n"/>
      <c r="AC22" s="20">
        <f>AB23</f>
        <v/>
      </c>
      <c r="AD22" s="20">
        <f>AB22-AC22</f>
        <v/>
      </c>
      <c r="AE22" s="163">
        <f>AD22/AC22</f>
        <v/>
      </c>
      <c r="AF22" s="19" t="n"/>
      <c r="AG22" s="163" t="n"/>
      <c r="AH22" s="20" t="n"/>
      <c r="AI22" s="9">
        <f>C22</f>
        <v/>
      </c>
      <c r="AJ22" s="20" t="n"/>
      <c r="AK22" s="20">
        <f>AJ23</f>
        <v/>
      </c>
      <c r="AL22" s="20">
        <f>AJ22-AK22</f>
        <v/>
      </c>
      <c r="AM22" s="163">
        <f>AL22/AK22</f>
        <v/>
      </c>
      <c r="AN22" s="19" t="n"/>
      <c r="AO22" s="19" t="n"/>
      <c r="AP22" s="20" t="n"/>
      <c r="AQ22" s="9">
        <f>C22</f>
        <v/>
      </c>
      <c r="AR22" s="20" t="n">
        <v>2673645.4936</v>
      </c>
      <c r="AS22" s="20">
        <f>AR23</f>
        <v/>
      </c>
      <c r="AT22" s="20">
        <f>AR22-AS22</f>
        <v/>
      </c>
      <c r="AU22" s="163">
        <f>AT22/AS22</f>
        <v/>
      </c>
      <c r="AV22" s="19" t="n">
        <v>-0.0097</v>
      </c>
      <c r="AW22" s="19" t="n"/>
      <c r="AX22" s="5" t="n"/>
      <c r="AY22" s="5" t="n"/>
      <c r="AZ22" s="9">
        <f>C22</f>
        <v/>
      </c>
      <c r="BA22" s="5" t="n">
        <v>698601.6676</v>
      </c>
      <c r="BB22" s="24">
        <f>BA23</f>
        <v/>
      </c>
      <c r="BC22" s="5">
        <f>BA22-BB22</f>
        <v/>
      </c>
      <c r="BD22" s="19">
        <f>BC22/BB22</f>
        <v/>
      </c>
      <c r="BE22" s="19" t="n">
        <v>0.0011</v>
      </c>
      <c r="BF22" s="19" t="n"/>
      <c r="BG22" s="647" t="n"/>
      <c r="BH22" s="183">
        <f>C22</f>
        <v/>
      </c>
      <c r="BI22" s="183" t="n">
        <v>1069026.5525</v>
      </c>
      <c r="BJ22" s="184">
        <f>BI23</f>
        <v/>
      </c>
      <c r="BK22" s="184">
        <f>BI22-BJ22</f>
        <v/>
      </c>
      <c r="BL22" s="190">
        <f>BK22/BJ22</f>
        <v/>
      </c>
      <c r="BM22" s="191" t="n">
        <v>0.0242</v>
      </c>
      <c r="BN22" s="182" t="n"/>
      <c r="BO22" s="183" t="n"/>
      <c r="BP22" s="183">
        <f>C22</f>
        <v/>
      </c>
      <c r="BQ22" s="672" t="n">
        <v>1413162.3921</v>
      </c>
      <c r="BR22" s="13">
        <f>BQ23</f>
        <v/>
      </c>
      <c r="BS22" s="13">
        <f>BQ22-BR22</f>
        <v/>
      </c>
      <c r="BT22" s="193">
        <f>BS22/BR22</f>
        <v/>
      </c>
      <c r="BU22" s="182" t="n">
        <v>0.0097</v>
      </c>
      <c r="BV22" s="182" t="n"/>
      <c r="BW22" s="183" t="n"/>
      <c r="BX22" s="183">
        <f>C22</f>
        <v/>
      </c>
      <c r="BY22" s="185" t="n">
        <v>1519310.7019</v>
      </c>
      <c r="BZ22" s="13">
        <f>BY23</f>
        <v/>
      </c>
      <c r="CA22" s="13">
        <f>BY22-BZ22</f>
        <v/>
      </c>
      <c r="CB22" s="193">
        <f>CA22/BZ22</f>
        <v/>
      </c>
      <c r="CC22" s="182" t="n">
        <v>0.0101</v>
      </c>
      <c r="CD22" s="194" t="n"/>
      <c r="CE22" s="183" t="n"/>
      <c r="CF22" s="183">
        <f>C22</f>
        <v/>
      </c>
      <c r="CG22" s="185" t="n"/>
      <c r="CH22" s="13">
        <f>CG23</f>
        <v/>
      </c>
      <c r="CI22" s="13">
        <f>CG22-CH22</f>
        <v/>
      </c>
      <c r="CJ22" s="193">
        <f>CI22/CH22</f>
        <v/>
      </c>
      <c r="CK22" s="182" t="n"/>
      <c r="CL22" s="194" t="n"/>
      <c r="CM22" s="183" t="n"/>
      <c r="CN22" s="183">
        <f>C22</f>
        <v/>
      </c>
      <c r="CO22" s="185" t="n"/>
      <c r="CP22" s="13">
        <f>CO23</f>
        <v/>
      </c>
      <c r="CQ22" s="13">
        <f>CO22-CP22</f>
        <v/>
      </c>
      <c r="CR22" s="193">
        <f>CQ22/CP22</f>
        <v/>
      </c>
      <c r="CS22" s="194" t="n"/>
      <c r="CT22" s="194" t="n"/>
      <c r="CU22" s="183" t="n"/>
      <c r="CV22" s="183">
        <f>C22</f>
        <v/>
      </c>
      <c r="CW22" s="185" t="n"/>
      <c r="CX22" s="13">
        <f>CW23</f>
        <v/>
      </c>
      <c r="CY22" s="13">
        <f>CW22-CX22</f>
        <v/>
      </c>
      <c r="CZ22" s="193">
        <f>CY22/CX22</f>
        <v/>
      </c>
      <c r="DA22" s="182" t="n"/>
      <c r="DB22" s="182" t="n"/>
      <c r="DC22" s="186" t="n"/>
      <c r="DD22" s="183">
        <f>C22</f>
        <v/>
      </c>
      <c r="DE22" s="185" t="n">
        <v>6278035.9972</v>
      </c>
      <c r="DF22" s="13">
        <f>DE23</f>
        <v/>
      </c>
      <c r="DG22" s="13">
        <f>DE22-DF22</f>
        <v/>
      </c>
      <c r="DH22" s="193">
        <f>DG22/DF22</f>
        <v/>
      </c>
      <c r="DI22" s="182" t="n">
        <v>-0.0503</v>
      </c>
      <c r="DJ22" s="182" t="n"/>
      <c r="DK22" s="183" t="n"/>
      <c r="DL22" s="183">
        <f>C22</f>
        <v/>
      </c>
      <c r="DM22" s="185" t="n"/>
      <c r="DN22" s="13">
        <f>DM23</f>
        <v/>
      </c>
      <c r="DO22" s="13">
        <f>DM22-DN22</f>
        <v/>
      </c>
      <c r="DP22" s="193">
        <f>DO22/DN22</f>
        <v/>
      </c>
      <c r="DQ22" s="182" t="n"/>
      <c r="DR22" s="182" t="n"/>
      <c r="DS22" s="183" t="n"/>
      <c r="DT22" s="183">
        <f>C22</f>
        <v/>
      </c>
      <c r="DU22" s="185" t="n"/>
      <c r="DV22" s="13">
        <f>DU23</f>
        <v/>
      </c>
      <c r="DW22" s="13">
        <f>DU22-DV22</f>
        <v/>
      </c>
      <c r="DX22" s="193">
        <f>DW22/DV22</f>
        <v/>
      </c>
      <c r="DY22" s="182" t="n"/>
      <c r="DZ22" s="182" t="n"/>
      <c r="EA22" s="183" t="n"/>
      <c r="EB22" s="183">
        <f>C22</f>
        <v/>
      </c>
      <c r="EC22" s="185" t="n"/>
      <c r="ED22" s="13">
        <f>EC23</f>
        <v/>
      </c>
      <c r="EE22" s="13">
        <f>EC22-ED22</f>
        <v/>
      </c>
      <c r="EF22" s="193">
        <f>EE22/ED22</f>
        <v/>
      </c>
      <c r="EG22" s="182" t="n"/>
      <c r="EH22" s="182" t="n"/>
      <c r="EI22" s="183" t="n"/>
      <c r="EJ22" s="183">
        <f>C22</f>
        <v/>
      </c>
      <c r="EK22" s="185" t="n">
        <v>1210922.9669</v>
      </c>
      <c r="EL22" s="13">
        <f>EK23</f>
        <v/>
      </c>
      <c r="EM22" s="13">
        <f>EK22-EL22</f>
        <v/>
      </c>
      <c r="EN22" s="193">
        <f>EM22/EL22</f>
        <v/>
      </c>
      <c r="EO22" s="182" t="n">
        <v>0.0048</v>
      </c>
      <c r="EP22" s="182" t="n"/>
      <c r="EQ22" s="183" t="n"/>
      <c r="ER22" s="183">
        <f>C22</f>
        <v/>
      </c>
      <c r="ES22" s="24" t="n"/>
      <c r="ET22" s="13">
        <f>ES23</f>
        <v/>
      </c>
      <c r="EU22" s="13">
        <f>ES22-ET22</f>
        <v/>
      </c>
      <c r="EV22" s="193">
        <f>EU22/ET22</f>
        <v/>
      </c>
      <c r="EW22" s="182" t="n"/>
      <c r="EX22" s="182" t="n"/>
      <c r="EY22" s="183" t="n"/>
      <c r="EZ22" s="183">
        <f>C22</f>
        <v/>
      </c>
      <c r="FA22" s="185" t="n"/>
      <c r="FB22" s="13">
        <f>FA23</f>
        <v/>
      </c>
      <c r="FC22" s="13">
        <f>FA22-FB22</f>
        <v/>
      </c>
      <c r="FD22" s="193">
        <f>FC22/FB22</f>
        <v/>
      </c>
      <c r="FE22" s="182" t="n"/>
      <c r="FF22" s="182" t="n"/>
      <c r="FG22" s="182" t="n"/>
      <c r="FH22" s="183">
        <f>C22</f>
        <v/>
      </c>
      <c r="FI22" s="672" t="n">
        <v>876495.3365</v>
      </c>
      <c r="FJ22" s="13">
        <f>FI23</f>
        <v/>
      </c>
      <c r="FK22" s="13">
        <f>FI22-FJ22</f>
        <v/>
      </c>
      <c r="FL22" s="193">
        <f>FK22/FJ22</f>
        <v/>
      </c>
      <c r="FM22" s="194" t="n">
        <v>-0.0034</v>
      </c>
      <c r="FN22" s="194" t="n"/>
      <c r="FO22" s="183" t="n"/>
      <c r="FP22" s="183">
        <f>C22</f>
        <v/>
      </c>
      <c r="FQ22" s="185" t="n"/>
      <c r="FR22" s="13">
        <f>FQ23</f>
        <v/>
      </c>
      <c r="FS22" s="13">
        <f>FQ22-FR22</f>
        <v/>
      </c>
      <c r="FT22" s="193">
        <f>FS22/FR22</f>
        <v/>
      </c>
      <c r="FU22" s="182" t="n"/>
      <c r="FV22" s="182" t="n"/>
      <c r="FW22" s="183" t="n"/>
      <c r="FX22" s="183">
        <f>C22</f>
        <v/>
      </c>
      <c r="FY22" s="185" t="n"/>
      <c r="FZ22" s="13">
        <f>FY23</f>
        <v/>
      </c>
      <c r="GA22" s="13">
        <f>FY22-FZ22</f>
        <v/>
      </c>
      <c r="GB22" s="193">
        <f>GA22/FZ22</f>
        <v/>
      </c>
      <c r="GC22" s="182" t="n"/>
      <c r="GD22" s="182" t="n"/>
      <c r="GE22" s="183" t="n"/>
      <c r="GF22" s="183">
        <f>C22</f>
        <v/>
      </c>
      <c r="GG22" s="185" t="n"/>
      <c r="GH22" s="13">
        <f>GG23</f>
        <v/>
      </c>
      <c r="GI22" s="13">
        <f>GG22-GH22</f>
        <v/>
      </c>
      <c r="GJ22" s="193">
        <f>GI22/GH22</f>
        <v/>
      </c>
      <c r="GK22" s="182" t="n"/>
      <c r="GL22" s="182" t="n"/>
      <c r="GM22" s="183" t="n"/>
      <c r="GN22" s="183">
        <f>C22</f>
        <v/>
      </c>
      <c r="GO22" s="185" t="n">
        <v>1930798.1217</v>
      </c>
      <c r="GP22" s="13">
        <f>GO23</f>
        <v/>
      </c>
      <c r="GQ22" s="13">
        <f>GO22-GP22</f>
        <v/>
      </c>
      <c r="GR22" s="193">
        <f>GQ22/GP22</f>
        <v/>
      </c>
      <c r="GS22" s="182" t="n">
        <v>0.0101</v>
      </c>
      <c r="GT22" s="182" t="n"/>
      <c r="GU22" s="183" t="n"/>
      <c r="GV22" s="183">
        <f>C22</f>
        <v/>
      </c>
      <c r="GW22" s="185" t="n"/>
      <c r="GX22" s="13">
        <f>GW23</f>
        <v/>
      </c>
      <c r="GY22" s="13">
        <f>GW22-GX22</f>
        <v/>
      </c>
      <c r="GZ22" s="193">
        <f>GY22/GX22</f>
        <v/>
      </c>
      <c r="HA22" s="182" t="n"/>
      <c r="HB22" s="182" t="n"/>
      <c r="HC22" s="183" t="n"/>
      <c r="HD22" s="183">
        <f>C22</f>
        <v/>
      </c>
      <c r="HE22" s="185" t="n">
        <v>739664.6746</v>
      </c>
      <c r="HF22" s="13">
        <f>HE23</f>
        <v/>
      </c>
      <c r="HG22" s="13">
        <f>HE22-HF22</f>
        <v/>
      </c>
      <c r="HH22" s="193">
        <f>HG22/HF22</f>
        <v/>
      </c>
      <c r="HI22" s="194" t="n">
        <v>-0.0064</v>
      </c>
      <c r="HJ22" s="182" t="n"/>
      <c r="HK22" s="183" t="n"/>
      <c r="HL22" s="183">
        <f>C22</f>
        <v/>
      </c>
      <c r="HM22" s="185" t="n"/>
      <c r="HN22" s="195">
        <f>HM23</f>
        <v/>
      </c>
      <c r="HO22" s="195">
        <f>HM22-HN22</f>
        <v/>
      </c>
      <c r="HP22" s="196">
        <f>HO22/HN22</f>
        <v/>
      </c>
      <c r="HQ22" s="182" t="n"/>
      <c r="HR22" s="182" t="n"/>
      <c r="HS22" s="183" t="n"/>
      <c r="HT22" s="183">
        <f>C22</f>
        <v/>
      </c>
      <c r="HU22" s="185" t="n">
        <v>142968.8265</v>
      </c>
      <c r="HV22" s="13">
        <f>HU23</f>
        <v/>
      </c>
      <c r="HW22" s="13">
        <f>HU22-HV22</f>
        <v/>
      </c>
      <c r="HX22" s="193">
        <f>HW22/HV22</f>
        <v/>
      </c>
      <c r="HY22" s="182" t="n">
        <v>0</v>
      </c>
      <c r="HZ22" s="182" t="n"/>
      <c r="IA22" s="183" t="n"/>
      <c r="IB22" s="183">
        <f>C22</f>
        <v/>
      </c>
      <c r="IC22" s="185" t="n"/>
      <c r="ID22" s="13">
        <f>IC23</f>
        <v/>
      </c>
      <c r="IE22" s="13">
        <f>IC22-ID22</f>
        <v/>
      </c>
      <c r="IF22" s="193">
        <f>IE22/ID22</f>
        <v/>
      </c>
      <c r="IG22" s="194" t="n"/>
      <c r="IH22" s="182" t="n"/>
      <c r="II22" s="183" t="n"/>
      <c r="IJ22" s="183">
        <f>C22</f>
        <v/>
      </c>
      <c r="IK22" s="185" t="n">
        <v>822076.29</v>
      </c>
      <c r="IL22" s="13">
        <f>IK23</f>
        <v/>
      </c>
      <c r="IM22" s="13">
        <f>IK22-IL22</f>
        <v/>
      </c>
      <c r="IN22" s="193">
        <f>IM22/IL22</f>
        <v/>
      </c>
      <c r="IO22" s="182" t="n">
        <v>0.0106</v>
      </c>
      <c r="IP22" s="182" t="n"/>
      <c r="IQ22" s="183" t="n"/>
      <c r="IR22" s="183">
        <f>C22</f>
        <v/>
      </c>
      <c r="IS22" s="185" t="n"/>
      <c r="IT22" s="13">
        <f>IS23</f>
        <v/>
      </c>
      <c r="IU22" s="13">
        <f>IS22-IT22</f>
        <v/>
      </c>
      <c r="IV22" s="193">
        <f>IU22/IT22</f>
        <v/>
      </c>
      <c r="IW22" s="182" t="n"/>
      <c r="IX22" s="182" t="n"/>
      <c r="IY22" s="183" t="n"/>
      <c r="IZ22" s="183">
        <f>C22</f>
        <v/>
      </c>
      <c r="JA22" s="185" t="n"/>
      <c r="JB22" s="13">
        <f>JA23</f>
        <v/>
      </c>
      <c r="JC22" s="13">
        <f>JA22-JB22</f>
        <v/>
      </c>
      <c r="JD22" s="193">
        <f>JC22/JB22</f>
        <v/>
      </c>
      <c r="JE22" s="182" t="n"/>
      <c r="JF22" s="182" t="n"/>
      <c r="JG22" s="183" t="n"/>
      <c r="JH22" s="183">
        <f>C22</f>
        <v/>
      </c>
      <c r="JI22" s="185" t="n"/>
      <c r="JJ22" s="13">
        <f>JI23</f>
        <v/>
      </c>
      <c r="JK22" s="13">
        <f>JI22-JJ22</f>
        <v/>
      </c>
      <c r="JL22" s="193">
        <f>JK22/JJ22</f>
        <v/>
      </c>
      <c r="JM22" s="182" t="n"/>
      <c r="JN22" s="182" t="n"/>
      <c r="JO22" s="182" t="n"/>
      <c r="JP22" s="183">
        <f>C22</f>
        <v/>
      </c>
      <c r="JQ22" s="185" t="n">
        <v>1075190.4148</v>
      </c>
      <c r="JR22" s="13">
        <f>JQ23</f>
        <v/>
      </c>
      <c r="JS22" s="13">
        <f>JQ22-JR22</f>
        <v/>
      </c>
      <c r="JT22" s="193">
        <f>JS22/JR22</f>
        <v/>
      </c>
      <c r="JU22" s="182" t="n">
        <v>0</v>
      </c>
      <c r="JV22" s="182" t="n"/>
      <c r="JW22" s="194" t="n"/>
      <c r="JX22" s="183">
        <f>C22</f>
        <v/>
      </c>
      <c r="JY22" s="185" t="n"/>
      <c r="JZ22" s="13">
        <f>JY23</f>
        <v/>
      </c>
      <c r="KA22" s="13">
        <f>JY22-JZ22</f>
        <v/>
      </c>
      <c r="KB22" s="193">
        <f>KA22/JZ22</f>
        <v/>
      </c>
      <c r="KC22" s="182" t="n"/>
      <c r="KD22" s="182" t="n"/>
      <c r="KE22" s="194" t="n"/>
      <c r="KF22" s="183">
        <f>C22</f>
        <v/>
      </c>
      <c r="KG22" s="185" t="n">
        <v>567155.9219</v>
      </c>
      <c r="KH22" s="13">
        <f>KG23</f>
        <v/>
      </c>
      <c r="KI22" s="13">
        <f>KG22-KH22</f>
        <v/>
      </c>
      <c r="KJ22" s="193">
        <f>KI22/KH22</f>
        <v/>
      </c>
      <c r="KK22" s="194" t="n">
        <v>0</v>
      </c>
      <c r="KL22" s="194" t="n"/>
      <c r="KM22" s="183" t="n"/>
      <c r="KN22" s="183">
        <f>C22</f>
        <v/>
      </c>
      <c r="KO22" s="185" t="n"/>
      <c r="KP22" s="13">
        <f>KO23</f>
        <v/>
      </c>
      <c r="KQ22" s="13">
        <f>KO22-KP22</f>
        <v/>
      </c>
      <c r="KR22" s="193">
        <f>KQ22/KP22</f>
        <v/>
      </c>
      <c r="KS22" s="182" t="n"/>
      <c r="KT22" s="182" t="n"/>
      <c r="KU22" s="183" t="n"/>
      <c r="KV22" s="183">
        <f>C22</f>
        <v/>
      </c>
      <c r="KW22" s="185" t="n">
        <v>1019772.9726</v>
      </c>
      <c r="KX22" s="13">
        <f>KW23</f>
        <v/>
      </c>
      <c r="KY22" s="13">
        <f>KW22-KX22</f>
        <v/>
      </c>
      <c r="KZ22" s="193">
        <f>KY22/KX22</f>
        <v/>
      </c>
      <c r="LA22" s="194" t="n">
        <v>0.0061</v>
      </c>
      <c r="LB22" s="182" t="n"/>
      <c r="LC22" s="183" t="n"/>
      <c r="LD22" s="183">
        <f>C22</f>
        <v/>
      </c>
      <c r="LE22" s="185" t="n"/>
      <c r="LF22" s="13">
        <f>LE23</f>
        <v/>
      </c>
      <c r="LG22" s="13">
        <f>LE22-LF22</f>
        <v/>
      </c>
      <c r="LH22" s="193">
        <f>LG22/LF22</f>
        <v/>
      </c>
      <c r="LI22" s="182" t="n"/>
      <c r="LJ22" s="182" t="n"/>
      <c r="LK22" s="183" t="n"/>
      <c r="LL22" s="183">
        <f>C22</f>
        <v/>
      </c>
      <c r="LM22" s="672" t="n"/>
      <c r="LN22" s="13">
        <f>LM23</f>
        <v/>
      </c>
      <c r="LO22" s="13">
        <f>LM22-LN22</f>
        <v/>
      </c>
      <c r="LP22" s="193">
        <f>LO22/LN22</f>
        <v/>
      </c>
      <c r="LQ22" s="182" t="n"/>
      <c r="LR22" s="182" t="n"/>
      <c r="LS22" s="183" t="n"/>
      <c r="LT22" s="183">
        <f>C22</f>
        <v/>
      </c>
      <c r="LU22" s="185" t="n">
        <v>2330662.904</v>
      </c>
      <c r="LV22" s="13">
        <f>LU23</f>
        <v/>
      </c>
      <c r="LW22" s="13">
        <f>LU22-LV22</f>
        <v/>
      </c>
      <c r="LX22" s="193">
        <f>LW22/LV22</f>
        <v/>
      </c>
      <c r="LY22" s="182" t="n">
        <v>-0.0015</v>
      </c>
      <c r="LZ22" s="182" t="n"/>
      <c r="MA22" s="183" t="n"/>
      <c r="MB22" s="183">
        <f>C22</f>
        <v/>
      </c>
      <c r="MC22" s="185" t="n"/>
      <c r="MD22" s="13">
        <f>MC23</f>
        <v/>
      </c>
      <c r="ME22" s="13">
        <f>MC22-MD22</f>
        <v/>
      </c>
      <c r="MF22" s="193">
        <f>ME22/MD22</f>
        <v/>
      </c>
      <c r="MG22" s="182" t="n"/>
      <c r="MH22" s="182" t="n"/>
      <c r="MK22" s="183">
        <f>C22</f>
        <v/>
      </c>
      <c r="ML22" s="24" t="n">
        <v>165465.5354</v>
      </c>
      <c r="MM22" s="13">
        <f>ML23</f>
        <v/>
      </c>
      <c r="MN22" s="13">
        <f>ML22-MM22</f>
        <v/>
      </c>
      <c r="MO22" s="193">
        <f>MN22/MM22</f>
        <v/>
      </c>
      <c r="MP22" s="182" t="n">
        <v>0.0144</v>
      </c>
      <c r="MQ22" s="194" t="n"/>
      <c r="MR22" s="194" t="n"/>
      <c r="MT22" s="183">
        <f>C22</f>
        <v/>
      </c>
      <c r="MU22" s="24" t="n"/>
      <c r="MV22" s="188">
        <f>MU23</f>
        <v/>
      </c>
      <c r="MW22" s="9">
        <f>MU22-MV22</f>
        <v/>
      </c>
      <c r="MX22" s="182">
        <f>MW22/MV22</f>
        <v/>
      </c>
      <c r="MY22" s="182" t="n"/>
      <c r="MZ22" s="182" t="n"/>
      <c r="NA22" s="182" t="n"/>
      <c r="NC22" s="183">
        <f>C22</f>
        <v/>
      </c>
      <c r="ND22" s="24" t="n"/>
      <c r="NE22" s="188">
        <f>ND23</f>
        <v/>
      </c>
      <c r="NF22" s="9">
        <f>ND22-NE22</f>
        <v/>
      </c>
      <c r="NG22" s="182">
        <f>NF22/NE22</f>
        <v/>
      </c>
      <c r="NH22" s="182" t="n"/>
      <c r="NI22" s="182" t="n"/>
      <c r="NJ22" s="182" t="n"/>
      <c r="NK22" s="182" t="n"/>
      <c r="NM22" s="183">
        <f>C22</f>
        <v/>
      </c>
      <c r="NN22" s="24" t="n"/>
      <c r="NO22" s="9">
        <f>NN23</f>
        <v/>
      </c>
      <c r="NP22" s="197">
        <f>NN22-NO22</f>
        <v/>
      </c>
      <c r="NQ22" s="198">
        <f>NP22/NO22</f>
        <v/>
      </c>
      <c r="NR22" s="182" t="n"/>
      <c r="NT22" s="183" t="n"/>
      <c r="NU22" s="183">
        <f>C22</f>
        <v/>
      </c>
      <c r="NV22" s="24" t="n"/>
      <c r="NW22" s="188">
        <f>NV23</f>
        <v/>
      </c>
      <c r="NX22" s="197">
        <f>NV22-NW22</f>
        <v/>
      </c>
      <c r="NY22" s="198">
        <f>NX22/NW22</f>
        <v/>
      </c>
      <c r="NZ22" s="194" t="n"/>
      <c r="OA22" s="185" t="n"/>
      <c r="OB22" s="183" t="n"/>
      <c r="OC22" s="183">
        <f>C22</f>
        <v/>
      </c>
      <c r="OD22" s="185" t="n"/>
      <c r="OE22" s="13">
        <f>OD23</f>
        <v/>
      </c>
      <c r="OF22" s="13">
        <f>OD22-OE22</f>
        <v/>
      </c>
      <c r="OG22" s="193">
        <f>OF22/OE22</f>
        <v/>
      </c>
      <c r="OH22" s="182" t="n"/>
      <c r="OI22" s="182" t="n"/>
      <c r="OJ22" s="183" t="n"/>
      <c r="OK22" s="183">
        <f>C22</f>
        <v/>
      </c>
      <c r="OL22" s="185" t="n"/>
      <c r="OM22" s="13">
        <f>OL23</f>
        <v/>
      </c>
      <c r="ON22" s="13">
        <f>OL22-OM22</f>
        <v/>
      </c>
      <c r="OO22" s="193">
        <f>ON22/OM22</f>
        <v/>
      </c>
      <c r="OP22" s="182" t="n"/>
      <c r="OQ22" s="182" t="n"/>
      <c r="OT22" s="201">
        <f>OK22</f>
        <v/>
      </c>
      <c r="OU22" s="199" t="n">
        <v>159672.4066</v>
      </c>
      <c r="OV22" s="9">
        <f>OU23</f>
        <v/>
      </c>
      <c r="OW22" s="671">
        <f>OU22-OV22</f>
        <v/>
      </c>
      <c r="OX22" s="182">
        <f>OW22/OV22</f>
        <v/>
      </c>
      <c r="OY22" s="0" t="n">
        <v>-0.0009</v>
      </c>
    </row>
    <row r="23" ht="17" customFormat="1" customHeight="1" s="9">
      <c r="A23" s="631" t="n"/>
      <c r="B23" s="631" t="n"/>
      <c r="C23" s="654" t="inlineStr">
        <is>
          <t>2026//10/16</t>
        </is>
      </c>
      <c r="D23" s="189" t="n">
        <v>2855298.77</v>
      </c>
      <c r="E23" s="20">
        <f>D24</f>
        <v/>
      </c>
      <c r="F23" s="20">
        <f>D23-E23</f>
        <v/>
      </c>
      <c r="G23" s="163">
        <f>F23/E23</f>
        <v/>
      </c>
      <c r="H23" s="19" t="n">
        <v>-0.0014</v>
      </c>
      <c r="I23" s="163" t="n"/>
      <c r="J23" s="163" t="n"/>
      <c r="K23" s="9">
        <f>C23</f>
        <v/>
      </c>
      <c r="L23" s="20" t="n">
        <v>1687924.4</v>
      </c>
      <c r="M23" s="20">
        <f>L24</f>
        <v/>
      </c>
      <c r="N23" s="20">
        <f>L23-M23</f>
        <v/>
      </c>
      <c r="O23" s="163">
        <f>N23/M23</f>
        <v/>
      </c>
      <c r="P23" s="19" t="n">
        <v>0.0029</v>
      </c>
      <c r="Q23" s="163" t="n"/>
      <c r="R23" s="20" t="n"/>
      <c r="S23" s="9">
        <f>C23</f>
        <v/>
      </c>
      <c r="T23" s="20" t="n">
        <v>891606.6800000001</v>
      </c>
      <c r="U23" s="20">
        <f>T24</f>
        <v/>
      </c>
      <c r="V23" s="20">
        <f>T23-U23</f>
        <v/>
      </c>
      <c r="W23" s="163">
        <f>V23/U23</f>
        <v/>
      </c>
      <c r="X23" s="19" t="n">
        <v>-0.0031</v>
      </c>
      <c r="Y23" s="163" t="n"/>
      <c r="Z23" s="20" t="n"/>
      <c r="AA23" s="9">
        <f>S23</f>
        <v/>
      </c>
      <c r="AB23" s="20" t="n">
        <v>577416.86</v>
      </c>
      <c r="AC23" s="20">
        <f>AB24</f>
        <v/>
      </c>
      <c r="AD23" s="20">
        <f>AB23-AC23</f>
        <v/>
      </c>
      <c r="AE23" s="163">
        <f>AD23/AC23</f>
        <v/>
      </c>
      <c r="AF23" s="19" t="n">
        <v>0.001</v>
      </c>
      <c r="AG23" s="163" t="n"/>
      <c r="AH23" s="20" t="n"/>
      <c r="AI23" s="9">
        <f>C23</f>
        <v/>
      </c>
      <c r="AJ23" s="20" t="n">
        <v>808121.76</v>
      </c>
      <c r="AK23" s="20">
        <f>AJ24</f>
        <v/>
      </c>
      <c r="AL23" s="20">
        <f>AJ23-AK23</f>
        <v/>
      </c>
      <c r="AM23" s="163">
        <f>AL23/AK23</f>
        <v/>
      </c>
      <c r="AN23" s="19" t="n">
        <v>0.0052</v>
      </c>
      <c r="AO23" s="19" t="n"/>
      <c r="AP23" s="20" t="n"/>
      <c r="AQ23" s="9">
        <f>C23</f>
        <v/>
      </c>
      <c r="AR23" s="20" t="n">
        <v>2593645.4936</v>
      </c>
      <c r="AS23" s="20">
        <f>AR24</f>
        <v/>
      </c>
      <c r="AT23" s="20">
        <f>AR23-AS23</f>
        <v/>
      </c>
      <c r="AU23" s="163">
        <f>AT23/AS23</f>
        <v/>
      </c>
      <c r="AV23" s="19" t="n">
        <v>-0.0061</v>
      </c>
      <c r="AW23" s="19" t="n"/>
      <c r="AX23" s="5" t="n"/>
      <c r="AY23" s="5" t="n"/>
      <c r="AZ23" s="9">
        <f>C23</f>
        <v/>
      </c>
      <c r="BA23" s="5" t="n">
        <v>692931.6676</v>
      </c>
      <c r="BB23" s="24">
        <f>BA24</f>
        <v/>
      </c>
      <c r="BC23" s="5">
        <f>BA23-BB23</f>
        <v/>
      </c>
      <c r="BD23" s="19">
        <f>BC23/BB23</f>
        <v/>
      </c>
      <c r="BE23" s="19" t="n">
        <v>0.0002</v>
      </c>
      <c r="BF23" s="19" t="n"/>
      <c r="BG23" s="647" t="n"/>
      <c r="BH23" s="183">
        <f>C23</f>
        <v/>
      </c>
      <c r="BI23" s="183" t="n">
        <v>1076626.5525</v>
      </c>
      <c r="BJ23" s="184">
        <f>BI24</f>
        <v/>
      </c>
      <c r="BK23" s="184">
        <f>BI23-BJ23</f>
        <v/>
      </c>
      <c r="BL23" s="190">
        <f>BK23/BJ23</f>
        <v/>
      </c>
      <c r="BM23" s="191" t="n">
        <v>0.0119</v>
      </c>
      <c r="BN23" s="182" t="n"/>
      <c r="BO23" s="183" t="n"/>
      <c r="BP23" s="183">
        <f>C23</f>
        <v/>
      </c>
      <c r="BQ23" s="672" t="n">
        <v>1419362.3921</v>
      </c>
      <c r="BR23" s="13">
        <f>BQ24</f>
        <v/>
      </c>
      <c r="BS23" s="13">
        <f>BQ23-BR23</f>
        <v/>
      </c>
      <c r="BT23" s="193">
        <f>BS23/BR23</f>
        <v/>
      </c>
      <c r="BU23" s="182" t="n">
        <v>-0.0065</v>
      </c>
      <c r="BV23" s="182" t="n"/>
      <c r="BW23" s="183" t="n"/>
      <c r="BX23" s="183">
        <f>C23</f>
        <v/>
      </c>
      <c r="BY23" s="185" t="n">
        <v>1518710.7019</v>
      </c>
      <c r="BZ23" s="13">
        <f>BY24</f>
        <v/>
      </c>
      <c r="CA23" s="13">
        <f>BY23-BZ23</f>
        <v/>
      </c>
      <c r="CB23" s="193">
        <f>CA23/BZ23</f>
        <v/>
      </c>
      <c r="CC23" s="182" t="n">
        <v>0.0102</v>
      </c>
      <c r="CD23" s="194" t="n"/>
      <c r="CE23" s="183" t="n"/>
      <c r="CF23" s="183">
        <f>C23</f>
        <v/>
      </c>
      <c r="CG23" s="185" t="n">
        <v>1391053.9</v>
      </c>
      <c r="CH23" s="13">
        <f>CG24</f>
        <v/>
      </c>
      <c r="CI23" s="13">
        <f>CG23-CH23</f>
        <v/>
      </c>
      <c r="CJ23" s="193">
        <f>CI23/CH23</f>
        <v/>
      </c>
      <c r="CK23" s="182" t="n">
        <v>0.007900000000000001</v>
      </c>
      <c r="CL23" s="194" t="n"/>
      <c r="CM23" s="183" t="n"/>
      <c r="CN23" s="183">
        <f>C23</f>
        <v/>
      </c>
      <c r="CO23" s="185" t="n">
        <v>526146.48</v>
      </c>
      <c r="CP23" s="13">
        <f>CO24</f>
        <v/>
      </c>
      <c r="CQ23" s="13">
        <f>CO23-CP23</f>
        <v/>
      </c>
      <c r="CR23" s="193">
        <f>CQ23/CP23</f>
        <v/>
      </c>
      <c r="CS23" s="194" t="n">
        <v>0.0064</v>
      </c>
      <c r="CT23" s="194" t="n"/>
      <c r="CU23" s="183" t="n"/>
      <c r="CV23" s="183">
        <f>C23</f>
        <v/>
      </c>
      <c r="CW23" s="185" t="n">
        <v>718440.4</v>
      </c>
      <c r="CX23" s="13">
        <f>CW24</f>
        <v/>
      </c>
      <c r="CY23" s="13">
        <f>CW23-CX23</f>
        <v/>
      </c>
      <c r="CZ23" s="193">
        <f>CY23/CX23</f>
        <v/>
      </c>
      <c r="DA23" s="182" t="n">
        <v>0.0257</v>
      </c>
      <c r="DB23" s="182" t="n"/>
      <c r="DC23" s="186" t="n"/>
      <c r="DD23" s="183">
        <f>C23</f>
        <v/>
      </c>
      <c r="DE23" s="185" t="n">
        <v>6147835.9972</v>
      </c>
      <c r="DF23" s="13">
        <f>DE24</f>
        <v/>
      </c>
      <c r="DG23" s="13">
        <f>DE23-DF23</f>
        <v/>
      </c>
      <c r="DH23" s="193">
        <f>DG23/DF23</f>
        <v/>
      </c>
      <c r="DI23" s="182" t="n">
        <v>-0.0083</v>
      </c>
      <c r="DJ23" s="182" t="n"/>
      <c r="DK23" s="183" t="n"/>
      <c r="DL23" s="183">
        <f>C23</f>
        <v/>
      </c>
      <c r="DM23" s="185" t="n">
        <v>2142600.72</v>
      </c>
      <c r="DN23" s="13">
        <f>DM24</f>
        <v/>
      </c>
      <c r="DO23" s="13">
        <f>DM23-DN23</f>
        <v/>
      </c>
      <c r="DP23" s="193">
        <f>DO23/DN23</f>
        <v/>
      </c>
      <c r="DQ23" s="182" t="n">
        <v>-0.0071</v>
      </c>
      <c r="DR23" s="182" t="n"/>
      <c r="DS23" s="183" t="n"/>
      <c r="DT23" s="183">
        <f>C23</f>
        <v/>
      </c>
      <c r="DU23" s="185" t="n">
        <v>4466518.43</v>
      </c>
      <c r="DV23" s="13">
        <f>DU24</f>
        <v/>
      </c>
      <c r="DW23" s="13">
        <f>DU23-DV23</f>
        <v/>
      </c>
      <c r="DX23" s="193">
        <f>DW23/DV23</f>
        <v/>
      </c>
      <c r="DY23" s="182" t="n">
        <v>-0.0021</v>
      </c>
      <c r="DZ23" s="182" t="n"/>
      <c r="EA23" s="183" t="n"/>
      <c r="EB23" s="183">
        <f>C23</f>
        <v/>
      </c>
      <c r="EC23" s="185" t="n">
        <v>7019666.82</v>
      </c>
      <c r="ED23" s="13">
        <f>EC24</f>
        <v/>
      </c>
      <c r="EE23" s="13">
        <f>EC23-ED23</f>
        <v/>
      </c>
      <c r="EF23" s="193">
        <f>EE23/ED23</f>
        <v/>
      </c>
      <c r="EG23" s="182" t="n">
        <v>-0.0056</v>
      </c>
      <c r="EH23" s="182" t="n"/>
      <c r="EI23" s="183" t="n"/>
      <c r="EJ23" s="183">
        <f>C23</f>
        <v/>
      </c>
      <c r="EK23" s="185" t="n">
        <v>1212522.9669</v>
      </c>
      <c r="EL23" s="13">
        <f>EK24</f>
        <v/>
      </c>
      <c r="EM23" s="13">
        <f>EK23-EL23</f>
        <v/>
      </c>
      <c r="EN23" s="193">
        <f>EM23/EL23</f>
        <v/>
      </c>
      <c r="EO23" s="182" t="n">
        <v>0.0014</v>
      </c>
      <c r="EP23" s="182" t="n"/>
      <c r="EQ23" s="183" t="n"/>
      <c r="ER23" s="183">
        <f>C23</f>
        <v/>
      </c>
      <c r="ES23" s="24" t="n">
        <v>751294.04</v>
      </c>
      <c r="ET23" s="13">
        <f>ES24</f>
        <v/>
      </c>
      <c r="EU23" s="13">
        <f>ES23-ET23</f>
        <v/>
      </c>
      <c r="EV23" s="193">
        <f>EU23/ET23</f>
        <v/>
      </c>
      <c r="EW23" s="182" t="n">
        <v>0.0033</v>
      </c>
      <c r="EX23" s="182" t="n"/>
      <c r="EY23" s="183" t="n"/>
      <c r="EZ23" s="183">
        <f>C23</f>
        <v/>
      </c>
      <c r="FA23" s="185" t="n">
        <v>724808</v>
      </c>
      <c r="FB23" s="13">
        <f>FA24</f>
        <v/>
      </c>
      <c r="FC23" s="13">
        <f>FA23-FB23</f>
        <v/>
      </c>
      <c r="FD23" s="193">
        <f>FC23/FB23</f>
        <v/>
      </c>
      <c r="FE23" s="182" t="n">
        <v>0.0272</v>
      </c>
      <c r="FF23" s="182" t="n"/>
      <c r="FG23" s="182" t="n"/>
      <c r="FH23" s="183">
        <f>C23</f>
        <v/>
      </c>
      <c r="FI23" s="672" t="n">
        <v>879195.3365</v>
      </c>
      <c r="FJ23" s="13">
        <f>FI24</f>
        <v/>
      </c>
      <c r="FK23" s="13">
        <f>FI23-FJ23</f>
        <v/>
      </c>
      <c r="FL23" s="193">
        <f>FK23/FJ23</f>
        <v/>
      </c>
      <c r="FM23" s="194" t="n">
        <v>0.0278</v>
      </c>
      <c r="FN23" s="194" t="n"/>
      <c r="FO23" s="183" t="n"/>
      <c r="FP23" s="183">
        <f>C23</f>
        <v/>
      </c>
      <c r="FQ23" s="185" t="n">
        <v>1851568.73</v>
      </c>
      <c r="FR23" s="13">
        <f>FQ24</f>
        <v/>
      </c>
      <c r="FS23" s="13">
        <f>FQ23-FR23</f>
        <v/>
      </c>
      <c r="FT23" s="193">
        <f>FS23/FR23</f>
        <v/>
      </c>
      <c r="FU23" s="182" t="n">
        <v>0.0076</v>
      </c>
      <c r="FV23" s="182" t="n"/>
      <c r="FW23" s="183" t="n"/>
      <c r="FX23" s="183">
        <f>C23</f>
        <v/>
      </c>
      <c r="FY23" s="185" t="n">
        <v>7085382.05</v>
      </c>
      <c r="FZ23" s="13">
        <f>FY24</f>
        <v/>
      </c>
      <c r="GA23" s="13">
        <f>FY23-FZ23</f>
        <v/>
      </c>
      <c r="GB23" s="193">
        <f>GA23/FZ23</f>
        <v/>
      </c>
      <c r="GC23" s="182" t="n">
        <v>-0.0213</v>
      </c>
      <c r="GD23" s="182" t="n"/>
      <c r="GE23" s="183" t="n"/>
      <c r="GF23" s="183">
        <f>C23</f>
        <v/>
      </c>
      <c r="GG23" s="185" t="n">
        <v>3883669.49</v>
      </c>
      <c r="GH23" s="13">
        <f>GG24</f>
        <v/>
      </c>
      <c r="GI23" s="13">
        <f>GG23-GH23</f>
        <v/>
      </c>
      <c r="GJ23" s="193">
        <f>GI23/GH23</f>
        <v/>
      </c>
      <c r="GK23" s="182" t="n">
        <v>-0.0265</v>
      </c>
      <c r="GL23" s="182" t="n"/>
      <c r="GM23" s="183" t="n"/>
      <c r="GN23" s="183">
        <f>C23</f>
        <v/>
      </c>
      <c r="GO23" s="185" t="n">
        <v>1944058.1217</v>
      </c>
      <c r="GP23" s="13">
        <f>GO24</f>
        <v/>
      </c>
      <c r="GQ23" s="13">
        <f>GO23-GP23</f>
        <v/>
      </c>
      <c r="GR23" s="193">
        <f>GQ23/GP23</f>
        <v/>
      </c>
      <c r="GS23" s="182" t="n">
        <v>-0.0173</v>
      </c>
      <c r="GT23" s="182" t="n"/>
      <c r="GU23" s="183" t="n"/>
      <c r="GV23" s="183">
        <f>C23</f>
        <v/>
      </c>
      <c r="GW23" s="185" t="n">
        <v>591549.4</v>
      </c>
      <c r="GX23" s="13">
        <f>GW24</f>
        <v/>
      </c>
      <c r="GY23" s="13">
        <f>GW23-GX23</f>
        <v/>
      </c>
      <c r="GZ23" s="193">
        <f>GY23/GX23</f>
        <v/>
      </c>
      <c r="HA23" s="182" t="n">
        <v>0.0042</v>
      </c>
      <c r="HB23" s="182" t="n"/>
      <c r="HC23" s="183" t="n"/>
      <c r="HD23" s="183">
        <f>C23</f>
        <v/>
      </c>
      <c r="HE23" s="185" t="n">
        <v>738664.6746</v>
      </c>
      <c r="HF23" s="13">
        <f>HE24</f>
        <v/>
      </c>
      <c r="HG23" s="13">
        <f>HE23-HF23</f>
        <v/>
      </c>
      <c r="HH23" s="193">
        <f>HG23/HF23</f>
        <v/>
      </c>
      <c r="HI23" s="194" t="n">
        <v>-0.0102</v>
      </c>
      <c r="HJ23" s="182" t="n"/>
      <c r="HK23" s="183" t="n"/>
      <c r="HL23" s="183">
        <f>C23</f>
        <v/>
      </c>
      <c r="HM23" s="185" t="n">
        <v>111054.25</v>
      </c>
      <c r="HN23" s="195">
        <f>HM24</f>
        <v/>
      </c>
      <c r="HO23" s="195">
        <f>HM23-HN23</f>
        <v/>
      </c>
      <c r="HP23" s="196">
        <f>HO23/HN23</f>
        <v/>
      </c>
      <c r="HQ23" s="182" t="n">
        <v>0.0068</v>
      </c>
      <c r="HR23" s="182" t="n"/>
      <c r="HS23" s="183" t="n"/>
      <c r="HT23" s="183">
        <f>C23</f>
        <v/>
      </c>
      <c r="HU23" s="185" t="n">
        <v>142568.8265</v>
      </c>
      <c r="HV23" s="13">
        <f>HU24</f>
        <v/>
      </c>
      <c r="HW23" s="13">
        <f>HU23-HV23</f>
        <v/>
      </c>
      <c r="HX23" s="193">
        <f>HW23/HV23</f>
        <v/>
      </c>
      <c r="HY23" s="182" t="n">
        <v>0.0295</v>
      </c>
      <c r="HZ23" s="182" t="n"/>
      <c r="IA23" s="183" t="n"/>
      <c r="IB23" s="183">
        <f>C23</f>
        <v/>
      </c>
      <c r="IC23" s="185" t="n">
        <v>423559.79</v>
      </c>
      <c r="ID23" s="13">
        <f>IC24</f>
        <v/>
      </c>
      <c r="IE23" s="13">
        <f>IC23-ID23</f>
        <v/>
      </c>
      <c r="IF23" s="193">
        <f>IE23/ID23</f>
        <v/>
      </c>
      <c r="IG23" s="194" t="n">
        <v>0.0229</v>
      </c>
      <c r="IH23" s="182" t="n"/>
      <c r="II23" s="183" t="n"/>
      <c r="IJ23" s="183">
        <f>C23</f>
        <v/>
      </c>
      <c r="IK23" s="185" t="n">
        <v>844476.29</v>
      </c>
      <c r="IL23" s="13">
        <f>IK24</f>
        <v/>
      </c>
      <c r="IM23" s="13">
        <f>IK23-IL23</f>
        <v/>
      </c>
      <c r="IN23" s="193">
        <f>IM23/IL23</f>
        <v/>
      </c>
      <c r="IO23" s="182" t="n">
        <v>0</v>
      </c>
      <c r="IP23" s="182" t="n"/>
      <c r="IQ23" s="183" t="n"/>
      <c r="IR23" s="183">
        <f>C23</f>
        <v/>
      </c>
      <c r="IS23" s="185" t="n">
        <v>188689</v>
      </c>
      <c r="IT23" s="13">
        <f>IS24</f>
        <v/>
      </c>
      <c r="IU23" s="13">
        <f>IS23-IT23</f>
        <v/>
      </c>
      <c r="IV23" s="193">
        <f>IU23/IT23</f>
        <v/>
      </c>
      <c r="IW23" s="182" t="n">
        <v>-0.0056</v>
      </c>
      <c r="IX23" s="182" t="n"/>
      <c r="IY23" s="183" t="n"/>
      <c r="IZ23" s="183">
        <f>C23</f>
        <v/>
      </c>
      <c r="JA23" s="185" t="n">
        <v>5702329.15</v>
      </c>
      <c r="JB23" s="13">
        <f>JA24</f>
        <v/>
      </c>
      <c r="JC23" s="13">
        <f>JA23-JB23</f>
        <v/>
      </c>
      <c r="JD23" s="193">
        <f>JC23/JB23</f>
        <v/>
      </c>
      <c r="JE23" s="182" t="n">
        <v>-0.008699999999999999</v>
      </c>
      <c r="JF23" s="182" t="n"/>
      <c r="JG23" s="183" t="n"/>
      <c r="JH23" s="183">
        <f>C23</f>
        <v/>
      </c>
      <c r="JI23" s="185" t="n">
        <v>1171227.99</v>
      </c>
      <c r="JJ23" s="13">
        <f>JI24</f>
        <v/>
      </c>
      <c r="JK23" s="13">
        <f>JI23-JJ23</f>
        <v/>
      </c>
      <c r="JL23" s="193">
        <f>JK23/JJ23</f>
        <v/>
      </c>
      <c r="JM23" s="182" t="n">
        <v>0.0012</v>
      </c>
      <c r="JN23" s="182" t="n"/>
      <c r="JO23" s="182" t="n"/>
      <c r="JP23" s="183">
        <f>C23</f>
        <v/>
      </c>
      <c r="JQ23" s="185" t="n">
        <v>1071490.4148</v>
      </c>
      <c r="JR23" s="13">
        <f>JQ24</f>
        <v/>
      </c>
      <c r="JS23" s="13">
        <f>JQ23-JR23</f>
        <v/>
      </c>
      <c r="JT23" s="193">
        <f>JS23/JR23</f>
        <v/>
      </c>
      <c r="JU23" s="182" t="n">
        <v>-0.0034</v>
      </c>
      <c r="JV23" s="182" t="n"/>
      <c r="JW23" s="194" t="n"/>
      <c r="JX23" s="183">
        <f>C23</f>
        <v/>
      </c>
      <c r="JY23" s="185" t="n">
        <v>995748.8</v>
      </c>
      <c r="JZ23" s="13">
        <f>JY24</f>
        <v/>
      </c>
      <c r="KA23" s="13">
        <f>JY23-JZ23</f>
        <v/>
      </c>
      <c r="KB23" s="193">
        <f>KA23/JZ23</f>
        <v/>
      </c>
      <c r="KC23" s="182" t="n">
        <v>0.0005999999999999999</v>
      </c>
      <c r="KD23" s="182" t="n"/>
      <c r="KE23" s="194" t="n"/>
      <c r="KF23" s="183">
        <f>C23</f>
        <v/>
      </c>
      <c r="KG23" s="185" t="n">
        <v>567155.9219</v>
      </c>
      <c r="KH23" s="13">
        <f>KG24</f>
        <v/>
      </c>
      <c r="KI23" s="13">
        <f>KG23-KH23</f>
        <v/>
      </c>
      <c r="KJ23" s="193">
        <f>KI23/KH23</f>
        <v/>
      </c>
      <c r="KK23" s="194" t="n">
        <v>0.0057</v>
      </c>
      <c r="KL23" s="194" t="n"/>
      <c r="KM23" s="183" t="n"/>
      <c r="KN23" s="183">
        <f>C23</f>
        <v/>
      </c>
      <c r="KO23" s="185" t="n">
        <v>7237175.95</v>
      </c>
      <c r="KP23" s="13">
        <f>KO24</f>
        <v/>
      </c>
      <c r="KQ23" s="13">
        <f>KO23-KP23</f>
        <v/>
      </c>
      <c r="KR23" s="193">
        <f>KQ23/KP23</f>
        <v/>
      </c>
      <c r="KS23" s="182" t="n">
        <v>0.0078</v>
      </c>
      <c r="KT23" s="182" t="n"/>
      <c r="KU23" s="183" t="n"/>
      <c r="KV23" s="183">
        <f>C23</f>
        <v/>
      </c>
      <c r="KW23" s="185" t="n">
        <v>1019772.9726</v>
      </c>
      <c r="KX23" s="13">
        <f>KW24</f>
        <v/>
      </c>
      <c r="KY23" s="13">
        <f>KW23-KX23</f>
        <v/>
      </c>
      <c r="KZ23" s="193">
        <f>KY23/KX23</f>
        <v/>
      </c>
      <c r="LA23" s="194" t="n">
        <v>0.0185</v>
      </c>
      <c r="LB23" s="182" t="n"/>
      <c r="LC23" s="183" t="n"/>
      <c r="LD23" s="183">
        <f>C23</f>
        <v/>
      </c>
      <c r="LE23" s="185" t="n">
        <v>371357.7</v>
      </c>
      <c r="LF23" s="13">
        <f>LE24</f>
        <v/>
      </c>
      <c r="LG23" s="13">
        <f>LE23-LF23</f>
        <v/>
      </c>
      <c r="LH23" s="193">
        <f>LG23/LF23</f>
        <v/>
      </c>
      <c r="LI23" s="182" t="n">
        <v>0.0035</v>
      </c>
      <c r="LJ23" s="182" t="n"/>
      <c r="LK23" s="183" t="n"/>
      <c r="LL23" s="183">
        <f>C23</f>
        <v/>
      </c>
      <c r="LM23" s="672" t="n">
        <v>3209515.02</v>
      </c>
      <c r="LN23" s="13">
        <f>LM24</f>
        <v/>
      </c>
      <c r="LO23" s="13">
        <f>LM23-LN23</f>
        <v/>
      </c>
      <c r="LP23" s="193">
        <f>LO23/LN23</f>
        <v/>
      </c>
      <c r="LQ23" s="182" t="n">
        <v>0.009599999999999999</v>
      </c>
      <c r="LR23" s="182" t="n"/>
      <c r="LS23" s="183" t="n"/>
      <c r="LT23" s="183">
        <f>C23</f>
        <v/>
      </c>
      <c r="LU23" s="185" t="n">
        <v>2292662.904</v>
      </c>
      <c r="LV23" s="13">
        <f>LU24</f>
        <v/>
      </c>
      <c r="LW23" s="13">
        <f>LU23-LV23</f>
        <v/>
      </c>
      <c r="LX23" s="193">
        <f>LW23/LV23</f>
        <v/>
      </c>
      <c r="LY23" s="182" t="n">
        <v>0.0106</v>
      </c>
      <c r="LZ23" s="182" t="n"/>
      <c r="MA23" s="183" t="n"/>
      <c r="MB23" s="183">
        <f>C23</f>
        <v/>
      </c>
      <c r="MC23" s="185" t="n">
        <v>864667.6899999999</v>
      </c>
      <c r="MD23" s="13">
        <f>MC24</f>
        <v/>
      </c>
      <c r="ME23" s="13">
        <f>MC23-MD23</f>
        <v/>
      </c>
      <c r="MF23" s="193">
        <f>ME23/MD23</f>
        <v/>
      </c>
      <c r="MG23" s="182" t="n">
        <v>0.012</v>
      </c>
      <c r="MH23" s="182" t="n"/>
      <c r="MI23" s="9" t="n"/>
      <c r="MJ23" s="9" t="n"/>
      <c r="MK23" s="183">
        <f>C23</f>
        <v/>
      </c>
      <c r="ML23" s="24" t="n">
        <v>164625.5354</v>
      </c>
      <c r="MM23" s="13">
        <f>ML24</f>
        <v/>
      </c>
      <c r="MN23" s="13">
        <f>ML23-MM23</f>
        <v/>
      </c>
      <c r="MO23" s="193">
        <f>MN23/MM23</f>
        <v/>
      </c>
      <c r="MP23" s="182" t="n">
        <v>-0.0024</v>
      </c>
      <c r="MQ23" s="194" t="n"/>
      <c r="MR23" s="194" t="n"/>
      <c r="MT23" s="183">
        <f>C23</f>
        <v/>
      </c>
      <c r="MU23" s="24" t="n">
        <v>120014.8</v>
      </c>
      <c r="MV23" s="188">
        <f>MU24</f>
        <v/>
      </c>
      <c r="MW23" s="9">
        <f>MU23-MV23</f>
        <v/>
      </c>
      <c r="MX23" s="182">
        <f>MW23/MV23</f>
        <v/>
      </c>
      <c r="MY23" s="182" t="n">
        <v>0</v>
      </c>
      <c r="MZ23" s="182" t="n"/>
      <c r="NA23" s="182" t="n"/>
      <c r="NC23" s="183">
        <f>C23</f>
        <v/>
      </c>
      <c r="ND23" s="24" t="n">
        <v>30691.48</v>
      </c>
      <c r="NE23" s="188">
        <f>ND24</f>
        <v/>
      </c>
      <c r="NF23" s="9">
        <f>ND23-NE23</f>
        <v/>
      </c>
      <c r="NG23" s="182">
        <f>NF23/NE23</f>
        <v/>
      </c>
      <c r="NH23" s="182" t="n">
        <v>0.008800000000000001</v>
      </c>
      <c r="NI23" s="182" t="n"/>
      <c r="NJ23" s="182" t="n"/>
      <c r="NK23" s="182" t="n"/>
      <c r="NM23" s="183">
        <f>C23</f>
        <v/>
      </c>
      <c r="NN23" s="24" t="n">
        <v>2575911.08</v>
      </c>
      <c r="NO23" s="9">
        <f>NN24</f>
        <v/>
      </c>
      <c r="NP23" s="197">
        <f>NN23-NO23</f>
        <v/>
      </c>
      <c r="NQ23" s="198">
        <f>NP23/NO23</f>
        <v/>
      </c>
      <c r="NR23" s="182" t="n">
        <v>0.0058</v>
      </c>
      <c r="NT23" s="183" t="n"/>
      <c r="NU23" s="183">
        <f>C23</f>
        <v/>
      </c>
      <c r="NV23" s="24" t="n">
        <v>220476.5</v>
      </c>
      <c r="NW23" s="188">
        <f>NV24</f>
        <v/>
      </c>
      <c r="NX23" s="197">
        <f>NV23-NW23</f>
        <v/>
      </c>
      <c r="NY23" s="198">
        <f>NX23/NW23</f>
        <v/>
      </c>
      <c r="NZ23" s="194" t="n">
        <v>0.001</v>
      </c>
      <c r="OA23" s="185" t="n"/>
      <c r="OB23" s="183" t="n"/>
      <c r="OC23" s="183">
        <f>C23</f>
        <v/>
      </c>
      <c r="OD23" s="185" t="n">
        <v>24551.97</v>
      </c>
      <c r="OE23" s="13">
        <f>OD24</f>
        <v/>
      </c>
      <c r="OF23" s="13">
        <f>OD23-OE23</f>
        <v/>
      </c>
      <c r="OG23" s="193">
        <f>OF23/OE23</f>
        <v/>
      </c>
      <c r="OH23" s="182" t="n">
        <v>-0.0001</v>
      </c>
      <c r="OI23" s="182" t="n"/>
      <c r="OJ23" s="183" t="n"/>
      <c r="OK23" s="183">
        <f>C23</f>
        <v/>
      </c>
      <c r="OL23" s="185" t="n">
        <v>18888.65</v>
      </c>
      <c r="OM23" s="13">
        <f>OL24</f>
        <v/>
      </c>
      <c r="ON23" s="13">
        <f>OL23-OM23</f>
        <v/>
      </c>
      <c r="OO23" s="193">
        <f>ON23/OM23</f>
        <v/>
      </c>
      <c r="OP23" s="182" t="n">
        <v>0.0001</v>
      </c>
      <c r="OQ23" s="182" t="n"/>
      <c r="OT23" s="201">
        <f>OK23</f>
        <v/>
      </c>
      <c r="OU23" s="199" t="n">
        <v>159552.4066</v>
      </c>
      <c r="OV23" s="9">
        <f>OU24</f>
        <v/>
      </c>
      <c r="OW23" s="671">
        <f>OU23-OV23</f>
        <v/>
      </c>
      <c r="OX23" s="182">
        <f>OW23/OV23</f>
        <v/>
      </c>
      <c r="OY23" s="0" t="n">
        <v>-0.0098</v>
      </c>
    </row>
    <row r="24" ht="17" customFormat="1" customHeight="1" s="11">
      <c r="A24" s="652" t="n"/>
      <c r="B24" s="652" t="n"/>
      <c r="C24" s="652" t="inlineStr">
        <is>
          <t>2026//10/15</t>
        </is>
      </c>
      <c r="D24" s="202" t="n">
        <v>2548488.77</v>
      </c>
      <c r="E24" s="80">
        <f>D25</f>
        <v/>
      </c>
      <c r="F24" s="80">
        <f>D24-E24</f>
        <v/>
      </c>
      <c r="G24" s="203">
        <f>F24/E24</f>
        <v/>
      </c>
      <c r="H24" s="79" t="n">
        <v>-0.0121</v>
      </c>
      <c r="I24" s="203" t="n"/>
      <c r="J24" s="203" t="n"/>
      <c r="K24" s="11">
        <f>C24</f>
        <v/>
      </c>
      <c r="L24" s="80" t="n">
        <v>1672624.4</v>
      </c>
      <c r="M24" s="80">
        <f>L25</f>
        <v/>
      </c>
      <c r="N24" s="80">
        <f>L24-M24</f>
        <v/>
      </c>
      <c r="O24" s="203">
        <f>N24/M24</f>
        <v/>
      </c>
      <c r="P24" s="79" t="n">
        <v>-0.0137</v>
      </c>
      <c r="Q24" s="203" t="n"/>
      <c r="R24" s="80" t="n"/>
      <c r="S24" s="11">
        <f>C24</f>
        <v/>
      </c>
      <c r="T24" s="80" t="n">
        <v>760296.6800000001</v>
      </c>
      <c r="U24" s="80">
        <f>T25</f>
        <v/>
      </c>
      <c r="V24" s="80">
        <f>T24-U24</f>
        <v/>
      </c>
      <c r="W24" s="203">
        <f>V24/U24</f>
        <v/>
      </c>
      <c r="X24" s="79" t="n">
        <v>-0.0059</v>
      </c>
      <c r="Y24" s="203" t="n"/>
      <c r="Z24" s="80" t="n"/>
      <c r="AA24" s="11">
        <f>S24</f>
        <v/>
      </c>
      <c r="AB24" s="80" t="n">
        <v>565976.86</v>
      </c>
      <c r="AC24" s="80">
        <f>AB25</f>
        <v/>
      </c>
      <c r="AD24" s="80">
        <f>AB24-AC24</f>
        <v/>
      </c>
      <c r="AE24" s="203">
        <f>AD24/AC24</f>
        <v/>
      </c>
      <c r="AF24" s="79" t="n">
        <v>-0.0317</v>
      </c>
      <c r="AG24" s="203" t="n"/>
      <c r="AH24" s="80" t="n"/>
      <c r="AI24" s="11">
        <f>C24</f>
        <v/>
      </c>
      <c r="AJ24" s="80" t="n">
        <v>794321.76</v>
      </c>
      <c r="AK24" s="80">
        <f>AJ25</f>
        <v/>
      </c>
      <c r="AL24" s="80">
        <f>AJ24-AK24</f>
        <v/>
      </c>
      <c r="AM24" s="203">
        <f>AL24/AK24</f>
        <v/>
      </c>
      <c r="AN24" s="79" t="n">
        <v>-0.0374</v>
      </c>
      <c r="AO24" s="79" t="n"/>
      <c r="AP24" s="80" t="n"/>
      <c r="AQ24" s="11">
        <f>C24</f>
        <v/>
      </c>
      <c r="AR24" s="80" t="n">
        <v>2547045.4936</v>
      </c>
      <c r="AS24" s="80">
        <f>AR25</f>
        <v/>
      </c>
      <c r="AT24" s="80">
        <f>AR24-AS24</f>
        <v/>
      </c>
      <c r="AU24" s="203">
        <f>AT24/AS24</f>
        <v/>
      </c>
      <c r="AV24" s="79" t="n">
        <v>-0.0294</v>
      </c>
      <c r="AW24" s="79" t="n"/>
      <c r="AX24" s="4" t="n"/>
      <c r="AY24" s="4" t="n"/>
      <c r="AZ24" s="11">
        <f>C24</f>
        <v/>
      </c>
      <c r="BA24" s="4" t="n">
        <v>685191.6676</v>
      </c>
      <c r="BB24" s="204">
        <f>BA25</f>
        <v/>
      </c>
      <c r="BC24" s="4">
        <f>BA24-BB24</f>
        <v/>
      </c>
      <c r="BD24" s="79">
        <f>BC24/BB24</f>
        <v/>
      </c>
      <c r="BE24" s="79" t="n">
        <v>-0.0129</v>
      </c>
      <c r="BF24" s="79" t="n"/>
      <c r="BG24" s="648" t="n"/>
      <c r="BH24" s="11">
        <f>C24</f>
        <v/>
      </c>
      <c r="BI24" s="205" t="n">
        <v>1085926.5525</v>
      </c>
      <c r="BJ24" s="206">
        <f>BI25</f>
        <v/>
      </c>
      <c r="BK24" s="206">
        <f>BI24-BJ24</f>
        <v/>
      </c>
      <c r="BL24" s="207">
        <f>BK24/BJ24</f>
        <v/>
      </c>
      <c r="BM24" s="208" t="n">
        <v>-0.0259</v>
      </c>
      <c r="BN24" s="209" t="n"/>
      <c r="BP24" s="11">
        <f>C24</f>
        <v/>
      </c>
      <c r="BQ24" s="673" t="n">
        <v>1416162.3921</v>
      </c>
      <c r="BR24" s="211">
        <f>BQ25</f>
        <v/>
      </c>
      <c r="BS24" s="211">
        <f>BQ24-BR24</f>
        <v/>
      </c>
      <c r="BT24" s="212">
        <f>BS24/BR24</f>
        <v/>
      </c>
      <c r="BU24" s="209" t="n">
        <v>-0.0127</v>
      </c>
      <c r="BV24" s="209" t="n"/>
      <c r="BX24" s="11">
        <f>C24</f>
        <v/>
      </c>
      <c r="BY24" s="213" t="n">
        <v>1519560.7019</v>
      </c>
      <c r="BZ24" s="211">
        <f>BY25</f>
        <v/>
      </c>
      <c r="CA24" s="211">
        <f>BY24-BZ24</f>
        <v/>
      </c>
      <c r="CB24" s="212">
        <f>CA24/BZ24</f>
        <v/>
      </c>
      <c r="CC24" s="209" t="n">
        <v>-0.0297</v>
      </c>
      <c r="CD24" s="214" t="n"/>
      <c r="CF24" s="11">
        <f>C24</f>
        <v/>
      </c>
      <c r="CG24" s="215" t="n">
        <v>1398653.9</v>
      </c>
      <c r="CH24" s="211">
        <f>CG25</f>
        <v/>
      </c>
      <c r="CI24" s="211">
        <f>CG24-CH24</f>
        <v/>
      </c>
      <c r="CJ24" s="212">
        <f>CI24/CH24</f>
        <v/>
      </c>
      <c r="CK24" s="209" t="n">
        <v>-0.0363</v>
      </c>
      <c r="CL24" s="214" t="n"/>
      <c r="CN24" s="11">
        <f>C24</f>
        <v/>
      </c>
      <c r="CO24" s="213" t="n">
        <v>525746.48</v>
      </c>
      <c r="CP24" s="211">
        <f>CO25</f>
        <v/>
      </c>
      <c r="CQ24" s="211">
        <f>CO24-CP24</f>
        <v/>
      </c>
      <c r="CR24" s="212">
        <f>CQ24/CP24</f>
        <v/>
      </c>
      <c r="CS24" s="214" t="n">
        <v>-0.0329</v>
      </c>
      <c r="CT24" s="214" t="n"/>
      <c r="CV24" s="11">
        <f>C24</f>
        <v/>
      </c>
      <c r="CW24" s="213" t="n">
        <v>702490.4</v>
      </c>
      <c r="CX24" s="211">
        <f>CW25</f>
        <v/>
      </c>
      <c r="CY24" s="211">
        <f>CW24-CX24</f>
        <v/>
      </c>
      <c r="CZ24" s="212">
        <f>CY24/CX24</f>
        <v/>
      </c>
      <c r="DA24" s="209" t="n">
        <v>-0.0203</v>
      </c>
      <c r="DB24" s="209" t="n"/>
      <c r="DC24" s="216" t="n"/>
      <c r="DD24" s="11">
        <f>C24</f>
        <v/>
      </c>
      <c r="DE24" s="213" t="n">
        <v>6053635.9972</v>
      </c>
      <c r="DF24" s="211">
        <f>DE25</f>
        <v/>
      </c>
      <c r="DG24" s="211">
        <f>DE24-DF24</f>
        <v/>
      </c>
      <c r="DH24" s="212">
        <f>DG24/DF24</f>
        <v/>
      </c>
      <c r="DI24" s="209" t="n">
        <v>0.0033</v>
      </c>
      <c r="DJ24" s="209" t="n"/>
      <c r="DK24" s="0" t="n"/>
      <c r="DL24" s="11">
        <f>C24</f>
        <v/>
      </c>
      <c r="DM24" s="213" t="n">
        <v>2143000.72</v>
      </c>
      <c r="DN24" s="211">
        <f>DM25</f>
        <v/>
      </c>
      <c r="DO24" s="211">
        <f>DM24-DN24</f>
        <v/>
      </c>
      <c r="DP24" s="212">
        <f>DO24/DN24</f>
        <v/>
      </c>
      <c r="DQ24" s="209" t="n">
        <v>-0.021</v>
      </c>
      <c r="DR24" s="209" t="n"/>
      <c r="DT24" s="11">
        <f>C24</f>
        <v/>
      </c>
      <c r="DU24" s="213" t="n">
        <v>4514218.43</v>
      </c>
      <c r="DV24" s="211">
        <f>DU25</f>
        <v/>
      </c>
      <c r="DW24" s="211">
        <f>DU24-DV24</f>
        <v/>
      </c>
      <c r="DX24" s="212">
        <f>DW24/DV24</f>
        <v/>
      </c>
      <c r="DY24" s="209" t="n">
        <v>-0.0229</v>
      </c>
      <c r="DZ24" s="209" t="n"/>
      <c r="EB24" s="11">
        <f>C24</f>
        <v/>
      </c>
      <c r="EC24" s="213" t="n">
        <v>6957266.82</v>
      </c>
      <c r="ED24" s="211">
        <f>EC25</f>
        <v/>
      </c>
      <c r="EE24" s="211">
        <f>EC24-ED24</f>
        <v/>
      </c>
      <c r="EF24" s="212">
        <f>EE24/ED24</f>
        <v/>
      </c>
      <c r="EG24" s="209" t="n">
        <v>-0.0137</v>
      </c>
      <c r="EH24" s="209" t="n"/>
      <c r="EJ24" s="11">
        <f>C24</f>
        <v/>
      </c>
      <c r="EK24" s="213" t="n">
        <v>1218522.9669</v>
      </c>
      <c r="EL24" s="211">
        <f>EK25</f>
        <v/>
      </c>
      <c r="EM24" s="211">
        <f>EK24-EL24</f>
        <v/>
      </c>
      <c r="EN24" s="212">
        <f>EM24/EL24</f>
        <v/>
      </c>
      <c r="EO24" s="209" t="n">
        <v>-0.036</v>
      </c>
      <c r="EP24" s="209" t="n"/>
      <c r="ER24" s="11">
        <f>C24</f>
        <v/>
      </c>
      <c r="ES24" s="204" t="n">
        <v>754694.04</v>
      </c>
      <c r="ET24" s="211">
        <f>ES25</f>
        <v/>
      </c>
      <c r="EU24" s="211">
        <f>ES24-ET24</f>
        <v/>
      </c>
      <c r="EV24" s="212">
        <f>EU24/ET24</f>
        <v/>
      </c>
      <c r="EW24" s="209" t="n">
        <v>-0.037</v>
      </c>
      <c r="EX24" s="209" t="n"/>
      <c r="EZ24" s="11">
        <f>C24</f>
        <v/>
      </c>
      <c r="FA24" s="213" t="n">
        <v>722508</v>
      </c>
      <c r="FB24" s="211">
        <f>FA25</f>
        <v/>
      </c>
      <c r="FC24" s="211">
        <f>FA24-FB24</f>
        <v/>
      </c>
      <c r="FD24" s="212">
        <f>FC24/FB24</f>
        <v/>
      </c>
      <c r="FE24" s="209" t="n">
        <v>-0.04</v>
      </c>
      <c r="FF24" s="209" t="n"/>
      <c r="FG24" s="209" t="n"/>
      <c r="FH24" s="11">
        <f>C24</f>
        <v/>
      </c>
      <c r="FI24" s="673" t="n">
        <v>884595.3365</v>
      </c>
      <c r="FJ24" s="211">
        <f>FI25</f>
        <v/>
      </c>
      <c r="FK24" s="211">
        <f>FI24-FJ24</f>
        <v/>
      </c>
      <c r="FL24" s="212">
        <f>FK24/FJ24</f>
        <v/>
      </c>
      <c r="FM24" s="214" t="n">
        <v>-0.0409</v>
      </c>
      <c r="FN24" s="214" t="n"/>
      <c r="FP24" s="11">
        <f>C24</f>
        <v/>
      </c>
      <c r="FQ24" s="213" t="n">
        <v>1868668.73</v>
      </c>
      <c r="FR24" s="211">
        <f>FQ25</f>
        <v/>
      </c>
      <c r="FS24" s="211">
        <f>FQ24-FR24</f>
        <v/>
      </c>
      <c r="FT24" s="212">
        <f>FS24/FR24</f>
        <v/>
      </c>
      <c r="FU24" s="209" t="n">
        <v>-0.032</v>
      </c>
      <c r="FV24" s="209" t="n"/>
      <c r="FX24" s="11">
        <f>C24</f>
        <v/>
      </c>
      <c r="FY24" s="213" t="n">
        <v>7033382.05</v>
      </c>
      <c r="FZ24" s="211">
        <f>FY25</f>
        <v/>
      </c>
      <c r="GA24" s="211">
        <f>FY24-FZ24</f>
        <v/>
      </c>
      <c r="GB24" s="212">
        <f>GA24/FZ24</f>
        <v/>
      </c>
      <c r="GC24" s="209" t="n">
        <v>-0.008999999999999999</v>
      </c>
      <c r="GD24" s="209" t="n"/>
      <c r="GF24" s="11">
        <f>C24</f>
        <v/>
      </c>
      <c r="GG24" s="217" t="n">
        <v>3862169.49</v>
      </c>
      <c r="GH24" s="211">
        <f>GG25</f>
        <v/>
      </c>
      <c r="GI24" s="211">
        <f>GG24-GH24</f>
        <v/>
      </c>
      <c r="GJ24" s="212">
        <f>GI24/GH24</f>
        <v/>
      </c>
      <c r="GK24" s="209" t="n">
        <v>0.008</v>
      </c>
      <c r="GL24" s="209" t="n"/>
      <c r="GN24" s="11">
        <f>C24</f>
        <v/>
      </c>
      <c r="GO24" s="213" t="n">
        <v>1928578.1217</v>
      </c>
      <c r="GP24" s="211">
        <f>GO25</f>
        <v/>
      </c>
      <c r="GQ24" s="211">
        <f>GO24-GP24</f>
        <v/>
      </c>
      <c r="GR24" s="212">
        <f>GQ24/GP24</f>
        <v/>
      </c>
      <c r="GS24" s="209" t="n">
        <v>0</v>
      </c>
      <c r="GT24" s="209" t="n"/>
      <c r="GV24" s="11">
        <f>C24</f>
        <v/>
      </c>
      <c r="GW24" s="213" t="n">
        <v>595349.4</v>
      </c>
      <c r="GX24" s="211">
        <f>GW25</f>
        <v/>
      </c>
      <c r="GY24" s="211">
        <f>GW24-GX24</f>
        <v/>
      </c>
      <c r="GZ24" s="212">
        <f>GY24/GX24</f>
        <v/>
      </c>
      <c r="HA24" s="209" t="n">
        <v>-0.0325</v>
      </c>
      <c r="HB24" s="209" t="n"/>
      <c r="HD24" s="11">
        <f>C24</f>
        <v/>
      </c>
      <c r="HE24" s="213" t="n">
        <v>755164.6746</v>
      </c>
      <c r="HF24" s="211">
        <f>HE25</f>
        <v/>
      </c>
      <c r="HG24" s="211">
        <f>HE24-HF24</f>
        <v/>
      </c>
      <c r="HH24" s="212">
        <f>HG24/HF24</f>
        <v/>
      </c>
      <c r="HI24" s="214" t="n">
        <v>-0.0138</v>
      </c>
      <c r="HJ24" s="209" t="n"/>
      <c r="HL24" s="11">
        <f>C24</f>
        <v/>
      </c>
      <c r="HM24" s="213" t="n">
        <v>110754.25</v>
      </c>
      <c r="HN24" s="211">
        <f>HM25</f>
        <v/>
      </c>
      <c r="HO24" s="211">
        <f>HM24-HN24</f>
        <v/>
      </c>
      <c r="HP24" s="212">
        <f>HO24/HN24</f>
        <v/>
      </c>
      <c r="HQ24" s="209" t="n">
        <v>-0.0263</v>
      </c>
      <c r="HR24" s="209" t="n"/>
      <c r="HT24" s="11">
        <f>C24</f>
        <v/>
      </c>
      <c r="HU24" s="213" t="n">
        <v>142568.8265</v>
      </c>
      <c r="HV24" s="211">
        <f>HU25</f>
        <v/>
      </c>
      <c r="HW24" s="211">
        <f>HU24-HV24</f>
        <v/>
      </c>
      <c r="HX24" s="212">
        <f>HW24/HV24</f>
        <v/>
      </c>
      <c r="HY24" s="209" t="n">
        <v>-0.0136</v>
      </c>
      <c r="HZ24" s="209" t="n"/>
      <c r="IB24" s="11">
        <f>C24</f>
        <v/>
      </c>
      <c r="IC24" s="213" t="n">
        <v>420309.79</v>
      </c>
      <c r="ID24" s="211">
        <f>IC25</f>
        <v/>
      </c>
      <c r="IE24" s="211">
        <f>IC24-ID24</f>
        <v/>
      </c>
      <c r="IF24" s="212">
        <f>IE24/ID24</f>
        <v/>
      </c>
      <c r="IG24" s="214" t="n">
        <v>-0.0328</v>
      </c>
      <c r="IH24" s="209" t="n"/>
      <c r="IJ24" s="11">
        <f>C24</f>
        <v/>
      </c>
      <c r="IK24" s="213" t="n">
        <v>848876.29</v>
      </c>
      <c r="IL24" s="211">
        <f>IK25</f>
        <v/>
      </c>
      <c r="IM24" s="211">
        <f>IK24-IL24</f>
        <v/>
      </c>
      <c r="IN24" s="212">
        <f>IM24/IL24</f>
        <v/>
      </c>
      <c r="IO24" s="209" t="n">
        <v>-0.0189</v>
      </c>
      <c r="IP24" s="209" t="n"/>
      <c r="IR24" s="11">
        <f>C24</f>
        <v/>
      </c>
      <c r="IS24" s="213" t="n">
        <v>189289</v>
      </c>
      <c r="IT24" s="211">
        <f>IS25</f>
        <v/>
      </c>
      <c r="IU24" s="211">
        <f>IS24-IT24</f>
        <v/>
      </c>
      <c r="IV24" s="212">
        <f>IU24/IT24</f>
        <v/>
      </c>
      <c r="IW24" s="209" t="n">
        <v>-0.0312</v>
      </c>
      <c r="IX24" s="209" t="n"/>
      <c r="IZ24" s="11">
        <f>C24</f>
        <v/>
      </c>
      <c r="JA24" s="213" t="n">
        <v>5682229.15</v>
      </c>
      <c r="JB24" s="211">
        <f>JA25</f>
        <v/>
      </c>
      <c r="JC24" s="211">
        <f>JA24-JB24</f>
        <v/>
      </c>
      <c r="JD24" s="212">
        <f>JC24/JB24</f>
        <v/>
      </c>
      <c r="JE24" s="209" t="n">
        <v>0.0048</v>
      </c>
      <c r="JF24" s="209" t="n"/>
      <c r="JH24" s="11">
        <f>C24</f>
        <v/>
      </c>
      <c r="JI24" s="213" t="n">
        <v>1175067.99</v>
      </c>
      <c r="JJ24" s="211">
        <f>JI25</f>
        <v/>
      </c>
      <c r="JK24" s="211">
        <f>JI24-JJ24</f>
        <v/>
      </c>
      <c r="JL24" s="212">
        <f>JK24/JJ24</f>
        <v/>
      </c>
      <c r="JM24" s="209" t="n">
        <v>-0.0023</v>
      </c>
      <c r="JN24" s="209" t="n"/>
      <c r="JO24" s="209" t="n"/>
      <c r="JP24" s="11">
        <f>C24</f>
        <v/>
      </c>
      <c r="JQ24" s="213" t="n">
        <v>1074590.4148</v>
      </c>
      <c r="JR24" s="211">
        <f>JQ25</f>
        <v/>
      </c>
      <c r="JS24" s="211">
        <f>JQ24-JR24</f>
        <v/>
      </c>
      <c r="JT24" s="212">
        <f>JS24/JR24</f>
        <v/>
      </c>
      <c r="JU24" s="209" t="n">
        <v>-0.0102</v>
      </c>
      <c r="JV24" s="209" t="n"/>
      <c r="JW24" s="214" t="n"/>
      <c r="JX24" s="11">
        <f>C24</f>
        <v/>
      </c>
      <c r="JY24" s="213" t="n">
        <v>995598.8</v>
      </c>
      <c r="JZ24" s="211">
        <f>JY25</f>
        <v/>
      </c>
      <c r="KA24" s="211">
        <f>JY24-JZ24</f>
        <v/>
      </c>
      <c r="KB24" s="212">
        <f>KA24/JZ24</f>
        <v/>
      </c>
      <c r="KC24" s="209" t="n">
        <v>-0.0104</v>
      </c>
      <c r="KD24" s="209" t="n"/>
      <c r="KE24" s="214" t="n"/>
      <c r="KF24" s="11">
        <f>C24</f>
        <v/>
      </c>
      <c r="KG24" s="213" t="n">
        <v>567155.9219</v>
      </c>
      <c r="KH24" s="211">
        <f>KG25</f>
        <v/>
      </c>
      <c r="KI24" s="211">
        <f>KG24-KH24</f>
        <v/>
      </c>
      <c r="KJ24" s="212">
        <f>KI24/KH24</f>
        <v/>
      </c>
      <c r="KK24" s="214" t="n">
        <v>-0.0161</v>
      </c>
      <c r="KL24" s="214" t="n"/>
      <c r="KN24" s="11">
        <f>C24</f>
        <v/>
      </c>
      <c r="KO24" s="213" t="n">
        <v>7237175.95</v>
      </c>
      <c r="KP24" s="211">
        <f>KO25</f>
        <v/>
      </c>
      <c r="KQ24" s="211">
        <f>KO24-KP24</f>
        <v/>
      </c>
      <c r="KR24" s="212">
        <f>KQ24/KP24</f>
        <v/>
      </c>
      <c r="KS24" s="209" t="n">
        <v>-0.0304</v>
      </c>
      <c r="KT24" s="209" t="n"/>
      <c r="KV24" s="11">
        <f>C24</f>
        <v/>
      </c>
      <c r="KW24" s="213" t="n">
        <v>1019772.9726</v>
      </c>
      <c r="KX24" s="211">
        <f>KW25</f>
        <v/>
      </c>
      <c r="KY24" s="211">
        <f>KW24-KX24</f>
        <v/>
      </c>
      <c r="KZ24" s="212">
        <f>KY24/KX24</f>
        <v/>
      </c>
      <c r="LA24" s="214" t="n">
        <v>-0.0061</v>
      </c>
      <c r="LB24" s="209" t="n"/>
      <c r="LD24" s="11">
        <f>C24</f>
        <v/>
      </c>
      <c r="LE24" s="213" t="n">
        <v>373807.7</v>
      </c>
      <c r="LF24" s="211">
        <f>LE25</f>
        <v/>
      </c>
      <c r="LG24" s="211">
        <f>LE24-LF24</f>
        <v/>
      </c>
      <c r="LH24" s="212">
        <f>LG24/LF24</f>
        <v/>
      </c>
      <c r="LI24" s="209" t="n">
        <v>-0.029</v>
      </c>
      <c r="LJ24" s="209" t="n"/>
      <c r="LL24" s="11">
        <f>C24</f>
        <v/>
      </c>
      <c r="LM24" s="673" t="n">
        <v>3196195.02</v>
      </c>
      <c r="LN24" s="211">
        <f>LM25</f>
        <v/>
      </c>
      <c r="LO24" s="211">
        <f>LM24-LN24</f>
        <v/>
      </c>
      <c r="LP24" s="212">
        <f>LO24/LN24</f>
        <v/>
      </c>
      <c r="LQ24" s="209" t="n">
        <v>0.0072</v>
      </c>
      <c r="LR24" s="209" t="n"/>
      <c r="LT24" s="11">
        <f>C24</f>
        <v/>
      </c>
      <c r="LU24" s="213" t="n">
        <v>2285262.904</v>
      </c>
      <c r="LV24" s="211">
        <f>LU25</f>
        <v/>
      </c>
      <c r="LW24" s="211">
        <f>LU24-LV24</f>
        <v/>
      </c>
      <c r="LX24" s="212">
        <f>LW24/LV24</f>
        <v/>
      </c>
      <c r="LY24" s="209" t="n">
        <v>-0.003</v>
      </c>
      <c r="LZ24" s="209" t="n"/>
      <c r="MB24" s="11">
        <f>C24</f>
        <v/>
      </c>
      <c r="MC24" s="213" t="n">
        <v>863717.6899999999</v>
      </c>
      <c r="MD24" s="211">
        <f>MC25</f>
        <v/>
      </c>
      <c r="ME24" s="211">
        <f>MC24-MD24</f>
        <v/>
      </c>
      <c r="MF24" s="212">
        <f>ME24/MD24</f>
        <v/>
      </c>
      <c r="MG24" s="209" t="n">
        <v>-0.0407</v>
      </c>
      <c r="MH24" s="209" t="n"/>
      <c r="MK24" s="11">
        <f>C24</f>
        <v/>
      </c>
      <c r="ML24" s="204" t="n">
        <v>175545.5354</v>
      </c>
      <c r="MM24" s="211">
        <f>ML25</f>
        <v/>
      </c>
      <c r="MN24" s="211">
        <f>ML24-MM24</f>
        <v/>
      </c>
      <c r="MO24" s="212">
        <f>MN24/MM24</f>
        <v/>
      </c>
      <c r="MP24" s="209" t="n">
        <v>-0.0234</v>
      </c>
      <c r="MQ24" s="214" t="n"/>
      <c r="MR24" s="214" t="n"/>
      <c r="MT24" s="11">
        <f>C24</f>
        <v/>
      </c>
      <c r="MU24" s="204" t="n">
        <v>118414.8</v>
      </c>
      <c r="MV24" s="218">
        <f>MU25</f>
        <v/>
      </c>
      <c r="MW24" s="11">
        <f>MU24-MV24</f>
        <v/>
      </c>
      <c r="MX24" s="209">
        <f>MW24/MV24</f>
        <v/>
      </c>
      <c r="MY24" s="209" t="n">
        <v>-0.0458</v>
      </c>
      <c r="MZ24" s="209" t="n"/>
      <c r="NA24" s="209" t="n"/>
      <c r="NC24" s="11">
        <f>C24</f>
        <v/>
      </c>
      <c r="ND24" s="204" t="n">
        <v>30691.48</v>
      </c>
      <c r="NE24" s="218">
        <f>ND25</f>
        <v/>
      </c>
      <c r="NF24" s="11">
        <f>ND24-NE24</f>
        <v/>
      </c>
      <c r="NG24" s="209">
        <f>NF24/NE24</f>
        <v/>
      </c>
      <c r="NH24" s="209" t="n">
        <v>-0.0334</v>
      </c>
      <c r="NI24" s="209" t="n"/>
      <c r="NJ24" s="209" t="n"/>
      <c r="NK24" s="209" t="n"/>
      <c r="NM24" s="11">
        <f>C24</f>
        <v/>
      </c>
      <c r="NN24" s="204" t="n">
        <v>2574611.08</v>
      </c>
      <c r="NO24" s="11">
        <f>NN25</f>
        <v/>
      </c>
      <c r="NP24" s="11">
        <f>NN24-NO24</f>
        <v/>
      </c>
      <c r="NQ24" s="209">
        <f>NP24/NO24</f>
        <v/>
      </c>
      <c r="NR24" s="209" t="n">
        <v>-0.0154</v>
      </c>
      <c r="NS24" s="209" t="n"/>
      <c r="NU24" s="11">
        <f>C24</f>
        <v/>
      </c>
      <c r="NV24" s="204" t="n">
        <v>220476.5</v>
      </c>
      <c r="NW24" s="218">
        <f>NV25</f>
        <v/>
      </c>
      <c r="NX24" s="11">
        <f>NV24-NW24</f>
        <v/>
      </c>
      <c r="NY24" s="209">
        <f>NX24/NW24</f>
        <v/>
      </c>
      <c r="NZ24" s="214" t="n">
        <v>-0.0073</v>
      </c>
      <c r="OA24" s="214" t="n"/>
      <c r="OC24" s="11">
        <f>C24</f>
        <v/>
      </c>
      <c r="OD24" s="213" t="n">
        <v>24446.97</v>
      </c>
      <c r="OE24" s="211">
        <f>OD25</f>
        <v/>
      </c>
      <c r="OF24" s="211">
        <f>OD24-OE24</f>
        <v/>
      </c>
      <c r="OG24" s="212">
        <f>OF24/OE24</f>
        <v/>
      </c>
      <c r="OH24" s="209" t="n">
        <v>0.0014</v>
      </c>
      <c r="OI24" s="209" t="n"/>
      <c r="OK24" s="11">
        <f>C24</f>
        <v/>
      </c>
      <c r="OL24" s="213" t="n">
        <v>18753.65</v>
      </c>
      <c r="OM24" s="211">
        <f>OL25</f>
        <v/>
      </c>
      <c r="ON24" s="211">
        <f>OL24-OM24</f>
        <v/>
      </c>
      <c r="OO24" s="212">
        <f>ON24/OM24</f>
        <v/>
      </c>
      <c r="OP24" s="209" t="n">
        <v>0.0004</v>
      </c>
      <c r="OQ24" s="209" t="n"/>
      <c r="OT24" s="201">
        <f>OK24</f>
        <v/>
      </c>
      <c r="OU24" s="199" t="n">
        <v>159432.4066</v>
      </c>
      <c r="OV24" s="9">
        <f>OU25</f>
        <v/>
      </c>
      <c r="OW24" s="671">
        <f>OU24-OV24</f>
        <v/>
      </c>
      <c r="OX24" s="182">
        <f>OW24/OV24</f>
        <v/>
      </c>
      <c r="OY24" s="0" t="n">
        <v>-0.024</v>
      </c>
    </row>
    <row r="25" ht="17" customFormat="1" customHeight="1" s="9">
      <c r="A25" s="631" t="n"/>
      <c r="B25" s="631" t="n"/>
      <c r="C25" s="631" t="inlineStr">
        <is>
          <t>2026//10/14</t>
        </is>
      </c>
      <c r="D25" s="189" t="n">
        <v>2469018.77</v>
      </c>
      <c r="E25" s="20">
        <f>D26</f>
        <v/>
      </c>
      <c r="F25" s="20">
        <f>D25-E25</f>
        <v/>
      </c>
      <c r="G25" s="163">
        <f>F25/E25</f>
        <v/>
      </c>
      <c r="H25" s="19" t="n">
        <v>-0.0117</v>
      </c>
      <c r="I25" s="163" t="n"/>
      <c r="J25" s="163" t="n"/>
      <c r="K25" s="9">
        <f>C25</f>
        <v/>
      </c>
      <c r="L25" s="20" t="n">
        <v>1215694.4</v>
      </c>
      <c r="M25" s="20">
        <f>L26</f>
        <v/>
      </c>
      <c r="N25" s="20">
        <f>L25-M25</f>
        <v/>
      </c>
      <c r="O25" s="163">
        <f>N25/M25</f>
        <v/>
      </c>
      <c r="P25" s="19" t="n">
        <v>-0.0123</v>
      </c>
      <c r="Q25" s="163" t="n"/>
      <c r="R25" s="20" t="n"/>
      <c r="S25" s="9">
        <f>C25</f>
        <v/>
      </c>
      <c r="T25" s="20" t="n">
        <v>731586.6800000001</v>
      </c>
      <c r="U25" s="20">
        <f>T26</f>
        <v/>
      </c>
      <c r="V25" s="20">
        <f>T25-U25</f>
        <v/>
      </c>
      <c r="W25" s="163">
        <f>V25/U25</f>
        <v/>
      </c>
      <c r="X25" s="19" t="n">
        <v>-0.0086</v>
      </c>
      <c r="Y25" s="163" t="n"/>
      <c r="Z25" s="20" t="n"/>
      <c r="AA25" s="9">
        <f>S25</f>
        <v/>
      </c>
      <c r="AB25" s="20" t="n">
        <v>557176.86</v>
      </c>
      <c r="AC25" s="20">
        <f>AB26</f>
        <v/>
      </c>
      <c r="AD25" s="20">
        <f>AB25-AC25</f>
        <v/>
      </c>
      <c r="AE25" s="163">
        <f>AD25/AC25</f>
        <v/>
      </c>
      <c r="AF25" s="19" t="n">
        <v>-0.0118</v>
      </c>
      <c r="AG25" s="163" t="n"/>
      <c r="AH25" s="20" t="n"/>
      <c r="AI25" s="9">
        <f>C25</f>
        <v/>
      </c>
      <c r="AJ25" s="20" t="n">
        <v>777321.76</v>
      </c>
      <c r="AK25" s="20">
        <f>AJ26</f>
        <v/>
      </c>
      <c r="AL25" s="20">
        <f>AJ25-AK25</f>
        <v/>
      </c>
      <c r="AM25" s="163">
        <f>AL25/AK25</f>
        <v/>
      </c>
      <c r="AN25" s="19" t="n">
        <v>-0.0147</v>
      </c>
      <c r="AO25" s="19" t="n"/>
      <c r="AP25" s="20" t="n"/>
      <c r="AQ25" s="9">
        <f>C25</f>
        <v/>
      </c>
      <c r="AR25" s="219" t="n">
        <v>2349745.4936</v>
      </c>
      <c r="AS25" s="20">
        <f>AR26</f>
        <v/>
      </c>
      <c r="AT25" s="20">
        <f>AR25-AS25</f>
        <v/>
      </c>
      <c r="AU25" s="163">
        <f>AT25/AS25</f>
        <v/>
      </c>
      <c r="AV25" s="19" t="n">
        <v>-0.0279</v>
      </c>
      <c r="AW25" s="19" t="n"/>
      <c r="AX25" s="5" t="n"/>
      <c r="AY25" s="5" t="n"/>
      <c r="AZ25" s="9">
        <f>C25</f>
        <v/>
      </c>
      <c r="BA25" s="220" t="n">
        <v>683931.6676</v>
      </c>
      <c r="BB25" s="24">
        <f>BA26</f>
        <v/>
      </c>
      <c r="BC25" s="5">
        <f>BA25-BB25</f>
        <v/>
      </c>
      <c r="BD25" s="19">
        <f>BC25/BB25</f>
        <v/>
      </c>
      <c r="BE25" s="19" t="n">
        <v>-0.0126</v>
      </c>
      <c r="BF25" s="19" t="n"/>
      <c r="BG25" s="647" t="n"/>
      <c r="BH25" s="9">
        <f>C25</f>
        <v/>
      </c>
      <c r="BI25" s="221" t="n">
        <v>1093926.5525</v>
      </c>
      <c r="BJ25" s="184">
        <f>BI26</f>
        <v/>
      </c>
      <c r="BK25" s="184">
        <f>BI25-BJ25</f>
        <v/>
      </c>
      <c r="BL25" s="190">
        <f>BK25/BJ25</f>
        <v/>
      </c>
      <c r="BM25" s="191" t="n">
        <v>-0.0239</v>
      </c>
      <c r="BN25" s="182" t="n"/>
      <c r="BP25" s="9">
        <f>C25</f>
        <v/>
      </c>
      <c r="BQ25" s="672" t="n">
        <v>1410662.3921</v>
      </c>
      <c r="BR25" s="13">
        <f>BQ26</f>
        <v/>
      </c>
      <c r="BS25" s="13">
        <f>BQ25-BR25</f>
        <v/>
      </c>
      <c r="BT25" s="193">
        <f>BS25/BR25</f>
        <v/>
      </c>
      <c r="BU25" s="182" t="n">
        <v>-0.0172</v>
      </c>
      <c r="BV25" s="182" t="n"/>
      <c r="BX25" s="9">
        <f>C25</f>
        <v/>
      </c>
      <c r="BY25" s="222" t="n">
        <v>1551260.7019</v>
      </c>
      <c r="BZ25" s="13">
        <f>BY26</f>
        <v/>
      </c>
      <c r="CA25" s="13">
        <f>BY25-BZ25</f>
        <v/>
      </c>
      <c r="CB25" s="193">
        <f>CA25/BZ25</f>
        <v/>
      </c>
      <c r="CC25" s="182" t="n">
        <v>-0.0139</v>
      </c>
      <c r="CD25" s="194" t="n"/>
      <c r="CF25" s="9">
        <f>C25</f>
        <v/>
      </c>
      <c r="CG25" s="185" t="n">
        <v>1399403.9</v>
      </c>
      <c r="CH25" s="13">
        <f>CG26</f>
        <v/>
      </c>
      <c r="CI25" s="13">
        <f>CG25-CH25</f>
        <v/>
      </c>
      <c r="CJ25" s="193">
        <f>CI25/CH25</f>
        <v/>
      </c>
      <c r="CK25" s="182" t="n">
        <v>-0.0188</v>
      </c>
      <c r="CL25" s="194" t="n"/>
      <c r="CN25" s="9">
        <f>C25</f>
        <v/>
      </c>
      <c r="CO25" s="185" t="n">
        <v>526046.48</v>
      </c>
      <c r="CP25" s="13">
        <f>CO26</f>
        <v/>
      </c>
      <c r="CQ25" s="13">
        <f>CO25-CP25</f>
        <v/>
      </c>
      <c r="CR25" s="193">
        <f>CQ25/CP25</f>
        <v/>
      </c>
      <c r="CS25" s="194" t="n">
        <v>-0.0183</v>
      </c>
      <c r="CT25" s="194" t="n"/>
      <c r="CV25" s="9">
        <f>C25</f>
        <v/>
      </c>
      <c r="CW25" s="185" t="n">
        <v>701140.4</v>
      </c>
      <c r="CX25" s="13">
        <f>CW26</f>
        <v/>
      </c>
      <c r="CY25" s="13">
        <f>CW25-CX25</f>
        <v/>
      </c>
      <c r="CZ25" s="193">
        <f>CY25/CX25</f>
        <v/>
      </c>
      <c r="DA25" s="182" t="n">
        <v>-0.0267</v>
      </c>
      <c r="DB25" s="182" t="n"/>
      <c r="DC25" s="186" t="n"/>
      <c r="DD25" s="9">
        <f>C25</f>
        <v/>
      </c>
      <c r="DE25" s="222" t="n">
        <v>6130135.9972</v>
      </c>
      <c r="DF25" s="13">
        <f>DE26</f>
        <v/>
      </c>
      <c r="DG25" s="13">
        <f>DE25-DF25</f>
        <v/>
      </c>
      <c r="DH25" s="193">
        <f>DG25/DF25</f>
        <v/>
      </c>
      <c r="DI25" s="182" t="n">
        <v>-0.0339</v>
      </c>
      <c r="DJ25" s="182" t="n"/>
      <c r="DK25" s="0" t="n"/>
      <c r="DL25" s="9">
        <f>C25</f>
        <v/>
      </c>
      <c r="DM25" s="185" t="n">
        <v>2136600.72</v>
      </c>
      <c r="DN25" s="13">
        <f>DM26</f>
        <v/>
      </c>
      <c r="DO25" s="13">
        <f>DM25-DN25</f>
        <v/>
      </c>
      <c r="DP25" s="193">
        <f>DO25/DN25</f>
        <v/>
      </c>
      <c r="DQ25" s="182" t="n">
        <v>-0.0316</v>
      </c>
      <c r="DR25" s="182" t="n"/>
      <c r="DT25" s="9">
        <f>C25</f>
        <v/>
      </c>
      <c r="DU25" s="185" t="n">
        <v>4534918.43</v>
      </c>
      <c r="DV25" s="13">
        <f>DU26</f>
        <v/>
      </c>
      <c r="DW25" s="13">
        <f>DU25-DV25</f>
        <v/>
      </c>
      <c r="DX25" s="193">
        <f>DW25/DV25</f>
        <v/>
      </c>
      <c r="DY25" s="182" t="n">
        <v>-0.0361</v>
      </c>
      <c r="DZ25" s="182" t="n"/>
      <c r="EB25" s="9">
        <f>C25</f>
        <v/>
      </c>
      <c r="EC25" s="185" t="n">
        <v>6495866.82</v>
      </c>
      <c r="ED25" s="13">
        <f>EC26</f>
        <v/>
      </c>
      <c r="EE25" s="13">
        <f>EC25-ED25</f>
        <v/>
      </c>
      <c r="EF25" s="193">
        <f>EE25/ED25</f>
        <v/>
      </c>
      <c r="EG25" s="182" t="n">
        <v>-0.0325</v>
      </c>
      <c r="EH25" s="182" t="n"/>
      <c r="EJ25" s="9">
        <f>C25</f>
        <v/>
      </c>
      <c r="EK25" s="222" t="n">
        <v>1225122.9669</v>
      </c>
      <c r="EL25" s="13">
        <f>EK26</f>
        <v/>
      </c>
      <c r="EM25" s="13">
        <f>EK25-EL25</f>
        <v/>
      </c>
      <c r="EN25" s="193">
        <f>EM25/EL25</f>
        <v/>
      </c>
      <c r="EO25" s="182" t="n">
        <v>-0.0335</v>
      </c>
      <c r="EP25" s="182" t="n"/>
      <c r="ER25" s="9">
        <f>C25</f>
        <v/>
      </c>
      <c r="ES25" s="9" t="n">
        <v>754694.04</v>
      </c>
      <c r="ET25" s="13">
        <f>ES26</f>
        <v/>
      </c>
      <c r="EU25" s="13">
        <f>ES25-ET25</f>
        <v/>
      </c>
      <c r="EV25" s="193">
        <f>EU25/ET25</f>
        <v/>
      </c>
      <c r="EW25" s="182" t="n">
        <v>-0.0347</v>
      </c>
      <c r="EX25" s="182" t="n"/>
      <c r="EZ25" s="9">
        <f>C25</f>
        <v/>
      </c>
      <c r="FA25" s="185" t="n">
        <v>709708</v>
      </c>
      <c r="FB25" s="13">
        <f>FA26</f>
        <v/>
      </c>
      <c r="FC25" s="13">
        <f>FA25-FB25</f>
        <v/>
      </c>
      <c r="FD25" s="193">
        <f>FC25/FB25</f>
        <v/>
      </c>
      <c r="FE25" s="182" t="n">
        <v>-0.0074</v>
      </c>
      <c r="FF25" s="182" t="n"/>
      <c r="FG25" s="182" t="n"/>
      <c r="FH25" s="9">
        <f>C25</f>
        <v/>
      </c>
      <c r="FI25" s="672" t="n">
        <v>904995.3365</v>
      </c>
      <c r="FJ25" s="13">
        <f>FI26</f>
        <v/>
      </c>
      <c r="FK25" s="13">
        <f>FI25-FJ25</f>
        <v/>
      </c>
      <c r="FL25" s="193">
        <f>FK25/FJ25</f>
        <v/>
      </c>
      <c r="FM25" s="194" t="n">
        <v>-0.0148</v>
      </c>
      <c r="FN25" s="194" t="n"/>
      <c r="FP25" s="9">
        <f>C25</f>
        <v/>
      </c>
      <c r="FQ25" s="185" t="n">
        <v>1862968.73</v>
      </c>
      <c r="FR25" s="13">
        <f>FQ26</f>
        <v/>
      </c>
      <c r="FS25" s="13">
        <f>FQ25-FR25</f>
        <v/>
      </c>
      <c r="FT25" s="193">
        <f>FS25/FR25</f>
        <v/>
      </c>
      <c r="FU25" s="182" t="n">
        <v>-0.0287</v>
      </c>
      <c r="FV25" s="182" t="n"/>
      <c r="FX25" s="9">
        <f>C25</f>
        <v/>
      </c>
      <c r="FY25" s="185" t="n">
        <v>7020882.05</v>
      </c>
      <c r="FZ25" s="13">
        <f>FY26</f>
        <v/>
      </c>
      <c r="GA25" s="13">
        <f>FY25-FZ25</f>
        <v/>
      </c>
      <c r="GB25" s="193">
        <f>GA25/FZ25</f>
        <v/>
      </c>
      <c r="GC25" s="182" t="n">
        <v>-0.008999999999999999</v>
      </c>
      <c r="GD25" s="182" t="n"/>
      <c r="GF25" s="9">
        <f>C25</f>
        <v/>
      </c>
      <c r="GG25" s="185" t="n">
        <v>3875869.49</v>
      </c>
      <c r="GH25" s="13">
        <f>GG26</f>
        <v/>
      </c>
      <c r="GI25" s="13">
        <f>GG25-GH25</f>
        <v/>
      </c>
      <c r="GJ25" s="193">
        <f>GI25/GH25</f>
        <v/>
      </c>
      <c r="GK25" s="182" t="n">
        <v>-0.0053</v>
      </c>
      <c r="GL25" s="182" t="n"/>
      <c r="GN25" s="9">
        <f>C25</f>
        <v/>
      </c>
      <c r="GO25" s="222" t="n">
        <v>1925818.1217</v>
      </c>
      <c r="GP25" s="13">
        <f>GO26</f>
        <v/>
      </c>
      <c r="GQ25" s="13">
        <f>GO25-GP25</f>
        <v/>
      </c>
      <c r="GR25" s="193">
        <f>GQ25/GP25</f>
        <v/>
      </c>
      <c r="GS25" s="182" t="n">
        <v>-0.0122</v>
      </c>
      <c r="GT25" s="182" t="n"/>
      <c r="GV25" s="9">
        <f>C25</f>
        <v/>
      </c>
      <c r="GW25" s="185" t="n">
        <v>588349.4</v>
      </c>
      <c r="GX25" s="13">
        <f>GW26</f>
        <v/>
      </c>
      <c r="GY25" s="13">
        <f>GW25-GX25</f>
        <v/>
      </c>
      <c r="GZ25" s="193">
        <f>GY25/GX25</f>
        <v/>
      </c>
      <c r="HA25" s="182" t="n">
        <v>-0.0186</v>
      </c>
      <c r="HB25" s="182" t="n"/>
      <c r="HD25" s="9">
        <f>C25</f>
        <v/>
      </c>
      <c r="HE25" s="222" t="n">
        <v>766364.6746</v>
      </c>
      <c r="HF25" s="13">
        <f>HE26</f>
        <v/>
      </c>
      <c r="HG25" s="13">
        <f>HE25-HF25</f>
        <v/>
      </c>
      <c r="HH25" s="193">
        <f>HG25/HF25</f>
        <v/>
      </c>
      <c r="HI25" s="194" t="n">
        <v>-0.0244</v>
      </c>
      <c r="HJ25" s="182" t="n"/>
      <c r="HL25" s="9">
        <f>C25</f>
        <v/>
      </c>
      <c r="HM25" s="185" t="n">
        <v>111054.25</v>
      </c>
      <c r="HN25" s="195">
        <f>HM26</f>
        <v/>
      </c>
      <c r="HO25" s="195">
        <f>HM25-HN25</f>
        <v/>
      </c>
      <c r="HP25" s="196">
        <f>HO25/HN25</f>
        <v/>
      </c>
      <c r="HQ25" s="182" t="n">
        <v>-0.0065</v>
      </c>
      <c r="HR25" s="182" t="n"/>
      <c r="HT25" s="9">
        <f>C25</f>
        <v/>
      </c>
      <c r="HU25" s="222" t="n">
        <v>142568.8265</v>
      </c>
      <c r="HV25" s="13">
        <f>HU26</f>
        <v/>
      </c>
      <c r="HW25" s="13">
        <f>HU25-HV25</f>
        <v/>
      </c>
      <c r="HX25" s="193">
        <f>HW25/HV25</f>
        <v/>
      </c>
      <c r="HY25" s="182" t="n">
        <v>-0.009599999999999999</v>
      </c>
      <c r="HZ25" s="182" t="n"/>
      <c r="IB25" s="9">
        <f>C25</f>
        <v/>
      </c>
      <c r="IC25" s="185" t="n">
        <v>428459.79</v>
      </c>
      <c r="ID25" s="13">
        <f>IC26</f>
        <v/>
      </c>
      <c r="IE25" s="13">
        <f>IC25-ID25</f>
        <v/>
      </c>
      <c r="IF25" s="193">
        <f>IE25/ID25</f>
        <v/>
      </c>
      <c r="IG25" s="194" t="n">
        <v>-0.0162</v>
      </c>
      <c r="IH25" s="182" t="n"/>
      <c r="IJ25" s="9">
        <f>C25</f>
        <v/>
      </c>
      <c r="IK25" s="222" t="n">
        <v>843356.29</v>
      </c>
      <c r="IL25" s="13">
        <f>IK26</f>
        <v/>
      </c>
      <c r="IM25" s="13">
        <f>IK25-IL25</f>
        <v/>
      </c>
      <c r="IN25" s="193">
        <f>IM25/IL25</f>
        <v/>
      </c>
      <c r="IO25" s="182" t="n">
        <v>0.0144</v>
      </c>
      <c r="IP25" s="182" t="n"/>
      <c r="IR25" s="9">
        <f>C25</f>
        <v/>
      </c>
      <c r="IS25" s="185" t="n">
        <v>189489</v>
      </c>
      <c r="IT25" s="13">
        <f>IS26</f>
        <v/>
      </c>
      <c r="IU25" s="13">
        <f>IS25-IT25</f>
        <v/>
      </c>
      <c r="IV25" s="193">
        <f>IU25/IT25</f>
        <v/>
      </c>
      <c r="IW25" s="182" t="n">
        <v>-0.0206</v>
      </c>
      <c r="IX25" s="182" t="n"/>
      <c r="IZ25" s="9">
        <f>C25</f>
        <v/>
      </c>
      <c r="JA25" s="185" t="n">
        <v>5685429.15</v>
      </c>
      <c r="JB25" s="13">
        <f>JA26</f>
        <v/>
      </c>
      <c r="JC25" s="13">
        <f>JA25-JB25</f>
        <v/>
      </c>
      <c r="JD25" s="193">
        <f>JC25/JB25</f>
        <v/>
      </c>
      <c r="JE25" s="182" t="n">
        <v>-0.001</v>
      </c>
      <c r="JF25" s="182" t="n"/>
      <c r="JH25" s="9">
        <f>C25</f>
        <v/>
      </c>
      <c r="JI25" s="185" t="n">
        <v>1183587.99</v>
      </c>
      <c r="JJ25" s="13">
        <f>JI26</f>
        <v/>
      </c>
      <c r="JK25" s="13">
        <f>JI25-JJ25</f>
        <v/>
      </c>
      <c r="JL25" s="193">
        <f>JK25/JJ25</f>
        <v/>
      </c>
      <c r="JM25" s="182" t="n">
        <v>0.0012</v>
      </c>
      <c r="JN25" s="182" t="n"/>
      <c r="JO25" s="182" t="n"/>
      <c r="JP25" s="9">
        <f>C25</f>
        <v/>
      </c>
      <c r="JQ25" s="222" t="n">
        <v>1067890.4148</v>
      </c>
      <c r="JR25" s="13">
        <f>JQ26</f>
        <v/>
      </c>
      <c r="JS25" s="13">
        <f>JQ25-JR25</f>
        <v/>
      </c>
      <c r="JT25" s="193">
        <f>JS25/JR25</f>
        <v/>
      </c>
      <c r="JU25" s="182" t="n">
        <v>-0.0101</v>
      </c>
      <c r="JV25" s="182" t="n"/>
      <c r="JW25" s="194" t="n"/>
      <c r="JX25" s="9">
        <f>C25</f>
        <v/>
      </c>
      <c r="JY25" s="185" t="n">
        <v>995648.8</v>
      </c>
      <c r="JZ25" s="13">
        <f>JY26</f>
        <v/>
      </c>
      <c r="KA25" s="13">
        <f>JY25-JZ25</f>
        <v/>
      </c>
      <c r="KB25" s="193">
        <f>KA25/JZ25</f>
        <v/>
      </c>
      <c r="KC25" s="182" t="n">
        <v>-0.0023</v>
      </c>
      <c r="KD25" s="182" t="n"/>
      <c r="KE25" s="194" t="n"/>
      <c r="KF25" s="9">
        <f>C25</f>
        <v/>
      </c>
      <c r="KG25" s="222" t="n">
        <v>567155.9219</v>
      </c>
      <c r="KH25" s="13">
        <f>KG26</f>
        <v/>
      </c>
      <c r="KI25" s="13">
        <f>KG25-KH25</f>
        <v/>
      </c>
      <c r="KJ25" s="193">
        <f>KI25/KH25</f>
        <v/>
      </c>
      <c r="KK25" s="194" t="n">
        <v>0.0049</v>
      </c>
      <c r="KL25" s="194" t="n"/>
      <c r="KN25" s="9">
        <f>C25</f>
        <v/>
      </c>
      <c r="KO25" s="185" t="n">
        <v>7237275.95</v>
      </c>
      <c r="KP25" s="13">
        <f>KO26</f>
        <v/>
      </c>
      <c r="KQ25" s="13">
        <f>KO25-KP25</f>
        <v/>
      </c>
      <c r="KR25" s="193">
        <f>KQ25/KP25</f>
        <v/>
      </c>
      <c r="KS25" s="182" t="n">
        <v>0.0154</v>
      </c>
      <c r="KT25" s="182" t="n"/>
      <c r="KV25" s="9">
        <f>C25</f>
        <v/>
      </c>
      <c r="KW25" s="222" t="n">
        <v>1020472.9726</v>
      </c>
      <c r="KX25" s="13">
        <f>KW26</f>
        <v/>
      </c>
      <c r="KY25" s="13">
        <f>KW25-KX25</f>
        <v/>
      </c>
      <c r="KZ25" s="193">
        <f>KY25/KX25</f>
        <v/>
      </c>
      <c r="LA25" s="194" t="n">
        <v>-0.0284</v>
      </c>
      <c r="LB25" s="182" t="n"/>
      <c r="LD25" s="9">
        <f>C25</f>
        <v/>
      </c>
      <c r="LE25" s="185" t="n">
        <v>374257.7</v>
      </c>
      <c r="LF25" s="13">
        <f>LE26</f>
        <v/>
      </c>
      <c r="LG25" s="13">
        <f>LE25-LF25</f>
        <v/>
      </c>
      <c r="LH25" s="193">
        <f>LG25/LF25</f>
        <v/>
      </c>
      <c r="LI25" s="182" t="n">
        <v>-0.0256</v>
      </c>
      <c r="LJ25" s="182" t="n"/>
      <c r="LL25" s="9">
        <f>C25</f>
        <v/>
      </c>
      <c r="LM25" s="672" t="n">
        <v>3190075.02</v>
      </c>
      <c r="LN25" s="13">
        <f>LM26</f>
        <v/>
      </c>
      <c r="LO25" s="13">
        <f>LM25-LN25</f>
        <v/>
      </c>
      <c r="LP25" s="193">
        <f>LO25/LN25</f>
        <v/>
      </c>
      <c r="LQ25" s="182" t="n">
        <v>-0.0024</v>
      </c>
      <c r="LR25" s="182" t="n"/>
      <c r="LT25" s="9">
        <f>C25</f>
        <v/>
      </c>
      <c r="LU25" s="222" t="n">
        <v>2282062.904</v>
      </c>
      <c r="LV25" s="13">
        <f>LU26</f>
        <v/>
      </c>
      <c r="LW25" s="13">
        <f>LU25-LV25</f>
        <v/>
      </c>
      <c r="LX25" s="193">
        <f>LW25/LV25</f>
        <v/>
      </c>
      <c r="LY25" s="182" t="n">
        <v>0.0061</v>
      </c>
      <c r="LZ25" s="182" t="n"/>
      <c r="MB25" s="9">
        <f>C25</f>
        <v/>
      </c>
      <c r="MC25" s="185" t="n">
        <v>840017.6899999999</v>
      </c>
      <c r="MD25" s="13">
        <f>MC26</f>
        <v/>
      </c>
      <c r="ME25" s="13">
        <f>MC25-MD25</f>
        <v/>
      </c>
      <c r="MF25" s="193">
        <f>ME25/MD25</f>
        <v/>
      </c>
      <c r="MG25" s="182" t="n">
        <v>0.008500000000000001</v>
      </c>
      <c r="MH25" s="182" t="n"/>
      <c r="MK25" s="9">
        <f>C25</f>
        <v/>
      </c>
      <c r="ML25" s="223" t="n">
        <v>164145.5354</v>
      </c>
      <c r="MM25" s="13">
        <f>ML26</f>
        <v/>
      </c>
      <c r="MN25" s="13">
        <f>ML25-MM25</f>
        <v/>
      </c>
      <c r="MO25" s="193">
        <f>MN25/MM25</f>
        <v/>
      </c>
      <c r="MP25" s="182" t="n">
        <v>-0.024</v>
      </c>
      <c r="MQ25" s="194" t="n"/>
      <c r="MR25" s="194" t="n"/>
      <c r="MT25" s="9">
        <f>C25</f>
        <v/>
      </c>
      <c r="MU25" s="9" t="n">
        <v>120714.8</v>
      </c>
      <c r="MV25" s="188">
        <f>MU26</f>
        <v/>
      </c>
      <c r="MW25" s="9">
        <f>MU25-MV25</f>
        <v/>
      </c>
      <c r="MX25" s="182">
        <f>MW25/MV25</f>
        <v/>
      </c>
      <c r="MY25" s="182" t="n">
        <v>0.0144</v>
      </c>
      <c r="MZ25" s="182" t="n"/>
      <c r="NA25" s="182" t="n"/>
      <c r="NC25" s="9">
        <f>C25</f>
        <v/>
      </c>
      <c r="ND25" s="9" t="n">
        <v>30691.48</v>
      </c>
      <c r="NE25" s="188">
        <f>ND26</f>
        <v/>
      </c>
      <c r="NF25" s="9">
        <f>ND25-NE25</f>
        <v/>
      </c>
      <c r="NG25" s="182">
        <f>NF25/NE25</f>
        <v/>
      </c>
      <c r="NH25" s="182" t="n">
        <v>-0.0069</v>
      </c>
      <c r="NI25" s="182" t="n"/>
      <c r="NJ25" s="182" t="n"/>
      <c r="NK25" s="182" t="n"/>
      <c r="NM25" s="9">
        <f>C25</f>
        <v/>
      </c>
      <c r="NN25" s="9" t="n">
        <v>2635911.08</v>
      </c>
      <c r="NO25" s="9">
        <f>NN26</f>
        <v/>
      </c>
      <c r="NP25" s="197">
        <f>NN25-NO25</f>
        <v/>
      </c>
      <c r="NQ25" s="198">
        <f>NP25/NO25</f>
        <v/>
      </c>
      <c r="NR25" s="182" t="n">
        <v>0.0057</v>
      </c>
      <c r="NS25" s="24" t="n"/>
      <c r="NU25" s="9">
        <f>C25</f>
        <v/>
      </c>
      <c r="NV25" s="9" t="n">
        <v>220776.5</v>
      </c>
      <c r="NW25" s="188">
        <f>NV26</f>
        <v/>
      </c>
      <c r="NX25" s="197">
        <f>NV25-NW25</f>
        <v/>
      </c>
      <c r="NY25" s="198">
        <f>NX25/NW25</f>
        <v/>
      </c>
      <c r="NZ25" s="194" t="n">
        <v>0.0126</v>
      </c>
      <c r="OA25" s="185" t="n"/>
      <c r="OC25" s="9">
        <f>C25</f>
        <v/>
      </c>
      <c r="OD25" s="185" t="n">
        <v>24241.97</v>
      </c>
      <c r="OE25" s="13">
        <f>OD26</f>
        <v/>
      </c>
      <c r="OF25" s="13">
        <f>OD25-OE25</f>
        <v/>
      </c>
      <c r="OG25" s="193">
        <f>OF25/OE25</f>
        <v/>
      </c>
      <c r="OH25" s="182" t="n">
        <v>-0.0002</v>
      </c>
      <c r="OI25" s="182" t="n"/>
      <c r="OK25" s="9">
        <f>C25</f>
        <v/>
      </c>
      <c r="OL25" s="185" t="n">
        <v>18711.65</v>
      </c>
      <c r="OM25" s="13">
        <f>OL26</f>
        <v/>
      </c>
      <c r="ON25" s="13">
        <f>OL25-OM25</f>
        <v/>
      </c>
      <c r="OO25" s="193">
        <f>ON25/OM25</f>
        <v/>
      </c>
      <c r="OP25" s="182" t="n">
        <v>0.0005</v>
      </c>
      <c r="OQ25" s="182" t="n"/>
      <c r="OT25" s="201">
        <f>OK25</f>
        <v/>
      </c>
      <c r="OU25" s="199" t="n">
        <v>159312.4066</v>
      </c>
      <c r="OV25" s="9">
        <f>OU26</f>
        <v/>
      </c>
      <c r="OW25" s="671">
        <f>OU25-OV25</f>
        <v/>
      </c>
      <c r="OX25" s="182">
        <f>OW25/OV25</f>
        <v/>
      </c>
      <c r="OY25" s="0" t="n">
        <v>0.0044</v>
      </c>
    </row>
    <row r="26" ht="17" customFormat="1" customHeight="1" s="9">
      <c r="A26" s="631" t="n"/>
      <c r="B26" s="631" t="n"/>
      <c r="C26" s="631" t="inlineStr">
        <is>
          <t>2026//10/13</t>
        </is>
      </c>
      <c r="D26" s="215" t="n">
        <v>2489718.77</v>
      </c>
      <c r="E26" s="20">
        <f>D27</f>
        <v/>
      </c>
      <c r="F26" s="20">
        <f>D26-E26</f>
        <v/>
      </c>
      <c r="G26" s="163">
        <f>F26/E26</f>
        <v/>
      </c>
      <c r="H26" s="19" t="n">
        <v>-0.0034</v>
      </c>
      <c r="I26" s="163" t="n"/>
      <c r="J26" s="163" t="n"/>
      <c r="K26" s="9">
        <f>C26</f>
        <v/>
      </c>
      <c r="L26" s="215" t="n">
        <v>1216234.4</v>
      </c>
      <c r="M26" s="20">
        <f>L27</f>
        <v/>
      </c>
      <c r="N26" s="20">
        <f>L26-M26</f>
        <v/>
      </c>
      <c r="O26" s="163">
        <f>N26/M26</f>
        <v/>
      </c>
      <c r="P26" s="19" t="n">
        <v>-0.004</v>
      </c>
      <c r="Q26" s="163" t="n"/>
      <c r="R26" s="20" t="n"/>
      <c r="S26" s="9">
        <f>C26</f>
        <v/>
      </c>
      <c r="T26" s="215" t="n">
        <v>729876.6800000001</v>
      </c>
      <c r="U26" s="20">
        <f>T27</f>
        <v/>
      </c>
      <c r="V26" s="20">
        <f>T26-U26</f>
        <v/>
      </c>
      <c r="W26" s="163">
        <f>V26/U26</f>
        <v/>
      </c>
      <c r="X26" s="19" t="n">
        <v>-0.0051</v>
      </c>
      <c r="Y26" s="163" t="n"/>
      <c r="Z26" s="20" t="n"/>
      <c r="AA26" s="9">
        <f>S26</f>
        <v/>
      </c>
      <c r="AB26" s="215" t="n">
        <v>570616.86</v>
      </c>
      <c r="AC26" s="20">
        <f>AB27</f>
        <v/>
      </c>
      <c r="AD26" s="20">
        <f>AB26-AC26</f>
        <v/>
      </c>
      <c r="AE26" s="163">
        <f>AD26/AC26</f>
        <v/>
      </c>
      <c r="AF26" s="19" t="n">
        <v>-0.0022</v>
      </c>
      <c r="AG26" s="163" t="n"/>
      <c r="AH26" s="20" t="n"/>
      <c r="AI26" s="9">
        <f>C26</f>
        <v/>
      </c>
      <c r="AJ26" s="215" t="n">
        <v>820921.76</v>
      </c>
      <c r="AK26" s="20">
        <f>AJ27</f>
        <v/>
      </c>
      <c r="AL26" s="20">
        <f>AJ26-AK26</f>
        <v/>
      </c>
      <c r="AM26" s="163">
        <f>AL26/AK26</f>
        <v/>
      </c>
      <c r="AN26" s="19" t="n">
        <v>-0.0014</v>
      </c>
      <c r="AO26" s="19" t="n"/>
      <c r="AP26" s="20" t="n"/>
      <c r="AQ26" s="9">
        <f>C26</f>
        <v/>
      </c>
      <c r="AR26" s="219" t="n">
        <v>2295945.4936</v>
      </c>
      <c r="AS26" s="20">
        <f>AR27</f>
        <v/>
      </c>
      <c r="AT26" s="20">
        <f>AR26-AS26</f>
        <v/>
      </c>
      <c r="AU26" s="163">
        <f>AT26/AS26</f>
        <v/>
      </c>
      <c r="AV26" s="19" t="n">
        <v>-0.003</v>
      </c>
      <c r="AW26" s="19" t="n"/>
      <c r="AX26" s="5" t="n"/>
      <c r="AY26" s="5" t="n"/>
      <c r="AZ26" s="9">
        <f>C26</f>
        <v/>
      </c>
      <c r="BA26" s="220" t="n">
        <v>684831.6676</v>
      </c>
      <c r="BB26" s="24">
        <f>BA27</f>
        <v/>
      </c>
      <c r="BC26" s="5">
        <f>BA26-BB26</f>
        <v/>
      </c>
      <c r="BD26" s="19">
        <f>BC26/BB26</f>
        <v/>
      </c>
      <c r="BE26" s="19" t="n">
        <v>-0.0024</v>
      </c>
      <c r="BF26" s="19" t="n"/>
      <c r="BG26" s="647" t="n"/>
      <c r="BH26" s="9">
        <f>C26</f>
        <v/>
      </c>
      <c r="BI26" s="221" t="n">
        <v>1098926.5525</v>
      </c>
      <c r="BJ26" s="184">
        <f>BI27</f>
        <v/>
      </c>
      <c r="BK26" s="184">
        <f>BI26-BJ26</f>
        <v/>
      </c>
      <c r="BL26" s="190">
        <f>BK26/BJ26</f>
        <v/>
      </c>
      <c r="BM26" s="191" t="n">
        <v>-0.0066</v>
      </c>
      <c r="BN26" s="182" t="n"/>
      <c r="BP26" s="9">
        <f>C26</f>
        <v/>
      </c>
      <c r="BQ26" s="672" t="n">
        <v>1415762.3921</v>
      </c>
      <c r="BR26" s="13">
        <f>BQ27</f>
        <v/>
      </c>
      <c r="BS26" s="13">
        <f>BQ26-BR26</f>
        <v/>
      </c>
      <c r="BT26" s="193">
        <f>BS26/BR26</f>
        <v/>
      </c>
      <c r="BU26" s="182" t="n">
        <v>0</v>
      </c>
      <c r="BV26" s="182" t="n"/>
      <c r="BX26" s="9">
        <f>C26</f>
        <v/>
      </c>
      <c r="BY26" s="222" t="n">
        <v>1565310.7019</v>
      </c>
      <c r="BZ26" s="13">
        <f>BY27</f>
        <v/>
      </c>
      <c r="CA26" s="13">
        <f>BY26-BZ26</f>
        <v/>
      </c>
      <c r="CB26" s="193">
        <f>CA26/BZ26</f>
        <v/>
      </c>
      <c r="CC26" s="182" t="n">
        <v>-0.0138</v>
      </c>
      <c r="CD26" s="194" t="n"/>
      <c r="CF26" s="9">
        <f>C26</f>
        <v/>
      </c>
      <c r="CG26" s="215" t="n">
        <v>1404053.9</v>
      </c>
      <c r="CH26" s="13">
        <f>CG27</f>
        <v/>
      </c>
      <c r="CI26" s="13">
        <f>CG26-CH26</f>
        <v/>
      </c>
      <c r="CJ26" s="193">
        <f>CI26/CH26</f>
        <v/>
      </c>
      <c r="CK26" s="182" t="n">
        <v>0.0063</v>
      </c>
      <c r="CL26" s="194" t="n"/>
      <c r="CN26" s="9">
        <f>C26</f>
        <v/>
      </c>
      <c r="CO26" s="215" t="n">
        <v>527446.48</v>
      </c>
      <c r="CP26" s="13">
        <f>CO27</f>
        <v/>
      </c>
      <c r="CQ26" s="13">
        <f>CO26-CP26</f>
        <v/>
      </c>
      <c r="CR26" s="193">
        <f>CQ26/CP26</f>
        <v/>
      </c>
      <c r="CS26" s="194" t="n">
        <v>0.0067</v>
      </c>
      <c r="CT26" s="194" t="n"/>
      <c r="CV26" s="9">
        <f>C26</f>
        <v/>
      </c>
      <c r="CW26" s="215" t="n">
        <v>704690.4</v>
      </c>
      <c r="CX26" s="13">
        <f>CW27</f>
        <v/>
      </c>
      <c r="CY26" s="13">
        <f>CW26-CX26</f>
        <v/>
      </c>
      <c r="CZ26" s="193">
        <f>CY26/CX26</f>
        <v/>
      </c>
      <c r="DA26" s="182" t="n">
        <v>0.0135</v>
      </c>
      <c r="DB26" s="182" t="n"/>
      <c r="DC26" s="186" t="n"/>
      <c r="DD26" s="9">
        <f>C26</f>
        <v/>
      </c>
      <c r="DE26" s="222" t="n">
        <v>6086935.9972</v>
      </c>
      <c r="DF26" s="13">
        <f>DE27</f>
        <v/>
      </c>
      <c r="DG26" s="13">
        <f>DE26-DF26</f>
        <v/>
      </c>
      <c r="DH26" s="193">
        <f>DG26/DF26</f>
        <v/>
      </c>
      <c r="DI26" s="182" t="n">
        <v>0.0049</v>
      </c>
      <c r="DJ26" s="182" t="n"/>
      <c r="DK26" s="0" t="n"/>
      <c r="DL26" s="9">
        <f>C26</f>
        <v/>
      </c>
      <c r="DM26" s="215" t="n">
        <v>2132200.72</v>
      </c>
      <c r="DN26" s="13">
        <f>DM27</f>
        <v/>
      </c>
      <c r="DO26" s="13">
        <f>DM26-DN26</f>
        <v/>
      </c>
      <c r="DP26" s="193">
        <f>DO26/DN26</f>
        <v/>
      </c>
      <c r="DQ26" s="182" t="n">
        <v>-0.0023</v>
      </c>
      <c r="DR26" s="182" t="n"/>
      <c r="DT26" s="9">
        <f>C26</f>
        <v/>
      </c>
      <c r="DU26" s="215" t="n">
        <v>4521868.43</v>
      </c>
      <c r="DV26" s="13">
        <f>DU27</f>
        <v/>
      </c>
      <c r="DW26" s="13">
        <f>DU26-DV26</f>
        <v/>
      </c>
      <c r="DX26" s="193">
        <f>DW26/DV26</f>
        <v/>
      </c>
      <c r="DY26" s="182" t="n">
        <v>0</v>
      </c>
      <c r="DZ26" s="182" t="n"/>
      <c r="EB26" s="9">
        <f>C26</f>
        <v/>
      </c>
      <c r="EC26" s="215" t="n">
        <v>6396266.82</v>
      </c>
      <c r="ED26" s="13">
        <f>EC27</f>
        <v/>
      </c>
      <c r="EE26" s="13">
        <f>EC26-ED26</f>
        <v/>
      </c>
      <c r="EF26" s="193">
        <f>EE26/ED26</f>
        <v/>
      </c>
      <c r="EG26" s="182" t="n">
        <v>0.0007</v>
      </c>
      <c r="EH26" s="182" t="n"/>
      <c r="EJ26" s="9">
        <f>C26</f>
        <v/>
      </c>
      <c r="EK26" s="222" t="n">
        <v>1220322.9669</v>
      </c>
      <c r="EL26" s="13">
        <f>EK27</f>
        <v/>
      </c>
      <c r="EM26" s="13">
        <f>EK26-EL26</f>
        <v/>
      </c>
      <c r="EN26" s="193">
        <f>EM26/EL26</f>
        <v/>
      </c>
      <c r="EO26" s="182" t="n">
        <v>-0.0039</v>
      </c>
      <c r="EP26" s="182" t="n"/>
      <c r="ER26" s="9">
        <f>C26</f>
        <v/>
      </c>
      <c r="ES26" s="215" t="n">
        <v>754294.04</v>
      </c>
      <c r="ET26" s="13">
        <f>ES27</f>
        <v/>
      </c>
      <c r="EU26" s="13">
        <f>ES26-ET26</f>
        <v/>
      </c>
      <c r="EV26" s="193">
        <f>EU26/ET26</f>
        <v/>
      </c>
      <c r="EW26" s="182" t="n">
        <v>-0.003</v>
      </c>
      <c r="EX26" s="182" t="n"/>
      <c r="EZ26" s="9">
        <f>C26</f>
        <v/>
      </c>
      <c r="FA26" s="215" t="n">
        <v>705108</v>
      </c>
      <c r="FB26" s="13">
        <f>FA27</f>
        <v/>
      </c>
      <c r="FC26" s="13">
        <f>FA26-FB26</f>
        <v/>
      </c>
      <c r="FD26" s="193">
        <f>FC26/FB26</f>
        <v/>
      </c>
      <c r="FE26" s="182" t="n">
        <v>0.0227</v>
      </c>
      <c r="FF26" s="182" t="n"/>
      <c r="FG26" s="182" t="n"/>
      <c r="FH26" s="9">
        <f>C26</f>
        <v/>
      </c>
      <c r="FI26" s="672" t="n">
        <v>908095.3365</v>
      </c>
      <c r="FJ26" s="13">
        <f>FI27</f>
        <v/>
      </c>
      <c r="FK26" s="13">
        <f>FI26-FJ26</f>
        <v/>
      </c>
      <c r="FL26" s="193">
        <f>FK26/FJ26</f>
        <v/>
      </c>
      <c r="FM26" s="194" t="n">
        <v>0.0091</v>
      </c>
      <c r="FN26" s="194" t="n"/>
      <c r="FP26" s="9">
        <f>C26</f>
        <v/>
      </c>
      <c r="FQ26" s="215" t="n">
        <v>1861018.73</v>
      </c>
      <c r="FR26" s="13">
        <f>FQ27</f>
        <v/>
      </c>
      <c r="FS26" s="13">
        <f>FQ26-FR26</f>
        <v/>
      </c>
      <c r="FT26" s="193">
        <f>FS26/FR26</f>
        <v/>
      </c>
      <c r="FU26" s="182" t="n">
        <v>-0.0048</v>
      </c>
      <c r="FV26" s="182" t="n"/>
      <c r="FX26" s="9">
        <f>C26</f>
        <v/>
      </c>
      <c r="FY26" s="215" t="n">
        <v>7025082.05</v>
      </c>
      <c r="FZ26" s="13">
        <f>FY27</f>
        <v/>
      </c>
      <c r="GA26" s="13">
        <f>FY26-FZ26</f>
        <v/>
      </c>
      <c r="GB26" s="193">
        <f>GA26/FZ26</f>
        <v/>
      </c>
      <c r="GC26" s="182" t="n">
        <v>-0.0147</v>
      </c>
      <c r="GD26" s="182" t="n"/>
      <c r="GF26" s="9">
        <f>C26</f>
        <v/>
      </c>
      <c r="GG26" s="215" t="n">
        <v>3884169.49</v>
      </c>
      <c r="GH26" s="13">
        <f>GG27</f>
        <v/>
      </c>
      <c r="GI26" s="13">
        <f>GG26-GH26</f>
        <v/>
      </c>
      <c r="GJ26" s="193">
        <f>GI26/GH26</f>
        <v/>
      </c>
      <c r="GK26" s="182" t="n">
        <v>-0.007900000000000001</v>
      </c>
      <c r="GL26" s="182" t="n"/>
      <c r="GN26" s="9">
        <f>C26</f>
        <v/>
      </c>
      <c r="GO26" s="222" t="n">
        <v>1924078.1217</v>
      </c>
      <c r="GP26" s="13">
        <f>GO27</f>
        <v/>
      </c>
      <c r="GQ26" s="13">
        <f>GO26-GP26</f>
        <v/>
      </c>
      <c r="GR26" s="193">
        <f>GQ26/GP26</f>
        <v/>
      </c>
      <c r="GS26" s="182" t="n">
        <v>-0.012</v>
      </c>
      <c r="GT26" s="182" t="n"/>
      <c r="GV26" s="9">
        <f>C26</f>
        <v/>
      </c>
      <c r="GW26" s="215" t="n">
        <v>591149.4</v>
      </c>
      <c r="GX26" s="13">
        <f>GW27</f>
        <v/>
      </c>
      <c r="GY26" s="13">
        <f>GW26-GX26</f>
        <v/>
      </c>
      <c r="GZ26" s="193">
        <f>GY26/GX26</f>
        <v/>
      </c>
      <c r="HA26" s="182" t="n">
        <v>-0.0105</v>
      </c>
      <c r="HB26" s="182" t="n"/>
      <c r="HD26" s="9">
        <f>C26</f>
        <v/>
      </c>
      <c r="HE26" s="222" t="n">
        <v>783964.6746</v>
      </c>
      <c r="HF26" s="13">
        <f>HE27</f>
        <v/>
      </c>
      <c r="HG26" s="13">
        <f>HE26-HF26</f>
        <v/>
      </c>
      <c r="HH26" s="193">
        <f>HG26/HF26</f>
        <v/>
      </c>
      <c r="HI26" s="194" t="n">
        <v>-0.0319</v>
      </c>
      <c r="HJ26" s="182" t="n"/>
      <c r="HL26" s="9">
        <f>C26</f>
        <v/>
      </c>
      <c r="HM26" s="215" t="n">
        <v>110654.25</v>
      </c>
      <c r="HN26" s="195">
        <f>HM27</f>
        <v/>
      </c>
      <c r="HO26" s="195">
        <f>HM26-HN26</f>
        <v/>
      </c>
      <c r="HP26" s="196">
        <f>HO26/HN26</f>
        <v/>
      </c>
      <c r="HQ26" s="182" t="n">
        <v>0.0019</v>
      </c>
      <c r="HR26" s="182" t="n"/>
      <c r="HT26" s="9">
        <f>C26</f>
        <v/>
      </c>
      <c r="HU26" s="222" t="n">
        <v>144368.8265</v>
      </c>
      <c r="HV26" s="13">
        <f>HU27</f>
        <v/>
      </c>
      <c r="HW26" s="13">
        <f>HU26-HV26</f>
        <v/>
      </c>
      <c r="HX26" s="193">
        <f>HW26/HV26</f>
        <v/>
      </c>
      <c r="HY26" s="182" t="n">
        <v>-0.0038</v>
      </c>
      <c r="HZ26" s="182" t="n"/>
      <c r="IB26" s="9">
        <f>C26</f>
        <v/>
      </c>
      <c r="IC26" s="215" t="n">
        <v>426684.79</v>
      </c>
      <c r="ID26" s="13">
        <f>IC27</f>
        <v/>
      </c>
      <c r="IE26" s="13">
        <f>IC26-ID26</f>
        <v/>
      </c>
      <c r="IF26" s="193">
        <f>IE26/ID26</f>
        <v/>
      </c>
      <c r="IG26" s="194" t="n">
        <v>-0.0064</v>
      </c>
      <c r="IH26" s="182" t="n"/>
      <c r="IJ26" s="9">
        <f>C26</f>
        <v/>
      </c>
      <c r="IK26" s="222" t="n">
        <v>846956.29</v>
      </c>
      <c r="IL26" s="13">
        <f>IK27</f>
        <v/>
      </c>
      <c r="IM26" s="13">
        <f>IK26-IL26</f>
        <v/>
      </c>
      <c r="IN26" s="193">
        <f>IM26/IL26</f>
        <v/>
      </c>
      <c r="IO26" s="182" t="n">
        <v>-0.0057</v>
      </c>
      <c r="IP26" s="182" t="n"/>
      <c r="IR26" s="9">
        <f>C26</f>
        <v/>
      </c>
      <c r="IS26" s="215" t="n">
        <v>189689</v>
      </c>
      <c r="IT26" s="13">
        <f>IS27</f>
        <v/>
      </c>
      <c r="IU26" s="13">
        <f>IS26-IT26</f>
        <v/>
      </c>
      <c r="IV26" s="193">
        <f>IU26/IT26</f>
        <v/>
      </c>
      <c r="IW26" s="182" t="n">
        <v>-0.002</v>
      </c>
      <c r="IX26" s="182" t="n"/>
      <c r="IZ26" s="9">
        <f>C26</f>
        <v/>
      </c>
      <c r="JA26" s="215" t="n">
        <v>5687729.15</v>
      </c>
      <c r="JB26" s="13">
        <f>JA27</f>
        <v/>
      </c>
      <c r="JC26" s="13">
        <f>JA26-JB26</f>
        <v/>
      </c>
      <c r="JD26" s="193">
        <f>JC26/JB26</f>
        <v/>
      </c>
      <c r="JE26" s="182" t="n">
        <v>-0.001</v>
      </c>
      <c r="JF26" s="182" t="n"/>
      <c r="JH26" s="9">
        <f>C26</f>
        <v/>
      </c>
      <c r="JI26" s="215" t="n">
        <v>1204107.99</v>
      </c>
      <c r="JJ26" s="13">
        <f>JI27</f>
        <v/>
      </c>
      <c r="JK26" s="13">
        <f>JI26-JJ26</f>
        <v/>
      </c>
      <c r="JL26" s="193">
        <f>JK26/JJ26</f>
        <v/>
      </c>
      <c r="JM26" s="182" t="n">
        <v>-0.0046</v>
      </c>
      <c r="JN26" s="182" t="n"/>
      <c r="JO26" s="182" t="n"/>
      <c r="JP26" s="9">
        <f>C26</f>
        <v/>
      </c>
      <c r="JQ26" s="222" t="n">
        <v>1070390.4148</v>
      </c>
      <c r="JR26" s="13">
        <f>JQ27</f>
        <v/>
      </c>
      <c r="JS26" s="13">
        <f>JQ26-JR26</f>
        <v/>
      </c>
      <c r="JT26" s="193">
        <f>JS26/JR26</f>
        <v/>
      </c>
      <c r="JU26" s="182" t="n">
        <v>0.0102</v>
      </c>
      <c r="JV26" s="182" t="n"/>
      <c r="JW26" s="194" t="n"/>
      <c r="JX26" s="9">
        <f>C26</f>
        <v/>
      </c>
      <c r="JY26" s="215" t="n">
        <v>995848.8</v>
      </c>
      <c r="JZ26" s="13">
        <f>JY27</f>
        <v/>
      </c>
      <c r="KA26" s="13">
        <f>JY26-JZ26</f>
        <v/>
      </c>
      <c r="KB26" s="193">
        <f>KA26/JZ26</f>
        <v/>
      </c>
      <c r="KC26" s="182" t="n">
        <v>-0.0029</v>
      </c>
      <c r="KD26" s="182" t="n"/>
      <c r="KE26" s="194" t="n"/>
      <c r="KF26" s="9">
        <f>C26</f>
        <v/>
      </c>
      <c r="KG26" s="222" t="n">
        <v>567155.9219</v>
      </c>
      <c r="KH26" s="13">
        <f>KG27</f>
        <v/>
      </c>
      <c r="KI26" s="13">
        <f>KG26-KH26</f>
        <v/>
      </c>
      <c r="KJ26" s="193">
        <f>KI26/KH26</f>
        <v/>
      </c>
      <c r="KK26" s="194" t="n">
        <v>0</v>
      </c>
      <c r="KL26" s="194" t="n"/>
      <c r="KN26" s="9">
        <f>C26</f>
        <v/>
      </c>
      <c r="KO26" s="215" t="n">
        <v>7237275.95</v>
      </c>
      <c r="KP26" s="13">
        <f>KO27</f>
        <v/>
      </c>
      <c r="KQ26" s="13">
        <f>KO26-KP26</f>
        <v/>
      </c>
      <c r="KR26" s="193">
        <f>KQ26/KP26</f>
        <v/>
      </c>
      <c r="KS26" s="182" t="n">
        <v>-0.009599999999999999</v>
      </c>
      <c r="KT26" s="182" t="n"/>
      <c r="KV26" s="9">
        <f>C26</f>
        <v/>
      </c>
      <c r="KW26" s="222" t="n">
        <v>1020572.9726</v>
      </c>
      <c r="KX26" s="13">
        <f>KW27</f>
        <v/>
      </c>
      <c r="KY26" s="13">
        <f>KW26-KX26</f>
        <v/>
      </c>
      <c r="KZ26" s="193">
        <f>KY26/KX26</f>
        <v/>
      </c>
      <c r="LA26" s="194" t="n">
        <v>-0.0118</v>
      </c>
      <c r="LB26" s="182" t="n"/>
      <c r="LD26" s="9">
        <f>C26</f>
        <v/>
      </c>
      <c r="LE26" s="215" t="n">
        <v>374157.7</v>
      </c>
      <c r="LF26" s="13">
        <f>LE27</f>
        <v/>
      </c>
      <c r="LG26" s="13">
        <f>LE26-LF26</f>
        <v/>
      </c>
      <c r="LH26" s="193">
        <f>LG26/LF26</f>
        <v/>
      </c>
      <c r="LI26" s="182" t="n">
        <v>-0.002</v>
      </c>
      <c r="LJ26" s="182" t="n"/>
      <c r="LL26" s="9">
        <f>C26</f>
        <v/>
      </c>
      <c r="LM26" s="215" t="n">
        <v>3190615.02</v>
      </c>
      <c r="LN26" s="13">
        <f>LM27</f>
        <v/>
      </c>
      <c r="LO26" s="13">
        <f>LM26-LN26</f>
        <v/>
      </c>
      <c r="LP26" s="193">
        <f>LO26/LN26</f>
        <v/>
      </c>
      <c r="LQ26" s="182" t="n">
        <v>-0.0095</v>
      </c>
      <c r="LR26" s="182" t="n"/>
      <c r="LT26" s="9">
        <f>C26</f>
        <v/>
      </c>
      <c r="LU26" s="222" t="n">
        <v>2272262.904</v>
      </c>
      <c r="LV26" s="13">
        <f>LU27</f>
        <v/>
      </c>
      <c r="LW26" s="13">
        <f>LU26-LV26</f>
        <v/>
      </c>
      <c r="LX26" s="193">
        <f>LW26/LV26</f>
        <v/>
      </c>
      <c r="LY26" s="182" t="n">
        <v>-0.012</v>
      </c>
      <c r="LZ26" s="182" t="n"/>
      <c r="MB26" s="9">
        <f>C26</f>
        <v/>
      </c>
      <c r="MC26" s="215" t="n">
        <v>834367.6899999999</v>
      </c>
      <c r="MD26" s="13">
        <f>MC27</f>
        <v/>
      </c>
      <c r="ME26" s="13">
        <f>MC26-MD26</f>
        <v/>
      </c>
      <c r="MF26" s="193">
        <f>ME26/MD26</f>
        <v/>
      </c>
      <c r="MG26" s="182" t="n">
        <v>0.0141</v>
      </c>
      <c r="MH26" s="182" t="n"/>
      <c r="MK26" s="9">
        <f>C26</f>
        <v/>
      </c>
      <c r="ML26" s="223" t="n">
        <v>164625.5354</v>
      </c>
      <c r="MM26" s="13">
        <f>ML27</f>
        <v/>
      </c>
      <c r="MN26" s="13">
        <f>ML26-MM26</f>
        <v/>
      </c>
      <c r="MO26" s="193">
        <f>MN26/MM26</f>
        <v/>
      </c>
      <c r="MP26" s="182" t="n">
        <v>0.0023</v>
      </c>
      <c r="MQ26" s="194" t="n"/>
      <c r="MR26" s="194" t="n"/>
      <c r="MT26" s="9">
        <f>C26</f>
        <v/>
      </c>
      <c r="MU26" s="215" t="n">
        <v>121114.8</v>
      </c>
      <c r="MV26" s="188">
        <f>MU27</f>
        <v/>
      </c>
      <c r="MW26" s="9">
        <f>MU26-MV26</f>
        <v/>
      </c>
      <c r="MX26" s="182">
        <f>MW26/MV26</f>
        <v/>
      </c>
      <c r="MY26" s="182" t="n">
        <v>0.016</v>
      </c>
      <c r="MZ26" s="182" t="n"/>
      <c r="NA26" s="182" t="n"/>
      <c r="NC26" s="9">
        <f>C26</f>
        <v/>
      </c>
      <c r="ND26" s="215" t="n">
        <v>30691.48</v>
      </c>
      <c r="NE26" s="188">
        <f>ND27</f>
        <v/>
      </c>
      <c r="NF26" s="9">
        <f>ND26-NE26</f>
        <v/>
      </c>
      <c r="NG26" s="182">
        <f>NF26/NE26</f>
        <v/>
      </c>
      <c r="NH26" s="182" t="n">
        <v>0.007</v>
      </c>
      <c r="NI26" s="182" t="n"/>
      <c r="NJ26" s="182" t="n"/>
      <c r="NK26" s="182" t="n"/>
      <c r="NM26" s="9">
        <f>C26</f>
        <v/>
      </c>
      <c r="NN26" s="215" t="n">
        <v>2617811.08</v>
      </c>
      <c r="NO26" s="9">
        <f>NN27</f>
        <v/>
      </c>
      <c r="NP26" s="197">
        <f>NN26-NO26</f>
        <v/>
      </c>
      <c r="NQ26" s="198">
        <f>NP26/NO26</f>
        <v/>
      </c>
      <c r="NR26" s="182" t="n">
        <v>-0.0049</v>
      </c>
      <c r="NS26" s="24" t="n"/>
      <c r="NU26" s="9">
        <f>C26</f>
        <v/>
      </c>
      <c r="NV26" s="215" t="n">
        <v>222276.5</v>
      </c>
      <c r="NW26" s="188">
        <f>NV27</f>
        <v/>
      </c>
      <c r="NX26" s="197">
        <f>NV26-NW26</f>
        <v/>
      </c>
      <c r="NY26" s="198">
        <f>NX26/NW26</f>
        <v/>
      </c>
      <c r="NZ26" s="194" t="n">
        <v>-0.0031</v>
      </c>
      <c r="OA26" s="185" t="n"/>
      <c r="OC26" s="9">
        <f>C26</f>
        <v/>
      </c>
      <c r="OD26" s="215" t="n">
        <v>23381.97</v>
      </c>
      <c r="OE26" s="13">
        <f>OD27</f>
        <v/>
      </c>
      <c r="OF26" s="13">
        <f>OD26-OE26</f>
        <v/>
      </c>
      <c r="OG26" s="193">
        <f>OF26/OE26</f>
        <v/>
      </c>
      <c r="OH26" s="182" t="n">
        <v>0.0002</v>
      </c>
      <c r="OI26" s="182" t="n"/>
      <c r="OK26" s="9">
        <f>C26</f>
        <v/>
      </c>
      <c r="OL26" s="215" t="n">
        <v>18547.65</v>
      </c>
      <c r="OM26" s="13">
        <f>OL27</f>
        <v/>
      </c>
      <c r="ON26" s="13">
        <f>OL26-OM26</f>
        <v/>
      </c>
      <c r="OO26" s="193">
        <f>ON26/OM26</f>
        <v/>
      </c>
      <c r="OP26" s="182" t="n">
        <v>0.0008</v>
      </c>
      <c r="OQ26" s="182" t="n"/>
      <c r="OT26" s="201">
        <f>OK26</f>
        <v/>
      </c>
      <c r="OU26" s="199" t="n">
        <v>159192.4066</v>
      </c>
      <c r="OV26" s="9">
        <f>OU27</f>
        <v/>
      </c>
      <c r="OW26" s="671">
        <f>OU26-OV26</f>
        <v/>
      </c>
      <c r="OX26" s="182">
        <f>OW26/OV26</f>
        <v/>
      </c>
      <c r="OY26" s="0" t="n">
        <v>-0.0048</v>
      </c>
    </row>
    <row r="27" ht="17" customFormat="1" customHeight="1" s="9">
      <c r="A27" s="631" t="n"/>
      <c r="B27" s="631" t="n"/>
      <c r="C27" s="631" t="inlineStr">
        <is>
          <t>2026//10/12</t>
        </is>
      </c>
      <c r="D27" s="215" t="n">
        <v>2452998.77</v>
      </c>
      <c r="E27" s="20">
        <f>D28</f>
        <v/>
      </c>
      <c r="F27" s="20">
        <f>D27-E27</f>
        <v/>
      </c>
      <c r="G27" s="163">
        <f>F27/E27</f>
        <v/>
      </c>
      <c r="H27" s="19" t="n"/>
      <c r="I27" s="163" t="n"/>
      <c r="J27" s="163" t="n"/>
      <c r="K27" s="9">
        <f>C27</f>
        <v/>
      </c>
      <c r="L27" s="215" t="n">
        <v>1211374.4</v>
      </c>
      <c r="M27" s="20">
        <f>L28</f>
        <v/>
      </c>
      <c r="N27" s="20">
        <f>L27-M27</f>
        <v/>
      </c>
      <c r="O27" s="163">
        <f>N27/M27</f>
        <v/>
      </c>
      <c r="P27" s="19" t="n"/>
      <c r="Q27" s="163" t="n"/>
      <c r="R27" s="20" t="n"/>
      <c r="S27" s="9">
        <f>C27</f>
        <v/>
      </c>
      <c r="T27" s="215" t="n">
        <v>711966.6800000001</v>
      </c>
      <c r="U27" s="20">
        <f>T28</f>
        <v/>
      </c>
      <c r="V27" s="20">
        <f>T27-U27</f>
        <v/>
      </c>
      <c r="W27" s="163">
        <f>V27/U27</f>
        <v/>
      </c>
      <c r="X27" s="19" t="n"/>
      <c r="Y27" s="163" t="n"/>
      <c r="Z27" s="20" t="n"/>
      <c r="AA27" s="9">
        <f>S27</f>
        <v/>
      </c>
      <c r="AB27" s="215" t="n">
        <v>567776.86</v>
      </c>
      <c r="AC27" s="20">
        <f>AB28</f>
        <v/>
      </c>
      <c r="AD27" s="20">
        <f>AB27-AC27</f>
        <v/>
      </c>
      <c r="AE27" s="163">
        <f>AD27/AC27</f>
        <v/>
      </c>
      <c r="AF27" s="19" t="n"/>
      <c r="AG27" s="163" t="n"/>
      <c r="AH27" s="20" t="n"/>
      <c r="AI27" s="9">
        <f>C27</f>
        <v/>
      </c>
      <c r="AJ27" s="215" t="n">
        <v>806521.76</v>
      </c>
      <c r="AK27" s="20">
        <f>AJ28</f>
        <v/>
      </c>
      <c r="AL27" s="20">
        <f>AJ27-AK27</f>
        <v/>
      </c>
      <c r="AM27" s="163">
        <f>AL27/AK27</f>
        <v/>
      </c>
      <c r="AN27" s="19" t="n"/>
      <c r="AO27" s="19" t="n"/>
      <c r="AP27" s="20" t="n"/>
      <c r="AQ27" s="9">
        <f>C27</f>
        <v/>
      </c>
      <c r="AR27" s="219" t="n">
        <v>2222645.4936</v>
      </c>
      <c r="AS27" s="20">
        <f>AR28</f>
        <v/>
      </c>
      <c r="AT27" s="20">
        <f>AR27-AS27</f>
        <v/>
      </c>
      <c r="AU27" s="163">
        <f>AT27/AS27</f>
        <v/>
      </c>
      <c r="AV27" s="19" t="n">
        <v>-0.0264</v>
      </c>
      <c r="AW27" s="19" t="n"/>
      <c r="AX27" s="5" t="n"/>
      <c r="AY27" s="5" t="n"/>
      <c r="AZ27" s="9">
        <f>C27</f>
        <v/>
      </c>
      <c r="BA27" s="220" t="n">
        <v>684471.6676</v>
      </c>
      <c r="BB27" s="24">
        <f>BA28</f>
        <v/>
      </c>
      <c r="BC27" s="5">
        <f>BA27-BB27</f>
        <v/>
      </c>
      <c r="BD27" s="19">
        <f>BC27/BB27</f>
        <v/>
      </c>
      <c r="BE27" s="19" t="n">
        <v>-0.0066</v>
      </c>
      <c r="BF27" s="19" t="n"/>
      <c r="BG27" s="647" t="n"/>
      <c r="BH27" s="9">
        <f>C27</f>
        <v/>
      </c>
      <c r="BI27" s="221" t="n">
        <v>1101726.5525</v>
      </c>
      <c r="BJ27" s="184">
        <f>BI28</f>
        <v/>
      </c>
      <c r="BK27" s="184">
        <f>BI27-BJ27</f>
        <v/>
      </c>
      <c r="BL27" s="190">
        <f>BK27/BJ27</f>
        <v/>
      </c>
      <c r="BM27" s="191" t="n">
        <v>-0.0143</v>
      </c>
      <c r="BN27" s="182" t="n"/>
      <c r="BP27" s="9">
        <f>C27</f>
        <v/>
      </c>
      <c r="BQ27" s="672" t="n">
        <v>1416362.3921</v>
      </c>
      <c r="BR27" s="13">
        <f>BQ28</f>
        <v/>
      </c>
      <c r="BS27" s="13">
        <f>BQ27-BR27</f>
        <v/>
      </c>
      <c r="BT27" s="193">
        <f>BS27/BR27</f>
        <v/>
      </c>
      <c r="BU27" s="182" t="n">
        <v>-0.0062</v>
      </c>
      <c r="BV27" s="182" t="n"/>
      <c r="BX27" s="9">
        <f>C27</f>
        <v/>
      </c>
      <c r="BY27" s="222" t="n">
        <v>1571510.7019</v>
      </c>
      <c r="BZ27" s="13">
        <f>BY28</f>
        <v/>
      </c>
      <c r="CA27" s="13">
        <f>BY27-BZ27</f>
        <v/>
      </c>
      <c r="CB27" s="193">
        <f>CA27/BZ27</f>
        <v/>
      </c>
      <c r="CC27" s="182" t="n">
        <v>-0.0371</v>
      </c>
      <c r="CD27" s="194" t="n"/>
      <c r="CF27" s="9">
        <f>C27</f>
        <v/>
      </c>
      <c r="CG27" s="215" t="n">
        <v>1411353.9</v>
      </c>
      <c r="CH27" s="13">
        <f>CG28</f>
        <v/>
      </c>
      <c r="CI27" s="13">
        <f>CG27-CH27</f>
        <v/>
      </c>
      <c r="CJ27" s="193">
        <f>CI27/CH27</f>
        <v/>
      </c>
      <c r="CK27" s="182" t="n"/>
      <c r="CL27" s="194" t="n"/>
      <c r="CN27" s="9">
        <f>C27</f>
        <v/>
      </c>
      <c r="CO27" s="215" t="n">
        <v>527146.48</v>
      </c>
      <c r="CP27" s="13">
        <f>CO28</f>
        <v/>
      </c>
      <c r="CQ27" s="13">
        <f>CO27-CP27</f>
        <v/>
      </c>
      <c r="CR27" s="193">
        <f>CQ27/CP27</f>
        <v/>
      </c>
      <c r="CS27" s="194" t="n"/>
      <c r="CT27" s="194" t="n"/>
      <c r="CV27" s="9">
        <f>C27</f>
        <v/>
      </c>
      <c r="CW27" s="215" t="n">
        <v>704590.4</v>
      </c>
      <c r="CX27" s="13">
        <f>CW28</f>
        <v/>
      </c>
      <c r="CY27" s="13">
        <f>CW27-CX27</f>
        <v/>
      </c>
      <c r="CZ27" s="193">
        <f>CY27/CX27</f>
        <v/>
      </c>
      <c r="DA27" s="182" t="n"/>
      <c r="DB27" s="182" t="n"/>
      <c r="DC27" s="186" t="n"/>
      <c r="DD27" s="9">
        <f>C27</f>
        <v/>
      </c>
      <c r="DE27" s="222" t="n">
        <v>6139435.9972</v>
      </c>
      <c r="DF27" s="13">
        <f>DE28</f>
        <v/>
      </c>
      <c r="DG27" s="13">
        <f>DE27-DF27</f>
        <v/>
      </c>
      <c r="DH27" s="193">
        <f>DG27/DF27</f>
        <v/>
      </c>
      <c r="DI27" s="182" t="n">
        <v>-0.008</v>
      </c>
      <c r="DJ27" s="182" t="n"/>
      <c r="DK27" s="0" t="n"/>
      <c r="DL27" s="9">
        <f>C27</f>
        <v/>
      </c>
      <c r="DM27" s="215" t="n">
        <v>2121400.72</v>
      </c>
      <c r="DN27" s="13">
        <f>DM28</f>
        <v/>
      </c>
      <c r="DO27" s="13">
        <f>DM27-DN27</f>
        <v/>
      </c>
      <c r="DP27" s="193">
        <f>DO27/DN27</f>
        <v/>
      </c>
      <c r="DQ27" s="182" t="n"/>
      <c r="DR27" s="182" t="n"/>
      <c r="DT27" s="9">
        <f>C27</f>
        <v/>
      </c>
      <c r="DU27" s="215" t="n">
        <v>4516018.43</v>
      </c>
      <c r="DV27" s="13">
        <f>DU28</f>
        <v/>
      </c>
      <c r="DW27" s="13">
        <f>DU27-DV27</f>
        <v/>
      </c>
      <c r="DX27" s="193">
        <f>DW27/DV27</f>
        <v/>
      </c>
      <c r="DY27" s="182" t="n"/>
      <c r="DZ27" s="182" t="n"/>
      <c r="EB27" s="9">
        <f>C27</f>
        <v/>
      </c>
      <c r="EC27" s="215" t="n">
        <v>6323366.82</v>
      </c>
      <c r="ED27" s="13">
        <f>EC28</f>
        <v/>
      </c>
      <c r="EE27" s="13">
        <f>EC27-ED27</f>
        <v/>
      </c>
      <c r="EF27" s="193">
        <f>EE27/ED27</f>
        <v/>
      </c>
      <c r="EG27" s="182" t="n"/>
      <c r="EH27" s="182" t="n"/>
      <c r="EJ27" s="9">
        <f>C27</f>
        <v/>
      </c>
      <c r="EK27" s="222" t="n">
        <v>1218922.9669</v>
      </c>
      <c r="EL27" s="13">
        <f>EK28</f>
        <v/>
      </c>
      <c r="EM27" s="13">
        <f>EK27-EL27</f>
        <v/>
      </c>
      <c r="EN27" s="193">
        <f>EM27/EL27</f>
        <v/>
      </c>
      <c r="EO27" s="182" t="n">
        <v>-0.0299</v>
      </c>
      <c r="EP27" s="182" t="n"/>
      <c r="ER27" s="9">
        <f>C27</f>
        <v/>
      </c>
      <c r="ES27" s="215" t="n">
        <v>762894.04</v>
      </c>
      <c r="ET27" s="13">
        <f>ES28</f>
        <v/>
      </c>
      <c r="EU27" s="13">
        <f>ES27-ET27</f>
        <v/>
      </c>
      <c r="EV27" s="193">
        <f>EU27/ET27</f>
        <v/>
      </c>
      <c r="EW27" s="182" t="n"/>
      <c r="EX27" s="182" t="n"/>
      <c r="EZ27" s="9">
        <f>C27</f>
        <v/>
      </c>
      <c r="FA27" s="215" t="n">
        <v>701108</v>
      </c>
      <c r="FB27" s="13">
        <f>FA28</f>
        <v/>
      </c>
      <c r="FC27" s="13">
        <f>FA27-FB27</f>
        <v/>
      </c>
      <c r="FD27" s="193">
        <f>FC27/FB27</f>
        <v/>
      </c>
      <c r="FE27" s="182" t="n"/>
      <c r="FF27" s="182" t="n"/>
      <c r="FG27" s="182" t="n"/>
      <c r="FH27" s="9">
        <f>C27</f>
        <v/>
      </c>
      <c r="FI27" s="672" t="n">
        <v>910595.3365</v>
      </c>
      <c r="FJ27" s="13">
        <f>FI28</f>
        <v/>
      </c>
      <c r="FK27" s="13">
        <f>FI27-FJ27</f>
        <v/>
      </c>
      <c r="FL27" s="193">
        <f>FK27/FJ27</f>
        <v/>
      </c>
      <c r="FM27" s="194" t="n">
        <v>-0.0352</v>
      </c>
      <c r="FN27" s="194" t="n"/>
      <c r="FP27" s="9">
        <f>C27</f>
        <v/>
      </c>
      <c r="FQ27" s="215" t="n">
        <v>1862968.73</v>
      </c>
      <c r="FR27" s="13">
        <f>FQ28</f>
        <v/>
      </c>
      <c r="FS27" s="13">
        <f>FQ27-FR27</f>
        <v/>
      </c>
      <c r="FT27" s="193">
        <f>FS27/FR27</f>
        <v/>
      </c>
      <c r="FU27" s="182" t="n"/>
      <c r="FV27" s="182" t="n"/>
      <c r="FX27" s="9">
        <f>C27</f>
        <v/>
      </c>
      <c r="FY27" s="215" t="n">
        <v>7003482.05</v>
      </c>
      <c r="FZ27" s="13">
        <f>FY28</f>
        <v/>
      </c>
      <c r="GA27" s="13">
        <f>FY27-FZ27</f>
        <v/>
      </c>
      <c r="GB27" s="193">
        <f>GA27/FZ27</f>
        <v/>
      </c>
      <c r="GC27" s="182" t="n"/>
      <c r="GD27" s="182" t="n"/>
      <c r="GF27" s="9">
        <f>C27</f>
        <v/>
      </c>
      <c r="GG27" s="215" t="n">
        <v>3875669.49</v>
      </c>
      <c r="GH27" s="13">
        <f>GG28</f>
        <v/>
      </c>
      <c r="GI27" s="13">
        <f>GG27-GH27</f>
        <v/>
      </c>
      <c r="GJ27" s="193">
        <f>GI27/GH27</f>
        <v/>
      </c>
      <c r="GK27" s="182" t="n"/>
      <c r="GL27" s="182" t="n"/>
      <c r="GN27" s="9">
        <f>C27</f>
        <v/>
      </c>
      <c r="GO27" s="222" t="n">
        <v>1920958.1217</v>
      </c>
      <c r="GP27" s="13">
        <f>GO28</f>
        <v/>
      </c>
      <c r="GQ27" s="13">
        <f>GO27-GP27</f>
        <v/>
      </c>
      <c r="GR27" s="193">
        <f>GQ27/GP27</f>
        <v/>
      </c>
      <c r="GS27" s="182" t="n">
        <v>-0.0154</v>
      </c>
      <c r="GT27" s="182" t="n"/>
      <c r="GV27" s="9">
        <f>C27</f>
        <v/>
      </c>
      <c r="GW27" s="215" t="n">
        <v>595949.4</v>
      </c>
      <c r="GX27" s="13">
        <f>GW28</f>
        <v/>
      </c>
      <c r="GY27" s="13">
        <f>GW27-GX27</f>
        <v/>
      </c>
      <c r="GZ27" s="193">
        <f>GY27/GX27</f>
        <v/>
      </c>
      <c r="HA27" s="182" t="n"/>
      <c r="HB27" s="182" t="n"/>
      <c r="HD27" s="9">
        <f>C27</f>
        <v/>
      </c>
      <c r="HE27" s="222" t="n">
        <v>794664.6746</v>
      </c>
      <c r="HF27" s="13">
        <f>HE28</f>
        <v/>
      </c>
      <c r="HG27" s="13">
        <f>HE27-HF27</f>
        <v/>
      </c>
      <c r="HH27" s="193">
        <f>HG27/HF27</f>
        <v/>
      </c>
      <c r="HI27" s="194" t="n">
        <v>-0.0208</v>
      </c>
      <c r="HJ27" s="182" t="n"/>
      <c r="HL27" s="9">
        <f>C27</f>
        <v/>
      </c>
      <c r="HM27" s="215" t="n">
        <v>110754.25</v>
      </c>
      <c r="HN27" s="195">
        <f>HM28</f>
        <v/>
      </c>
      <c r="HO27" s="195">
        <f>HM27-HN27</f>
        <v/>
      </c>
      <c r="HP27" s="196">
        <f>HO27/HN27</f>
        <v/>
      </c>
      <c r="HQ27" s="182" t="n"/>
      <c r="HR27" s="182" t="n"/>
      <c r="HT27" s="9">
        <f>C27</f>
        <v/>
      </c>
      <c r="HU27" s="222" t="n">
        <v>143868.8265</v>
      </c>
      <c r="HV27" s="13">
        <f>HU28</f>
        <v/>
      </c>
      <c r="HW27" s="13">
        <f>HU27-HV27</f>
        <v/>
      </c>
      <c r="HX27" s="193">
        <f>HW27/HV27</f>
        <v/>
      </c>
      <c r="HY27" s="182" t="n">
        <v>-0.0132</v>
      </c>
      <c r="HZ27" s="182" t="n"/>
      <c r="IB27" s="9">
        <f>C27</f>
        <v/>
      </c>
      <c r="IC27" s="215" t="n">
        <v>425509.79</v>
      </c>
      <c r="ID27" s="13">
        <f>IC28</f>
        <v/>
      </c>
      <c r="IE27" s="13">
        <f>IC27-ID27</f>
        <v/>
      </c>
      <c r="IF27" s="193">
        <f>IE27/ID27</f>
        <v/>
      </c>
      <c r="IG27" s="194" t="n"/>
      <c r="IH27" s="182" t="n"/>
      <c r="IJ27" s="9">
        <f>C27</f>
        <v/>
      </c>
      <c r="IK27" s="222" t="n">
        <v>852076.29</v>
      </c>
      <c r="IL27" s="13">
        <f>IK28</f>
        <v/>
      </c>
      <c r="IM27" s="13">
        <f>IK27-IL27</f>
        <v/>
      </c>
      <c r="IN27" s="193">
        <f>IM27/IL27</f>
        <v/>
      </c>
      <c r="IO27" s="182" t="n">
        <v>-0.0019</v>
      </c>
      <c r="IP27" s="182" t="n"/>
      <c r="IR27" s="9">
        <f>C27</f>
        <v/>
      </c>
      <c r="IS27" s="215" t="n">
        <v>189489</v>
      </c>
      <c r="IT27" s="13">
        <f>IS28</f>
        <v/>
      </c>
      <c r="IU27" s="13">
        <f>IS27-IT27</f>
        <v/>
      </c>
      <c r="IV27" s="193">
        <f>IU27/IT27</f>
        <v/>
      </c>
      <c r="IW27" s="182" t="n"/>
      <c r="IX27" s="182" t="n"/>
      <c r="IZ27" s="9">
        <f>C27</f>
        <v/>
      </c>
      <c r="JA27" s="215" t="n">
        <v>5663629.15</v>
      </c>
      <c r="JB27" s="13">
        <f>JA28</f>
        <v/>
      </c>
      <c r="JC27" s="13">
        <f>JA27-JB27</f>
        <v/>
      </c>
      <c r="JD27" s="193">
        <f>JC27/JB27</f>
        <v/>
      </c>
      <c r="JE27" s="182" t="n"/>
      <c r="JF27" s="182" t="n"/>
      <c r="JH27" s="9">
        <f>C27</f>
        <v/>
      </c>
      <c r="JI27" s="215" t="n">
        <v>1195287.99</v>
      </c>
      <c r="JJ27" s="13">
        <f>JI28</f>
        <v/>
      </c>
      <c r="JK27" s="13">
        <f>JI27-JJ27</f>
        <v/>
      </c>
      <c r="JL27" s="193">
        <f>JK27/JJ27</f>
        <v/>
      </c>
      <c r="JM27" s="182" t="n"/>
      <c r="JN27" s="182" t="n"/>
      <c r="JO27" s="182" t="n"/>
      <c r="JP27" s="9">
        <f>C27</f>
        <v/>
      </c>
      <c r="JQ27" s="222" t="n">
        <v>1062490.4148</v>
      </c>
      <c r="JR27" s="13">
        <f>JQ28</f>
        <v/>
      </c>
      <c r="JS27" s="13">
        <f>JQ27-JR27</f>
        <v/>
      </c>
      <c r="JT27" s="193">
        <f>JS27/JR27</f>
        <v/>
      </c>
      <c r="JU27" s="182" t="n">
        <v>-0.0034</v>
      </c>
      <c r="JV27" s="182" t="n"/>
      <c r="JW27" s="194" t="n"/>
      <c r="JX27" s="9">
        <f>C27</f>
        <v/>
      </c>
      <c r="JY27" s="215" t="n">
        <v>996298.8</v>
      </c>
      <c r="JZ27" s="13">
        <f>JY28</f>
        <v/>
      </c>
      <c r="KA27" s="13">
        <f>JY27-JZ27</f>
        <v/>
      </c>
      <c r="KB27" s="193">
        <f>KA27/JZ27</f>
        <v/>
      </c>
      <c r="KC27" s="182" t="n"/>
      <c r="KD27" s="182" t="n"/>
      <c r="KE27" s="194" t="n"/>
      <c r="KF27" s="9">
        <f>C27</f>
        <v/>
      </c>
      <c r="KG27" s="222" t="n">
        <v>567155.9219</v>
      </c>
      <c r="KH27" s="13">
        <f>KG28</f>
        <v/>
      </c>
      <c r="KI27" s="13">
        <f>KG27-KH27</f>
        <v/>
      </c>
      <c r="KJ27" s="193">
        <f>KI27/KH27</f>
        <v/>
      </c>
      <c r="KK27" s="194" t="n">
        <v>0.0035</v>
      </c>
      <c r="KL27" s="194" t="n"/>
      <c r="KN27" s="9">
        <f>C27</f>
        <v/>
      </c>
      <c r="KO27" s="215" t="n">
        <v>7237275.95</v>
      </c>
      <c r="KP27" s="13">
        <f>KO28</f>
        <v/>
      </c>
      <c r="KQ27" s="13">
        <f>KO27-KP27</f>
        <v/>
      </c>
      <c r="KR27" s="193">
        <f>KQ27/KP27</f>
        <v/>
      </c>
      <c r="KS27" s="182" t="n"/>
      <c r="KT27" s="182" t="n"/>
      <c r="KV27" s="9">
        <f>C27</f>
        <v/>
      </c>
      <c r="KW27" s="222" t="n">
        <v>1020572.9726</v>
      </c>
      <c r="KX27" s="13">
        <f>KW28</f>
        <v/>
      </c>
      <c r="KY27" s="13">
        <f>KW27-KX27</f>
        <v/>
      </c>
      <c r="KZ27" s="193">
        <f>KY27/KX27</f>
        <v/>
      </c>
      <c r="LA27" s="194" t="n">
        <v>-0.0015</v>
      </c>
      <c r="LB27" s="182" t="n"/>
      <c r="LD27" s="9">
        <f>C27</f>
        <v/>
      </c>
      <c r="LE27" s="215" t="n">
        <v>374107.7</v>
      </c>
      <c r="LF27" s="13">
        <f>LE28</f>
        <v/>
      </c>
      <c r="LG27" s="13">
        <f>LE27-LF27</f>
        <v/>
      </c>
      <c r="LH27" s="193">
        <f>LG27/LF27</f>
        <v/>
      </c>
      <c r="LI27" s="182" t="n"/>
      <c r="LJ27" s="182" t="n"/>
      <c r="LL27" s="9">
        <f>C27</f>
        <v/>
      </c>
      <c r="LM27" s="215" t="n">
        <v>3189535.02</v>
      </c>
      <c r="LN27" s="13">
        <f>LM28</f>
        <v/>
      </c>
      <c r="LO27" s="13">
        <f>LM27-LN27</f>
        <v/>
      </c>
      <c r="LP27" s="193">
        <f>LO27/LN27</f>
        <v/>
      </c>
      <c r="LQ27" s="182" t="n"/>
      <c r="LR27" s="182" t="n"/>
      <c r="LT27" s="9">
        <f>C27</f>
        <v/>
      </c>
      <c r="LU27" s="222" t="n">
        <v>2278262.904</v>
      </c>
      <c r="LV27" s="13">
        <f>LU28</f>
        <v/>
      </c>
      <c r="LW27" s="13">
        <f>LU27-LV27</f>
        <v/>
      </c>
      <c r="LX27" s="193">
        <f>LW27/LV27</f>
        <v/>
      </c>
      <c r="LY27" s="182" t="n">
        <v>0.0076</v>
      </c>
      <c r="LZ27" s="182" t="n"/>
      <c r="MB27" s="9">
        <f>C27</f>
        <v/>
      </c>
      <c r="MC27" s="215" t="n">
        <v>821217.6899999999</v>
      </c>
      <c r="MD27" s="13">
        <f>MC28</f>
        <v/>
      </c>
      <c r="ME27" s="13">
        <f>MC27-MD27</f>
        <v/>
      </c>
      <c r="MF27" s="193">
        <f>ME27/MD27</f>
        <v/>
      </c>
      <c r="MG27" s="182" t="n"/>
      <c r="MH27" s="182" t="n"/>
      <c r="MI27" s="9" t="n"/>
      <c r="MJ27" s="9" t="n"/>
      <c r="MK27" s="9">
        <f>C27</f>
        <v/>
      </c>
      <c r="ML27" s="223" t="n">
        <v>164265.5354</v>
      </c>
      <c r="MM27" s="13">
        <f>ML28</f>
        <v/>
      </c>
      <c r="MN27" s="13">
        <f>ML27-MM27</f>
        <v/>
      </c>
      <c r="MO27" s="193">
        <f>MN27/MM27</f>
        <v/>
      </c>
      <c r="MP27" s="182" t="n">
        <v>-0.018</v>
      </c>
      <c r="MQ27" s="194" t="n"/>
      <c r="MR27" s="194" t="n"/>
      <c r="MT27" s="9">
        <f>C27</f>
        <v/>
      </c>
      <c r="MU27" s="215" t="n">
        <v>120314.8</v>
      </c>
      <c r="MV27" s="188">
        <f>MU28</f>
        <v/>
      </c>
      <c r="MW27" s="9">
        <f>MU27-MV27</f>
        <v/>
      </c>
      <c r="MX27" s="182">
        <f>MW27/MV27</f>
        <v/>
      </c>
      <c r="MY27" s="182" t="n"/>
      <c r="MZ27" s="182" t="n"/>
      <c r="NA27" s="182" t="n"/>
      <c r="NC27" s="9">
        <f>C27</f>
        <v/>
      </c>
      <c r="ND27" s="215" t="n">
        <v>30691.48</v>
      </c>
      <c r="NE27" s="188">
        <f>ND28</f>
        <v/>
      </c>
      <c r="NF27" s="9">
        <f>ND27-NE27</f>
        <v/>
      </c>
      <c r="NG27" s="182">
        <f>NF27/NE27</f>
        <v/>
      </c>
      <c r="NH27" s="182" t="n"/>
      <c r="NI27" s="182" t="n"/>
      <c r="NJ27" s="182" t="n"/>
      <c r="NK27" s="182" t="n"/>
      <c r="NM27" s="9">
        <f>C27</f>
        <v/>
      </c>
      <c r="NN27" s="215" t="n">
        <v>2601111.08</v>
      </c>
      <c r="NO27" s="9">
        <f>NN28</f>
        <v/>
      </c>
      <c r="NP27" s="197">
        <f>NN27-NO27</f>
        <v/>
      </c>
      <c r="NQ27" s="198">
        <f>NP27/NO27</f>
        <v/>
      </c>
      <c r="NR27" s="182" t="n"/>
      <c r="NS27" s="0" t="n"/>
      <c r="NU27" s="9">
        <f>C27</f>
        <v/>
      </c>
      <c r="NV27" s="215" t="n">
        <v>222226.5</v>
      </c>
      <c r="NW27" s="188">
        <f>NV28</f>
        <v/>
      </c>
      <c r="NX27" s="197">
        <f>NV27-NW27</f>
        <v/>
      </c>
      <c r="NY27" s="198">
        <f>NX27/NW27</f>
        <v/>
      </c>
      <c r="NZ27" s="194" t="n"/>
      <c r="OA27" s="185" t="n"/>
      <c r="OC27" s="9">
        <f>C27</f>
        <v/>
      </c>
      <c r="OD27" s="215" t="n">
        <v>22984.97</v>
      </c>
      <c r="OE27" s="13">
        <f>OD28</f>
        <v/>
      </c>
      <c r="OF27" s="13">
        <f>OD27-OE27</f>
        <v/>
      </c>
      <c r="OG27" s="193">
        <f>OF27/OE27</f>
        <v/>
      </c>
      <c r="OH27" s="182" t="n"/>
      <c r="OI27" s="182" t="n"/>
      <c r="OK27" s="9">
        <f>C27</f>
        <v/>
      </c>
      <c r="OL27" s="215" t="n">
        <v>18489.65</v>
      </c>
      <c r="OM27" s="13">
        <f>OL28</f>
        <v/>
      </c>
      <c r="ON27" s="13">
        <f>OL27-OM27</f>
        <v/>
      </c>
      <c r="OO27" s="193">
        <f>ON27/OM27</f>
        <v/>
      </c>
      <c r="OP27" s="182" t="n"/>
      <c r="OQ27" s="182" t="n"/>
      <c r="OT27" s="201">
        <f>OK27</f>
        <v/>
      </c>
      <c r="OU27" s="199" t="n">
        <v>159072.4066</v>
      </c>
      <c r="OV27" s="9">
        <f>OU28</f>
        <v/>
      </c>
      <c r="OW27" s="671">
        <f>OU27-OV27</f>
        <v/>
      </c>
      <c r="OX27" s="182">
        <f>OW27/OV27</f>
        <v/>
      </c>
      <c r="OY27" s="0" t="n">
        <v>-0.0056</v>
      </c>
    </row>
    <row r="28" ht="17" customFormat="1" customHeight="1" s="10">
      <c r="A28" s="674" t="n"/>
      <c r="B28" s="674" t="n"/>
      <c r="C28" s="674" t="inlineStr">
        <is>
          <t>2026//10/9</t>
        </is>
      </c>
      <c r="D28" s="225" t="n">
        <v>2439228.77</v>
      </c>
      <c r="E28" s="226">
        <f>D29</f>
        <v/>
      </c>
      <c r="F28" s="226">
        <f>D28-E28</f>
        <v/>
      </c>
      <c r="G28" s="227">
        <f>F28/E28</f>
        <v/>
      </c>
      <c r="H28" s="228" t="n">
        <v>-0.0009</v>
      </c>
      <c r="I28" s="227" t="n"/>
      <c r="J28" s="227" t="n"/>
      <c r="K28" s="10">
        <f>C28</f>
        <v/>
      </c>
      <c r="L28" s="225" t="n">
        <v>1209574.4</v>
      </c>
      <c r="M28" s="226">
        <f>L29</f>
        <v/>
      </c>
      <c r="N28" s="226">
        <f>L28-M28</f>
        <v/>
      </c>
      <c r="O28" s="227">
        <f>N28/M28</f>
        <v/>
      </c>
      <c r="P28" s="228" t="n">
        <v>0.0007</v>
      </c>
      <c r="Q28" s="227" t="n"/>
      <c r="R28" s="226" t="n"/>
      <c r="S28" s="10">
        <f>C28</f>
        <v/>
      </c>
      <c r="T28" s="225" t="n">
        <v>712236.6800000001</v>
      </c>
      <c r="U28" s="226">
        <f>T29</f>
        <v/>
      </c>
      <c r="V28" s="226">
        <f>T28-U28</f>
        <v/>
      </c>
      <c r="W28" s="227">
        <f>V28/U28</f>
        <v/>
      </c>
      <c r="X28" s="228" t="n">
        <v>0.0003</v>
      </c>
      <c r="Y28" s="227" t="n"/>
      <c r="Z28" s="226" t="n"/>
      <c r="AA28" s="10">
        <f>S28</f>
        <v/>
      </c>
      <c r="AB28" s="225" t="n">
        <v>572016.86</v>
      </c>
      <c r="AC28" s="226">
        <f>AB29</f>
        <v/>
      </c>
      <c r="AD28" s="226">
        <f>AB28-AC28</f>
        <v/>
      </c>
      <c r="AE28" s="227">
        <f>AD28/AC28</f>
        <v/>
      </c>
      <c r="AF28" s="228" t="n">
        <v>0.0004</v>
      </c>
      <c r="AG28" s="227" t="n"/>
      <c r="AH28" s="226" t="n"/>
      <c r="AI28" s="10">
        <f>C28</f>
        <v/>
      </c>
      <c r="AJ28" s="225" t="n">
        <v>788321.76</v>
      </c>
      <c r="AK28" s="226">
        <f>AJ29</f>
        <v/>
      </c>
      <c r="AL28" s="226">
        <f>AJ28-AK28</f>
        <v/>
      </c>
      <c r="AM28" s="227">
        <f>AL28/AK28</f>
        <v/>
      </c>
      <c r="AN28" s="228" t="n">
        <v>0.0017</v>
      </c>
      <c r="AO28" s="228" t="n"/>
      <c r="AP28" s="226" t="n"/>
      <c r="AQ28" s="10">
        <f>C28</f>
        <v/>
      </c>
      <c r="AR28" s="229" t="n">
        <v>2202245.4936</v>
      </c>
      <c r="AS28" s="226">
        <f>AR29</f>
        <v/>
      </c>
      <c r="AT28" s="226">
        <f>AR28-AS28</f>
        <v/>
      </c>
      <c r="AU28" s="227">
        <f>AT28/AS28</f>
        <v/>
      </c>
      <c r="AV28" s="228" t="n"/>
      <c r="AW28" s="228" t="n"/>
      <c r="AX28" s="230" t="n"/>
      <c r="AY28" s="230" t="n"/>
      <c r="AZ28" s="10">
        <f>C28</f>
        <v/>
      </c>
      <c r="BA28" s="229" t="n">
        <v>685641.6676</v>
      </c>
      <c r="BB28" s="231">
        <f>BA29</f>
        <v/>
      </c>
      <c r="BC28" s="230">
        <f>BA28-BB28</f>
        <v/>
      </c>
      <c r="BD28" s="228">
        <f>BC28/BB28</f>
        <v/>
      </c>
      <c r="BE28" s="228" t="n"/>
      <c r="BF28" s="228" t="n"/>
      <c r="BG28" s="675" t="n"/>
      <c r="BH28" s="10">
        <f>C28</f>
        <v/>
      </c>
      <c r="BI28" s="229" t="n">
        <v>1104226.5525</v>
      </c>
      <c r="BJ28" s="233">
        <f>BI29</f>
        <v/>
      </c>
      <c r="BK28" s="233">
        <f>BI28-BJ28</f>
        <v/>
      </c>
      <c r="BL28" s="234">
        <f>BK28/BJ28</f>
        <v/>
      </c>
      <c r="BM28" s="235" t="n"/>
      <c r="BN28" s="236" t="n"/>
      <c r="BP28" s="10">
        <f>C28</f>
        <v/>
      </c>
      <c r="BQ28" s="229" t="n">
        <v>1424362.3921</v>
      </c>
      <c r="BR28" s="14">
        <f>BQ29</f>
        <v/>
      </c>
      <c r="BS28" s="14">
        <f>BQ28-BR28</f>
        <v/>
      </c>
      <c r="BT28" s="237">
        <f>BS28/BR28</f>
        <v/>
      </c>
      <c r="BU28" s="236" t="n"/>
      <c r="BV28" s="236" t="n"/>
      <c r="BX28" s="10">
        <f>C28</f>
        <v/>
      </c>
      <c r="BY28" s="229" t="n">
        <v>1586010.7019</v>
      </c>
      <c r="BZ28" s="14">
        <f>BY29</f>
        <v/>
      </c>
      <c r="CA28" s="14">
        <f>BY28-BZ28</f>
        <v/>
      </c>
      <c r="CB28" s="237">
        <f>CA28/BZ28</f>
        <v/>
      </c>
      <c r="CC28" s="236" t="n"/>
      <c r="CD28" s="238" t="n"/>
      <c r="CF28" s="10">
        <f>C28</f>
        <v/>
      </c>
      <c r="CG28" s="225" t="n">
        <v>1411003.9</v>
      </c>
      <c r="CH28" s="14">
        <f>CG29</f>
        <v/>
      </c>
      <c r="CI28" s="14">
        <f>CG28-CH28</f>
        <v/>
      </c>
      <c r="CJ28" s="237">
        <f>CI28/CH28</f>
        <v/>
      </c>
      <c r="CK28" s="236" t="n">
        <v>0.0231</v>
      </c>
      <c r="CL28" s="238" t="n"/>
      <c r="CN28" s="10">
        <f>C28</f>
        <v/>
      </c>
      <c r="CO28" s="225" t="n">
        <v>528446.48</v>
      </c>
      <c r="CP28" s="14">
        <f>CO29</f>
        <v/>
      </c>
      <c r="CQ28" s="14">
        <f>CO28-CP28</f>
        <v/>
      </c>
      <c r="CR28" s="237">
        <f>CQ28/CP28</f>
        <v/>
      </c>
      <c r="CS28" s="238" t="n">
        <v>0.0262</v>
      </c>
      <c r="CT28" s="238" t="n"/>
      <c r="CV28" s="10">
        <f>C28</f>
        <v/>
      </c>
      <c r="CW28" s="225" t="n">
        <v>698040.4</v>
      </c>
      <c r="CX28" s="14">
        <f>CW29</f>
        <v/>
      </c>
      <c r="CY28" s="14">
        <f>CW28-CX28</f>
        <v/>
      </c>
      <c r="CZ28" s="237">
        <f>CY28/CX28</f>
        <v/>
      </c>
      <c r="DA28" s="236" t="n">
        <v>0.0521</v>
      </c>
      <c r="DB28" s="236" t="n"/>
      <c r="DC28" s="239" t="n"/>
      <c r="DD28" s="10">
        <f>C28</f>
        <v/>
      </c>
      <c r="DE28" s="229" t="n">
        <v>6140035.9972</v>
      </c>
      <c r="DF28" s="14">
        <f>DE29</f>
        <v/>
      </c>
      <c r="DG28" s="14">
        <f>DE28-DF28</f>
        <v/>
      </c>
      <c r="DH28" s="237">
        <f>DG28/DF28</f>
        <v/>
      </c>
      <c r="DI28" s="236" t="n"/>
      <c r="DJ28" s="236" t="n"/>
      <c r="DK28" s="0" t="n"/>
      <c r="DL28" s="10">
        <f>C28</f>
        <v/>
      </c>
      <c r="DM28" s="225" t="n">
        <v>2109800.72</v>
      </c>
      <c r="DN28" s="14">
        <f>DM29</f>
        <v/>
      </c>
      <c r="DO28" s="14">
        <f>DM28-DN28</f>
        <v/>
      </c>
      <c r="DP28" s="237">
        <f>DO28/DN28</f>
        <v/>
      </c>
      <c r="DQ28" s="236" t="n">
        <v>-0.0033</v>
      </c>
      <c r="DR28" s="236" t="n"/>
      <c r="DT28" s="10">
        <f>C28</f>
        <v/>
      </c>
      <c r="DU28" s="225" t="n">
        <v>4528618.43</v>
      </c>
      <c r="DV28" s="14">
        <f>DU29</f>
        <v/>
      </c>
      <c r="DW28" s="14">
        <f>DU28-DV28</f>
        <v/>
      </c>
      <c r="DX28" s="237">
        <f>DW28/DV28</f>
        <v/>
      </c>
      <c r="DY28" s="236" t="n">
        <v>-0.0039</v>
      </c>
      <c r="DZ28" s="236" t="n"/>
      <c r="EB28" s="10">
        <f>C28</f>
        <v/>
      </c>
      <c r="EC28" s="225" t="n">
        <v>6297866.82</v>
      </c>
      <c r="ED28" s="14">
        <f>EC29</f>
        <v/>
      </c>
      <c r="EE28" s="14">
        <f>EC28-ED28</f>
        <v/>
      </c>
      <c r="EF28" s="237">
        <f>EE28/ED28</f>
        <v/>
      </c>
      <c r="EG28" s="236" t="n">
        <v>0.0026</v>
      </c>
      <c r="EH28" s="236" t="n"/>
      <c r="EJ28" s="10">
        <f>C28</f>
        <v/>
      </c>
      <c r="EK28" s="229" t="n">
        <v>1214122.9669</v>
      </c>
      <c r="EL28" s="14">
        <f>EK29</f>
        <v/>
      </c>
      <c r="EM28" s="14">
        <f>EK28-EL28</f>
        <v/>
      </c>
      <c r="EN28" s="237">
        <f>EM28/EL28</f>
        <v/>
      </c>
      <c r="EO28" s="236" t="n"/>
      <c r="EP28" s="236" t="n"/>
      <c r="ER28" s="10">
        <f>C28</f>
        <v/>
      </c>
      <c r="ES28" s="225" t="n">
        <v>764494.04</v>
      </c>
      <c r="ET28" s="14">
        <f>ES29</f>
        <v/>
      </c>
      <c r="EU28" s="14">
        <f>ES28-ET28</f>
        <v/>
      </c>
      <c r="EV28" s="237">
        <f>EU28/ET28</f>
        <v/>
      </c>
      <c r="EW28" s="236" t="n">
        <v>0.001</v>
      </c>
      <c r="EX28" s="236" t="n"/>
      <c r="EZ28" s="10">
        <f>C28</f>
        <v/>
      </c>
      <c r="FA28" s="225" t="n">
        <v>698308</v>
      </c>
      <c r="FB28" s="14">
        <f>FA29</f>
        <v/>
      </c>
      <c r="FC28" s="14">
        <f>FA28-FB28</f>
        <v/>
      </c>
      <c r="FD28" s="237">
        <f>FC28/FB28</f>
        <v/>
      </c>
      <c r="FE28" s="236" t="n">
        <v>-0.0119</v>
      </c>
      <c r="FF28" s="236" t="n"/>
      <c r="FG28" s="236" t="n"/>
      <c r="FH28" s="10">
        <f>C28</f>
        <v/>
      </c>
      <c r="FI28" s="229" t="n">
        <v>911195.3365</v>
      </c>
      <c r="FJ28" s="14">
        <f>FI29</f>
        <v/>
      </c>
      <c r="FK28" s="14">
        <f>FI28-FJ28</f>
        <v/>
      </c>
      <c r="FL28" s="237">
        <f>FK28/FJ28</f>
        <v/>
      </c>
      <c r="FM28" s="238" t="n"/>
      <c r="FN28" s="238" t="n"/>
      <c r="FP28" s="10">
        <f>C28</f>
        <v/>
      </c>
      <c r="FQ28" s="225" t="n">
        <v>1862818.73</v>
      </c>
      <c r="FR28" s="14">
        <f>FQ29</f>
        <v/>
      </c>
      <c r="FS28" s="14">
        <f>FQ28-FR28</f>
        <v/>
      </c>
      <c r="FT28" s="237">
        <f>FS28/FR28</f>
        <v/>
      </c>
      <c r="FU28" s="236" t="n">
        <v>0.0012</v>
      </c>
      <c r="FV28" s="236" t="n"/>
      <c r="FX28" s="10">
        <f>C28</f>
        <v/>
      </c>
      <c r="FY28" s="225" t="n">
        <v>7016982.05</v>
      </c>
      <c r="FZ28" s="14">
        <f>FY29</f>
        <v/>
      </c>
      <c r="GA28" s="14">
        <f>FY28-FZ28</f>
        <v/>
      </c>
      <c r="GB28" s="237">
        <f>GA28/FZ28</f>
        <v/>
      </c>
      <c r="GC28" s="236" t="n">
        <v>0.0059</v>
      </c>
      <c r="GD28" s="236" t="n"/>
      <c r="GF28" s="10">
        <f>C28</f>
        <v/>
      </c>
      <c r="GG28" s="225" t="n">
        <v>3864769.49</v>
      </c>
      <c r="GH28" s="14">
        <f>GG29</f>
        <v/>
      </c>
      <c r="GI28" s="14">
        <f>GG28-GH28</f>
        <v/>
      </c>
      <c r="GJ28" s="237">
        <f>GI28/GH28</f>
        <v/>
      </c>
      <c r="GK28" s="236" t="n">
        <v>-0.0052</v>
      </c>
      <c r="GL28" s="236" t="n"/>
      <c r="GN28" s="10">
        <f>C28</f>
        <v/>
      </c>
      <c r="GO28" s="229" t="n">
        <v>1911958.1217</v>
      </c>
      <c r="GP28" s="14">
        <f>GO29</f>
        <v/>
      </c>
      <c r="GQ28" s="14">
        <f>GO28-GP28</f>
        <v/>
      </c>
      <c r="GR28" s="237">
        <f>GQ28/GP28</f>
        <v/>
      </c>
      <c r="GS28" s="236" t="n"/>
      <c r="GT28" s="236" t="n"/>
      <c r="GV28" s="10">
        <f>C28</f>
        <v/>
      </c>
      <c r="GW28" s="225" t="n">
        <v>599549.4</v>
      </c>
      <c r="GX28" s="14">
        <f>GW29</f>
        <v/>
      </c>
      <c r="GY28" s="14">
        <f>GW28-GX28</f>
        <v/>
      </c>
      <c r="GZ28" s="237">
        <f>GY28/GX28</f>
        <v/>
      </c>
      <c r="HA28" s="236" t="n">
        <v>0.0026</v>
      </c>
      <c r="HB28" s="236" t="n"/>
      <c r="HD28" s="10">
        <f>C28</f>
        <v/>
      </c>
      <c r="HE28" s="229" t="n">
        <v>790564.6746</v>
      </c>
      <c r="HF28" s="14">
        <f>HE29</f>
        <v/>
      </c>
      <c r="HG28" s="14">
        <f>HE28-HF28</f>
        <v/>
      </c>
      <c r="HH28" s="237">
        <f>HG28/HF28</f>
        <v/>
      </c>
      <c r="HI28" s="238" t="n"/>
      <c r="HJ28" s="236" t="n"/>
      <c r="HL28" s="10">
        <f>C28</f>
        <v/>
      </c>
      <c r="HM28" s="225" t="n">
        <v>110054.25</v>
      </c>
      <c r="HN28" s="14">
        <f>HM29</f>
        <v/>
      </c>
      <c r="HO28" s="14">
        <f>HM28-HN28</f>
        <v/>
      </c>
      <c r="HP28" s="237">
        <f>HO28/HN28</f>
        <v/>
      </c>
      <c r="HQ28" s="236" t="n">
        <v>0.0028</v>
      </c>
      <c r="HR28" s="236" t="n"/>
      <c r="HT28" s="10">
        <f>C28</f>
        <v/>
      </c>
      <c r="HU28" s="229" t="n">
        <v>142968.8265</v>
      </c>
      <c r="HV28" s="14">
        <f>HU29</f>
        <v/>
      </c>
      <c r="HW28" s="14">
        <f>HU28-HV28</f>
        <v/>
      </c>
      <c r="HX28" s="237">
        <f>HW28/HV28</f>
        <v/>
      </c>
      <c r="HY28" s="236" t="n"/>
      <c r="HZ28" s="236" t="n"/>
      <c r="IB28" s="10">
        <f>C28</f>
        <v/>
      </c>
      <c r="IC28" s="225" t="n">
        <v>427684.79</v>
      </c>
      <c r="ID28" s="14">
        <f>IC29</f>
        <v/>
      </c>
      <c r="IE28" s="14">
        <f>IC28-ID28</f>
        <v/>
      </c>
      <c r="IF28" s="237">
        <f>IE28/ID28</f>
        <v/>
      </c>
      <c r="IG28" s="238" t="n">
        <v>-0.0047</v>
      </c>
      <c r="IH28" s="236" t="n"/>
      <c r="IJ28" s="10">
        <f>C28</f>
        <v/>
      </c>
      <c r="IK28" s="229" t="n">
        <v>857756.29</v>
      </c>
      <c r="IL28" s="14">
        <f>IK29</f>
        <v/>
      </c>
      <c r="IM28" s="14">
        <f>IK28-IL28</f>
        <v/>
      </c>
      <c r="IN28" s="237">
        <f>IM28/IL28</f>
        <v/>
      </c>
      <c r="IO28" s="236" t="n"/>
      <c r="IP28" s="236" t="n"/>
      <c r="IR28" s="10">
        <f>C28</f>
        <v/>
      </c>
      <c r="IS28" s="225" t="n">
        <v>189489</v>
      </c>
      <c r="IT28" s="14">
        <f>IS29</f>
        <v/>
      </c>
      <c r="IU28" s="14">
        <f>IS28-IT28</f>
        <v/>
      </c>
      <c r="IV28" s="237">
        <f>IU28/IT28</f>
        <v/>
      </c>
      <c r="IW28" s="236" t="n">
        <v>0.0138</v>
      </c>
      <c r="IX28" s="236" t="n"/>
      <c r="IZ28" s="10">
        <f>C28</f>
        <v/>
      </c>
      <c r="JA28" s="225" t="n">
        <v>5682329.15</v>
      </c>
      <c r="JB28" s="14">
        <f>JA29</f>
        <v/>
      </c>
      <c r="JC28" s="14">
        <f>JA28-JB28</f>
        <v/>
      </c>
      <c r="JD28" s="237">
        <f>JC28/JB28</f>
        <v/>
      </c>
      <c r="JE28" s="236" t="n">
        <v>0.0248</v>
      </c>
      <c r="JF28" s="236" t="n"/>
      <c r="JH28" s="10">
        <f>C28</f>
        <v/>
      </c>
      <c r="JI28" s="225" t="n">
        <v>1162587.99</v>
      </c>
      <c r="JJ28" s="14">
        <f>JI29</f>
        <v/>
      </c>
      <c r="JK28" s="14">
        <f>JI28-JJ28</f>
        <v/>
      </c>
      <c r="JL28" s="237">
        <f>JK28/JJ28</f>
        <v/>
      </c>
      <c r="JM28" s="236" t="n">
        <v>-0.0105</v>
      </c>
      <c r="JN28" s="236" t="n"/>
      <c r="JO28" s="236" t="n"/>
      <c r="JP28" s="10">
        <f>C28</f>
        <v/>
      </c>
      <c r="JQ28" s="229" t="n">
        <v>1065490.4148</v>
      </c>
      <c r="JR28" s="14">
        <f>JQ29</f>
        <v/>
      </c>
      <c r="JS28" s="14">
        <f>JQ28-JR28</f>
        <v/>
      </c>
      <c r="JT28" s="237">
        <f>JS28/JR28</f>
        <v/>
      </c>
      <c r="JU28" s="236" t="n"/>
      <c r="JV28" s="236" t="n"/>
      <c r="JW28" s="238" t="n"/>
      <c r="JX28" s="10">
        <f>C28</f>
        <v/>
      </c>
      <c r="JY28" s="225" t="n">
        <v>996498.8</v>
      </c>
      <c r="JZ28" s="14">
        <f>JY29</f>
        <v/>
      </c>
      <c r="KA28" s="14">
        <f>JY28-JZ28</f>
        <v/>
      </c>
      <c r="KB28" s="237">
        <f>KA28/JZ28</f>
        <v/>
      </c>
      <c r="KC28" s="236" t="n">
        <v>0.0064</v>
      </c>
      <c r="KD28" s="236" t="n"/>
      <c r="KE28" s="238" t="n"/>
      <c r="KF28" s="10">
        <f>C28</f>
        <v/>
      </c>
      <c r="KG28" s="229" t="n">
        <v>567155.9219</v>
      </c>
      <c r="KH28" s="14">
        <f>KG29</f>
        <v/>
      </c>
      <c r="KI28" s="14">
        <f>KG28-KH28</f>
        <v/>
      </c>
      <c r="KJ28" s="237">
        <f>KI28/KH28</f>
        <v/>
      </c>
      <c r="KK28" s="238" t="n"/>
      <c r="KL28" s="238" t="n"/>
      <c r="KN28" s="10">
        <f>C28</f>
        <v/>
      </c>
      <c r="KO28" s="225" t="n">
        <v>7237375.95</v>
      </c>
      <c r="KP28" s="14">
        <f>KO29</f>
        <v/>
      </c>
      <c r="KQ28" s="14">
        <f>KO28-KP28</f>
        <v/>
      </c>
      <c r="KR28" s="237">
        <f>KQ28/KP28</f>
        <v/>
      </c>
      <c r="KS28" s="236" t="n">
        <v>0.0174</v>
      </c>
      <c r="KT28" s="236" t="n"/>
      <c r="KV28" s="10">
        <f>C28</f>
        <v/>
      </c>
      <c r="KW28" s="229" t="n">
        <v>1020372.9726</v>
      </c>
      <c r="KX28" s="14">
        <f>KW29</f>
        <v/>
      </c>
      <c r="KY28" s="14">
        <f>KW28-KX28</f>
        <v/>
      </c>
      <c r="KZ28" s="237">
        <f>KY28/KX28</f>
        <v/>
      </c>
      <c r="LA28" s="238" t="n"/>
      <c r="LB28" s="236" t="n"/>
      <c r="LD28" s="10">
        <f>C28</f>
        <v/>
      </c>
      <c r="LE28" s="225" t="n">
        <v>374607.7</v>
      </c>
      <c r="LF28" s="14">
        <f>LE29</f>
        <v/>
      </c>
      <c r="LG28" s="14">
        <f>LE28-LF28</f>
        <v/>
      </c>
      <c r="LH28" s="237">
        <f>LG28/LF28</f>
        <v/>
      </c>
      <c r="LI28" s="236" t="n">
        <v>0.0065</v>
      </c>
      <c r="LJ28" s="236" t="n"/>
      <c r="LL28" s="10">
        <f>C28</f>
        <v/>
      </c>
      <c r="LM28" s="225" t="n">
        <v>3181615.02</v>
      </c>
      <c r="LN28" s="14">
        <f>LM29</f>
        <v/>
      </c>
      <c r="LO28" s="14">
        <f>LM28-LN28</f>
        <v/>
      </c>
      <c r="LP28" s="237">
        <f>LO28/LN28</f>
        <v/>
      </c>
      <c r="LQ28" s="236" t="n">
        <v>0.0048</v>
      </c>
      <c r="LR28" s="236" t="n"/>
      <c r="LT28" s="10">
        <f>C28</f>
        <v/>
      </c>
      <c r="LU28" s="229" t="n">
        <v>2261462.904</v>
      </c>
      <c r="LV28" s="14">
        <f>LU29</f>
        <v/>
      </c>
      <c r="LW28" s="14">
        <f>LU28-LV28</f>
        <v/>
      </c>
      <c r="LX28" s="237">
        <f>LW28/LV28</f>
        <v/>
      </c>
      <c r="LY28" s="236" t="n"/>
      <c r="LZ28" s="236" t="n"/>
      <c r="MB28" s="10">
        <f>C28</f>
        <v/>
      </c>
      <c r="MC28" s="225" t="n">
        <v>806567.6899999999</v>
      </c>
      <c r="MD28" s="14">
        <f>MC29</f>
        <v/>
      </c>
      <c r="ME28" s="14">
        <f>MC28-MD28</f>
        <v/>
      </c>
      <c r="MF28" s="237">
        <f>ME28/MD28</f>
        <v/>
      </c>
      <c r="MG28" s="236" t="n">
        <v>0.0149</v>
      </c>
      <c r="MH28" s="236" t="n"/>
      <c r="MI28" s="10" t="n"/>
      <c r="MJ28" s="10" t="n"/>
      <c r="MK28" s="10">
        <f>C28</f>
        <v/>
      </c>
      <c r="ML28" s="229" t="n">
        <v>165105.5354</v>
      </c>
      <c r="MM28" s="14">
        <f>ML29</f>
        <v/>
      </c>
      <c r="MN28" s="14">
        <f>ML28-MM28</f>
        <v/>
      </c>
      <c r="MO28" s="237">
        <f>MN28/MM28</f>
        <v/>
      </c>
      <c r="MP28" s="236" t="n"/>
      <c r="MQ28" s="238" t="n"/>
      <c r="MR28" s="238" t="n"/>
      <c r="MT28" s="10">
        <f>C28</f>
        <v/>
      </c>
      <c r="MU28" s="225" t="n">
        <v>120614.8</v>
      </c>
      <c r="MV28" s="240">
        <f>MU29</f>
        <v/>
      </c>
      <c r="MW28" s="10">
        <f>MU28-MV28</f>
        <v/>
      </c>
      <c r="MX28" s="236">
        <f>MW28/MV28</f>
        <v/>
      </c>
      <c r="MY28" s="236" t="n">
        <v>-0.0033</v>
      </c>
      <c r="MZ28" s="236" t="n"/>
      <c r="NA28" s="236" t="n"/>
      <c r="NC28" s="10">
        <f>C28</f>
        <v/>
      </c>
      <c r="ND28" s="225" t="n">
        <v>30691.48</v>
      </c>
      <c r="NE28" s="240">
        <f>ND29</f>
        <v/>
      </c>
      <c r="NF28" s="10">
        <f>ND28-NE28</f>
        <v/>
      </c>
      <c r="NG28" s="236">
        <f>NF28/NE28</f>
        <v/>
      </c>
      <c r="NH28" s="236" t="n">
        <v>0.0177</v>
      </c>
      <c r="NI28" s="236" t="n"/>
      <c r="NJ28" s="236" t="n"/>
      <c r="NK28" s="236" t="n"/>
      <c r="NM28" s="10">
        <f>C28</f>
        <v/>
      </c>
      <c r="NN28" s="225" t="n">
        <v>2604511.08</v>
      </c>
      <c r="NO28" s="10">
        <f>NN29</f>
        <v/>
      </c>
      <c r="NP28" s="10">
        <f>NN28-NO28</f>
        <v/>
      </c>
      <c r="NQ28" s="236">
        <f>NP28/NO28</f>
        <v/>
      </c>
      <c r="NR28" s="236" t="n">
        <v>-0.0033</v>
      </c>
      <c r="NS28" s="0" t="n"/>
      <c r="NU28" s="10">
        <f>C28</f>
        <v/>
      </c>
      <c r="NV28" s="225" t="n">
        <v>223676.5</v>
      </c>
      <c r="NW28" s="240">
        <f>NV29</f>
        <v/>
      </c>
      <c r="NX28" s="10">
        <f>NV28-NW28</f>
        <v/>
      </c>
      <c r="NY28" s="236">
        <f>NX28/NW28</f>
        <v/>
      </c>
      <c r="NZ28" s="238" t="n">
        <v>0.0235</v>
      </c>
      <c r="OA28" s="241" t="n"/>
      <c r="OC28" s="10">
        <f>C28</f>
        <v/>
      </c>
      <c r="OD28" s="225" t="n">
        <v>22526.97</v>
      </c>
      <c r="OE28" s="14">
        <f>OD29</f>
        <v/>
      </c>
      <c r="OF28" s="14">
        <f>OD28-OE28</f>
        <v/>
      </c>
      <c r="OG28" s="237">
        <f>OF28/OE28</f>
        <v/>
      </c>
      <c r="OH28" s="236" t="n">
        <v>0.003</v>
      </c>
      <c r="OI28" s="236" t="n"/>
      <c r="OK28" s="10">
        <f>C28</f>
        <v/>
      </c>
      <c r="OL28" s="225" t="n">
        <v>18370.65</v>
      </c>
      <c r="OM28" s="14">
        <f>OL29</f>
        <v/>
      </c>
      <c r="ON28" s="14">
        <f>OL28-OM28</f>
        <v/>
      </c>
      <c r="OO28" s="237">
        <f>ON28/OM28</f>
        <v/>
      </c>
      <c r="OP28" s="236" t="n">
        <v>0.0007</v>
      </c>
      <c r="OQ28" s="236" t="n"/>
      <c r="OT28" s="201">
        <f>OK28</f>
        <v/>
      </c>
      <c r="OU28" s="199" t="n">
        <v>158952.4066</v>
      </c>
      <c r="OV28" s="9">
        <f>OU29</f>
        <v/>
      </c>
      <c r="OW28" s="671">
        <f>OU28-OV28</f>
        <v/>
      </c>
      <c r="OX28" s="182">
        <f>OW28/OV28</f>
        <v/>
      </c>
      <c r="OY28" s="0" t="n"/>
    </row>
    <row r="29" ht="17" customFormat="1" customHeight="1" s="9">
      <c r="A29" s="631" t="n"/>
      <c r="B29" s="631" t="n"/>
      <c r="C29" s="631" t="inlineStr">
        <is>
          <t>2026//10/9</t>
        </is>
      </c>
      <c r="D29" s="215" t="n">
        <v>2439228.77</v>
      </c>
      <c r="E29" s="20">
        <f>D30</f>
        <v/>
      </c>
      <c r="F29" s="20">
        <f>D29-E29</f>
        <v/>
      </c>
      <c r="G29" s="163">
        <f>F29/E29</f>
        <v/>
      </c>
      <c r="H29" s="19" t="n">
        <v>-0.0009</v>
      </c>
      <c r="I29" s="163" t="n"/>
      <c r="J29" s="163" t="n"/>
      <c r="K29" s="9">
        <f>C29</f>
        <v/>
      </c>
      <c r="L29" s="215" t="n">
        <v>1209574.4</v>
      </c>
      <c r="M29" s="20">
        <f>L30</f>
        <v/>
      </c>
      <c r="N29" s="20">
        <f>L29-M29</f>
        <v/>
      </c>
      <c r="O29" s="163">
        <f>N29/M29</f>
        <v/>
      </c>
      <c r="P29" s="19" t="n">
        <v>0.0007</v>
      </c>
      <c r="Q29" s="163" t="n"/>
      <c r="R29" s="20" t="n"/>
      <c r="S29" s="9">
        <f>C29</f>
        <v/>
      </c>
      <c r="T29" s="215" t="n">
        <v>712236.6800000001</v>
      </c>
      <c r="U29" s="20">
        <f>T30</f>
        <v/>
      </c>
      <c r="V29" s="20">
        <f>T29-U29</f>
        <v/>
      </c>
      <c r="W29" s="163">
        <f>V29/U29</f>
        <v/>
      </c>
      <c r="X29" s="19" t="n">
        <v>0.0003</v>
      </c>
      <c r="Y29" s="163" t="n"/>
      <c r="Z29" s="20" t="n"/>
      <c r="AA29" s="9">
        <f>S29</f>
        <v/>
      </c>
      <c r="AB29" s="215" t="n">
        <v>572016.86</v>
      </c>
      <c r="AC29" s="20">
        <f>AB30</f>
        <v/>
      </c>
      <c r="AD29" s="20">
        <f>AB29-AC29</f>
        <v/>
      </c>
      <c r="AE29" s="163">
        <f>AD29/AC29</f>
        <v/>
      </c>
      <c r="AF29" s="19" t="n">
        <v>0.0004</v>
      </c>
      <c r="AG29" s="163" t="n"/>
      <c r="AH29" s="20" t="n"/>
      <c r="AI29" s="9">
        <f>C29</f>
        <v/>
      </c>
      <c r="AJ29" s="215" t="n">
        <v>788321.76</v>
      </c>
      <c r="AK29" s="20">
        <f>AJ30</f>
        <v/>
      </c>
      <c r="AL29" s="20">
        <f>AJ29-AK29</f>
        <v/>
      </c>
      <c r="AM29" s="163">
        <f>AL29/AK29</f>
        <v/>
      </c>
      <c r="AN29" s="19" t="n">
        <v>0.0017</v>
      </c>
      <c r="AO29" s="19" t="n"/>
      <c r="AP29" s="20" t="n"/>
      <c r="AQ29" s="9">
        <f>C29</f>
        <v/>
      </c>
      <c r="AR29" s="242" t="n">
        <v>2202245.4936</v>
      </c>
      <c r="AS29" s="20">
        <f>AR30</f>
        <v/>
      </c>
      <c r="AT29" s="20">
        <f>AR29-AS29</f>
        <v/>
      </c>
      <c r="AU29" s="163">
        <f>AT29/AS29</f>
        <v/>
      </c>
      <c r="AV29" s="19" t="n">
        <v>0.0036</v>
      </c>
      <c r="AW29" s="19" t="n"/>
      <c r="AX29" s="5" t="n"/>
      <c r="AY29" s="5" t="n"/>
      <c r="AZ29" s="9">
        <f>C29</f>
        <v/>
      </c>
      <c r="BA29" s="242" t="n">
        <v>685641.6676</v>
      </c>
      <c r="BB29" s="24">
        <f>BA30</f>
        <v/>
      </c>
      <c r="BC29" s="5">
        <f>BA29-BB29</f>
        <v/>
      </c>
      <c r="BD29" s="19">
        <f>BC29/BB29</f>
        <v/>
      </c>
      <c r="BE29" s="19" t="n">
        <v>0.0013</v>
      </c>
      <c r="BF29" s="19" t="n"/>
      <c r="BG29" s="647" t="n"/>
      <c r="BH29" s="9">
        <f>C29</f>
        <v/>
      </c>
      <c r="BI29" s="242" t="n">
        <v>1104226.5525</v>
      </c>
      <c r="BJ29" s="184">
        <f>BI30</f>
        <v/>
      </c>
      <c r="BK29" s="184">
        <f>BI29-BJ29</f>
        <v/>
      </c>
      <c r="BL29" s="190">
        <f>BK29/BJ29</f>
        <v/>
      </c>
      <c r="BM29" s="191" t="n">
        <v>-0.0045</v>
      </c>
      <c r="BN29" s="182" t="n"/>
      <c r="BP29" s="9">
        <f>C29</f>
        <v/>
      </c>
      <c r="BQ29" s="242" t="n">
        <v>1424362.3921</v>
      </c>
      <c r="BR29" s="13">
        <f>BQ30</f>
        <v/>
      </c>
      <c r="BS29" s="13">
        <f>BQ29-BR29</f>
        <v/>
      </c>
      <c r="BT29" s="193">
        <f>BS29/BR29</f>
        <v/>
      </c>
      <c r="BU29" s="182" t="n">
        <v>0.0354</v>
      </c>
      <c r="BV29" s="182" t="n"/>
      <c r="BX29" s="9">
        <f>C29</f>
        <v/>
      </c>
      <c r="BY29" s="242" t="n">
        <v>1586010.7019</v>
      </c>
      <c r="BZ29" s="13">
        <f>BY30</f>
        <v/>
      </c>
      <c r="CA29" s="13">
        <f>BY29-BZ29</f>
        <v/>
      </c>
      <c r="CB29" s="193">
        <f>CA29/BZ29</f>
        <v/>
      </c>
      <c r="CC29" s="182" t="n">
        <v>0.0067</v>
      </c>
      <c r="CD29" s="194" t="n"/>
      <c r="CF29" s="9">
        <f>C29</f>
        <v/>
      </c>
      <c r="CG29" s="215" t="n">
        <v>1411003.9</v>
      </c>
      <c r="CH29" s="13">
        <f>CG30</f>
        <v/>
      </c>
      <c r="CI29" s="13">
        <f>CG29-CH29</f>
        <v/>
      </c>
      <c r="CJ29" s="193">
        <f>CI29/CH29</f>
        <v/>
      </c>
      <c r="CK29" s="182" t="n">
        <v>0.0231</v>
      </c>
      <c r="CL29" s="194" t="n"/>
      <c r="CN29" s="9">
        <f>C29</f>
        <v/>
      </c>
      <c r="CO29" s="215" t="n">
        <v>528446.48</v>
      </c>
      <c r="CP29" s="13">
        <f>CO30</f>
        <v/>
      </c>
      <c r="CQ29" s="13">
        <f>CO29-CP29</f>
        <v/>
      </c>
      <c r="CR29" s="193">
        <f>CQ29/CP29</f>
        <v/>
      </c>
      <c r="CS29" s="194" t="n">
        <v>0.0262</v>
      </c>
      <c r="CT29" s="194" t="n"/>
      <c r="CV29" s="9">
        <f>C29</f>
        <v/>
      </c>
      <c r="CW29" s="215" t="n">
        <v>698040.4</v>
      </c>
      <c r="CX29" s="13">
        <f>CW30</f>
        <v/>
      </c>
      <c r="CY29" s="13">
        <f>CW29-CX29</f>
        <v/>
      </c>
      <c r="CZ29" s="193">
        <f>CY29/CX29</f>
        <v/>
      </c>
      <c r="DA29" s="182" t="n">
        <v>0.0521</v>
      </c>
      <c r="DB29" s="182" t="n"/>
      <c r="DC29" s="186" t="n"/>
      <c r="DD29" s="9">
        <f>C29</f>
        <v/>
      </c>
      <c r="DE29" s="242" t="n">
        <v>6140035.9972</v>
      </c>
      <c r="DF29" s="13">
        <f>DE30</f>
        <v/>
      </c>
      <c r="DG29" s="13">
        <f>DE29-DF29</f>
        <v/>
      </c>
      <c r="DH29" s="193">
        <f>DG29/DF29</f>
        <v/>
      </c>
      <c r="DI29" s="182" t="n">
        <v>-0.008</v>
      </c>
      <c r="DJ29" s="182" t="n"/>
      <c r="DK29" s="0" t="n"/>
      <c r="DL29" s="9">
        <f>C29</f>
        <v/>
      </c>
      <c r="DM29" s="215" t="n">
        <v>2109800.72</v>
      </c>
      <c r="DN29" s="13">
        <f>DM30</f>
        <v/>
      </c>
      <c r="DO29" s="13">
        <f>DM29-DN29</f>
        <v/>
      </c>
      <c r="DP29" s="193">
        <f>DO29/DN29</f>
        <v/>
      </c>
      <c r="DQ29" s="182" t="n">
        <v>-0.0033</v>
      </c>
      <c r="DR29" s="182" t="n"/>
      <c r="DT29" s="9">
        <f>C29</f>
        <v/>
      </c>
      <c r="DU29" s="215" t="n">
        <v>4528618.43</v>
      </c>
      <c r="DV29" s="13">
        <f>DU30</f>
        <v/>
      </c>
      <c r="DW29" s="13">
        <f>DU29-DV29</f>
        <v/>
      </c>
      <c r="DX29" s="193">
        <f>DW29/DV29</f>
        <v/>
      </c>
      <c r="DY29" s="182" t="n">
        <v>-0.0039</v>
      </c>
      <c r="DZ29" s="182" t="n"/>
      <c r="EB29" s="9">
        <f>C29</f>
        <v/>
      </c>
      <c r="EC29" s="215" t="n">
        <v>6297866.82</v>
      </c>
      <c r="ED29" s="13">
        <f>EC30</f>
        <v/>
      </c>
      <c r="EE29" s="13">
        <f>EC29-ED29</f>
        <v/>
      </c>
      <c r="EF29" s="193">
        <f>EE29/ED29</f>
        <v/>
      </c>
      <c r="EG29" s="182" t="n">
        <v>0.0026</v>
      </c>
      <c r="EH29" s="182" t="n"/>
      <c r="EJ29" s="9">
        <f>C29</f>
        <v/>
      </c>
      <c r="EK29" s="242" t="n">
        <v>1214122.9669</v>
      </c>
      <c r="EL29" s="13">
        <f>EK30</f>
        <v/>
      </c>
      <c r="EM29" s="13">
        <f>EK29-EL29</f>
        <v/>
      </c>
      <c r="EN29" s="193">
        <f>EM29/EL29</f>
        <v/>
      </c>
      <c r="EO29" s="182" t="n">
        <v>0.0025</v>
      </c>
      <c r="EP29" s="182" t="n"/>
      <c r="ER29" s="9">
        <f>C29</f>
        <v/>
      </c>
      <c r="ES29" s="215" t="n">
        <v>764494.04</v>
      </c>
      <c r="ET29" s="13">
        <f>ES30</f>
        <v/>
      </c>
      <c r="EU29" s="13">
        <f>ES29-ET29</f>
        <v/>
      </c>
      <c r="EV29" s="193">
        <f>EU29/ET29</f>
        <v/>
      </c>
      <c r="EW29" s="182" t="n">
        <v>0.001</v>
      </c>
      <c r="EX29" s="182" t="n"/>
      <c r="EZ29" s="9">
        <f>C29</f>
        <v/>
      </c>
      <c r="FA29" s="215" t="n">
        <v>698308</v>
      </c>
      <c r="FB29" s="13">
        <f>FA30</f>
        <v/>
      </c>
      <c r="FC29" s="13">
        <f>FA29-FB29</f>
        <v/>
      </c>
      <c r="FD29" s="193">
        <f>FC29/FB29</f>
        <v/>
      </c>
      <c r="FE29" s="182" t="n">
        <v>-0.0119</v>
      </c>
      <c r="FF29" s="182" t="n"/>
      <c r="FG29" s="182" t="n"/>
      <c r="FH29" s="9">
        <f>C29</f>
        <v/>
      </c>
      <c r="FI29" s="242" t="n">
        <v>911195.3365</v>
      </c>
      <c r="FJ29" s="13">
        <f>FI30</f>
        <v/>
      </c>
      <c r="FK29" s="13">
        <f>FI29-FJ29</f>
        <v/>
      </c>
      <c r="FL29" s="193">
        <f>FK29/FJ29</f>
        <v/>
      </c>
      <c r="FM29" s="194" t="n">
        <v>-0.0204</v>
      </c>
      <c r="FN29" s="194" t="n"/>
      <c r="FP29" s="9">
        <f>C29</f>
        <v/>
      </c>
      <c r="FQ29" s="215" t="n">
        <v>1862818.73</v>
      </c>
      <c r="FR29" s="13">
        <f>FQ30</f>
        <v/>
      </c>
      <c r="FS29" s="13">
        <f>FQ29-FR29</f>
        <v/>
      </c>
      <c r="FT29" s="193">
        <f>FS29/FR29</f>
        <v/>
      </c>
      <c r="FU29" s="182" t="n">
        <v>0.0012</v>
      </c>
      <c r="FV29" s="182" t="n"/>
      <c r="FX29" s="9">
        <f>C29</f>
        <v/>
      </c>
      <c r="FY29" s="215" t="n">
        <v>7016982.05</v>
      </c>
      <c r="FZ29" s="13">
        <f>FY30</f>
        <v/>
      </c>
      <c r="GA29" s="13">
        <f>FY29-FZ29</f>
        <v/>
      </c>
      <c r="GB29" s="193">
        <f>GA29/FZ29</f>
        <v/>
      </c>
      <c r="GC29" s="182" t="n">
        <v>0.0059</v>
      </c>
      <c r="GD29" s="182" t="n"/>
      <c r="GF29" s="9">
        <f>C29</f>
        <v/>
      </c>
      <c r="GG29" s="215" t="n">
        <v>3864769.49</v>
      </c>
      <c r="GH29" s="13">
        <f>GG30</f>
        <v/>
      </c>
      <c r="GI29" s="13">
        <f>GG29-GH29</f>
        <v/>
      </c>
      <c r="GJ29" s="193">
        <f>GI29/GH29</f>
        <v/>
      </c>
      <c r="GK29" s="182" t="n">
        <v>-0.0052</v>
      </c>
      <c r="GL29" s="182" t="n"/>
      <c r="GN29" s="9">
        <f>C29</f>
        <v/>
      </c>
      <c r="GO29" s="242" t="n">
        <v>1911958.1217</v>
      </c>
      <c r="GP29" s="13">
        <f>GO30</f>
        <v/>
      </c>
      <c r="GQ29" s="13">
        <f>GO29-GP29</f>
        <v/>
      </c>
      <c r="GR29" s="193">
        <f>GQ29/GP29</f>
        <v/>
      </c>
      <c r="GS29" s="182" t="n">
        <v>0.0048</v>
      </c>
      <c r="GT29" s="182" t="n"/>
      <c r="GV29" s="9">
        <f>C29</f>
        <v/>
      </c>
      <c r="GW29" s="215" t="n">
        <v>599549.4</v>
      </c>
      <c r="GX29" s="13">
        <f>GW30</f>
        <v/>
      </c>
      <c r="GY29" s="13">
        <f>GW29-GX29</f>
        <v/>
      </c>
      <c r="GZ29" s="193">
        <f>GY29/GX29</f>
        <v/>
      </c>
      <c r="HA29" s="182" t="n">
        <v>0.0026</v>
      </c>
      <c r="HB29" s="182" t="n"/>
      <c r="HD29" s="9">
        <f>C29</f>
        <v/>
      </c>
      <c r="HE29" s="242" t="n">
        <v>790564.6746</v>
      </c>
      <c r="HF29" s="13">
        <f>HE30</f>
        <v/>
      </c>
      <c r="HG29" s="13">
        <f>HE29-HF29</f>
        <v/>
      </c>
      <c r="HH29" s="193">
        <f>HG29/HF29</f>
        <v/>
      </c>
      <c r="HI29" s="194" t="n">
        <v>0.0141</v>
      </c>
      <c r="HJ29" s="182" t="n"/>
      <c r="HL29" s="9">
        <f>C29</f>
        <v/>
      </c>
      <c r="HM29" s="215" t="n">
        <v>110054.25</v>
      </c>
      <c r="HN29" s="195">
        <f>HM30</f>
        <v/>
      </c>
      <c r="HO29" s="195">
        <f>HM29-HN29</f>
        <v/>
      </c>
      <c r="HP29" s="196">
        <f>HO29/HN29</f>
        <v/>
      </c>
      <c r="HQ29" s="182" t="n">
        <v>0.0028</v>
      </c>
      <c r="HR29" s="182" t="n"/>
      <c r="HT29" s="9">
        <f>C29</f>
        <v/>
      </c>
      <c r="HU29" s="242" t="n">
        <v>142968.8265</v>
      </c>
      <c r="HV29" s="13">
        <f>HU30</f>
        <v/>
      </c>
      <c r="HW29" s="13">
        <f>HU29-HV29</f>
        <v/>
      </c>
      <c r="HX29" s="193">
        <f>HW29/HV29</f>
        <v/>
      </c>
      <c r="HY29" s="182" t="n">
        <v>0.0076</v>
      </c>
      <c r="HZ29" s="182" t="n"/>
      <c r="IB29" s="9">
        <f>C29</f>
        <v/>
      </c>
      <c r="IC29" s="215" t="n">
        <v>427684.79</v>
      </c>
      <c r="ID29" s="13">
        <f>IC30</f>
        <v/>
      </c>
      <c r="IE29" s="13">
        <f>IC29-ID29</f>
        <v/>
      </c>
      <c r="IF29" s="193">
        <f>IE29/ID29</f>
        <v/>
      </c>
      <c r="IG29" s="194" t="n">
        <v>-0.0047</v>
      </c>
      <c r="IH29" s="182" t="n"/>
      <c r="IJ29" s="9">
        <f>C29</f>
        <v/>
      </c>
      <c r="IK29" s="242" t="n">
        <v>857756.29</v>
      </c>
      <c r="IL29" s="13">
        <f>IK30</f>
        <v/>
      </c>
      <c r="IM29" s="13">
        <f>IK29-IL29</f>
        <v/>
      </c>
      <c r="IN29" s="193">
        <f>IM29/IL29</f>
        <v/>
      </c>
      <c r="IO29" s="182" t="n">
        <v>0</v>
      </c>
      <c r="IP29" s="182" t="n"/>
      <c r="IR29" s="9">
        <f>C29</f>
        <v/>
      </c>
      <c r="IS29" s="215" t="n">
        <v>189489</v>
      </c>
      <c r="IT29" s="13">
        <f>IS30</f>
        <v/>
      </c>
      <c r="IU29" s="13">
        <f>IS29-IT29</f>
        <v/>
      </c>
      <c r="IV29" s="193">
        <f>IU29/IT29</f>
        <v/>
      </c>
      <c r="IW29" s="182" t="n">
        <v>0.0138</v>
      </c>
      <c r="IX29" s="182" t="n"/>
      <c r="IZ29" s="9">
        <f>C29</f>
        <v/>
      </c>
      <c r="JA29" s="215" t="n">
        <v>5682329.15</v>
      </c>
      <c r="JB29" s="13">
        <f>JA30</f>
        <v/>
      </c>
      <c r="JC29" s="13">
        <f>JA29-JB29</f>
        <v/>
      </c>
      <c r="JD29" s="193">
        <f>JC29/JB29</f>
        <v/>
      </c>
      <c r="JE29" s="182" t="n">
        <v>0.0248</v>
      </c>
      <c r="JF29" s="182" t="n"/>
      <c r="JH29" s="9">
        <f>C29</f>
        <v/>
      </c>
      <c r="JI29" s="215" t="n">
        <v>1162587.99</v>
      </c>
      <c r="JJ29" s="13">
        <f>JI30</f>
        <v/>
      </c>
      <c r="JK29" s="13">
        <f>JI29-JJ29</f>
        <v/>
      </c>
      <c r="JL29" s="193">
        <f>JK29/JJ29</f>
        <v/>
      </c>
      <c r="JM29" s="182" t="n">
        <v>-0.0105</v>
      </c>
      <c r="JN29" s="182" t="n"/>
      <c r="JO29" s="182" t="n"/>
      <c r="JP29" s="9">
        <f>C29</f>
        <v/>
      </c>
      <c r="JQ29" s="242" t="n">
        <v>1065490.4148</v>
      </c>
      <c r="JR29" s="13">
        <f>JQ30</f>
        <v/>
      </c>
      <c r="JS29" s="13">
        <f>JQ29-JR29</f>
        <v/>
      </c>
      <c r="JT29" s="193">
        <f>JS29/JR29</f>
        <v/>
      </c>
      <c r="JU29" s="182" t="n">
        <v>0.0407</v>
      </c>
      <c r="JV29" s="182" t="n"/>
      <c r="JW29" s="194" t="n"/>
      <c r="JX29" s="9">
        <f>C29</f>
        <v/>
      </c>
      <c r="JY29" s="215" t="n">
        <v>996498.8</v>
      </c>
      <c r="JZ29" s="13">
        <f>JY30</f>
        <v/>
      </c>
      <c r="KA29" s="13">
        <f>JY29-JZ29</f>
        <v/>
      </c>
      <c r="KB29" s="193">
        <f>KA29/JZ29</f>
        <v/>
      </c>
      <c r="KC29" s="182" t="n">
        <v>0.0064</v>
      </c>
      <c r="KD29" s="182" t="n"/>
      <c r="KE29" s="194" t="n"/>
      <c r="KF29" s="9">
        <f>C29</f>
        <v/>
      </c>
      <c r="KG29" s="242" t="n">
        <v>567155.9219</v>
      </c>
      <c r="KH29" s="13">
        <f>KG30</f>
        <v/>
      </c>
      <c r="KI29" s="13">
        <f>KG29-KH29</f>
        <v/>
      </c>
      <c r="KJ29" s="193">
        <f>KI29/KH29</f>
        <v/>
      </c>
      <c r="KK29" s="194" t="n">
        <v>0.0128</v>
      </c>
      <c r="KL29" s="194" t="n"/>
      <c r="KN29" s="9">
        <f>C29</f>
        <v/>
      </c>
      <c r="KO29" s="215" t="n">
        <v>7237375.95</v>
      </c>
      <c r="KP29" s="13">
        <f>KO30</f>
        <v/>
      </c>
      <c r="KQ29" s="13">
        <f>KO29-KP29</f>
        <v/>
      </c>
      <c r="KR29" s="193">
        <f>KQ29/KP29</f>
        <v/>
      </c>
      <c r="KS29" s="182" t="n">
        <v>0.0174</v>
      </c>
      <c r="KT29" s="182" t="n"/>
      <c r="KV29" s="9">
        <f>C29</f>
        <v/>
      </c>
      <c r="KW29" s="242" t="n">
        <v>1020372.9726</v>
      </c>
      <c r="KX29" s="13">
        <f>KW30</f>
        <v/>
      </c>
      <c r="KY29" s="13">
        <f>KW29-KX29</f>
        <v/>
      </c>
      <c r="KZ29" s="193">
        <f>KY29/KX29</f>
        <v/>
      </c>
      <c r="LA29" s="194" t="n">
        <v>-0.008800000000000001</v>
      </c>
      <c r="LB29" s="182" t="n"/>
      <c r="LD29" s="9">
        <f>C29</f>
        <v/>
      </c>
      <c r="LE29" s="215" t="n">
        <v>374607.7</v>
      </c>
      <c r="LF29" s="13">
        <f>LE30</f>
        <v/>
      </c>
      <c r="LG29" s="13">
        <f>LE29-LF29</f>
        <v/>
      </c>
      <c r="LH29" s="193">
        <f>LG29/LF29</f>
        <v/>
      </c>
      <c r="LI29" s="182" t="n">
        <v>0.0065</v>
      </c>
      <c r="LJ29" s="182" t="n"/>
      <c r="LL29" s="9">
        <f>C29</f>
        <v/>
      </c>
      <c r="LM29" s="215" t="n">
        <v>3181615.02</v>
      </c>
      <c r="LN29" s="13">
        <f>LM30</f>
        <v/>
      </c>
      <c r="LO29" s="13">
        <f>LM29-LN29</f>
        <v/>
      </c>
      <c r="LP29" s="193">
        <f>LO29/LN29</f>
        <v/>
      </c>
      <c r="LQ29" s="182" t="n">
        <v>0.0048</v>
      </c>
      <c r="LR29" s="182" t="n"/>
      <c r="LT29" s="9">
        <f>C29</f>
        <v/>
      </c>
      <c r="LU29" s="242" t="n">
        <v>2261462.904</v>
      </c>
      <c r="LV29" s="13">
        <f>LU30</f>
        <v/>
      </c>
      <c r="LW29" s="13">
        <f>LU29-LV29</f>
        <v/>
      </c>
      <c r="LX29" s="193">
        <f>LW29/LV29</f>
        <v/>
      </c>
      <c r="LY29" s="182" t="n">
        <v>0.0123</v>
      </c>
      <c r="LZ29" s="182" t="n"/>
      <c r="MB29" s="9">
        <f>C29</f>
        <v/>
      </c>
      <c r="MC29" s="215" t="n">
        <v>806567.6899999999</v>
      </c>
      <c r="MD29" s="13">
        <f>MC30</f>
        <v/>
      </c>
      <c r="ME29" s="13">
        <f>MC29-MD29</f>
        <v/>
      </c>
      <c r="MF29" s="193">
        <f>ME29/MD29</f>
        <v/>
      </c>
      <c r="MG29" s="182" t="n">
        <v>0.0149</v>
      </c>
      <c r="MH29" s="182" t="n"/>
      <c r="MK29" s="9">
        <f>C29</f>
        <v/>
      </c>
      <c r="ML29" s="242" t="n">
        <v>165105.5354</v>
      </c>
      <c r="MM29" s="13">
        <f>ML30</f>
        <v/>
      </c>
      <c r="MN29" s="13">
        <f>ML29-MM29</f>
        <v/>
      </c>
      <c r="MO29" s="193">
        <f>MN29/MM29</f>
        <v/>
      </c>
      <c r="MP29" s="182" t="n">
        <v>0.0125</v>
      </c>
      <c r="MQ29" s="194" t="n"/>
      <c r="MR29" s="194" t="n"/>
      <c r="MT29" s="9">
        <f>C29</f>
        <v/>
      </c>
      <c r="MU29" s="215" t="n">
        <v>120614.8</v>
      </c>
      <c r="MV29" s="188">
        <f>MU30</f>
        <v/>
      </c>
      <c r="MW29" s="9">
        <f>MU29-MV29</f>
        <v/>
      </c>
      <c r="MX29" s="182">
        <f>MW29/MV29</f>
        <v/>
      </c>
      <c r="MY29" s="182" t="n">
        <v>-0.0033</v>
      </c>
      <c r="MZ29" s="182" t="n"/>
      <c r="NA29" s="182" t="n"/>
      <c r="NC29" s="9">
        <f>C29</f>
        <v/>
      </c>
      <c r="ND29" s="215" t="n">
        <v>30691.48</v>
      </c>
      <c r="NE29" s="188">
        <f>ND30</f>
        <v/>
      </c>
      <c r="NF29" s="9">
        <f>ND29-NE29</f>
        <v/>
      </c>
      <c r="NG29" s="182">
        <f>NF29/NE29</f>
        <v/>
      </c>
      <c r="NH29" s="182" t="n">
        <v>0.0177</v>
      </c>
      <c r="NI29" s="182" t="n"/>
      <c r="NJ29" s="182" t="n"/>
      <c r="NK29" s="182" t="n"/>
      <c r="NM29" s="9">
        <f>C29</f>
        <v/>
      </c>
      <c r="NN29" s="215" t="n">
        <v>2604511.08</v>
      </c>
      <c r="NO29" s="9">
        <f>NN30</f>
        <v/>
      </c>
      <c r="NP29" s="197">
        <f>NN29-NO29</f>
        <v/>
      </c>
      <c r="NQ29" s="198">
        <f>NP29/NO29</f>
        <v/>
      </c>
      <c r="NR29" s="182" t="n">
        <v>-0.0033</v>
      </c>
      <c r="NS29" s="0" t="n"/>
      <c r="NU29" s="9">
        <f>C29</f>
        <v/>
      </c>
      <c r="NV29" s="215" t="n">
        <v>223676.5</v>
      </c>
      <c r="NW29" s="188">
        <f>NV30</f>
        <v/>
      </c>
      <c r="NX29" s="197">
        <f>NV29-NW29</f>
        <v/>
      </c>
      <c r="NY29" s="198">
        <f>NX29/NW29</f>
        <v/>
      </c>
      <c r="NZ29" s="194" t="n">
        <v>0.0235</v>
      </c>
      <c r="OA29" s="185" t="n"/>
      <c r="OC29" s="9">
        <f>C29</f>
        <v/>
      </c>
      <c r="OD29" s="215" t="n">
        <v>22526.97</v>
      </c>
      <c r="OE29" s="13">
        <f>OD30</f>
        <v/>
      </c>
      <c r="OF29" s="13">
        <f>OD29-OE29</f>
        <v/>
      </c>
      <c r="OG29" s="193">
        <f>OF29/OE29</f>
        <v/>
      </c>
      <c r="OH29" s="182" t="n">
        <v>0.003</v>
      </c>
      <c r="OI29" s="182" t="n"/>
      <c r="OK29" s="9">
        <f>C29</f>
        <v/>
      </c>
      <c r="OL29" s="215" t="n">
        <v>18370.65</v>
      </c>
      <c r="OM29" s="13">
        <f>OL30</f>
        <v/>
      </c>
      <c r="ON29" s="13">
        <f>OL29-OM29</f>
        <v/>
      </c>
      <c r="OO29" s="193">
        <f>ON29/OM29</f>
        <v/>
      </c>
      <c r="OP29" s="182" t="n">
        <v>0.0007</v>
      </c>
      <c r="OQ29" s="182" t="n"/>
      <c r="OT29" s="201">
        <f>OK29</f>
        <v/>
      </c>
      <c r="OU29" s="199" t="n">
        <v>158952.4066</v>
      </c>
      <c r="OV29" s="9">
        <f>OU30</f>
        <v/>
      </c>
      <c r="OW29" s="671">
        <f>OU29-OV29</f>
        <v/>
      </c>
      <c r="OX29" s="182">
        <f>OW29/OV29</f>
        <v/>
      </c>
      <c r="OY29" s="0" t="n">
        <v>0.0145</v>
      </c>
    </row>
    <row r="30" ht="17" customFormat="1" customHeight="1" s="9">
      <c r="A30" s="631" t="n"/>
      <c r="B30" s="631" t="n"/>
      <c r="C30" s="631" t="inlineStr">
        <is>
          <t>2026//10/8</t>
        </is>
      </c>
      <c r="D30" s="215" t="n">
        <v>2406378.77</v>
      </c>
      <c r="E30" s="20">
        <f>D31</f>
        <v/>
      </c>
      <c r="F30" s="20">
        <f>D30-E30</f>
        <v/>
      </c>
      <c r="G30" s="163">
        <f>F30/E30</f>
        <v/>
      </c>
      <c r="H30" s="19" t="n">
        <v>-0.0097</v>
      </c>
      <c r="I30" s="163" t="n"/>
      <c r="J30" s="163" t="n"/>
      <c r="K30" s="9">
        <f>C30</f>
        <v/>
      </c>
      <c r="L30" s="215" t="n">
        <v>1199584.4</v>
      </c>
      <c r="M30" s="20">
        <f>L31</f>
        <v/>
      </c>
      <c r="N30" s="20">
        <f>L30-M30</f>
        <v/>
      </c>
      <c r="O30" s="163">
        <f>N30/M30</f>
        <v/>
      </c>
      <c r="P30" s="19" t="n">
        <v>-0.0102</v>
      </c>
      <c r="Q30" s="163" t="n"/>
      <c r="R30" s="20" t="n"/>
      <c r="S30" s="9">
        <f>C30</f>
        <v/>
      </c>
      <c r="T30" s="215" t="n">
        <v>693516.6800000001</v>
      </c>
      <c r="U30" s="20">
        <f>T31</f>
        <v/>
      </c>
      <c r="V30" s="20">
        <f>T30-U30</f>
        <v/>
      </c>
      <c r="W30" s="163">
        <f>V30/U30</f>
        <v/>
      </c>
      <c r="X30" s="19" t="n">
        <v>-0.0068</v>
      </c>
      <c r="Y30" s="163" t="n"/>
      <c r="Z30" s="20" t="n"/>
      <c r="AA30" s="9">
        <f>S30</f>
        <v/>
      </c>
      <c r="AB30" s="215" t="n">
        <v>559496.86</v>
      </c>
      <c r="AC30" s="20">
        <f>AB31</f>
        <v/>
      </c>
      <c r="AD30" s="20">
        <f>AB30-AC30</f>
        <v/>
      </c>
      <c r="AE30" s="163">
        <f>AD30/AC30</f>
        <v/>
      </c>
      <c r="AF30" s="19" t="n">
        <v>-0.0258</v>
      </c>
      <c r="AG30" s="163" t="n"/>
      <c r="AH30" s="20" t="n"/>
      <c r="AI30" s="9">
        <f>C30</f>
        <v/>
      </c>
      <c r="AJ30" s="215" t="n">
        <v>721521.76</v>
      </c>
      <c r="AK30" s="20">
        <f>AJ31</f>
        <v/>
      </c>
      <c r="AL30" s="20">
        <f>AJ30-AK30</f>
        <v/>
      </c>
      <c r="AM30" s="163">
        <f>AL30/AK30</f>
        <v/>
      </c>
      <c r="AN30" s="19" t="n">
        <v>-0.0226</v>
      </c>
      <c r="AO30" s="19" t="n"/>
      <c r="AP30" s="20" t="n"/>
      <c r="AQ30" s="9">
        <f>C30</f>
        <v/>
      </c>
      <c r="AR30" s="242" t="n">
        <v>2130845.4936</v>
      </c>
      <c r="AS30" s="20">
        <f>AR31</f>
        <v/>
      </c>
      <c r="AT30" s="20">
        <f>AR30-AS30</f>
        <v/>
      </c>
      <c r="AU30" s="163">
        <f>AT30/AS30</f>
        <v/>
      </c>
      <c r="AV30" s="19" t="n">
        <v>-0.032</v>
      </c>
      <c r="AW30" s="19" t="n"/>
      <c r="AX30" s="5" t="n"/>
      <c r="AY30" s="5" t="n"/>
      <c r="AZ30" s="9">
        <f>C30</f>
        <v/>
      </c>
      <c r="BA30" s="242" t="n">
        <v>687891.6676</v>
      </c>
      <c r="BB30" s="24">
        <f>BA31</f>
        <v/>
      </c>
      <c r="BC30" s="5">
        <f>BA30-BB30</f>
        <v/>
      </c>
      <c r="BD30" s="19">
        <f>BC30/BB30</f>
        <v/>
      </c>
      <c r="BE30" s="19" t="n">
        <v>-0.0123</v>
      </c>
      <c r="BF30" s="19" t="n"/>
      <c r="BG30" s="647" t="n"/>
      <c r="BH30" s="9">
        <f>C30</f>
        <v/>
      </c>
      <c r="BI30" s="242" t="n">
        <v>1105426.5525</v>
      </c>
      <c r="BJ30" s="184">
        <f>BI31</f>
        <v/>
      </c>
      <c r="BK30" s="184">
        <f>BI30-BJ30</f>
        <v/>
      </c>
      <c r="BL30" s="190">
        <f>BK30/BJ30</f>
        <v/>
      </c>
      <c r="BM30" s="191" t="n">
        <v>-0.0039</v>
      </c>
      <c r="BN30" s="182" t="n"/>
      <c r="BP30" s="9">
        <f>C30</f>
        <v/>
      </c>
      <c r="BQ30" s="242" t="n">
        <v>1421062.3921</v>
      </c>
      <c r="BR30" s="13">
        <f>BQ31</f>
        <v/>
      </c>
      <c r="BS30" s="13">
        <f>BQ30-BR30</f>
        <v/>
      </c>
      <c r="BT30" s="193">
        <f>BS30/BR30</f>
        <v/>
      </c>
      <c r="BU30" s="182" t="n">
        <v>-0.022</v>
      </c>
      <c r="BV30" s="182" t="n"/>
      <c r="BX30" s="9">
        <f>C30</f>
        <v/>
      </c>
      <c r="BY30" s="242" t="n">
        <v>1589810.7019</v>
      </c>
      <c r="BZ30" s="13">
        <f>BY31</f>
        <v/>
      </c>
      <c r="CA30" s="13">
        <f>BY30-BZ30</f>
        <v/>
      </c>
      <c r="CB30" s="193">
        <f>CA30/BZ30</f>
        <v/>
      </c>
      <c r="CC30" s="182" t="n">
        <v>0.0135</v>
      </c>
      <c r="CD30" s="194" t="n"/>
      <c r="CF30" s="9">
        <f>C30</f>
        <v/>
      </c>
      <c r="CG30" s="215" t="n">
        <v>1397453.9</v>
      </c>
      <c r="CH30" s="13">
        <f>CG31</f>
        <v/>
      </c>
      <c r="CI30" s="13">
        <f>CG30-CH30</f>
        <v/>
      </c>
      <c r="CJ30" s="193">
        <f>CI30/CH30</f>
        <v/>
      </c>
      <c r="CK30" s="182" t="n">
        <v>-0.009900000000000001</v>
      </c>
      <c r="CL30" s="194" t="n"/>
      <c r="CN30" s="9">
        <f>C30</f>
        <v/>
      </c>
      <c r="CO30" s="215" t="n">
        <v>527146.48</v>
      </c>
      <c r="CP30" s="13">
        <f>CO31</f>
        <v/>
      </c>
      <c r="CQ30" s="13">
        <f>CO30-CP30</f>
        <v/>
      </c>
      <c r="CR30" s="193">
        <f>CQ30/CP30</f>
        <v/>
      </c>
      <c r="CS30" s="194" t="n">
        <v>-0.008999999999999999</v>
      </c>
      <c r="CT30" s="194" t="n"/>
      <c r="CV30" s="9">
        <f>C30</f>
        <v/>
      </c>
      <c r="CW30" s="215" t="n">
        <v>680990.4</v>
      </c>
      <c r="CX30" s="13">
        <f>CW31</f>
        <v/>
      </c>
      <c r="CY30" s="13">
        <f>CW30-CX30</f>
        <v/>
      </c>
      <c r="CZ30" s="193">
        <f>CY30/CX30</f>
        <v/>
      </c>
      <c r="DA30" s="182" t="n">
        <v>-0.0277</v>
      </c>
      <c r="DB30" s="182" t="n"/>
      <c r="DC30" s="186" t="n"/>
      <c r="DD30" s="9">
        <f>C30</f>
        <v/>
      </c>
      <c r="DE30" s="242" t="n">
        <v>6049735.9972</v>
      </c>
      <c r="DF30" s="13">
        <f>DE31</f>
        <v/>
      </c>
      <c r="DG30" s="13">
        <f>DE30-DF30</f>
        <v/>
      </c>
      <c r="DH30" s="193">
        <f>DG30/DF30</f>
        <v/>
      </c>
      <c r="DI30" s="182" t="n">
        <v>-0.0369</v>
      </c>
      <c r="DJ30" s="182" t="n"/>
      <c r="DK30" s="0" t="n"/>
      <c r="DL30" s="9">
        <f>C30</f>
        <v/>
      </c>
      <c r="DM30" s="215" t="n">
        <v>2089400.72</v>
      </c>
      <c r="DN30" s="13">
        <f>DM31</f>
        <v/>
      </c>
      <c r="DO30" s="13">
        <f>DM30-DN30</f>
        <v/>
      </c>
      <c r="DP30" s="193">
        <f>DO30/DN30</f>
        <v/>
      </c>
      <c r="DQ30" s="182" t="n">
        <v>-0.0429</v>
      </c>
      <c r="DR30" s="182" t="n"/>
      <c r="DT30" s="9">
        <f>C30</f>
        <v/>
      </c>
      <c r="DU30" s="215" t="n">
        <v>4489918.43</v>
      </c>
      <c r="DV30" s="13">
        <f>DU31</f>
        <v/>
      </c>
      <c r="DW30" s="13">
        <f>DU30-DV30</f>
        <v/>
      </c>
      <c r="DX30" s="193">
        <f>DW30/DV30</f>
        <v/>
      </c>
      <c r="DY30" s="182" t="n">
        <v>-0.0528</v>
      </c>
      <c r="DZ30" s="182" t="n"/>
      <c r="EB30" s="9">
        <f>C30</f>
        <v/>
      </c>
      <c r="EC30" s="215" t="n">
        <v>6054266.82</v>
      </c>
      <c r="ED30" s="13">
        <f>EC31</f>
        <v/>
      </c>
      <c r="EE30" s="13">
        <f>EC30-ED30</f>
        <v/>
      </c>
      <c r="EF30" s="193">
        <f>EE30/ED30</f>
        <v/>
      </c>
      <c r="EG30" s="182" t="n">
        <v>-0.0489</v>
      </c>
      <c r="EH30" s="182" t="n"/>
      <c r="EJ30" s="9">
        <f>C30</f>
        <v/>
      </c>
      <c r="EK30" s="242" t="n">
        <v>1209922.9669</v>
      </c>
      <c r="EL30" s="13">
        <f>EK31</f>
        <v/>
      </c>
      <c r="EM30" s="13">
        <f>EK30-EL30</f>
        <v/>
      </c>
      <c r="EN30" s="193">
        <f>EM30/EL30</f>
        <v/>
      </c>
      <c r="EO30" s="182" t="n">
        <v>-0.035</v>
      </c>
      <c r="EP30" s="182" t="n"/>
      <c r="ER30" s="9">
        <f>C30</f>
        <v/>
      </c>
      <c r="ES30" s="215" t="n">
        <v>761694.04</v>
      </c>
      <c r="ET30" s="13">
        <f>ES31</f>
        <v/>
      </c>
      <c r="EU30" s="13">
        <f>ES30-ET30</f>
        <v/>
      </c>
      <c r="EV30" s="193">
        <f>EU30/ET30</f>
        <v/>
      </c>
      <c r="EW30" s="182" t="n">
        <v>-0.0343</v>
      </c>
      <c r="EX30" s="182" t="n"/>
      <c r="EZ30" s="9">
        <f>C30</f>
        <v/>
      </c>
      <c r="FA30" s="215" t="n">
        <v>684108</v>
      </c>
      <c r="FB30" s="13">
        <f>FA31</f>
        <v/>
      </c>
      <c r="FC30" s="13">
        <f>FA30-FB30</f>
        <v/>
      </c>
      <c r="FD30" s="193">
        <f>FC30/FB30</f>
        <v/>
      </c>
      <c r="FE30" s="182" t="n">
        <v>-0.0054</v>
      </c>
      <c r="FF30" s="182" t="n"/>
      <c r="FG30" s="182" t="n"/>
      <c r="FH30" s="9">
        <f>C30</f>
        <v/>
      </c>
      <c r="FI30" s="242" t="n">
        <v>913095.3365</v>
      </c>
      <c r="FJ30" s="13">
        <f>FI31</f>
        <v/>
      </c>
      <c r="FK30" s="13">
        <f>FI30-FJ30</f>
        <v/>
      </c>
      <c r="FL30" s="193">
        <f>FK30/FJ30</f>
        <v/>
      </c>
      <c r="FM30" s="194" t="n">
        <v>-0.0039</v>
      </c>
      <c r="FN30" s="194" t="n"/>
      <c r="FP30" s="9">
        <f>C30</f>
        <v/>
      </c>
      <c r="FQ30" s="215" t="n">
        <v>1853968.73</v>
      </c>
      <c r="FR30" s="13">
        <f>FQ31</f>
        <v/>
      </c>
      <c r="FS30" s="13">
        <f>FQ30-FR30</f>
        <v/>
      </c>
      <c r="FT30" s="193">
        <f>FS30/FR30</f>
        <v/>
      </c>
      <c r="FU30" s="182" t="n">
        <v>-0.039</v>
      </c>
      <c r="FV30" s="182" t="n"/>
      <c r="FX30" s="9">
        <f>C30</f>
        <v/>
      </c>
      <c r="FY30" s="215" t="n">
        <v>7008982.05</v>
      </c>
      <c r="FZ30" s="13">
        <f>FY31</f>
        <v/>
      </c>
      <c r="GA30" s="13">
        <f>FY30-FZ30</f>
        <v/>
      </c>
      <c r="GB30" s="193">
        <f>GA30/FZ30</f>
        <v/>
      </c>
      <c r="GC30" s="182" t="n">
        <v>-0.0287</v>
      </c>
      <c r="GD30" s="182" t="n"/>
      <c r="GF30" s="9">
        <f>C30</f>
        <v/>
      </c>
      <c r="GG30" s="215" t="n">
        <v>3849869.49</v>
      </c>
      <c r="GH30" s="13">
        <f>GG31</f>
        <v/>
      </c>
      <c r="GI30" s="13">
        <f>GG30-GH30</f>
        <v/>
      </c>
      <c r="GJ30" s="193">
        <f>GI30/GH30</f>
        <v/>
      </c>
      <c r="GK30" s="182" t="n">
        <v>-0.0155</v>
      </c>
      <c r="GL30" s="182" t="n"/>
      <c r="GN30" s="9">
        <f>C30</f>
        <v/>
      </c>
      <c r="GO30" s="242" t="n">
        <v>1913038.1217</v>
      </c>
      <c r="GP30" s="13">
        <f>GO31</f>
        <v/>
      </c>
      <c r="GQ30" s="13">
        <f>GO30-GP30</f>
        <v/>
      </c>
      <c r="GR30" s="193">
        <f>GQ30/GP30</f>
        <v/>
      </c>
      <c r="GS30" s="182" t="n">
        <v>-0.0378</v>
      </c>
      <c r="GT30" s="182" t="n"/>
      <c r="GV30" s="9">
        <f>C30</f>
        <v/>
      </c>
      <c r="GW30" s="215" t="n">
        <v>599749.4</v>
      </c>
      <c r="GX30" s="13">
        <f>GW31</f>
        <v/>
      </c>
      <c r="GY30" s="13">
        <f>GW30-GX30</f>
        <v/>
      </c>
      <c r="GZ30" s="193">
        <f>GY30/GX30</f>
        <v/>
      </c>
      <c r="HA30" s="182" t="n">
        <v>-0.0168</v>
      </c>
      <c r="HB30" s="182" t="n"/>
      <c r="HD30" s="9">
        <f>C30</f>
        <v/>
      </c>
      <c r="HE30" s="242" t="n">
        <v>756964.6746</v>
      </c>
      <c r="HF30" s="13">
        <f>HE31</f>
        <v/>
      </c>
      <c r="HG30" s="13">
        <f>HE30-HF30</f>
        <v/>
      </c>
      <c r="HH30" s="193">
        <f>HG30/HF30</f>
        <v/>
      </c>
      <c r="HI30" s="194" t="n">
        <v>0.0035</v>
      </c>
      <c r="HJ30" s="182" t="n"/>
      <c r="HL30" s="9">
        <f>C30</f>
        <v/>
      </c>
      <c r="HM30" s="215" t="n">
        <v>109054.25</v>
      </c>
      <c r="HN30" s="195">
        <f>HM31</f>
        <v/>
      </c>
      <c r="HO30" s="195">
        <f>HM30-HN30</f>
        <v/>
      </c>
      <c r="HP30" s="196">
        <f>HO30/HN30</f>
        <v/>
      </c>
      <c r="HQ30" s="182" t="n">
        <v>-0.0028</v>
      </c>
      <c r="HR30" s="182" t="n"/>
      <c r="HT30" s="9">
        <f>C30</f>
        <v/>
      </c>
      <c r="HU30" s="242" t="n">
        <v>140768.8265</v>
      </c>
      <c r="HV30" s="13">
        <f>HU31</f>
        <v/>
      </c>
      <c r="HW30" s="13">
        <f>HU30-HV30</f>
        <v/>
      </c>
      <c r="HX30" s="193">
        <f>HW30/HV30</f>
        <v/>
      </c>
      <c r="HY30" s="182" t="n">
        <v>-0.0076</v>
      </c>
      <c r="HZ30" s="182" t="n"/>
      <c r="IB30" s="9">
        <f>C30</f>
        <v/>
      </c>
      <c r="IC30" s="215" t="n">
        <v>422934.79</v>
      </c>
      <c r="ID30" s="13">
        <f>IC31</f>
        <v/>
      </c>
      <c r="IE30" s="13">
        <f>IC30-ID30</f>
        <v/>
      </c>
      <c r="IF30" s="193">
        <f>IE30/ID30</f>
        <v/>
      </c>
      <c r="IG30" s="194" t="n">
        <v>-0.008500000000000001</v>
      </c>
      <c r="IH30" s="182" t="n"/>
      <c r="IJ30" s="9">
        <f>C30</f>
        <v/>
      </c>
      <c r="IK30" s="242" t="n">
        <v>865916.29</v>
      </c>
      <c r="IL30" s="13">
        <f>IK31</f>
        <v/>
      </c>
      <c r="IM30" s="13">
        <f>IK30-IL30</f>
        <v/>
      </c>
      <c r="IN30" s="193">
        <f>IM30/IL30</f>
        <v/>
      </c>
      <c r="IO30" s="182" t="n">
        <v>0.0184</v>
      </c>
      <c r="IP30" s="182" t="n"/>
      <c r="IR30" s="9">
        <f>C30</f>
        <v/>
      </c>
      <c r="IS30" s="215" t="n">
        <v>189789</v>
      </c>
      <c r="IT30" s="13">
        <f>IS31</f>
        <v/>
      </c>
      <c r="IU30" s="13">
        <f>IS30-IT30</f>
        <v/>
      </c>
      <c r="IV30" s="193">
        <f>IU30/IT30</f>
        <v/>
      </c>
      <c r="IW30" s="182" t="n">
        <v>-0.0281</v>
      </c>
      <c r="IX30" s="182" t="n"/>
      <c r="IZ30" s="9">
        <f>C30</f>
        <v/>
      </c>
      <c r="JA30" s="215" t="n">
        <v>5688929.15</v>
      </c>
      <c r="JB30" s="13">
        <f>JA31</f>
        <v/>
      </c>
      <c r="JC30" s="13">
        <f>JA30-JB30</f>
        <v/>
      </c>
      <c r="JD30" s="193">
        <f>JC30/JB30</f>
        <v/>
      </c>
      <c r="JE30" s="182" t="n">
        <v>-0.0185</v>
      </c>
      <c r="JF30" s="182" t="n"/>
      <c r="JH30" s="9">
        <f>C30</f>
        <v/>
      </c>
      <c r="JI30" s="215" t="n">
        <v>1163127.99</v>
      </c>
      <c r="JJ30" s="13">
        <f>JI31</f>
        <v/>
      </c>
      <c r="JK30" s="13">
        <f>JI30-JJ30</f>
        <v/>
      </c>
      <c r="JL30" s="193">
        <f>JK30/JJ30</f>
        <v/>
      </c>
      <c r="JM30" s="182" t="n">
        <v>0.007</v>
      </c>
      <c r="JN30" s="182" t="n"/>
      <c r="JO30" s="182" t="n"/>
      <c r="JP30" s="9">
        <f>C30</f>
        <v/>
      </c>
      <c r="JQ30" s="242" t="n">
        <v>1056890.4148</v>
      </c>
      <c r="JR30" s="13">
        <f>JQ31</f>
        <v/>
      </c>
      <c r="JS30" s="13">
        <f>JQ30-JR30</f>
        <v/>
      </c>
      <c r="JT30" s="193">
        <f>JS30/JR30</f>
        <v/>
      </c>
      <c r="JU30" s="182" t="n">
        <v>-0.0225</v>
      </c>
      <c r="JV30" s="182" t="n"/>
      <c r="JW30" s="194" t="n"/>
      <c r="JX30" s="9">
        <f>C30</f>
        <v/>
      </c>
      <c r="JY30" s="215" t="n">
        <v>996748.8</v>
      </c>
      <c r="JZ30" s="13">
        <f>JY31</f>
        <v/>
      </c>
      <c r="KA30" s="13">
        <f>JY30-JZ30</f>
        <v/>
      </c>
      <c r="KB30" s="193">
        <f>KA30/JZ30</f>
        <v/>
      </c>
      <c r="KC30" s="182" t="n">
        <v>-0.0233</v>
      </c>
      <c r="KD30" s="182" t="n"/>
      <c r="KE30" s="194" t="n"/>
      <c r="KF30" s="9">
        <f>C30</f>
        <v/>
      </c>
      <c r="KG30" s="242" t="n">
        <v>567155.9219</v>
      </c>
      <c r="KH30" s="13">
        <f>KG31</f>
        <v/>
      </c>
      <c r="KI30" s="13">
        <f>KG30-KH30</f>
        <v/>
      </c>
      <c r="KJ30" s="193">
        <f>KI30/KH30</f>
        <v/>
      </c>
      <c r="KK30" s="194" t="n">
        <v>-0.0291</v>
      </c>
      <c r="KL30" s="194" t="n"/>
      <c r="KN30" s="9">
        <f>C30</f>
        <v/>
      </c>
      <c r="KO30" s="215" t="n">
        <v>7234575.95</v>
      </c>
      <c r="KP30" s="13">
        <f>KO31</f>
        <v/>
      </c>
      <c r="KQ30" s="13">
        <f>KO30-KP30</f>
        <v/>
      </c>
      <c r="KR30" s="193">
        <f>KQ30/KP30</f>
        <v/>
      </c>
      <c r="KS30" s="182" t="n">
        <v>-0.0337</v>
      </c>
      <c r="KT30" s="182" t="n"/>
      <c r="KV30" s="9">
        <f>C30</f>
        <v/>
      </c>
      <c r="KW30" s="242" t="n">
        <v>1020372.9726</v>
      </c>
      <c r="KX30" s="13">
        <f>KW31</f>
        <v/>
      </c>
      <c r="KY30" s="13">
        <f>KW30-KX30</f>
        <v/>
      </c>
      <c r="KZ30" s="193">
        <f>KY30/KX30</f>
        <v/>
      </c>
      <c r="LA30" s="194" t="n">
        <v>-0.0526</v>
      </c>
      <c r="LB30" s="182" t="n"/>
      <c r="LD30" s="9">
        <f>C30</f>
        <v/>
      </c>
      <c r="LE30" s="215" t="n">
        <v>374607.7</v>
      </c>
      <c r="LF30" s="13">
        <f>LE31</f>
        <v/>
      </c>
      <c r="LG30" s="13">
        <f>LE30-LF30</f>
        <v/>
      </c>
      <c r="LH30" s="193">
        <f>LG30/LF30</f>
        <v/>
      </c>
      <c r="LI30" s="182" t="n">
        <v>-0.0197</v>
      </c>
      <c r="LJ30" s="182" t="n"/>
      <c r="LL30" s="9">
        <f>C30</f>
        <v/>
      </c>
      <c r="LM30" s="215" t="n">
        <v>3180715.02</v>
      </c>
      <c r="LN30" s="13">
        <f>LM31</f>
        <v/>
      </c>
      <c r="LO30" s="13">
        <f>LM30-LN30</f>
        <v/>
      </c>
      <c r="LP30" s="193">
        <f>LO30/LN30</f>
        <v/>
      </c>
      <c r="LQ30" s="182" t="n">
        <v>0</v>
      </c>
      <c r="LR30" s="182" t="n"/>
      <c r="LT30" s="9">
        <f>C30</f>
        <v/>
      </c>
      <c r="LU30" s="242" t="n">
        <v>2255862.904</v>
      </c>
      <c r="LV30" s="13">
        <f>LU31</f>
        <v/>
      </c>
      <c r="LW30" s="13">
        <f>LU30-LV30</f>
        <v/>
      </c>
      <c r="LX30" s="193">
        <f>LW30/LV30</f>
        <v/>
      </c>
      <c r="LY30" s="182" t="n">
        <v>-0.0076</v>
      </c>
      <c r="LZ30" s="182" t="n"/>
      <c r="MB30" s="9">
        <f>C30</f>
        <v/>
      </c>
      <c r="MC30" s="215" t="n">
        <v>785467.6899999999</v>
      </c>
      <c r="MD30" s="13">
        <f>MC31</f>
        <v/>
      </c>
      <c r="ME30" s="13">
        <f>MC30-MD30</f>
        <v/>
      </c>
      <c r="MF30" s="193">
        <f>ME30/MD30</f>
        <v/>
      </c>
      <c r="MG30" s="182" t="n">
        <v>0.0183</v>
      </c>
      <c r="MH30" s="182" t="n"/>
      <c r="MI30" s="9" t="n"/>
      <c r="MJ30" s="9" t="n"/>
      <c r="MK30" s="9">
        <f>C30</f>
        <v/>
      </c>
      <c r="ML30" s="242" t="n">
        <v>164385.5354</v>
      </c>
      <c r="MM30" s="13">
        <f>ML31</f>
        <v/>
      </c>
      <c r="MN30" s="13">
        <f>ML30-MM30</f>
        <v/>
      </c>
      <c r="MO30" s="193">
        <f>MN30/MM30</f>
        <v/>
      </c>
      <c r="MP30" s="182" t="n">
        <v>-0.0244</v>
      </c>
      <c r="MQ30" s="194" t="n"/>
      <c r="MR30" s="194" t="n"/>
      <c r="MT30" s="9">
        <f>C30</f>
        <v/>
      </c>
      <c r="MU30" s="215" t="n">
        <v>121814.8</v>
      </c>
      <c r="MV30" s="188">
        <f>MU31</f>
        <v/>
      </c>
      <c r="MW30" s="9">
        <f>MU30-MV30</f>
        <v/>
      </c>
      <c r="MX30" s="182">
        <f>MW30/MV30</f>
        <v/>
      </c>
      <c r="MY30" s="182" t="n">
        <v>0.0361</v>
      </c>
      <c r="MZ30" s="182" t="n"/>
      <c r="NA30" s="182" t="n"/>
      <c r="NC30" s="9">
        <f>C30</f>
        <v/>
      </c>
      <c r="ND30" s="215" t="n">
        <v>30691.48</v>
      </c>
      <c r="NE30" s="188">
        <f>ND31</f>
        <v/>
      </c>
      <c r="NF30" s="9">
        <f>ND30-NE30</f>
        <v/>
      </c>
      <c r="NG30" s="182">
        <f>NF30/NE30</f>
        <v/>
      </c>
      <c r="NH30" s="182" t="n">
        <v>0.0008</v>
      </c>
      <c r="NI30" s="182" t="n"/>
      <c r="NJ30" s="182" t="n"/>
      <c r="NK30" s="182" t="n"/>
      <c r="NM30" s="9">
        <f>C30</f>
        <v/>
      </c>
      <c r="NN30" s="215" t="n">
        <v>2608911.08</v>
      </c>
      <c r="NO30" s="9">
        <f>NN31</f>
        <v/>
      </c>
      <c r="NP30" s="197">
        <f>NN30-NO30</f>
        <v/>
      </c>
      <c r="NQ30" s="198">
        <f>NP30/NO30</f>
        <v/>
      </c>
      <c r="NR30" s="182" t="n">
        <v>0.0134</v>
      </c>
      <c r="NS30" s="0" t="n"/>
      <c r="NU30" s="9">
        <f>C30</f>
        <v/>
      </c>
      <c r="NV30" s="215" t="n">
        <v>224476.5</v>
      </c>
      <c r="NW30" s="188">
        <f>NV31</f>
        <v/>
      </c>
      <c r="NX30" s="197">
        <f>NV30-NW30</f>
        <v/>
      </c>
      <c r="NY30" s="198">
        <f>NX30/NW30</f>
        <v/>
      </c>
      <c r="NZ30" s="194" t="n">
        <v>-0.0011</v>
      </c>
      <c r="OA30" s="185" t="n"/>
      <c r="OC30" s="9">
        <f>C30</f>
        <v/>
      </c>
      <c r="OD30" s="215" t="n">
        <v>22188.97</v>
      </c>
      <c r="OE30" s="13">
        <f>OD31</f>
        <v/>
      </c>
      <c r="OF30" s="13">
        <f>OD30-OE30</f>
        <v/>
      </c>
      <c r="OG30" s="193">
        <f>OF30/OE30</f>
        <v/>
      </c>
      <c r="OH30" s="182" t="n">
        <v>-0.0021</v>
      </c>
      <c r="OI30" s="182" t="n"/>
      <c r="OK30" s="9">
        <f>C30</f>
        <v/>
      </c>
      <c r="OL30" s="215" t="n">
        <v>18249.65</v>
      </c>
      <c r="OM30" s="13">
        <f>OL31</f>
        <v/>
      </c>
      <c r="ON30" s="13">
        <f>OL30-OM30</f>
        <v/>
      </c>
      <c r="OO30" s="193">
        <f>ON30/OM30</f>
        <v/>
      </c>
      <c r="OP30" s="182" t="n">
        <v>-0.0005</v>
      </c>
      <c r="OQ30" s="182" t="n"/>
      <c r="OT30" s="201">
        <f>OK30</f>
        <v/>
      </c>
      <c r="OU30" s="199" t="n">
        <v>158832.4066</v>
      </c>
      <c r="OV30" s="9">
        <f>OU31</f>
        <v/>
      </c>
      <c r="OW30" s="671">
        <f>OU30-OV30</f>
        <v/>
      </c>
      <c r="OX30" s="182">
        <f>OW30/OV30</f>
        <v/>
      </c>
      <c r="OY30" s="0" t="n">
        <v>0.0013</v>
      </c>
    </row>
    <row r="31" ht="17" customFormat="1" customHeight="1" s="9">
      <c r="A31" s="631" t="n"/>
      <c r="B31" s="631" t="n"/>
      <c r="C31" s="631" t="inlineStr">
        <is>
          <t>2026//9/30</t>
        </is>
      </c>
      <c r="D31" s="215" t="n">
        <v>2411958.77</v>
      </c>
      <c r="E31" s="20">
        <f>D32</f>
        <v/>
      </c>
      <c r="F31" s="20">
        <f>D31-E31</f>
        <v/>
      </c>
      <c r="G31" s="163">
        <f>F31/E31</f>
        <v/>
      </c>
      <c r="H31" s="19" t="n">
        <v>0.0036</v>
      </c>
      <c r="I31" s="163" t="n"/>
      <c r="J31" s="163" t="n"/>
      <c r="K31" s="9">
        <f>C31</f>
        <v/>
      </c>
      <c r="L31" s="215" t="n">
        <v>1198774.4</v>
      </c>
      <c r="M31" s="20">
        <f>L32</f>
        <v/>
      </c>
      <c r="N31" s="20">
        <f>L31-M31</f>
        <v/>
      </c>
      <c r="O31" s="163">
        <f>N31/M31</f>
        <v/>
      </c>
      <c r="P31" s="19" t="n">
        <v>0.003</v>
      </c>
      <c r="Q31" s="163" t="n"/>
      <c r="R31" s="20" t="n"/>
      <c r="S31" s="9">
        <f>C31</f>
        <v/>
      </c>
      <c r="T31" s="215" t="n">
        <v>693876.6800000001</v>
      </c>
      <c r="U31" s="20">
        <f>T32</f>
        <v/>
      </c>
      <c r="V31" s="20">
        <f>T31-U31</f>
        <v/>
      </c>
      <c r="W31" s="163">
        <f>V31/U31</f>
        <v/>
      </c>
      <c r="X31" s="19" t="n">
        <v>0.0055</v>
      </c>
      <c r="Y31" s="163" t="n"/>
      <c r="Z31" s="20" t="n"/>
      <c r="AA31" s="9">
        <f>S31</f>
        <v/>
      </c>
      <c r="AB31" s="215" t="n">
        <v>561136.86</v>
      </c>
      <c r="AC31" s="20">
        <f>AB32</f>
        <v/>
      </c>
      <c r="AD31" s="20">
        <f>AB31-AC31</f>
        <v/>
      </c>
      <c r="AE31" s="163">
        <f>AD31/AC31</f>
        <v/>
      </c>
      <c r="AF31" s="19" t="n">
        <v>-0.0005</v>
      </c>
      <c r="AG31" s="163" t="n"/>
      <c r="AH31" s="20" t="n"/>
      <c r="AI31" s="9">
        <f>C31</f>
        <v/>
      </c>
      <c r="AJ31" s="215" t="n">
        <v>695121.76</v>
      </c>
      <c r="AK31" s="20">
        <f>AJ32</f>
        <v/>
      </c>
      <c r="AL31" s="20">
        <f>AJ31-AK31</f>
        <v/>
      </c>
      <c r="AM31" s="163">
        <f>AL31/AK31</f>
        <v/>
      </c>
      <c r="AN31" s="19" t="n">
        <v>-0.003</v>
      </c>
      <c r="AO31" s="19" t="n"/>
      <c r="AP31" s="20" t="n"/>
      <c r="AQ31" s="9">
        <f>C31</f>
        <v/>
      </c>
      <c r="AR31" s="242" t="n">
        <v>2060945.4936</v>
      </c>
      <c r="AS31" s="20">
        <f>AR32</f>
        <v/>
      </c>
      <c r="AT31" s="20">
        <f>AR31-AS31</f>
        <v/>
      </c>
      <c r="AU31" s="163">
        <f>AT31/AS31</f>
        <v/>
      </c>
      <c r="AV31" s="19" t="n">
        <v>-0.0025</v>
      </c>
      <c r="AW31" s="19" t="n"/>
      <c r="AX31" s="5" t="n"/>
      <c r="AY31" s="5" t="n"/>
      <c r="AZ31" s="9">
        <f>C31</f>
        <v/>
      </c>
      <c r="BA31" s="242" t="n">
        <v>686631.6676</v>
      </c>
      <c r="BB31" s="24">
        <f>BA32</f>
        <v/>
      </c>
      <c r="BC31" s="5">
        <f>BA31-BB31</f>
        <v/>
      </c>
      <c r="BD31" s="19">
        <f>BC31/BB31</f>
        <v/>
      </c>
      <c r="BE31" s="19" t="n">
        <v>0.0035</v>
      </c>
      <c r="BF31" s="19" t="n"/>
      <c r="BG31" s="647" t="n"/>
      <c r="BH31" s="9">
        <f>C31</f>
        <v/>
      </c>
      <c r="BI31" s="242" t="n">
        <v>1107526.5525</v>
      </c>
      <c r="BJ31" s="184">
        <f>BI32</f>
        <v/>
      </c>
      <c r="BK31" s="184">
        <f>BI31-BJ31</f>
        <v/>
      </c>
      <c r="BL31" s="190">
        <f>BK31/BJ31</f>
        <v/>
      </c>
      <c r="BM31" s="191" t="n">
        <v>-0.0005999999999999999</v>
      </c>
      <c r="BN31" s="182" t="n"/>
      <c r="BP31" s="9">
        <f>C31</f>
        <v/>
      </c>
      <c r="BQ31" s="242" t="n">
        <v>1417362.3921</v>
      </c>
      <c r="BR31" s="13">
        <f>BQ32</f>
        <v/>
      </c>
      <c r="BS31" s="13">
        <f>BQ31-BR31</f>
        <v/>
      </c>
      <c r="BT31" s="193">
        <f>BS31/BR31</f>
        <v/>
      </c>
      <c r="BU31" s="182" t="n">
        <v>-0.0094</v>
      </c>
      <c r="BV31" s="182" t="n"/>
      <c r="BX31" s="9">
        <f>C31</f>
        <v/>
      </c>
      <c r="BY31" s="242" t="n">
        <v>1608760.7019</v>
      </c>
      <c r="BZ31" s="13">
        <f>BY32</f>
        <v/>
      </c>
      <c r="CA31" s="13">
        <f>BY31-BZ31</f>
        <v/>
      </c>
      <c r="CB31" s="193">
        <f>CA31/BZ31</f>
        <v/>
      </c>
      <c r="CC31" s="182" t="n">
        <v>0.0068</v>
      </c>
      <c r="CD31" s="194" t="n"/>
      <c r="CF31" s="9">
        <f>C31</f>
        <v/>
      </c>
      <c r="CG31" s="215" t="n">
        <v>1402253.9</v>
      </c>
      <c r="CH31" s="13">
        <f>CG32</f>
        <v/>
      </c>
      <c r="CI31" s="13">
        <f>CG31-CH31</f>
        <v/>
      </c>
      <c r="CJ31" s="193">
        <f>CI31/CH31</f>
        <v/>
      </c>
      <c r="CK31" s="182" t="n">
        <v>0.0012</v>
      </c>
      <c r="CL31" s="194" t="n"/>
      <c r="CN31" s="9">
        <f>C31</f>
        <v/>
      </c>
      <c r="CO31" s="215" t="n">
        <v>528746.48</v>
      </c>
      <c r="CP31" s="13">
        <f>CO32</f>
        <v/>
      </c>
      <c r="CQ31" s="13">
        <f>CO31-CP31</f>
        <v/>
      </c>
      <c r="CR31" s="193">
        <f>CQ31/CP31</f>
        <v/>
      </c>
      <c r="CS31" s="194" t="n">
        <v>0.0036</v>
      </c>
      <c r="CT31" s="194" t="n"/>
      <c r="CV31" s="9">
        <f>C31</f>
        <v/>
      </c>
      <c r="CW31" s="215" t="n">
        <v>680940.4</v>
      </c>
      <c r="CX31" s="13">
        <f>CW32</f>
        <v/>
      </c>
      <c r="CY31" s="13">
        <f>CW31-CX31</f>
        <v/>
      </c>
      <c r="CZ31" s="193">
        <f>CY31/CX31</f>
        <v/>
      </c>
      <c r="DA31" s="182" t="n">
        <v>0.0168</v>
      </c>
      <c r="DB31" s="182" t="n"/>
      <c r="DC31" s="186" t="n"/>
      <c r="DD31" s="9">
        <f>C31</f>
        <v/>
      </c>
      <c r="DE31" s="242" t="n">
        <v>6062935.9972</v>
      </c>
      <c r="DF31" s="13">
        <f>DE32</f>
        <v/>
      </c>
      <c r="DG31" s="13">
        <f>DE31-DF31</f>
        <v/>
      </c>
      <c r="DH31" s="193">
        <f>DG31/DF31</f>
        <v/>
      </c>
      <c r="DI31" s="182" t="n">
        <v>-0.0298</v>
      </c>
      <c r="DJ31" s="182" t="n"/>
      <c r="DK31" s="0" t="n"/>
      <c r="DL31" s="9">
        <f>C31</f>
        <v/>
      </c>
      <c r="DM31" s="215" t="n">
        <v>2017000.72</v>
      </c>
      <c r="DN31" s="13">
        <f>DM32</f>
        <v/>
      </c>
      <c r="DO31" s="13">
        <f>DM31-DN31</f>
        <v/>
      </c>
      <c r="DP31" s="193">
        <f>DO31/DN31</f>
        <v/>
      </c>
      <c r="DQ31" s="182" t="n">
        <v>-0.0305</v>
      </c>
      <c r="DR31" s="182" t="n"/>
      <c r="DT31" s="9">
        <f>C31</f>
        <v/>
      </c>
      <c r="DU31" s="215" t="n">
        <v>4405768.43</v>
      </c>
      <c r="DV31" s="13">
        <f>DU32</f>
        <v/>
      </c>
      <c r="DW31" s="13">
        <f>DU31-DV31</f>
        <v/>
      </c>
      <c r="DX31" s="193">
        <f>DW31/DV31</f>
        <v/>
      </c>
      <c r="DY31" s="182" t="n">
        <v>-0.034</v>
      </c>
      <c r="DZ31" s="182" t="n"/>
      <c r="EB31" s="9">
        <f>C31</f>
        <v/>
      </c>
      <c r="EC31" s="215" t="n">
        <v>5823866.82</v>
      </c>
      <c r="ED31" s="13">
        <f>EC32</f>
        <v/>
      </c>
      <c r="EE31" s="13">
        <f>EC31-ED31</f>
        <v/>
      </c>
      <c r="EF31" s="193">
        <f>EE31/ED31</f>
        <v/>
      </c>
      <c r="EG31" s="182" t="n">
        <v>-0.0247</v>
      </c>
      <c r="EH31" s="182" t="n"/>
      <c r="EJ31" s="9">
        <f>C31</f>
        <v/>
      </c>
      <c r="EK31" s="242" t="n">
        <v>1173522.9669</v>
      </c>
      <c r="EL31" s="13">
        <f>EK32</f>
        <v/>
      </c>
      <c r="EM31" s="13">
        <f>EK31-EL31</f>
        <v/>
      </c>
      <c r="EN31" s="193">
        <f>EM31/EL31</f>
        <v/>
      </c>
      <c r="EO31" s="182" t="n">
        <v>-0.0154</v>
      </c>
      <c r="EP31" s="182" t="n"/>
      <c r="ER31" s="9">
        <f>C31</f>
        <v/>
      </c>
      <c r="ES31" s="215" t="n">
        <v>756894.04</v>
      </c>
      <c r="ET31" s="13">
        <f>ES32</f>
        <v/>
      </c>
      <c r="EU31" s="13">
        <f>ES31-ET31</f>
        <v/>
      </c>
      <c r="EV31" s="193">
        <f>EU31/ET31</f>
        <v/>
      </c>
      <c r="EW31" s="182" t="n">
        <v>-0.0159</v>
      </c>
      <c r="EX31" s="182" t="n"/>
      <c r="EZ31" s="9">
        <f>C31</f>
        <v/>
      </c>
      <c r="FA31" s="215" t="n">
        <v>683008</v>
      </c>
      <c r="FB31" s="13">
        <f>FA32</f>
        <v/>
      </c>
      <c r="FC31" s="13">
        <f>FA31-FB31</f>
        <v/>
      </c>
      <c r="FD31" s="193">
        <f>FC31/FB31</f>
        <v/>
      </c>
      <c r="FE31" s="182" t="n">
        <v>-0.0009</v>
      </c>
      <c r="FF31" s="182" t="n"/>
      <c r="FG31" s="182" t="n"/>
      <c r="FH31" s="9">
        <f>C31</f>
        <v/>
      </c>
      <c r="FI31" s="242" t="n">
        <v>909795.3365</v>
      </c>
      <c r="FJ31" s="13">
        <f>FI32</f>
        <v/>
      </c>
      <c r="FK31" s="13">
        <f>FI31-FJ31</f>
        <v/>
      </c>
      <c r="FL31" s="193">
        <f>FK31/FJ31</f>
        <v/>
      </c>
      <c r="FM31" s="194" t="n">
        <v>-0.0123</v>
      </c>
      <c r="FN31" s="194" t="n"/>
      <c r="FP31" s="9">
        <f>C31</f>
        <v/>
      </c>
      <c r="FQ31" s="215" t="n">
        <v>1830568.73</v>
      </c>
      <c r="FR31" s="13">
        <f>FQ32</f>
        <v/>
      </c>
      <c r="FS31" s="13">
        <f>FQ31-FR31</f>
        <v/>
      </c>
      <c r="FT31" s="193">
        <f>FS31/FR31</f>
        <v/>
      </c>
      <c r="FU31" s="182" t="n">
        <v>-0.0033</v>
      </c>
      <c r="FV31" s="182" t="n"/>
      <c r="FX31" s="9">
        <f>C31</f>
        <v/>
      </c>
      <c r="FY31" s="215" t="n">
        <v>6977982.05</v>
      </c>
      <c r="FZ31" s="13">
        <f>FY32</f>
        <v/>
      </c>
      <c r="GA31" s="13">
        <f>FY31-FZ31</f>
        <v/>
      </c>
      <c r="GB31" s="193">
        <f>GA31/FZ31</f>
        <v/>
      </c>
      <c r="GC31" s="182" t="n">
        <v>0.0295</v>
      </c>
      <c r="GD31" s="182" t="n"/>
      <c r="GF31" s="9">
        <f>C31</f>
        <v/>
      </c>
      <c r="GG31" s="215" t="n">
        <v>3848069.49</v>
      </c>
      <c r="GH31" s="13">
        <f>GG32</f>
        <v/>
      </c>
      <c r="GI31" s="13">
        <f>GG31-GH31</f>
        <v/>
      </c>
      <c r="GJ31" s="193">
        <f>GI31/GH31</f>
        <v/>
      </c>
      <c r="GK31" s="182" t="n">
        <v>0.0292</v>
      </c>
      <c r="GL31" s="182" t="n"/>
      <c r="GN31" s="9">
        <f>C31</f>
        <v/>
      </c>
      <c r="GO31" s="242" t="n">
        <v>1881658.1217</v>
      </c>
      <c r="GP31" s="13">
        <f>GO32</f>
        <v/>
      </c>
      <c r="GQ31" s="13">
        <f>GO31-GP31</f>
        <v/>
      </c>
      <c r="GR31" s="193">
        <f>GQ31/GP31</f>
        <v/>
      </c>
      <c r="GS31" s="182" t="n">
        <v>0.0332</v>
      </c>
      <c r="GT31" s="182" t="n"/>
      <c r="GV31" s="9">
        <f>C31</f>
        <v/>
      </c>
      <c r="GW31" s="215" t="n">
        <v>600749.4</v>
      </c>
      <c r="GX31" s="13">
        <f>GW32</f>
        <v/>
      </c>
      <c r="GY31" s="13">
        <f>GW31-GX31</f>
        <v/>
      </c>
      <c r="GZ31" s="193">
        <f>GY31/GX31</f>
        <v/>
      </c>
      <c r="HA31" s="182" t="n">
        <v>0.0052</v>
      </c>
      <c r="HB31" s="182" t="n"/>
      <c r="HD31" s="9">
        <f>C31</f>
        <v/>
      </c>
      <c r="HE31" s="242" t="n">
        <v>756364.6746</v>
      </c>
      <c r="HF31" s="13">
        <f>HE32</f>
        <v/>
      </c>
      <c r="HG31" s="13">
        <f>HE31-HF31</f>
        <v/>
      </c>
      <c r="HH31" s="193">
        <f>HG31/HF31</f>
        <v/>
      </c>
      <c r="HI31" s="194" t="n">
        <v>0.0107</v>
      </c>
      <c r="HJ31" s="182" t="n"/>
      <c r="HL31" s="9">
        <f>C31</f>
        <v/>
      </c>
      <c r="HM31" s="215" t="n">
        <v>108754.25</v>
      </c>
      <c r="HN31" s="195">
        <f>HM32</f>
        <v/>
      </c>
      <c r="HO31" s="195">
        <f>HM31-HN31</f>
        <v/>
      </c>
      <c r="HP31" s="196">
        <f>HO31/HN31</f>
        <v/>
      </c>
      <c r="HQ31" s="182" t="n">
        <v>0.0047</v>
      </c>
      <c r="HR31" s="182" t="n"/>
      <c r="HT31" s="9">
        <f>C31</f>
        <v/>
      </c>
      <c r="HU31" s="242" t="n">
        <v>141968.8265</v>
      </c>
      <c r="HV31" s="13">
        <f>HU32</f>
        <v/>
      </c>
      <c r="HW31" s="13">
        <f>HU31-HV31</f>
        <v/>
      </c>
      <c r="HX31" s="193">
        <f>HW31/HV31</f>
        <v/>
      </c>
      <c r="HY31" s="182" t="n">
        <v>0.0154</v>
      </c>
      <c r="HZ31" s="182" t="n"/>
      <c r="IB31" s="9">
        <f>C31</f>
        <v/>
      </c>
      <c r="IC31" s="215" t="n">
        <v>411959.79</v>
      </c>
      <c r="ID31" s="13">
        <f>IC32</f>
        <v/>
      </c>
      <c r="IE31" s="13">
        <f>IC31-ID31</f>
        <v/>
      </c>
      <c r="IF31" s="193">
        <f>IE31/ID31</f>
        <v/>
      </c>
      <c r="IG31" s="194" t="n">
        <v>0.0023</v>
      </c>
      <c r="IH31" s="182" t="n"/>
      <c r="IJ31" s="9">
        <f>C31</f>
        <v/>
      </c>
      <c r="IK31" s="242" t="n">
        <v>874556.29</v>
      </c>
      <c r="IL31" s="13">
        <f>IK32</f>
        <v/>
      </c>
      <c r="IM31" s="13">
        <f>IK31-IL31</f>
        <v/>
      </c>
      <c r="IN31" s="193">
        <f>IM31/IL31</f>
        <v/>
      </c>
      <c r="IO31" s="182" t="n">
        <v>0.0058</v>
      </c>
      <c r="IP31" s="182" t="n"/>
      <c r="IR31" s="9">
        <f>C31</f>
        <v/>
      </c>
      <c r="IS31" s="215" t="n">
        <v>189089</v>
      </c>
      <c r="IT31" s="13">
        <f>IS32</f>
        <v/>
      </c>
      <c r="IU31" s="13">
        <f>IS31-IT31</f>
        <v/>
      </c>
      <c r="IV31" s="193">
        <f>IU31/IT31</f>
        <v/>
      </c>
      <c r="IW31" s="182" t="n">
        <v>-0.0095</v>
      </c>
      <c r="IX31" s="182" t="n"/>
      <c r="IZ31" s="9">
        <f>C31</f>
        <v/>
      </c>
      <c r="JA31" s="215" t="n">
        <v>5663229.15</v>
      </c>
      <c r="JB31" s="13">
        <f>JA32</f>
        <v/>
      </c>
      <c r="JC31" s="13">
        <f>JA31-JB31</f>
        <v/>
      </c>
      <c r="JD31" s="193">
        <f>JC31/JB31</f>
        <v/>
      </c>
      <c r="JE31" s="182" t="n">
        <v>0.0039</v>
      </c>
      <c r="JF31" s="182" t="n"/>
      <c r="JH31" s="9">
        <f>C31</f>
        <v/>
      </c>
      <c r="JI31" s="215" t="n">
        <v>1166907.99</v>
      </c>
      <c r="JJ31" s="13">
        <f>JI32</f>
        <v/>
      </c>
      <c r="JK31" s="13">
        <f>JI31-JJ31</f>
        <v/>
      </c>
      <c r="JL31" s="193">
        <f>JK31/JJ31</f>
        <v/>
      </c>
      <c r="JM31" s="182" t="n">
        <v>0.0143</v>
      </c>
      <c r="JN31" s="182" t="n"/>
      <c r="JO31" s="182" t="n"/>
      <c r="JP31" s="9">
        <f>C31</f>
        <v/>
      </c>
      <c r="JQ31" s="242" t="n">
        <v>1052890.4148</v>
      </c>
      <c r="JR31" s="13">
        <f>JQ32</f>
        <v/>
      </c>
      <c r="JS31" s="13">
        <f>JQ31-JR31</f>
        <v/>
      </c>
      <c r="JT31" s="193">
        <f>JS31/JR31</f>
        <v/>
      </c>
      <c r="JU31" s="182" t="n">
        <v>-0.0103</v>
      </c>
      <c r="JV31" s="182" t="n"/>
      <c r="JW31" s="194" t="n"/>
      <c r="JX31" s="9">
        <f>C31</f>
        <v/>
      </c>
      <c r="JY31" s="215" t="n">
        <v>997098.8</v>
      </c>
      <c r="JZ31" s="13">
        <f>JY32</f>
        <v/>
      </c>
      <c r="KA31" s="13">
        <f>JY31-JZ31</f>
        <v/>
      </c>
      <c r="KB31" s="193">
        <f>KA31/JZ31</f>
        <v/>
      </c>
      <c r="KC31" s="182" t="n">
        <v>0.0046</v>
      </c>
      <c r="KD31" s="182" t="n"/>
      <c r="KE31" s="194" t="n"/>
      <c r="KF31" s="9">
        <f>C31</f>
        <v/>
      </c>
      <c r="KG31" s="242" t="n">
        <v>567155.9219</v>
      </c>
      <c r="KH31" s="13">
        <f>KG32</f>
        <v/>
      </c>
      <c r="KI31" s="13">
        <f>KG31-KH31</f>
        <v/>
      </c>
      <c r="KJ31" s="193">
        <f>KI31/KH31</f>
        <v/>
      </c>
      <c r="KK31" s="194" t="n">
        <v>0.0007</v>
      </c>
      <c r="KL31" s="194" t="n"/>
      <c r="KN31" s="9">
        <f>C31</f>
        <v/>
      </c>
      <c r="KO31" s="215" t="n">
        <v>7136475.95</v>
      </c>
      <c r="KP31" s="13">
        <f>KO32</f>
        <v/>
      </c>
      <c r="KQ31" s="13">
        <f>KO31-KP31</f>
        <v/>
      </c>
      <c r="KR31" s="193">
        <f>KQ31/KP31</f>
        <v/>
      </c>
      <c r="KS31" s="182" t="n">
        <v>-0.0037</v>
      </c>
      <c r="KT31" s="182" t="n"/>
      <c r="KV31" s="9">
        <f>C31</f>
        <v/>
      </c>
      <c r="KW31" s="242" t="n">
        <v>1015172.9726</v>
      </c>
      <c r="KX31" s="13">
        <f>KW32</f>
        <v/>
      </c>
      <c r="KY31" s="13">
        <f>KW31-KX31</f>
        <v/>
      </c>
      <c r="KZ31" s="193">
        <f>KY31/KX31</f>
        <v/>
      </c>
      <c r="LA31" s="194" t="n">
        <v>0.027</v>
      </c>
      <c r="LB31" s="182" t="n"/>
      <c r="LD31" s="9">
        <f>C31</f>
        <v/>
      </c>
      <c r="LE31" s="215" t="n">
        <v>375007.7</v>
      </c>
      <c r="LF31" s="13">
        <f>LE32</f>
        <v/>
      </c>
      <c r="LG31" s="13">
        <f>LE31-LF31</f>
        <v/>
      </c>
      <c r="LH31" s="193">
        <f>LG31/LF31</f>
        <v/>
      </c>
      <c r="LI31" s="182" t="n">
        <v>-0.0032</v>
      </c>
      <c r="LJ31" s="182" t="n"/>
      <c r="LL31" s="9">
        <f>C31</f>
        <v/>
      </c>
      <c r="LM31" s="215" t="n">
        <v>3178195.02</v>
      </c>
      <c r="LN31" s="13">
        <f>LM32</f>
        <v/>
      </c>
      <c r="LO31" s="13">
        <f>LM31-LN31</f>
        <v/>
      </c>
      <c r="LP31" s="193">
        <f>LO31/LN31</f>
        <v/>
      </c>
      <c r="LQ31" s="182" t="n">
        <v>0.0296</v>
      </c>
      <c r="LR31" s="182" t="n"/>
      <c r="LT31" s="9">
        <f>C31</f>
        <v/>
      </c>
      <c r="LU31" s="242" t="n">
        <v>2260062.904</v>
      </c>
      <c r="LV31" s="13">
        <f>LU32</f>
        <v/>
      </c>
      <c r="LW31" s="13">
        <f>LU31-LV31</f>
        <v/>
      </c>
      <c r="LX31" s="193">
        <f>LW31/LV31</f>
        <v/>
      </c>
      <c r="LY31" s="182" t="n">
        <v>0.017</v>
      </c>
      <c r="LZ31" s="182" t="n"/>
      <c r="MB31" s="9">
        <f>C31</f>
        <v/>
      </c>
      <c r="MC31" s="215" t="n">
        <v>783667.6899999999</v>
      </c>
      <c r="MD31" s="13">
        <f>MC32</f>
        <v/>
      </c>
      <c r="ME31" s="13">
        <f>MC31-MD31</f>
        <v/>
      </c>
      <c r="MF31" s="193">
        <f>ME31/MD31</f>
        <v/>
      </c>
      <c r="MG31" s="182" t="n">
        <v>0.008800000000000001</v>
      </c>
      <c r="MH31" s="182" t="n"/>
      <c r="MI31" s="9" t="n"/>
      <c r="MJ31" s="9" t="n"/>
      <c r="MK31" s="9">
        <f>C31</f>
        <v/>
      </c>
      <c r="ML31" s="242" t="n">
        <v>166545.5354</v>
      </c>
      <c r="MM31" s="13">
        <f>ML32</f>
        <v/>
      </c>
      <c r="MN31" s="13">
        <f>ML31-MM31</f>
        <v/>
      </c>
      <c r="MO31" s="193">
        <f>MN31/MM31</f>
        <v/>
      </c>
      <c r="MP31" s="182" t="n">
        <v>-0.009900000000000001</v>
      </c>
      <c r="MQ31" s="194" t="n"/>
      <c r="MR31" s="194" t="n"/>
      <c r="MT31" s="9">
        <f>C31</f>
        <v/>
      </c>
      <c r="MU31" s="215" t="n">
        <v>119014.8</v>
      </c>
      <c r="MV31" s="188">
        <f>MU32</f>
        <v/>
      </c>
      <c r="MW31" s="9">
        <f>MU31-MV31</f>
        <v/>
      </c>
      <c r="MX31" s="182">
        <f>MW31/MV31</f>
        <v/>
      </c>
      <c r="MY31" s="182" t="n">
        <v>0.008399999999999999</v>
      </c>
      <c r="MZ31" s="182" t="n"/>
      <c r="NA31" s="182" t="n"/>
      <c r="NC31" s="9">
        <f>C31</f>
        <v/>
      </c>
      <c r="ND31" s="215" t="n">
        <v>30691.48</v>
      </c>
      <c r="NE31" s="188">
        <f>ND32</f>
        <v/>
      </c>
      <c r="NF31" s="9">
        <f>ND31-NE31</f>
        <v/>
      </c>
      <c r="NG31" s="182">
        <f>NF31/NE31</f>
        <v/>
      </c>
      <c r="NH31" s="182" t="n">
        <v>0.0054</v>
      </c>
      <c r="NI31" s="182" t="n"/>
      <c r="NJ31" s="182" t="n"/>
      <c r="NK31" s="182" t="n"/>
      <c r="NM31" s="9">
        <f>C31</f>
        <v/>
      </c>
      <c r="NN31" s="215" t="n">
        <v>2613211.08</v>
      </c>
      <c r="NO31" s="9">
        <f>NN32</f>
        <v/>
      </c>
      <c r="NP31" s="197">
        <f>NN31-NO31</f>
        <v/>
      </c>
      <c r="NQ31" s="198">
        <f>NP31/NO31</f>
        <v/>
      </c>
      <c r="NR31" s="182" t="n">
        <v>0.0136</v>
      </c>
      <c r="NS31" s="0" t="n"/>
      <c r="NU31" s="9">
        <f>C31</f>
        <v/>
      </c>
      <c r="NV31" s="215" t="n">
        <v>226176.5</v>
      </c>
      <c r="NW31" s="188">
        <f>NV32</f>
        <v/>
      </c>
      <c r="NX31" s="197">
        <f>NV31-NW31</f>
        <v/>
      </c>
      <c r="NY31" s="198">
        <f>NX31/NW31</f>
        <v/>
      </c>
      <c r="NZ31" s="194" t="n">
        <v>0.0196</v>
      </c>
      <c r="OA31" s="185" t="n"/>
      <c r="OC31" s="9">
        <f>C31</f>
        <v/>
      </c>
      <c r="OD31" s="215" t="n">
        <v>22184.97</v>
      </c>
      <c r="OE31" s="13">
        <f>OD32</f>
        <v/>
      </c>
      <c r="OF31" s="13">
        <f>OD31-OE31</f>
        <v/>
      </c>
      <c r="OG31" s="193">
        <f>OF31/OE31</f>
        <v/>
      </c>
      <c r="OH31" s="182" t="n">
        <v>-0.004</v>
      </c>
      <c r="OI31" s="182" t="n"/>
      <c r="OK31" s="9">
        <f>C31</f>
        <v/>
      </c>
      <c r="OL31" s="215" t="n">
        <v>18253.65</v>
      </c>
      <c r="OM31" s="13">
        <f>OL32</f>
        <v/>
      </c>
      <c r="ON31" s="13">
        <f>OL31-OM31</f>
        <v/>
      </c>
      <c r="OO31" s="193">
        <f>ON31/OM31</f>
        <v/>
      </c>
      <c r="OP31" s="182" t="n">
        <v>-0.0007</v>
      </c>
      <c r="OQ31" s="182" t="n"/>
      <c r="OT31" s="201">
        <f>OK31</f>
        <v/>
      </c>
      <c r="OU31" s="199" t="n">
        <v>158712.4066</v>
      </c>
      <c r="OV31" s="9">
        <f>OU32</f>
        <v/>
      </c>
      <c r="OW31" s="671">
        <f>OU31-OV31</f>
        <v/>
      </c>
      <c r="OX31" s="182">
        <f>OW31/OV31</f>
        <v/>
      </c>
      <c r="OY31" s="0" t="n">
        <v>0.0022</v>
      </c>
    </row>
    <row r="32" ht="17" customFormat="1" customHeight="1" s="9">
      <c r="A32" s="631" t="n"/>
      <c r="B32" s="631" t="n"/>
      <c r="C32" s="631" t="inlineStr">
        <is>
          <t>2026//9/29</t>
        </is>
      </c>
      <c r="D32" s="215" t="n">
        <v>2416458.77</v>
      </c>
      <c r="E32" s="20">
        <f>D33</f>
        <v/>
      </c>
      <c r="F32" s="20">
        <f>D32-E32</f>
        <v/>
      </c>
      <c r="G32" s="163">
        <f>F32/E32</f>
        <v/>
      </c>
      <c r="H32" s="19" t="n">
        <v>-0.0002</v>
      </c>
      <c r="I32" s="163" t="n"/>
      <c r="J32" s="163" t="n"/>
      <c r="K32" s="9">
        <f>C32</f>
        <v/>
      </c>
      <c r="L32" s="215" t="n">
        <v>1186714.4</v>
      </c>
      <c r="M32" s="20">
        <f>L33</f>
        <v/>
      </c>
      <c r="N32" s="20">
        <f>L32-M32</f>
        <v/>
      </c>
      <c r="O32" s="163">
        <f>N32/M32</f>
        <v/>
      </c>
      <c r="P32" s="19" t="n">
        <v>0.0009</v>
      </c>
      <c r="Q32" s="163" t="n"/>
      <c r="R32" s="20" t="n"/>
      <c r="S32" s="9">
        <f>C32</f>
        <v/>
      </c>
      <c r="T32" s="215" t="n">
        <v>724836.6800000001</v>
      </c>
      <c r="U32" s="20">
        <f>T33</f>
        <v/>
      </c>
      <c r="V32" s="20">
        <f>T32-U32</f>
        <v/>
      </c>
      <c r="W32" s="163">
        <f>V32/U32</f>
        <v/>
      </c>
      <c r="X32" s="19" t="n">
        <v>0</v>
      </c>
      <c r="Y32" s="163" t="n"/>
      <c r="Z32" s="20" t="n"/>
      <c r="AA32" s="9">
        <f>S32</f>
        <v/>
      </c>
      <c r="AB32" s="215" t="n">
        <v>561376.86</v>
      </c>
      <c r="AC32" s="20">
        <f>AB33</f>
        <v/>
      </c>
      <c r="AD32" s="20">
        <f>AB32-AC32</f>
        <v/>
      </c>
      <c r="AE32" s="163">
        <f>AD32/AC32</f>
        <v/>
      </c>
      <c r="AF32" s="19" t="n">
        <v>0.0048</v>
      </c>
      <c r="AG32" s="163" t="n"/>
      <c r="AH32" s="20" t="n"/>
      <c r="AI32" s="9">
        <f>C32</f>
        <v/>
      </c>
      <c r="AJ32" s="215" t="n">
        <v>697521.76</v>
      </c>
      <c r="AK32" s="20">
        <f>AJ33</f>
        <v/>
      </c>
      <c r="AL32" s="20">
        <f>AJ32-AK32</f>
        <v/>
      </c>
      <c r="AM32" s="163">
        <f>AL32/AK32</f>
        <v/>
      </c>
      <c r="AN32" s="19" t="n">
        <v>0.004</v>
      </c>
      <c r="AO32" s="19" t="n"/>
      <c r="AP32" s="20" t="n"/>
      <c r="AQ32" s="9">
        <f>C32</f>
        <v/>
      </c>
      <c r="AR32" s="242" t="n">
        <v>2073045.4936</v>
      </c>
      <c r="AS32" s="20">
        <f>AR33</f>
        <v/>
      </c>
      <c r="AT32" s="20">
        <f>AR32-AS32</f>
        <v/>
      </c>
      <c r="AU32" s="163">
        <f>AT32/AS32</f>
        <v/>
      </c>
      <c r="AV32" s="19" t="n">
        <v>0.0009</v>
      </c>
      <c r="AW32" s="19" t="n"/>
      <c r="AX32" s="5" t="n"/>
      <c r="AY32" s="5" t="n"/>
      <c r="AZ32" s="9">
        <f>C32</f>
        <v/>
      </c>
      <c r="BA32" s="242" t="n">
        <v>661881.6676</v>
      </c>
      <c r="BB32" s="24">
        <f>BA33</f>
        <v/>
      </c>
      <c r="BC32" s="5">
        <f>BA32-BB32</f>
        <v/>
      </c>
      <c r="BD32" s="19">
        <f>BC32/BB32</f>
        <v/>
      </c>
      <c r="BE32" s="19" t="n">
        <v>0.0013</v>
      </c>
      <c r="BF32" s="19" t="n"/>
      <c r="BG32" s="647" t="n"/>
      <c r="BH32" s="9">
        <f>C32</f>
        <v/>
      </c>
      <c r="BI32" s="242" t="n">
        <v>1106826.5525</v>
      </c>
      <c r="BJ32" s="184">
        <f>BI33</f>
        <v/>
      </c>
      <c r="BK32" s="184">
        <f>BI32-BJ32</f>
        <v/>
      </c>
      <c r="BL32" s="190">
        <f>BK32/BJ32</f>
        <v/>
      </c>
      <c r="BM32" s="191" t="n">
        <v>-0.0019</v>
      </c>
      <c r="BN32" s="182" t="n"/>
      <c r="BP32" s="9">
        <f>C32</f>
        <v/>
      </c>
      <c r="BQ32" s="242" t="n">
        <v>1398962.3921</v>
      </c>
      <c r="BR32" s="13">
        <f>BQ33</f>
        <v/>
      </c>
      <c r="BS32" s="13">
        <f>BQ32-BR32</f>
        <v/>
      </c>
      <c r="BT32" s="193">
        <f>BS32/BR32</f>
        <v/>
      </c>
      <c r="BU32" s="182" t="n">
        <v>0.0063</v>
      </c>
      <c r="BV32" s="182" t="n"/>
      <c r="BX32" s="9">
        <f>C32</f>
        <v/>
      </c>
      <c r="BY32" s="242" t="n">
        <v>1610310.7019</v>
      </c>
      <c r="BZ32" s="13">
        <f>BY33</f>
        <v/>
      </c>
      <c r="CA32" s="13">
        <f>BY32-BZ32</f>
        <v/>
      </c>
      <c r="CB32" s="193">
        <f>CA32/BZ32</f>
        <v/>
      </c>
      <c r="CC32" s="182" t="n">
        <v>-0.0094</v>
      </c>
      <c r="CD32" s="194" t="n"/>
      <c r="CF32" s="9">
        <f>C32</f>
        <v/>
      </c>
      <c r="CG32" s="215" t="n">
        <v>1405203.9</v>
      </c>
      <c r="CH32" s="13">
        <f>CG33</f>
        <v/>
      </c>
      <c r="CI32" s="13">
        <f>CG32-CH32</f>
        <v/>
      </c>
      <c r="CJ32" s="193">
        <f>CI32/CH32</f>
        <v/>
      </c>
      <c r="CK32" s="182" t="n">
        <v>0.0163</v>
      </c>
      <c r="CL32" s="194" t="n"/>
      <c r="CN32" s="9">
        <f>C32</f>
        <v/>
      </c>
      <c r="CO32" s="215" t="n">
        <v>526746.48</v>
      </c>
      <c r="CP32" s="13">
        <f>CO33</f>
        <v/>
      </c>
      <c r="CQ32" s="13">
        <f>CO32-CP32</f>
        <v/>
      </c>
      <c r="CR32" s="193">
        <f>CQ32/CP32</f>
        <v/>
      </c>
      <c r="CS32" s="194" t="n">
        <v>0.0166</v>
      </c>
      <c r="CT32" s="194" t="n"/>
      <c r="CV32" s="9">
        <f>C32</f>
        <v/>
      </c>
      <c r="CW32" s="215" t="n">
        <v>670540.4</v>
      </c>
      <c r="CX32" s="13">
        <f>CW33</f>
        <v/>
      </c>
      <c r="CY32" s="13">
        <f>CW32-CX32</f>
        <v/>
      </c>
      <c r="CZ32" s="193">
        <f>CY32/CX32</f>
        <v/>
      </c>
      <c r="DA32" s="182" t="n">
        <v>0.0126</v>
      </c>
      <c r="DB32" s="182" t="n"/>
      <c r="DC32" s="186" t="n"/>
      <c r="DD32" s="9">
        <f>C32</f>
        <v/>
      </c>
      <c r="DE32" s="242" t="n">
        <v>6095935.9972</v>
      </c>
      <c r="DF32" s="13">
        <f>DE33</f>
        <v/>
      </c>
      <c r="DG32" s="13">
        <f>DE32-DF32</f>
        <v/>
      </c>
      <c r="DH32" s="193">
        <f>DG32/DF32</f>
        <v/>
      </c>
      <c r="DI32" s="182" t="n">
        <v>0.0015</v>
      </c>
      <c r="DJ32" s="182" t="n"/>
      <c r="DK32" s="0" t="n"/>
      <c r="DL32" s="9">
        <f>C32</f>
        <v/>
      </c>
      <c r="DM32" s="215" t="n">
        <v>1980200.72</v>
      </c>
      <c r="DN32" s="13">
        <f>DM33</f>
        <v/>
      </c>
      <c r="DO32" s="13">
        <f>DM32-DN32</f>
        <v/>
      </c>
      <c r="DP32" s="193">
        <f>DO32/DN32</f>
        <v/>
      </c>
      <c r="DQ32" s="182" t="n">
        <v>0.0051</v>
      </c>
      <c r="DR32" s="182" t="n"/>
      <c r="DT32" s="9">
        <f>C32</f>
        <v/>
      </c>
      <c r="DU32" s="215" t="n">
        <v>4351318.43</v>
      </c>
      <c r="DV32" s="13">
        <f>DU33</f>
        <v/>
      </c>
      <c r="DW32" s="13">
        <f>DU32-DV32</f>
        <v/>
      </c>
      <c r="DX32" s="193">
        <f>DW32/DV32</f>
        <v/>
      </c>
      <c r="DY32" s="182" t="n">
        <v>0.0108</v>
      </c>
      <c r="DZ32" s="182" t="n"/>
      <c r="EB32" s="9">
        <f>C32</f>
        <v/>
      </c>
      <c r="EC32" s="215" t="n">
        <v>5655566.82</v>
      </c>
      <c r="ED32" s="13">
        <f>EC33</f>
        <v/>
      </c>
      <c r="EE32" s="13">
        <f>EC32-ED32</f>
        <v/>
      </c>
      <c r="EF32" s="193">
        <f>EE32/ED32</f>
        <v/>
      </c>
      <c r="EG32" s="182" t="n">
        <v>0.008500000000000001</v>
      </c>
      <c r="EH32" s="182" t="n"/>
      <c r="EJ32" s="9">
        <f>C32</f>
        <v/>
      </c>
      <c r="EK32" s="242" t="n">
        <v>1166522.9669</v>
      </c>
      <c r="EL32" s="13">
        <f>EK33</f>
        <v/>
      </c>
      <c r="EM32" s="13">
        <f>EK32-EL32</f>
        <v/>
      </c>
      <c r="EN32" s="193">
        <f>EM32/EL32</f>
        <v/>
      </c>
      <c r="EO32" s="182" t="n">
        <v>0.0024</v>
      </c>
      <c r="EP32" s="182" t="n"/>
      <c r="ER32" s="9">
        <f>C32</f>
        <v/>
      </c>
      <c r="ES32" s="215" t="n">
        <v>753494.04</v>
      </c>
      <c r="ET32" s="13">
        <f>ES33</f>
        <v/>
      </c>
      <c r="EU32" s="13">
        <f>ES32-ET32</f>
        <v/>
      </c>
      <c r="EV32" s="193">
        <f>EU32/ET32</f>
        <v/>
      </c>
      <c r="EW32" s="182" t="n">
        <v>0.0038</v>
      </c>
      <c r="EX32" s="182" t="n"/>
      <c r="EZ32" s="9">
        <f>C32</f>
        <v/>
      </c>
      <c r="FA32" s="215" t="n">
        <v>683508</v>
      </c>
      <c r="FB32" s="13">
        <f>FA33</f>
        <v/>
      </c>
      <c r="FC32" s="13">
        <f>FA32-FB32</f>
        <v/>
      </c>
      <c r="FD32" s="193">
        <f>FC32/FB32</f>
        <v/>
      </c>
      <c r="FE32" s="182" t="n">
        <v>0.0036</v>
      </c>
      <c r="FF32" s="182" t="n"/>
      <c r="FG32" s="182" t="n"/>
      <c r="FH32" s="9">
        <f>C32</f>
        <v/>
      </c>
      <c r="FI32" s="242" t="n">
        <v>910495.3365</v>
      </c>
      <c r="FJ32" s="13">
        <f>FI33</f>
        <v/>
      </c>
      <c r="FK32" s="13">
        <f>FI32-FJ32</f>
        <v/>
      </c>
      <c r="FL32" s="193">
        <f>FK32/FJ32</f>
        <v/>
      </c>
      <c r="FM32" s="194" t="n">
        <v>-0.0038</v>
      </c>
      <c r="FN32" s="194" t="n"/>
      <c r="FP32" s="9">
        <f>C32</f>
        <v/>
      </c>
      <c r="FQ32" s="215" t="n">
        <v>1828618.73</v>
      </c>
      <c r="FR32" s="13">
        <f>FQ33</f>
        <v/>
      </c>
      <c r="FS32" s="13">
        <f>FQ32-FR32</f>
        <v/>
      </c>
      <c r="FT32" s="193">
        <f>FS32/FR32</f>
        <v/>
      </c>
      <c r="FU32" s="182" t="n">
        <v>0.0056</v>
      </c>
      <c r="FV32" s="182" t="n"/>
      <c r="FX32" s="9">
        <f>C32</f>
        <v/>
      </c>
      <c r="FY32" s="215" t="n">
        <v>7026882.05</v>
      </c>
      <c r="FZ32" s="13">
        <f>FY33</f>
        <v/>
      </c>
      <c r="GA32" s="13">
        <f>FY32-FZ32</f>
        <v/>
      </c>
      <c r="GB32" s="193">
        <f>GA32/FZ32</f>
        <v/>
      </c>
      <c r="GC32" s="182" t="n">
        <v>-0.0029</v>
      </c>
      <c r="GD32" s="182" t="n"/>
      <c r="GF32" s="9">
        <f>C32</f>
        <v/>
      </c>
      <c r="GG32" s="215" t="n">
        <v>3908169.49</v>
      </c>
      <c r="GH32" s="13">
        <f>GG33</f>
        <v/>
      </c>
      <c r="GI32" s="13">
        <f>GG32-GH32</f>
        <v/>
      </c>
      <c r="GJ32" s="193">
        <f>GI32/GH32</f>
        <v/>
      </c>
      <c r="GK32" s="182" t="n">
        <v>0.0027</v>
      </c>
      <c r="GL32" s="182" t="n"/>
      <c r="GN32" s="9">
        <f>C32</f>
        <v/>
      </c>
      <c r="GO32" s="242" t="n">
        <v>1927018.1217</v>
      </c>
      <c r="GP32" s="13">
        <f>GO33</f>
        <v/>
      </c>
      <c r="GQ32" s="13">
        <f>GO32-GP32</f>
        <v/>
      </c>
      <c r="GR32" s="193">
        <f>GQ32/GP32</f>
        <v/>
      </c>
      <c r="GS32" s="182" t="n">
        <v>-0.0012</v>
      </c>
      <c r="GT32" s="182" t="n"/>
      <c r="GV32" s="9">
        <f>C32</f>
        <v/>
      </c>
      <c r="GW32" s="215" t="n">
        <v>601949.4</v>
      </c>
      <c r="GX32" s="13">
        <f>GW33</f>
        <v/>
      </c>
      <c r="GY32" s="13">
        <f>GW32-GX32</f>
        <v/>
      </c>
      <c r="GZ32" s="193">
        <f>GY32/GX32</f>
        <v/>
      </c>
      <c r="HA32" s="182" t="n">
        <v>0.0013</v>
      </c>
      <c r="HB32" s="182" t="n"/>
      <c r="HD32" s="9">
        <f>C32</f>
        <v/>
      </c>
      <c r="HE32" s="242" t="n">
        <v>769064.6746</v>
      </c>
      <c r="HF32" s="13">
        <f>HE33</f>
        <v/>
      </c>
      <c r="HG32" s="13">
        <f>HE32-HF32</f>
        <v/>
      </c>
      <c r="HH32" s="193">
        <f>HG32/HF32</f>
        <v/>
      </c>
      <c r="HI32" s="194" t="n">
        <v>0.009599999999999999</v>
      </c>
      <c r="HJ32" s="182" t="n"/>
      <c r="HL32" s="9">
        <f>C32</f>
        <v/>
      </c>
      <c r="HM32" s="215" t="n">
        <v>106204.25</v>
      </c>
      <c r="HN32" s="195">
        <f>HM33</f>
        <v/>
      </c>
      <c r="HO32" s="195">
        <f>HM32-HN32</f>
        <v/>
      </c>
      <c r="HP32" s="196">
        <f>HO32/HN32</f>
        <v/>
      </c>
      <c r="HQ32" s="182" t="n">
        <v>0.0104</v>
      </c>
      <c r="HR32" s="182" t="n"/>
      <c r="HT32" s="9">
        <f>C32</f>
        <v/>
      </c>
      <c r="HU32" s="242" t="n">
        <v>119868.8265</v>
      </c>
      <c r="HV32" s="13">
        <f>HU33</f>
        <v/>
      </c>
      <c r="HW32" s="13">
        <f>HU32-HV32</f>
        <v/>
      </c>
      <c r="HX32" s="193">
        <f>HW32/HV32</f>
        <v/>
      </c>
      <c r="HY32" s="182" t="n">
        <v>0.0176</v>
      </c>
      <c r="HZ32" s="182" t="n"/>
      <c r="IB32" s="9">
        <f>C32</f>
        <v/>
      </c>
      <c r="IC32" s="215" t="n">
        <v>373234.79</v>
      </c>
      <c r="ID32" s="13">
        <f>IC33</f>
        <v/>
      </c>
      <c r="IE32" s="13">
        <f>IC32-ID32</f>
        <v/>
      </c>
      <c r="IF32" s="193">
        <f>IE32/ID32</f>
        <v/>
      </c>
      <c r="IG32" s="194" t="n">
        <v>0.0443</v>
      </c>
      <c r="IH32" s="182" t="n"/>
      <c r="IJ32" s="9">
        <f>C32</f>
        <v/>
      </c>
      <c r="IK32" s="242" t="n">
        <v>875596.29</v>
      </c>
      <c r="IL32" s="13">
        <f>IK33</f>
        <v/>
      </c>
      <c r="IM32" s="13">
        <f>IK32-IL32</f>
        <v/>
      </c>
      <c r="IN32" s="193">
        <f>IM32/IL32</f>
        <v/>
      </c>
      <c r="IO32" s="182" t="n">
        <v>-0.0029</v>
      </c>
      <c r="IP32" s="182" t="n"/>
      <c r="IR32" s="9">
        <f>C32</f>
        <v/>
      </c>
      <c r="IS32" s="215" t="n">
        <v>183189</v>
      </c>
      <c r="IT32" s="13">
        <f>IS33</f>
        <v/>
      </c>
      <c r="IU32" s="13">
        <f>IS32-IT32</f>
        <v/>
      </c>
      <c r="IV32" s="193">
        <f>IU32/IT32</f>
        <v/>
      </c>
      <c r="IW32" s="182" t="n">
        <v>0.0057</v>
      </c>
      <c r="IX32" s="182" t="n"/>
      <c r="IZ32" s="9">
        <f>C32</f>
        <v/>
      </c>
      <c r="JA32" s="215" t="n">
        <v>5674729.15</v>
      </c>
      <c r="JB32" s="13">
        <f>JA33</f>
        <v/>
      </c>
      <c r="JC32" s="13">
        <f>JA32-JB32</f>
        <v/>
      </c>
      <c r="JD32" s="193">
        <f>JC32/JB32</f>
        <v/>
      </c>
      <c r="JE32" s="182" t="n">
        <v>0</v>
      </c>
      <c r="JF32" s="182" t="n"/>
      <c r="JH32" s="9">
        <f>C32</f>
        <v/>
      </c>
      <c r="JI32" s="215" t="n">
        <v>1165167.99</v>
      </c>
      <c r="JJ32" s="13">
        <f>JI33</f>
        <v/>
      </c>
      <c r="JK32" s="13">
        <f>JI32-JJ32</f>
        <v/>
      </c>
      <c r="JL32" s="193">
        <f>JK32/JJ32</f>
        <v/>
      </c>
      <c r="JM32" s="182" t="n">
        <v>0.0072</v>
      </c>
      <c r="JN32" s="182" t="n"/>
      <c r="JO32" s="182" t="n"/>
      <c r="JP32" s="9">
        <f>C32</f>
        <v/>
      </c>
      <c r="JQ32" s="242" t="n">
        <v>1049490.4148</v>
      </c>
      <c r="JR32" s="13">
        <f>JQ33</f>
        <v/>
      </c>
      <c r="JS32" s="13">
        <f>JQ32-JR32</f>
        <v/>
      </c>
      <c r="JT32" s="193">
        <f>JS32/JR32</f>
        <v/>
      </c>
      <c r="JU32" s="182" t="n">
        <v>0.0104</v>
      </c>
      <c r="JV32" s="182" t="n"/>
      <c r="JW32" s="194" t="n"/>
      <c r="JX32" s="9">
        <f>C32</f>
        <v/>
      </c>
      <c r="JY32" s="215" t="n">
        <v>998298.8</v>
      </c>
      <c r="JZ32" s="13">
        <f>JY33</f>
        <v/>
      </c>
      <c r="KA32" s="13">
        <f>JY32-JZ32</f>
        <v/>
      </c>
      <c r="KB32" s="193">
        <f>KA32/JZ32</f>
        <v/>
      </c>
      <c r="KC32" s="182" t="n">
        <v>0.0029</v>
      </c>
      <c r="KD32" s="182" t="n"/>
      <c r="KE32" s="194" t="n"/>
      <c r="KF32" s="9">
        <f>C32</f>
        <v/>
      </c>
      <c r="KG32" s="242" t="n">
        <v>567155.9219</v>
      </c>
      <c r="KH32" s="13">
        <f>KG33</f>
        <v/>
      </c>
      <c r="KI32" s="13">
        <f>KG32-KH32</f>
        <v/>
      </c>
      <c r="KJ32" s="193">
        <f>KI32/KH32</f>
        <v/>
      </c>
      <c r="KK32" s="194" t="n">
        <v>-0.0055</v>
      </c>
      <c r="KL32" s="194" t="n"/>
      <c r="KN32" s="9">
        <f>C32</f>
        <v/>
      </c>
      <c r="KO32" s="215" t="n">
        <v>7126975.95</v>
      </c>
      <c r="KP32" s="13">
        <f>KO33</f>
        <v/>
      </c>
      <c r="KQ32" s="13">
        <f>KO32-KP32</f>
        <v/>
      </c>
      <c r="KR32" s="193">
        <f>KQ32/KP32</f>
        <v/>
      </c>
      <c r="KS32" s="182" t="n">
        <v>-0.0111</v>
      </c>
      <c r="KT32" s="182" t="n"/>
      <c r="KV32" s="9">
        <f>C32</f>
        <v/>
      </c>
      <c r="KW32" s="242" t="n">
        <v>1017172.9726</v>
      </c>
      <c r="KX32" s="13">
        <f>KW33</f>
        <v/>
      </c>
      <c r="KY32" s="13">
        <f>KW32-KX32</f>
        <v/>
      </c>
      <c r="KZ32" s="193">
        <f>KY32/KX32</f>
        <v/>
      </c>
      <c r="LA32" s="194" t="n">
        <v>0.0307</v>
      </c>
      <c r="LB32" s="182" t="n"/>
      <c r="LD32" s="9">
        <f>C32</f>
        <v/>
      </c>
      <c r="LE32" s="215" t="n">
        <v>373557.7</v>
      </c>
      <c r="LF32" s="13">
        <f>LE33</f>
        <v/>
      </c>
      <c r="LG32" s="13">
        <f>LE32-LF32</f>
        <v/>
      </c>
      <c r="LH32" s="193">
        <f>LG32/LF32</f>
        <v/>
      </c>
      <c r="LI32" s="182" t="n">
        <v>0.0057</v>
      </c>
      <c r="LJ32" s="182" t="n"/>
      <c r="LL32" s="9">
        <f>C32</f>
        <v/>
      </c>
      <c r="LM32" s="215" t="n">
        <v>3190435.02</v>
      </c>
      <c r="LN32" s="13">
        <f>LM33</f>
        <v/>
      </c>
      <c r="LO32" s="13">
        <f>LM32-LN32</f>
        <v/>
      </c>
      <c r="LP32" s="193">
        <f>LO32/LN32</f>
        <v/>
      </c>
      <c r="LQ32" s="182" t="n">
        <v>-0.0025</v>
      </c>
      <c r="LR32" s="182" t="n"/>
      <c r="LT32" s="9">
        <f>C32</f>
        <v/>
      </c>
      <c r="LU32" s="242" t="n">
        <v>2263062.904</v>
      </c>
      <c r="LV32" s="13">
        <f>LU33</f>
        <v/>
      </c>
      <c r="LW32" s="13">
        <f>LU32-LV32</f>
        <v/>
      </c>
      <c r="LX32" s="193">
        <f>LW32/LV32</f>
        <v/>
      </c>
      <c r="LY32" s="182" t="n">
        <v>0.0031</v>
      </c>
      <c r="LZ32" s="182" t="n"/>
      <c r="MB32" s="9">
        <f>C32</f>
        <v/>
      </c>
      <c r="MC32" s="215" t="n">
        <v>788867.6899999999</v>
      </c>
      <c r="MD32" s="13">
        <f>MC33</f>
        <v/>
      </c>
      <c r="ME32" s="13">
        <f>MC32-MD32</f>
        <v/>
      </c>
      <c r="MF32" s="193">
        <f>ME32/MD32</f>
        <v/>
      </c>
      <c r="MG32" s="182" t="n">
        <v>-0.015</v>
      </c>
      <c r="MH32" s="182" t="n"/>
      <c r="MI32" s="9" t="n"/>
      <c r="MJ32" s="9" t="n"/>
      <c r="MK32" s="9">
        <f>C32</f>
        <v/>
      </c>
      <c r="ML32" s="242" t="n">
        <v>165945.5354</v>
      </c>
      <c r="MM32" s="13">
        <f>ML33</f>
        <v/>
      </c>
      <c r="MN32" s="13">
        <f>ML32-MM32</f>
        <v/>
      </c>
      <c r="MO32" s="193">
        <f>MN32/MM32</f>
        <v/>
      </c>
      <c r="MP32" s="182" t="n">
        <v>0.0055</v>
      </c>
      <c r="MQ32" s="194" t="n"/>
      <c r="MR32" s="194" t="n"/>
      <c r="MT32" s="9">
        <f>C32</f>
        <v/>
      </c>
      <c r="MU32" s="215" t="n">
        <v>119214.8</v>
      </c>
      <c r="MV32" s="188">
        <f>MU33</f>
        <v/>
      </c>
      <c r="MW32" s="9">
        <f>MU32-MV32</f>
        <v/>
      </c>
      <c r="MX32" s="182">
        <f>MW32/MV32</f>
        <v/>
      </c>
      <c r="MY32" s="182" t="n">
        <v>-0.0172</v>
      </c>
      <c r="MZ32" s="182" t="n"/>
      <c r="NA32" s="182" t="n"/>
      <c r="NC32" s="9">
        <f>C32</f>
        <v/>
      </c>
      <c r="ND32" s="215" t="n">
        <v>30691.48</v>
      </c>
      <c r="NE32" s="188">
        <f>ND33</f>
        <v/>
      </c>
      <c r="NF32" s="9">
        <f>ND32-NE32</f>
        <v/>
      </c>
      <c r="NG32" s="182">
        <f>NF32/NE32</f>
        <v/>
      </c>
      <c r="NH32" s="182" t="n">
        <v>0.0047</v>
      </c>
      <c r="NI32" s="182" t="n"/>
      <c r="NJ32" s="182" t="n"/>
      <c r="NK32" s="182" t="n"/>
      <c r="NM32" s="9">
        <f>C32</f>
        <v/>
      </c>
      <c r="NN32" s="215" t="n">
        <v>2575211.08</v>
      </c>
      <c r="NO32" s="9">
        <f>NN33</f>
        <v/>
      </c>
      <c r="NP32" s="197">
        <f>NN32-NO32</f>
        <v/>
      </c>
      <c r="NQ32" s="198">
        <f>NP32/NO32</f>
        <v/>
      </c>
      <c r="NR32" s="182" t="n">
        <v>0</v>
      </c>
      <c r="NS32" s="0" t="n"/>
      <c r="NU32" s="9">
        <f>C32</f>
        <v/>
      </c>
      <c r="NV32" s="215" t="n">
        <v>227626.5</v>
      </c>
      <c r="NW32" s="188">
        <f>NV33</f>
        <v/>
      </c>
      <c r="NX32" s="197">
        <f>NV32-NW32</f>
        <v/>
      </c>
      <c r="NY32" s="198">
        <f>NX32/NW32</f>
        <v/>
      </c>
      <c r="NZ32" s="194" t="n">
        <v>-0.0054</v>
      </c>
      <c r="OA32" s="185" t="n"/>
      <c r="OC32" s="9">
        <f>C32</f>
        <v/>
      </c>
      <c r="OD32" s="215" t="n">
        <v>22005.97</v>
      </c>
      <c r="OE32" s="13">
        <f>OD33</f>
        <v/>
      </c>
      <c r="OF32" s="13">
        <f>OD32-OE32</f>
        <v/>
      </c>
      <c r="OG32" s="193">
        <f>OF32/OE32</f>
        <v/>
      </c>
      <c r="OH32" s="182" t="n">
        <v>0.0034</v>
      </c>
      <c r="OI32" s="182" t="n"/>
      <c r="OK32" s="9">
        <f>C32</f>
        <v/>
      </c>
      <c r="OL32" s="215" t="n">
        <v>17959.65</v>
      </c>
      <c r="OM32" s="13">
        <f>OL33</f>
        <v/>
      </c>
      <c r="ON32" s="13">
        <f>OL32-OM32</f>
        <v/>
      </c>
      <c r="OO32" s="193">
        <f>ON32/OM32</f>
        <v/>
      </c>
      <c r="OP32" s="182" t="n">
        <v>0.0005</v>
      </c>
      <c r="OQ32" s="182" t="n"/>
      <c r="OT32" s="201">
        <f>OK32</f>
        <v/>
      </c>
      <c r="OU32" s="199" t="n">
        <v>158592.4066</v>
      </c>
      <c r="OV32" s="9">
        <f>OU33</f>
        <v/>
      </c>
      <c r="OW32" s="671">
        <f>OU32-OV32</f>
        <v/>
      </c>
      <c r="OX32" s="182">
        <f>OW32/OV32</f>
        <v/>
      </c>
      <c r="OY32" s="0" t="n">
        <v>-0.0009</v>
      </c>
    </row>
    <row r="33" ht="17" customFormat="1" customHeight="1" s="10">
      <c r="A33" s="674" t="n"/>
      <c r="B33" s="674" t="n"/>
      <c r="C33" s="674" t="inlineStr">
        <is>
          <t>2026//9/28</t>
        </is>
      </c>
      <c r="D33" s="225" t="n">
        <v>2417808.77</v>
      </c>
      <c r="E33" s="226">
        <f>D34</f>
        <v/>
      </c>
      <c r="F33" s="226">
        <f>D33-E33</f>
        <v/>
      </c>
      <c r="G33" s="227">
        <f>F33/E33</f>
        <v/>
      </c>
      <c r="H33" s="228" t="n">
        <v>-0.0217</v>
      </c>
      <c r="I33" s="227" t="n"/>
      <c r="J33" s="227" t="n"/>
      <c r="K33" s="10">
        <f>C33</f>
        <v/>
      </c>
      <c r="L33" s="225" t="n">
        <v>1181314.4</v>
      </c>
      <c r="M33" s="226">
        <f>L34</f>
        <v/>
      </c>
      <c r="N33" s="226">
        <f>L33-M33</f>
        <v/>
      </c>
      <c r="O33" s="227">
        <f>N33/M33</f>
        <v/>
      </c>
      <c r="P33" s="228" t="n">
        <v>-0.0237</v>
      </c>
      <c r="Q33" s="227" t="n"/>
      <c r="R33" s="226" t="n"/>
      <c r="S33" s="10">
        <f>C33</f>
        <v/>
      </c>
      <c r="T33" s="225" t="n">
        <v>736356.6800000001</v>
      </c>
      <c r="U33" s="226">
        <f>T34</f>
        <v/>
      </c>
      <c r="V33" s="226">
        <f>T33-U33</f>
        <v/>
      </c>
      <c r="W33" s="227">
        <f>V33/U33</f>
        <v/>
      </c>
      <c r="X33" s="228" t="n">
        <v>-0.0125</v>
      </c>
      <c r="Y33" s="227" t="n"/>
      <c r="Z33" s="226" t="n"/>
      <c r="AA33" s="10">
        <f>S33</f>
        <v/>
      </c>
      <c r="AB33" s="225" t="n">
        <v>551896.86</v>
      </c>
      <c r="AC33" s="226">
        <f>AB34</f>
        <v/>
      </c>
      <c r="AD33" s="226">
        <f>AB33-AC33</f>
        <v/>
      </c>
      <c r="AE33" s="227">
        <f>AD33/AC33</f>
        <v/>
      </c>
      <c r="AF33" s="228" t="n">
        <v>-0.0275</v>
      </c>
      <c r="AG33" s="227" t="n"/>
      <c r="AH33" s="226" t="n"/>
      <c r="AI33" s="10">
        <f>C33</f>
        <v/>
      </c>
      <c r="AJ33" s="225" t="n">
        <v>704121.76</v>
      </c>
      <c r="AK33" s="226">
        <f>AJ34</f>
        <v/>
      </c>
      <c r="AL33" s="226">
        <f>AJ33-AK33</f>
        <v/>
      </c>
      <c r="AM33" s="227">
        <f>AL33/AK33</f>
        <v/>
      </c>
      <c r="AN33" s="228" t="n">
        <v>-0.0361</v>
      </c>
      <c r="AO33" s="228" t="n"/>
      <c r="AP33" s="226" t="n"/>
      <c r="AQ33" s="10">
        <f>C33</f>
        <v/>
      </c>
      <c r="AR33" s="229" t="n">
        <v>2086445.4936</v>
      </c>
      <c r="AS33" s="226">
        <f>AR34</f>
        <v/>
      </c>
      <c r="AT33" s="226">
        <f>AR33-AS33</f>
        <v/>
      </c>
      <c r="AU33" s="227">
        <f>AT33/AS33</f>
        <v/>
      </c>
      <c r="AV33" s="228" t="n">
        <v>-0.0462</v>
      </c>
      <c r="AW33" s="228" t="n"/>
      <c r="AX33" s="230" t="n"/>
      <c r="AY33" s="230" t="n"/>
      <c r="AZ33" s="10">
        <f>C33</f>
        <v/>
      </c>
      <c r="BA33" s="229" t="n">
        <v>659901.6676</v>
      </c>
      <c r="BB33" s="231">
        <f>BA34</f>
        <v/>
      </c>
      <c r="BC33" s="230">
        <f>BA33-BB33</f>
        <v/>
      </c>
      <c r="BD33" s="228">
        <f>BC33/BB33</f>
        <v/>
      </c>
      <c r="BE33" s="228" t="n">
        <v>-0.0227</v>
      </c>
      <c r="BF33" s="228" t="n"/>
      <c r="BG33" s="675" t="n"/>
      <c r="BH33" s="10">
        <f>C33</f>
        <v/>
      </c>
      <c r="BI33" s="229" t="n">
        <v>1111826.5525</v>
      </c>
      <c r="BJ33" s="233">
        <f>BI34</f>
        <v/>
      </c>
      <c r="BK33" s="233">
        <f>BI33-BJ33</f>
        <v/>
      </c>
      <c r="BL33" s="234">
        <f>BK33/BJ33</f>
        <v/>
      </c>
      <c r="BM33" s="235" t="n">
        <v>-0.046</v>
      </c>
      <c r="BN33" s="236" t="n"/>
      <c r="BP33" s="10">
        <f>C33</f>
        <v/>
      </c>
      <c r="BQ33" s="229" t="n">
        <v>1394662.3921</v>
      </c>
      <c r="BR33" s="14">
        <f>BQ34</f>
        <v/>
      </c>
      <c r="BS33" s="14">
        <f>BQ33-BR33</f>
        <v/>
      </c>
      <c r="BT33" s="237">
        <f>BS33/BR33</f>
        <v/>
      </c>
      <c r="BU33" s="236" t="n">
        <v>-0.023</v>
      </c>
      <c r="BV33" s="236" t="n"/>
      <c r="BX33" s="10">
        <f>C33</f>
        <v/>
      </c>
      <c r="BY33" s="229" t="n">
        <v>1619210.7019</v>
      </c>
      <c r="BZ33" s="14">
        <f>BY34</f>
        <v/>
      </c>
      <c r="CA33" s="14">
        <f>BY33-BZ33</f>
        <v/>
      </c>
      <c r="CB33" s="237">
        <f>CA33/BZ33</f>
        <v/>
      </c>
      <c r="CC33" s="236" t="n">
        <v>-0.0211</v>
      </c>
      <c r="CD33" s="238" t="n"/>
      <c r="CF33" s="10">
        <f>C33</f>
        <v/>
      </c>
      <c r="CG33" s="225" t="n">
        <v>1414153.9</v>
      </c>
      <c r="CH33" s="14">
        <f>CG34</f>
        <v/>
      </c>
      <c r="CI33" s="14">
        <f>CG33-CH33</f>
        <v/>
      </c>
      <c r="CJ33" s="237">
        <f>CI33/CH33</f>
        <v/>
      </c>
      <c r="CK33" s="236" t="n">
        <v>-0.0392</v>
      </c>
      <c r="CL33" s="238" t="n"/>
      <c r="CN33" s="10">
        <f>C33</f>
        <v/>
      </c>
      <c r="CO33" s="225" t="n">
        <v>524546.48</v>
      </c>
      <c r="CP33" s="14">
        <f>CO34</f>
        <v/>
      </c>
      <c r="CQ33" s="14">
        <f>CO33-CP33</f>
        <v/>
      </c>
      <c r="CR33" s="237">
        <f>CQ33/CP33</f>
        <v/>
      </c>
      <c r="CS33" s="238" t="n">
        <v>-0.0368</v>
      </c>
      <c r="CT33" s="238" t="n"/>
      <c r="CV33" s="10">
        <f>C33</f>
        <v/>
      </c>
      <c r="CW33" s="225" t="n">
        <v>667940.4</v>
      </c>
      <c r="CX33" s="14">
        <f>CW34</f>
        <v/>
      </c>
      <c r="CY33" s="14">
        <f>CW33-CX33</f>
        <v/>
      </c>
      <c r="CZ33" s="237">
        <f>CY33/CX33</f>
        <v/>
      </c>
      <c r="DA33" s="236" t="n">
        <v>-0.0436</v>
      </c>
      <c r="DB33" s="236" t="n"/>
      <c r="DC33" s="239" t="n"/>
      <c r="DD33" s="10">
        <f>C33</f>
        <v/>
      </c>
      <c r="DE33" s="229" t="n">
        <v>6085735.9972</v>
      </c>
      <c r="DF33" s="14">
        <f>DE34</f>
        <v/>
      </c>
      <c r="DG33" s="14">
        <f>DE33-DF33</f>
        <v/>
      </c>
      <c r="DH33" s="237">
        <f>DG33/DF33</f>
        <v/>
      </c>
      <c r="DI33" s="236" t="n">
        <v>-0.0442</v>
      </c>
      <c r="DJ33" s="236" t="n"/>
      <c r="DK33" s="0" t="n"/>
      <c r="DL33" s="10">
        <f>C33</f>
        <v/>
      </c>
      <c r="DM33" s="225" t="n">
        <v>1992600.72</v>
      </c>
      <c r="DN33" s="14">
        <f>DM34</f>
        <v/>
      </c>
      <c r="DO33" s="14">
        <f>DM33-DN33</f>
        <v/>
      </c>
      <c r="DP33" s="237">
        <f>DO33/DN33</f>
        <v/>
      </c>
      <c r="DQ33" s="236" t="n">
        <v>-0.042</v>
      </c>
      <c r="DR33" s="236" t="n"/>
      <c r="DT33" s="10">
        <f>C33</f>
        <v/>
      </c>
      <c r="DU33" s="225" t="n">
        <v>4365268.43</v>
      </c>
      <c r="DV33" s="14">
        <f>DU34</f>
        <v/>
      </c>
      <c r="DW33" s="14">
        <f>DU33-DV33</f>
        <v/>
      </c>
      <c r="DX33" s="237">
        <f>DW33/DV33</f>
        <v/>
      </c>
      <c r="DY33" s="236" t="n">
        <v>-0.0466</v>
      </c>
      <c r="DZ33" s="236" t="n"/>
      <c r="EB33" s="10">
        <f>C33</f>
        <v/>
      </c>
      <c r="EC33" s="225" t="n">
        <v>5637566.82</v>
      </c>
      <c r="ED33" s="14">
        <f>EC34</f>
        <v/>
      </c>
      <c r="EE33" s="14">
        <f>EC33-ED33</f>
        <v/>
      </c>
      <c r="EF33" s="237">
        <f>EE33/ED33</f>
        <v/>
      </c>
      <c r="EG33" s="236" t="n">
        <v>-0.0409</v>
      </c>
      <c r="EH33" s="236" t="n"/>
      <c r="EJ33" s="10">
        <f>C33</f>
        <v/>
      </c>
      <c r="EK33" s="229" t="n">
        <v>1195522.9669</v>
      </c>
      <c r="EL33" s="14">
        <f>EK34</f>
        <v/>
      </c>
      <c r="EM33" s="14">
        <f>EK33-EL33</f>
        <v/>
      </c>
      <c r="EN33" s="237">
        <f>EM33/EL33</f>
        <v/>
      </c>
      <c r="EO33" s="236" t="n">
        <v>-0.046</v>
      </c>
      <c r="EP33" s="236" t="n"/>
      <c r="ER33" s="10">
        <f>C33</f>
        <v/>
      </c>
      <c r="ES33" s="225" t="n">
        <v>751094.04</v>
      </c>
      <c r="ET33" s="14">
        <f>ES34</f>
        <v/>
      </c>
      <c r="EU33" s="14">
        <f>ES33-ET33</f>
        <v/>
      </c>
      <c r="EV33" s="237">
        <f>EU33/ET33</f>
        <v/>
      </c>
      <c r="EW33" s="236" t="n">
        <v>-0.045</v>
      </c>
      <c r="EX33" s="236" t="n"/>
      <c r="EZ33" s="10">
        <f>C33</f>
        <v/>
      </c>
      <c r="FA33" s="225" t="n">
        <v>682108</v>
      </c>
      <c r="FB33" s="14">
        <f>FA34</f>
        <v/>
      </c>
      <c r="FC33" s="14">
        <f>FA33-FB33</f>
        <v/>
      </c>
      <c r="FD33" s="237">
        <f>FC33/FB33</f>
        <v/>
      </c>
      <c r="FE33" s="236" t="n">
        <v>-0.0275</v>
      </c>
      <c r="FF33" s="236" t="n"/>
      <c r="FG33" s="236" t="n"/>
      <c r="FH33" s="10">
        <f>C33</f>
        <v/>
      </c>
      <c r="FI33" s="229" t="n">
        <v>911395.3365</v>
      </c>
      <c r="FJ33" s="14">
        <f>FI34</f>
        <v/>
      </c>
      <c r="FK33" s="14">
        <f>FI33-FJ33</f>
        <v/>
      </c>
      <c r="FL33" s="237">
        <f>FK33/FJ33</f>
        <v/>
      </c>
      <c r="FM33" s="238" t="n">
        <v>-0.0398</v>
      </c>
      <c r="FN33" s="238" t="n"/>
      <c r="FP33" s="10">
        <f>C33</f>
        <v/>
      </c>
      <c r="FQ33" s="225" t="n">
        <v>1824118.73</v>
      </c>
      <c r="FR33" s="14">
        <f>FQ34</f>
        <v/>
      </c>
      <c r="FS33" s="14">
        <f>FQ33-FR33</f>
        <v/>
      </c>
      <c r="FT33" s="237">
        <f>FS33/FR33</f>
        <v/>
      </c>
      <c r="FU33" s="236" t="n">
        <v>-0.0261</v>
      </c>
      <c r="FV33" s="236" t="n"/>
      <c r="FX33" s="10">
        <f>C33</f>
        <v/>
      </c>
      <c r="FY33" s="225" t="n">
        <v>7016482.05</v>
      </c>
      <c r="FZ33" s="14">
        <f>FY34</f>
        <v/>
      </c>
      <c r="GA33" s="14">
        <f>FY33-FZ33</f>
        <v/>
      </c>
      <c r="GB33" s="237">
        <f>GA33/FZ33</f>
        <v/>
      </c>
      <c r="GC33" s="236" t="n">
        <v>-0.0029</v>
      </c>
      <c r="GD33" s="236" t="n"/>
      <c r="GF33" s="10">
        <f>C33</f>
        <v/>
      </c>
      <c r="GG33" s="225" t="n">
        <v>3916469.49</v>
      </c>
      <c r="GH33" s="14">
        <f>GG34</f>
        <v/>
      </c>
      <c r="GI33" s="14">
        <f>GG33-GH33</f>
        <v/>
      </c>
      <c r="GJ33" s="237">
        <f>GI33/GH33</f>
        <v/>
      </c>
      <c r="GK33" s="236" t="n">
        <v>0.0027</v>
      </c>
      <c r="GL33" s="236" t="n"/>
      <c r="GN33" s="10">
        <f>C33</f>
        <v/>
      </c>
      <c r="GO33" s="229" t="n">
        <v>1910878.1217</v>
      </c>
      <c r="GP33" s="14">
        <f>GO34</f>
        <v/>
      </c>
      <c r="GQ33" s="14">
        <f>GO33-GP33</f>
        <v/>
      </c>
      <c r="GR33" s="237">
        <f>GQ33/GP33</f>
        <v/>
      </c>
      <c r="GS33" s="236" t="n">
        <v>0.0048</v>
      </c>
      <c r="GT33" s="236" t="n"/>
      <c r="GV33" s="10">
        <f>C33</f>
        <v/>
      </c>
      <c r="GW33" s="225" t="n">
        <v>602349.4</v>
      </c>
      <c r="GX33" s="14">
        <f>GW34</f>
        <v/>
      </c>
      <c r="GY33" s="14">
        <f>GW33-GX33</f>
        <v/>
      </c>
      <c r="GZ33" s="237">
        <f>GY33/GX33</f>
        <v/>
      </c>
      <c r="HA33" s="236" t="n">
        <v>-0.0265</v>
      </c>
      <c r="HB33" s="236" t="n"/>
      <c r="HD33" s="10">
        <f>C33</f>
        <v/>
      </c>
      <c r="HE33" s="229" t="n">
        <v>766464.6746</v>
      </c>
      <c r="HF33" s="14">
        <f>HE34</f>
        <v/>
      </c>
      <c r="HG33" s="14">
        <f>HE33-HF33</f>
        <v/>
      </c>
      <c r="HH33" s="237">
        <f>HG33/HF33</f>
        <v/>
      </c>
      <c r="HI33" s="238" t="n">
        <v>-0.028</v>
      </c>
      <c r="HJ33" s="236" t="n"/>
      <c r="HL33" s="10">
        <f>C33</f>
        <v/>
      </c>
      <c r="HM33" s="225" t="n">
        <v>106154.25</v>
      </c>
      <c r="HN33" s="14">
        <f>HM34</f>
        <v/>
      </c>
      <c r="HO33" s="14">
        <f>HM33-HN33</f>
        <v/>
      </c>
      <c r="HP33" s="237">
        <f>HO33/HN33</f>
        <v/>
      </c>
      <c r="HQ33" s="236" t="n">
        <v>-0.0223</v>
      </c>
      <c r="HR33" s="236" t="n"/>
      <c r="HT33" s="10">
        <f>C33</f>
        <v/>
      </c>
      <c r="HU33" s="229" t="n">
        <v>116068.8265</v>
      </c>
      <c r="HV33" s="14">
        <f>HU34</f>
        <v/>
      </c>
      <c r="HW33" s="14">
        <f>HU33-HV33</f>
        <v/>
      </c>
      <c r="HX33" s="237">
        <f>HW33/HV33</f>
        <v/>
      </c>
      <c r="HY33" s="236" t="n">
        <v>-0.0173</v>
      </c>
      <c r="HZ33" s="236" t="n"/>
      <c r="IB33" s="10">
        <f>C33</f>
        <v/>
      </c>
      <c r="IC33" s="225" t="n">
        <v>324509.79</v>
      </c>
      <c r="ID33" s="14">
        <f>IC34</f>
        <v/>
      </c>
      <c r="IE33" s="14">
        <f>IC33-ID33</f>
        <v/>
      </c>
      <c r="IF33" s="237">
        <f>IE33/ID33</f>
        <v/>
      </c>
      <c r="IG33" s="238" t="n">
        <v>-0.0119</v>
      </c>
      <c r="IH33" s="236" t="n"/>
      <c r="IJ33" s="10">
        <f>C33</f>
        <v/>
      </c>
      <c r="IK33" s="229" t="n">
        <v>875436.29</v>
      </c>
      <c r="IL33" s="14">
        <f>IK34</f>
        <v/>
      </c>
      <c r="IM33" s="14">
        <f>IK33-IL33</f>
        <v/>
      </c>
      <c r="IN33" s="237">
        <f>IM33/IL33</f>
        <v/>
      </c>
      <c r="IO33" s="236" t="n">
        <v>0.0059</v>
      </c>
      <c r="IP33" s="236" t="n"/>
      <c r="IR33" s="10">
        <f>C33</f>
        <v/>
      </c>
      <c r="IS33" s="225" t="n">
        <v>176889</v>
      </c>
      <c r="IT33" s="14">
        <f>IS34</f>
        <v/>
      </c>
      <c r="IU33" s="14">
        <f>IS33-IT33</f>
        <v/>
      </c>
      <c r="IV33" s="237">
        <f>IU33/IT33</f>
        <v/>
      </c>
      <c r="IW33" s="236" t="n">
        <v>-0.0344</v>
      </c>
      <c r="IX33" s="236" t="n"/>
      <c r="IZ33" s="10">
        <f>C33</f>
        <v/>
      </c>
      <c r="JA33" s="225" t="n">
        <v>5669329.15</v>
      </c>
      <c r="JB33" s="14">
        <f>JA34</f>
        <v/>
      </c>
      <c r="JC33" s="14">
        <f>JA33-JB33</f>
        <v/>
      </c>
      <c r="JD33" s="237">
        <f>JC33/JB33</f>
        <v/>
      </c>
      <c r="JE33" s="236" t="n">
        <v>-0.0201</v>
      </c>
      <c r="JF33" s="236" t="n"/>
      <c r="JH33" s="10">
        <f>C33</f>
        <v/>
      </c>
      <c r="JI33" s="225" t="n">
        <v>1161927.99</v>
      </c>
      <c r="JJ33" s="14">
        <f>JI34</f>
        <v/>
      </c>
      <c r="JK33" s="14">
        <f>JI33-JJ33</f>
        <v/>
      </c>
      <c r="JL33" s="237">
        <f>JK33/JJ33</f>
        <v/>
      </c>
      <c r="JM33" s="236" t="n">
        <v>-0.0048</v>
      </c>
      <c r="JN33" s="236" t="n"/>
      <c r="JO33" s="236" t="n"/>
      <c r="JP33" s="10">
        <f>C33</f>
        <v/>
      </c>
      <c r="JQ33" s="229" t="n">
        <v>1050690.4148</v>
      </c>
      <c r="JR33" s="14">
        <f>JQ34</f>
        <v/>
      </c>
      <c r="JS33" s="14">
        <f>JQ33-JR33</f>
        <v/>
      </c>
      <c r="JT33" s="237">
        <f>JS33/JR33</f>
        <v/>
      </c>
      <c r="JU33" s="236" t="n">
        <v>-0.0253</v>
      </c>
      <c r="JV33" s="236" t="n"/>
      <c r="JW33" s="238" t="n"/>
      <c r="JX33" s="10">
        <f>C33</f>
        <v/>
      </c>
      <c r="JY33" s="225" t="n">
        <v>998098.8</v>
      </c>
      <c r="JZ33" s="14">
        <f>JY34</f>
        <v/>
      </c>
      <c r="KA33" s="14">
        <f>JY33-JZ33</f>
        <v/>
      </c>
      <c r="KB33" s="237">
        <f>KA33/JZ33</f>
        <v/>
      </c>
      <c r="KC33" s="236" t="n">
        <v>-0.0185</v>
      </c>
      <c r="KD33" s="236" t="n"/>
      <c r="KE33" s="238" t="n"/>
      <c r="KF33" s="10">
        <f>C33</f>
        <v/>
      </c>
      <c r="KG33" s="229" t="n">
        <v>567155.9219</v>
      </c>
      <c r="KH33" s="14">
        <f>KG34</f>
        <v/>
      </c>
      <c r="KI33" s="14">
        <f>KG33-KH33</f>
        <v/>
      </c>
      <c r="KJ33" s="237">
        <f>KI33/KH33</f>
        <v/>
      </c>
      <c r="KK33" s="238" t="n">
        <v>-0.0007</v>
      </c>
      <c r="KL33" s="238" t="n"/>
      <c r="KN33" s="10">
        <f>C33</f>
        <v/>
      </c>
      <c r="KO33" s="225" t="n">
        <v>7127275.95</v>
      </c>
      <c r="KP33" s="14">
        <f>KO34</f>
        <v/>
      </c>
      <c r="KQ33" s="14">
        <f>KO33-KP33</f>
        <v/>
      </c>
      <c r="KR33" s="237">
        <f>KQ33/KP33</f>
        <v/>
      </c>
      <c r="KS33" s="236" t="n">
        <v>-0.0128</v>
      </c>
      <c r="KT33" s="236" t="n"/>
      <c r="KV33" s="10">
        <f>C33</f>
        <v/>
      </c>
      <c r="KW33" s="229" t="n">
        <v>1026172.9726</v>
      </c>
      <c r="KX33" s="14">
        <f>KW34</f>
        <v/>
      </c>
      <c r="KY33" s="14">
        <f>KW33-KX33</f>
        <v/>
      </c>
      <c r="KZ33" s="237">
        <f>KY33/KX33</f>
        <v/>
      </c>
      <c r="LA33" s="238" t="n">
        <v>-0.0101</v>
      </c>
      <c r="LB33" s="236" t="n"/>
      <c r="LD33" s="10">
        <f>C33</f>
        <v/>
      </c>
      <c r="LE33" s="225" t="n">
        <v>374257.7</v>
      </c>
      <c r="LF33" s="14">
        <f>LE34</f>
        <v/>
      </c>
      <c r="LG33" s="14">
        <f>LE33-LF33</f>
        <v/>
      </c>
      <c r="LH33" s="237">
        <f>LG33/LF33</f>
        <v/>
      </c>
      <c r="LI33" s="236" t="n">
        <v>-0.0356</v>
      </c>
      <c r="LJ33" s="236" t="n"/>
      <c r="LL33" s="10">
        <f>C33</f>
        <v/>
      </c>
      <c r="LM33" s="225" t="n">
        <v>3190075.02</v>
      </c>
      <c r="LN33" s="14">
        <f>LM34</f>
        <v/>
      </c>
      <c r="LO33" s="14">
        <f>LM33-LN33</f>
        <v/>
      </c>
      <c r="LP33" s="237">
        <f>LO33/LN33</f>
        <v/>
      </c>
      <c r="LQ33" s="236" t="n">
        <v>-0.0049</v>
      </c>
      <c r="LR33" s="236" t="n"/>
      <c r="LT33" s="10">
        <f>C33</f>
        <v/>
      </c>
      <c r="LU33" s="229" t="n">
        <v>2264862.904</v>
      </c>
      <c r="LV33" s="14">
        <f>LU34</f>
        <v/>
      </c>
      <c r="LW33" s="14">
        <f>LU33-LV33</f>
        <v/>
      </c>
      <c r="LX33" s="237">
        <f>LW33/LV33</f>
        <v/>
      </c>
      <c r="LY33" s="236" t="n">
        <v>-0.0015</v>
      </c>
      <c r="LZ33" s="236" t="n"/>
      <c r="MB33" s="10">
        <f>C33</f>
        <v/>
      </c>
      <c r="MC33" s="225" t="n">
        <v>789667.6899999999</v>
      </c>
      <c r="MD33" s="14">
        <f>MC34</f>
        <v/>
      </c>
      <c r="ME33" s="14">
        <f>MC33-MD33</f>
        <v/>
      </c>
      <c r="MF33" s="237">
        <f>ME33/MD33</f>
        <v/>
      </c>
      <c r="MG33" s="236" t="n">
        <v>-0.0016</v>
      </c>
      <c r="MH33" s="236" t="n"/>
      <c r="MK33" s="10">
        <f>C33</f>
        <v/>
      </c>
      <c r="ML33" s="229" t="n">
        <v>165225.5354</v>
      </c>
      <c r="MM33" s="14">
        <f>ML34</f>
        <v/>
      </c>
      <c r="MN33" s="14">
        <f>ML33-MM33</f>
        <v/>
      </c>
      <c r="MO33" s="237">
        <f>MN33/MM33</f>
        <v/>
      </c>
      <c r="MP33" s="236" t="n">
        <v>-0.0321</v>
      </c>
      <c r="MQ33" s="238" t="n"/>
      <c r="MR33" s="238" t="n"/>
      <c r="MT33" s="10">
        <f>C33</f>
        <v/>
      </c>
      <c r="MU33" s="225" t="n">
        <v>119314.8</v>
      </c>
      <c r="MV33" s="240">
        <f>MU34</f>
        <v/>
      </c>
      <c r="MW33" s="10">
        <f>MU33-MV33</f>
        <v/>
      </c>
      <c r="MX33" s="236">
        <f>MW33/MV33</f>
        <v/>
      </c>
      <c r="MY33" s="236" t="n">
        <v>-0.0034</v>
      </c>
      <c r="MZ33" s="236" t="n"/>
      <c r="NA33" s="236" t="n"/>
      <c r="NC33" s="10">
        <f>C33</f>
        <v/>
      </c>
      <c r="ND33" s="225" t="n">
        <v>31091.48</v>
      </c>
      <c r="NE33" s="240">
        <f>ND34</f>
        <v/>
      </c>
      <c r="NF33" s="10">
        <f>ND33-NE33</f>
        <v/>
      </c>
      <c r="NG33" s="236">
        <f>NF33/NE33</f>
        <v/>
      </c>
      <c r="NH33" s="236" t="n">
        <v>-0.0295</v>
      </c>
      <c r="NI33" s="236" t="n"/>
      <c r="NJ33" s="236" t="n"/>
      <c r="NK33" s="236" t="n"/>
      <c r="NM33" s="10">
        <f>C33</f>
        <v/>
      </c>
      <c r="NN33" s="225" t="n">
        <v>2575111.08</v>
      </c>
      <c r="NO33" s="10">
        <f>NN34</f>
        <v/>
      </c>
      <c r="NP33" s="10">
        <f>NN33-NO33</f>
        <v/>
      </c>
      <c r="NQ33" s="236">
        <f>NP33/NO33</f>
        <v/>
      </c>
      <c r="NR33" s="236" t="n">
        <v>-0.0042</v>
      </c>
      <c r="NS33" s="0" t="n"/>
      <c r="NU33" s="10">
        <f>C33</f>
        <v/>
      </c>
      <c r="NV33" s="225" t="n">
        <v>227376.5</v>
      </c>
      <c r="NW33" s="240">
        <f>NV34</f>
        <v/>
      </c>
      <c r="NX33" s="10">
        <f>NV33-NW33</f>
        <v/>
      </c>
      <c r="NY33" s="236">
        <f>NX33/NW33</f>
        <v/>
      </c>
      <c r="NZ33" s="238" t="n">
        <v>0.0011</v>
      </c>
      <c r="OA33" s="241" t="n"/>
      <c r="OC33" s="10">
        <f>C33</f>
        <v/>
      </c>
      <c r="OD33" s="225" t="n">
        <v>21923.97</v>
      </c>
      <c r="OE33" s="14">
        <f>OD34</f>
        <v/>
      </c>
      <c r="OF33" s="14">
        <f>OD33-OE33</f>
        <v/>
      </c>
      <c r="OG33" s="237">
        <f>OF33/OE33</f>
        <v/>
      </c>
      <c r="OH33" s="236" t="n">
        <v>-0.0013</v>
      </c>
      <c r="OI33" s="236" t="n"/>
      <c r="OK33" s="10">
        <f>C33</f>
        <v/>
      </c>
      <c r="OL33" s="225" t="n">
        <v>17938.65</v>
      </c>
      <c r="OM33" s="14">
        <f>OL34</f>
        <v/>
      </c>
      <c r="ON33" s="14">
        <f>OL33-OM33</f>
        <v/>
      </c>
      <c r="OO33" s="237">
        <f>ON33/OM33</f>
        <v/>
      </c>
      <c r="OP33" s="236" t="n">
        <v>-0.0002</v>
      </c>
      <c r="OQ33" s="236" t="n"/>
      <c r="OT33" s="201">
        <f>OK33</f>
        <v/>
      </c>
      <c r="OU33" s="199" t="n">
        <v>158472.4066</v>
      </c>
      <c r="OV33" s="9">
        <f>OU34</f>
        <v/>
      </c>
      <c r="OW33" s="671">
        <f>OU33-OV33</f>
        <v/>
      </c>
      <c r="OX33" s="182">
        <f>OW33/OV33</f>
        <v/>
      </c>
      <c r="OY33" s="0" t="n">
        <v>-0.0237</v>
      </c>
    </row>
    <row r="34" ht="17" customFormat="1" customHeight="1" s="9">
      <c r="A34" s="631" t="n"/>
      <c r="B34" s="631" t="n"/>
      <c r="C34" s="631" t="inlineStr">
        <is>
          <t>2026//9/24</t>
        </is>
      </c>
      <c r="D34" s="215" t="n">
        <v>2390448.77</v>
      </c>
      <c r="E34" s="20">
        <f>D35</f>
        <v/>
      </c>
      <c r="F34" s="20">
        <f>D34-E34</f>
        <v/>
      </c>
      <c r="G34" s="163">
        <f>F34/E34</f>
        <v/>
      </c>
      <c r="H34" s="19" t="n">
        <v>-0.0163</v>
      </c>
      <c r="I34" s="163" t="n"/>
      <c r="J34" s="163" t="n"/>
      <c r="K34" s="9">
        <f>C34</f>
        <v/>
      </c>
      <c r="L34" s="215" t="n">
        <v>1178884.4</v>
      </c>
      <c r="M34" s="20">
        <f>L35</f>
        <v/>
      </c>
      <c r="N34" s="20">
        <f>L34-M34</f>
        <v/>
      </c>
      <c r="O34" s="163">
        <f>N34/M34</f>
        <v/>
      </c>
      <c r="P34" s="19" t="n">
        <v>-0.0141</v>
      </c>
      <c r="Q34" s="163" t="n"/>
      <c r="R34" s="20" t="n"/>
      <c r="S34" s="9">
        <f>C34</f>
        <v/>
      </c>
      <c r="T34" s="215" t="n">
        <v>716736.6800000001</v>
      </c>
      <c r="U34" s="20">
        <f>T35</f>
        <v/>
      </c>
      <c r="V34" s="20">
        <f>T34-U34</f>
        <v/>
      </c>
      <c r="W34" s="163">
        <f>V34/U34</f>
        <v/>
      </c>
      <c r="X34" s="19" t="n">
        <v>-0.0137</v>
      </c>
      <c r="Y34" s="163" t="n"/>
      <c r="Z34" s="20" t="n"/>
      <c r="AA34" s="9">
        <f>S34</f>
        <v/>
      </c>
      <c r="AB34" s="215" t="n">
        <v>548736.86</v>
      </c>
      <c r="AC34" s="20">
        <f>AB35</f>
        <v/>
      </c>
      <c r="AD34" s="20">
        <f>AB34-AC34</f>
        <v/>
      </c>
      <c r="AE34" s="163">
        <f>AD34/AC34</f>
        <v/>
      </c>
      <c r="AF34" s="19" t="n">
        <v>-0.0215</v>
      </c>
      <c r="AG34" s="163" t="n"/>
      <c r="AH34" s="20" t="n"/>
      <c r="AI34" s="9">
        <f>C34</f>
        <v/>
      </c>
      <c r="AJ34" s="215" t="n">
        <v>645321.76</v>
      </c>
      <c r="AK34" s="20">
        <f>AJ35</f>
        <v/>
      </c>
      <c r="AL34" s="20">
        <f>AJ34-AK34</f>
        <v/>
      </c>
      <c r="AM34" s="163">
        <f>AL34/AK34</f>
        <v/>
      </c>
      <c r="AN34" s="19" t="n">
        <v>-0.0213</v>
      </c>
      <c r="AO34" s="19" t="n"/>
      <c r="AP34" s="20" t="n"/>
      <c r="AQ34" s="9">
        <f>C34</f>
        <v/>
      </c>
      <c r="AR34" s="242" t="n">
        <v>1996345.4936</v>
      </c>
      <c r="AS34" s="20">
        <f>AR35</f>
        <v/>
      </c>
      <c r="AT34" s="20">
        <f>AR34-AS34</f>
        <v/>
      </c>
      <c r="AU34" s="163">
        <f>AT34/AS34</f>
        <v/>
      </c>
      <c r="AV34" s="19" t="n">
        <v>-0.0256</v>
      </c>
      <c r="AW34" s="19" t="n"/>
      <c r="AX34" s="5" t="n"/>
      <c r="AY34" s="5" t="n"/>
      <c r="AZ34" s="9">
        <f>C34</f>
        <v/>
      </c>
      <c r="BA34" s="242" t="n">
        <v>656661.6676</v>
      </c>
      <c r="BB34" s="24">
        <f>BA35</f>
        <v/>
      </c>
      <c r="BC34" s="5">
        <f>BA34-BB34</f>
        <v/>
      </c>
      <c r="BD34" s="19">
        <f>BC34/BB34</f>
        <v/>
      </c>
      <c r="BE34" s="19" t="n">
        <v>-0.0161</v>
      </c>
      <c r="BF34" s="19" t="n"/>
      <c r="BG34" s="647" t="n"/>
      <c r="BH34" s="9">
        <f>C34</f>
        <v/>
      </c>
      <c r="BI34" s="242" t="n">
        <v>1108326.5525</v>
      </c>
      <c r="BJ34" s="184">
        <f>BI35</f>
        <v/>
      </c>
      <c r="BK34" s="184">
        <f>BI34-BJ34</f>
        <v/>
      </c>
      <c r="BL34" s="190">
        <f>BK34/BJ34</f>
        <v/>
      </c>
      <c r="BM34" s="191" t="n">
        <v>-0.0181</v>
      </c>
      <c r="BN34" s="182" t="n"/>
      <c r="BP34" s="9">
        <f>C34</f>
        <v/>
      </c>
      <c r="BQ34" s="242" t="n">
        <v>1388162.3921</v>
      </c>
      <c r="BR34" s="13">
        <f>BQ35</f>
        <v/>
      </c>
      <c r="BS34" s="13">
        <f>BQ34-BR34</f>
        <v/>
      </c>
      <c r="BT34" s="193">
        <f>BS34/BR34</f>
        <v/>
      </c>
      <c r="BU34" s="182" t="n">
        <v>-0.0181</v>
      </c>
      <c r="BV34" s="182" t="n"/>
      <c r="BX34" s="9">
        <f>C34</f>
        <v/>
      </c>
      <c r="BY34" s="242" t="n">
        <v>1624710.7019</v>
      </c>
      <c r="BZ34" s="13">
        <f>BY35</f>
        <v/>
      </c>
      <c r="CA34" s="13">
        <f>BY34-BZ34</f>
        <v/>
      </c>
      <c r="CB34" s="193">
        <f>CA34/BZ34</f>
        <v/>
      </c>
      <c r="CC34" s="182" t="n">
        <v>-0.0219</v>
      </c>
      <c r="CD34" s="194" t="n"/>
      <c r="CF34" s="9">
        <f>C34</f>
        <v/>
      </c>
      <c r="CG34" s="215" t="n">
        <v>1420853.9</v>
      </c>
      <c r="CH34" s="13">
        <f>CG35</f>
        <v/>
      </c>
      <c r="CI34" s="13">
        <f>CG34-CH34</f>
        <v/>
      </c>
      <c r="CJ34" s="193">
        <f>CI34/CH34</f>
        <v/>
      </c>
      <c r="CK34" s="182" t="n">
        <v>-0.0344</v>
      </c>
      <c r="CL34" s="194" t="n"/>
      <c r="CN34" s="9">
        <f>C34</f>
        <v/>
      </c>
      <c r="CO34" s="215" t="n">
        <v>520846.48</v>
      </c>
      <c r="CP34" s="13">
        <f>CO35</f>
        <v/>
      </c>
      <c r="CQ34" s="13">
        <f>CO34-CP34</f>
        <v/>
      </c>
      <c r="CR34" s="193">
        <f>CQ34/CP34</f>
        <v/>
      </c>
      <c r="CS34" s="194" t="n">
        <v>-0.0354</v>
      </c>
      <c r="CT34" s="194" t="n"/>
      <c r="CV34" s="9">
        <f>C34</f>
        <v/>
      </c>
      <c r="CW34" s="215" t="n">
        <v>680290.4</v>
      </c>
      <c r="CX34" s="13">
        <f>CW35</f>
        <v/>
      </c>
      <c r="CY34" s="13">
        <f>CW34-CX34</f>
        <v/>
      </c>
      <c r="CZ34" s="193">
        <f>CY34/CX34</f>
        <v/>
      </c>
      <c r="DA34" s="182" t="n">
        <v>-0.0432</v>
      </c>
      <c r="DB34" s="182" t="n"/>
      <c r="DC34" s="186" t="n"/>
      <c r="DD34" s="9">
        <f>C34</f>
        <v/>
      </c>
      <c r="DE34" s="242" t="n">
        <v>6138835.9972</v>
      </c>
      <c r="DF34" s="13">
        <f>DE35</f>
        <v/>
      </c>
      <c r="DG34" s="13">
        <f>DE34-DF34</f>
        <v/>
      </c>
      <c r="DH34" s="193">
        <f>DG34/DF34</f>
        <v/>
      </c>
      <c r="DI34" s="182" t="n">
        <v>-0.0237</v>
      </c>
      <c r="DJ34" s="182" t="n"/>
      <c r="DK34" s="0" t="n"/>
      <c r="DL34" s="9">
        <f>C34</f>
        <v/>
      </c>
      <c r="DM34" s="215" t="n">
        <v>1970600.72</v>
      </c>
      <c r="DN34" s="13">
        <f>DM35</f>
        <v/>
      </c>
      <c r="DO34" s="13">
        <f>DM34-DN34</f>
        <v/>
      </c>
      <c r="DP34" s="193">
        <f>DO34/DN34</f>
        <v/>
      </c>
      <c r="DQ34" s="182" t="n">
        <v>-0.0266</v>
      </c>
      <c r="DR34" s="182" t="n"/>
      <c r="DT34" s="9">
        <f>C34</f>
        <v/>
      </c>
      <c r="DU34" s="215" t="n">
        <v>4358518.43</v>
      </c>
      <c r="DV34" s="13">
        <f>DU35</f>
        <v/>
      </c>
      <c r="DW34" s="13">
        <f>DU34-DV34</f>
        <v/>
      </c>
      <c r="DX34" s="193">
        <f>DW34/DV34</f>
        <v/>
      </c>
      <c r="DY34" s="182" t="n">
        <v>-0.0244</v>
      </c>
      <c r="DZ34" s="182" t="n"/>
      <c r="EB34" s="9">
        <f>C34</f>
        <v/>
      </c>
      <c r="EC34" s="215" t="n">
        <v>5505266.82</v>
      </c>
      <c r="ED34" s="13">
        <f>EC35</f>
        <v/>
      </c>
      <c r="EE34" s="13">
        <f>EC34-ED34</f>
        <v/>
      </c>
      <c r="EF34" s="193">
        <f>EE34/ED34</f>
        <v/>
      </c>
      <c r="EG34" s="182" t="n">
        <v>-0.0239</v>
      </c>
      <c r="EH34" s="182" t="n"/>
      <c r="EJ34" s="9">
        <f>C34</f>
        <v/>
      </c>
      <c r="EK34" s="242" t="n">
        <v>1186922.9669</v>
      </c>
      <c r="EL34" s="13">
        <f>EK35</f>
        <v/>
      </c>
      <c r="EM34" s="13">
        <f>EK34-EL34</f>
        <v/>
      </c>
      <c r="EN34" s="193">
        <f>EM34/EL34</f>
        <v/>
      </c>
      <c r="EO34" s="182" t="n">
        <v>-0.0184</v>
      </c>
      <c r="EP34" s="182" t="n"/>
      <c r="ER34" s="9">
        <f>C34</f>
        <v/>
      </c>
      <c r="ES34" s="215" t="n">
        <v>745494.04</v>
      </c>
      <c r="ET34" s="13">
        <f>ES35</f>
        <v/>
      </c>
      <c r="EU34" s="13">
        <f>ES34-ET34</f>
        <v/>
      </c>
      <c r="EV34" s="193">
        <f>EU34/ET34</f>
        <v/>
      </c>
      <c r="EW34" s="182" t="n">
        <v>-0.0211</v>
      </c>
      <c r="EX34" s="182" t="n"/>
      <c r="EZ34" s="9">
        <f>C34</f>
        <v/>
      </c>
      <c r="FA34" s="215" t="n">
        <v>682008</v>
      </c>
      <c r="FB34" s="13">
        <f>FA35</f>
        <v/>
      </c>
      <c r="FC34" s="13">
        <f>FA34-FB34</f>
        <v/>
      </c>
      <c r="FD34" s="193">
        <f>FC34/FB34</f>
        <v/>
      </c>
      <c r="FE34" s="182" t="n">
        <v>-0.0183</v>
      </c>
      <c r="FF34" s="182" t="n"/>
      <c r="FG34" s="182" t="n"/>
      <c r="FH34" s="9">
        <f>C34</f>
        <v/>
      </c>
      <c r="FI34" s="242" t="n">
        <v>908695.3365</v>
      </c>
      <c r="FJ34" s="13">
        <f>FI35</f>
        <v/>
      </c>
      <c r="FK34" s="13">
        <f>FI34-FJ34</f>
        <v/>
      </c>
      <c r="FL34" s="193">
        <f>FK34/FJ34</f>
        <v/>
      </c>
      <c r="FM34" s="194" t="n">
        <v>-0.0124</v>
      </c>
      <c r="FN34" s="194" t="n"/>
      <c r="FP34" s="9">
        <f>C34</f>
        <v/>
      </c>
      <c r="FQ34" s="215" t="n">
        <v>1812718.73</v>
      </c>
      <c r="FR34" s="13">
        <f>FQ35</f>
        <v/>
      </c>
      <c r="FS34" s="13">
        <f>FQ34-FR34</f>
        <v/>
      </c>
      <c r="FT34" s="193">
        <f>FS34/FR34</f>
        <v/>
      </c>
      <c r="FU34" s="182" t="n">
        <v>-0.0108</v>
      </c>
      <c r="FV34" s="182" t="n"/>
      <c r="FX34" s="9">
        <f>C34</f>
        <v/>
      </c>
      <c r="FY34" s="215" t="n">
        <v>7014182.05</v>
      </c>
      <c r="FZ34" s="13">
        <f>FY35</f>
        <v/>
      </c>
      <c r="GA34" s="13">
        <f>FY34-FZ34</f>
        <v/>
      </c>
      <c r="GB34" s="193">
        <f>GA34/FZ34</f>
        <v/>
      </c>
      <c r="GC34" s="182" t="n">
        <v>-0.0229</v>
      </c>
      <c r="GD34" s="182" t="n"/>
      <c r="GF34" s="9">
        <f>C34</f>
        <v/>
      </c>
      <c r="GG34" s="215" t="n">
        <v>3926269.49</v>
      </c>
      <c r="GH34" s="13">
        <f>GG35</f>
        <v/>
      </c>
      <c r="GI34" s="13">
        <f>GG34-GH34</f>
        <v/>
      </c>
      <c r="GJ34" s="193">
        <f>GI34/GH34</f>
        <v/>
      </c>
      <c r="GK34" s="182" t="n">
        <v>-0.0234</v>
      </c>
      <c r="GL34" s="182" t="n"/>
      <c r="GN34" s="9">
        <f>C34</f>
        <v/>
      </c>
      <c r="GO34" s="242" t="n">
        <v>1917958.1217</v>
      </c>
      <c r="GP34" s="13">
        <f>GO35</f>
        <v/>
      </c>
      <c r="GQ34" s="13">
        <f>GO34-GP34</f>
        <v/>
      </c>
      <c r="GR34" s="193">
        <f>GQ34/GP34</f>
        <v/>
      </c>
      <c r="GS34" s="182" t="n">
        <v>-0.0333</v>
      </c>
      <c r="GT34" s="182" t="n"/>
      <c r="GV34" s="9">
        <f>C34</f>
        <v/>
      </c>
      <c r="GW34" s="215" t="n">
        <v>594149.4</v>
      </c>
      <c r="GX34" s="13">
        <f>GW35</f>
        <v/>
      </c>
      <c r="GY34" s="13">
        <f>GW34-GX34</f>
        <v/>
      </c>
      <c r="GZ34" s="193">
        <f>GY34/GX34</f>
        <v/>
      </c>
      <c r="HA34" s="182" t="n">
        <v>-0.027</v>
      </c>
      <c r="HB34" s="182" t="n"/>
      <c r="HD34" s="9">
        <f>C34</f>
        <v/>
      </c>
      <c r="HE34" s="242" t="n">
        <v>768164.6746</v>
      </c>
      <c r="HF34" s="13">
        <f>HE35</f>
        <v/>
      </c>
      <c r="HG34" s="13">
        <f>HE34-HF34</f>
        <v/>
      </c>
      <c r="HH34" s="193">
        <f>HG34/HF34</f>
        <v/>
      </c>
      <c r="HI34" s="194" t="n">
        <v>-0.0228</v>
      </c>
      <c r="HJ34" s="182" t="n"/>
      <c r="HL34" s="9">
        <f>C34</f>
        <v/>
      </c>
      <c r="HM34" s="215" t="n">
        <v>106504.25</v>
      </c>
      <c r="HN34" s="13">
        <f>HM35</f>
        <v/>
      </c>
      <c r="HO34" s="13">
        <f>HM34-HN34</f>
        <v/>
      </c>
      <c r="HP34" s="193">
        <f>HO34/HN34</f>
        <v/>
      </c>
      <c r="HQ34" s="182" t="n">
        <v>-0.0173</v>
      </c>
      <c r="HR34" s="182" t="n"/>
      <c r="HT34" s="9">
        <f>C34</f>
        <v/>
      </c>
      <c r="HU34" s="242" t="n">
        <v>117968.8265</v>
      </c>
      <c r="HV34" s="13">
        <f>HU35</f>
        <v/>
      </c>
      <c r="HW34" s="13">
        <f>HU34-HV34</f>
        <v/>
      </c>
      <c r="HX34" s="193">
        <f>HW34/HV34</f>
        <v/>
      </c>
      <c r="HY34" s="182" t="n">
        <v>-0.017</v>
      </c>
      <c r="HZ34" s="182" t="n"/>
      <c r="IB34" s="9">
        <f>C34</f>
        <v/>
      </c>
      <c r="IC34" s="215" t="n">
        <v>316284.79</v>
      </c>
      <c r="ID34" s="13">
        <f>IC35</f>
        <v/>
      </c>
      <c r="IE34" s="13">
        <f>IC34-ID34</f>
        <v/>
      </c>
      <c r="IF34" s="193">
        <f>IE34/ID34</f>
        <v/>
      </c>
      <c r="IG34" s="194" t="n">
        <v>-0.0218</v>
      </c>
      <c r="IH34" s="182" t="n"/>
      <c r="IJ34" s="9">
        <f>C34</f>
        <v/>
      </c>
      <c r="IK34" s="242" t="n">
        <v>877676.29</v>
      </c>
      <c r="IL34" s="13">
        <f>IK35</f>
        <v/>
      </c>
      <c r="IM34" s="13">
        <f>IK34-IL34</f>
        <v/>
      </c>
      <c r="IN34" s="193">
        <f>IM34/IL34</f>
        <v/>
      </c>
      <c r="IO34" s="182" t="n">
        <v>0</v>
      </c>
      <c r="IP34" s="182" t="n"/>
      <c r="IR34" s="9">
        <f>C34</f>
        <v/>
      </c>
      <c r="IS34" s="215" t="n">
        <v>168189</v>
      </c>
      <c r="IT34" s="13">
        <f>IS35</f>
        <v/>
      </c>
      <c r="IU34" s="13">
        <f>IS34-IT34</f>
        <v/>
      </c>
      <c r="IV34" s="193">
        <f>IU34/IT34</f>
        <v/>
      </c>
      <c r="IW34" s="182" t="n">
        <v>-0.0169</v>
      </c>
      <c r="IX34" s="182" t="n"/>
      <c r="IZ34" s="9">
        <f>C34</f>
        <v/>
      </c>
      <c r="JA34" s="215" t="n">
        <v>5652329.15</v>
      </c>
      <c r="JB34" s="13">
        <f>JA35</f>
        <v/>
      </c>
      <c r="JC34" s="13">
        <f>JA34-JB34</f>
        <v/>
      </c>
      <c r="JD34" s="193">
        <f>JC34/JB34</f>
        <v/>
      </c>
      <c r="JE34" s="182" t="n">
        <v>-0.0178</v>
      </c>
      <c r="JF34" s="182" t="n"/>
      <c r="JH34" s="9">
        <f>C34</f>
        <v/>
      </c>
      <c r="JI34" s="215" t="n">
        <v>1174767.99</v>
      </c>
      <c r="JJ34" s="13">
        <f>JI35</f>
        <v/>
      </c>
      <c r="JK34" s="13">
        <f>JI34-JJ34</f>
        <v/>
      </c>
      <c r="JL34" s="193">
        <f>JK34/JJ34</f>
        <v/>
      </c>
      <c r="JM34" s="182" t="n">
        <v>0.0072</v>
      </c>
      <c r="JN34" s="182" t="n"/>
      <c r="JO34" s="182" t="n"/>
      <c r="JP34" s="9">
        <f>C34</f>
        <v/>
      </c>
      <c r="JQ34" s="242" t="n">
        <v>1044390.4148</v>
      </c>
      <c r="JR34" s="13">
        <f>JQ35</f>
        <v/>
      </c>
      <c r="JS34" s="13">
        <f>JQ34-JR34</f>
        <v/>
      </c>
      <c r="JT34" s="193">
        <f>JS34/JR34</f>
        <v/>
      </c>
      <c r="JU34" s="182" t="n">
        <v>-0.0215</v>
      </c>
      <c r="JV34" s="182" t="n"/>
      <c r="JW34" s="194" t="n"/>
      <c r="JX34" s="9">
        <f>C34</f>
        <v/>
      </c>
      <c r="JY34" s="215" t="n">
        <v>998048.8</v>
      </c>
      <c r="JZ34" s="13">
        <f>JY35</f>
        <v/>
      </c>
      <c r="KA34" s="13">
        <f>JY34-JZ34</f>
        <v/>
      </c>
      <c r="KB34" s="193">
        <f>KA34/JZ34</f>
        <v/>
      </c>
      <c r="KC34" s="182" t="n">
        <v>-0.0171</v>
      </c>
      <c r="KD34" s="182" t="n"/>
      <c r="KE34" s="194" t="n"/>
      <c r="KF34" s="9">
        <f>C34</f>
        <v/>
      </c>
      <c r="KG34" s="242" t="n">
        <v>567155.9219</v>
      </c>
      <c r="KH34" s="13">
        <f>KG35</f>
        <v/>
      </c>
      <c r="KI34" s="13">
        <f>KG34-KH34</f>
        <v/>
      </c>
      <c r="KJ34" s="193">
        <f>KI34/KH34</f>
        <v/>
      </c>
      <c r="KK34" s="194" t="n">
        <v>-0.0048</v>
      </c>
      <c r="KL34" s="194" t="n"/>
      <c r="KN34" s="9">
        <f>C34</f>
        <v/>
      </c>
      <c r="KO34" s="215" t="n">
        <v>7126775.95</v>
      </c>
      <c r="KP34" s="13">
        <f>KO35</f>
        <v/>
      </c>
      <c r="KQ34" s="13">
        <f>KO34-KP34</f>
        <v/>
      </c>
      <c r="KR34" s="193">
        <f>KQ34/KP34</f>
        <v/>
      </c>
      <c r="KS34" s="182" t="n">
        <v>-0.0054</v>
      </c>
      <c r="KT34" s="182" t="n"/>
      <c r="KV34" s="9">
        <f>C34</f>
        <v/>
      </c>
      <c r="KW34" s="242" t="n">
        <v>1026272.9726</v>
      </c>
      <c r="KX34" s="13">
        <f>KW35</f>
        <v/>
      </c>
      <c r="KY34" s="13">
        <f>KW34-KX34</f>
        <v/>
      </c>
      <c r="KZ34" s="193">
        <f>KY34/KX34</f>
        <v/>
      </c>
      <c r="LA34" s="194" t="n">
        <v>-0.0363</v>
      </c>
      <c r="LB34" s="182" t="n"/>
      <c r="LD34" s="9">
        <f>C34</f>
        <v/>
      </c>
      <c r="LE34" s="215" t="n">
        <v>375707.7</v>
      </c>
      <c r="LF34" s="13">
        <f>LE35</f>
        <v/>
      </c>
      <c r="LG34" s="13">
        <f>LE34-LF34</f>
        <v/>
      </c>
      <c r="LH34" s="193">
        <f>LG34/LF34</f>
        <v/>
      </c>
      <c r="LI34" s="182" t="n">
        <v>-0.0169</v>
      </c>
      <c r="LJ34" s="182" t="n"/>
      <c r="LL34" s="9">
        <f>C34</f>
        <v/>
      </c>
      <c r="LM34" s="215" t="n">
        <v>3193855.02</v>
      </c>
      <c r="LN34" s="13">
        <f>LM35</f>
        <v/>
      </c>
      <c r="LO34" s="13">
        <f>LM34-LN34</f>
        <v/>
      </c>
      <c r="LP34" s="193">
        <f>LO34/LN34</f>
        <v/>
      </c>
      <c r="LQ34" s="182" t="n">
        <v>-0.0169</v>
      </c>
      <c r="LR34" s="182" t="n"/>
      <c r="LT34" s="9">
        <f>C34</f>
        <v/>
      </c>
      <c r="LU34" s="242" t="n">
        <v>2278662.904</v>
      </c>
      <c r="LV34" s="13">
        <f>LU35</f>
        <v/>
      </c>
      <c r="LW34" s="13">
        <f>LU34-LV34</f>
        <v/>
      </c>
      <c r="LX34" s="193">
        <f>LW34/LV34</f>
        <v/>
      </c>
      <c r="LY34" s="182" t="n">
        <v>-0.0152</v>
      </c>
      <c r="LZ34" s="182" t="n"/>
      <c r="MB34" s="9">
        <f>C34</f>
        <v/>
      </c>
      <c r="MC34" s="215" t="n">
        <v>806317.6899999999</v>
      </c>
      <c r="MD34" s="13">
        <f>MC35</f>
        <v/>
      </c>
      <c r="ME34" s="13">
        <f>MC34-MD34</f>
        <v/>
      </c>
      <c r="MF34" s="193">
        <f>ME34/MD34</f>
        <v/>
      </c>
      <c r="MG34" s="182" t="n">
        <v>0.0032</v>
      </c>
      <c r="MH34" s="182" t="n"/>
      <c r="MK34" s="9">
        <f>C34</f>
        <v/>
      </c>
      <c r="ML34" s="242" t="n">
        <v>164265.5354</v>
      </c>
      <c r="MM34" s="13">
        <f>ML35</f>
        <v/>
      </c>
      <c r="MN34" s="13">
        <f>ML34-MM34</f>
        <v/>
      </c>
      <c r="MO34" s="193">
        <f>MN34/MM34</f>
        <v/>
      </c>
      <c r="MP34" s="182" t="n">
        <v>-0.0158</v>
      </c>
      <c r="MQ34" s="194" t="n"/>
      <c r="MR34" s="194" t="n"/>
      <c r="MT34" s="9">
        <f>C34</f>
        <v/>
      </c>
      <c r="MU34" s="215" t="n">
        <v>119914.8</v>
      </c>
      <c r="MV34" s="188">
        <f>MU35</f>
        <v/>
      </c>
      <c r="MW34" s="9">
        <f>MU34-MV34</f>
        <v/>
      </c>
      <c r="MX34" s="182">
        <f>MW34/MV34</f>
        <v/>
      </c>
      <c r="MY34" s="182" t="n">
        <v>0.0014</v>
      </c>
      <c r="MZ34" s="182" t="n"/>
      <c r="NA34" s="182" t="n"/>
      <c r="NC34" s="9">
        <f>C34</f>
        <v/>
      </c>
      <c r="ND34" s="215" t="n">
        <v>31091.48</v>
      </c>
      <c r="NE34" s="188">
        <f>ND35</f>
        <v/>
      </c>
      <c r="NF34" s="9">
        <f>ND34-NE34</f>
        <v/>
      </c>
      <c r="NG34" s="182">
        <f>NF34/NE34</f>
        <v/>
      </c>
      <c r="NH34" s="182" t="n">
        <v>-0.0222</v>
      </c>
      <c r="NI34" s="182" t="n"/>
      <c r="NJ34" s="182" t="n"/>
      <c r="NK34" s="182" t="n"/>
      <c r="NM34" s="9">
        <f>C34</f>
        <v/>
      </c>
      <c r="NN34" s="215" t="n">
        <v>2579411.08</v>
      </c>
      <c r="NO34" s="9">
        <f>NN35</f>
        <v/>
      </c>
      <c r="NP34" s="197">
        <f>NN34-NO34</f>
        <v/>
      </c>
      <c r="NQ34" s="198">
        <f>NP34/NO34</f>
        <v/>
      </c>
      <c r="NR34" s="182" t="n">
        <v>0.0025</v>
      </c>
      <c r="NS34" s="0" t="n"/>
      <c r="NU34" s="9">
        <f>C34</f>
        <v/>
      </c>
      <c r="NV34" s="215" t="n">
        <v>227476.5</v>
      </c>
      <c r="NW34" s="188">
        <f>NV35</f>
        <v/>
      </c>
      <c r="NX34" s="197">
        <f>NV34-NW34</f>
        <v/>
      </c>
      <c r="NY34" s="198">
        <f>NX34/NW34</f>
        <v/>
      </c>
      <c r="NZ34" s="194" t="n">
        <v>-0.0181</v>
      </c>
      <c r="OA34" s="185" t="n"/>
      <c r="OC34" s="9">
        <f>C34</f>
        <v/>
      </c>
      <c r="OD34" s="215" t="n">
        <v>21819.97</v>
      </c>
      <c r="OE34" s="13">
        <f>OD35</f>
        <v/>
      </c>
      <c r="OF34" s="13">
        <f>OD34-OE34</f>
        <v/>
      </c>
      <c r="OG34" s="193">
        <f>OF34/OE34</f>
        <v/>
      </c>
      <c r="OH34" s="182" t="n">
        <v>0.0036</v>
      </c>
      <c r="OI34" s="182" t="n"/>
      <c r="OK34" s="9">
        <f>C34</f>
        <v/>
      </c>
      <c r="OL34" s="215" t="n">
        <v>17934.65</v>
      </c>
      <c r="OM34" s="13">
        <f>OL35</f>
        <v/>
      </c>
      <c r="ON34" s="13">
        <f>OL34-OM34</f>
        <v/>
      </c>
      <c r="OO34" s="193">
        <f>ON34/OM34</f>
        <v/>
      </c>
      <c r="OP34" s="182" t="n">
        <v>0.0004</v>
      </c>
      <c r="OQ34" s="182" t="n"/>
      <c r="OT34" s="201">
        <f>OK34</f>
        <v/>
      </c>
      <c r="OU34" s="199" t="n">
        <v>158352.4066</v>
      </c>
      <c r="OV34" s="9">
        <f>OU35</f>
        <v/>
      </c>
      <c r="OW34" s="671">
        <f>OU34-OV34</f>
        <v/>
      </c>
      <c r="OX34" s="182">
        <f>OW34/OV34</f>
        <v/>
      </c>
      <c r="OY34" s="0" t="n">
        <v>0.0065</v>
      </c>
    </row>
    <row r="35" ht="17" customFormat="1" customHeight="1" s="9">
      <c r="A35" s="631" t="n"/>
      <c r="B35" s="631" t="n"/>
      <c r="C35" s="631" t="inlineStr">
        <is>
          <t>2026//9/23</t>
        </is>
      </c>
      <c r="D35" s="215" t="n">
        <v>2400528.77</v>
      </c>
      <c r="E35" s="20">
        <f>D36</f>
        <v/>
      </c>
      <c r="F35" s="20">
        <f>D35-E35</f>
        <v/>
      </c>
      <c r="G35" s="163">
        <f>F35/E35</f>
        <v/>
      </c>
      <c r="H35" s="19" t="n">
        <v>-0.005</v>
      </c>
      <c r="I35" s="163" t="n"/>
      <c r="J35" s="163" t="n"/>
      <c r="K35" s="9">
        <f>C35</f>
        <v/>
      </c>
      <c r="L35" s="215" t="n">
        <v>1180684.4</v>
      </c>
      <c r="M35" s="20">
        <f>L36</f>
        <v/>
      </c>
      <c r="N35" s="20">
        <f>L35-M35</f>
        <v/>
      </c>
      <c r="O35" s="163">
        <f>N35/M35</f>
        <v/>
      </c>
      <c r="P35" s="19" t="n">
        <v>-0.0065</v>
      </c>
      <c r="Q35" s="163" t="n"/>
      <c r="R35" s="20" t="n"/>
      <c r="S35" s="9">
        <f>C35</f>
        <v/>
      </c>
      <c r="T35" s="215" t="n">
        <v>737976.6800000001</v>
      </c>
      <c r="U35" s="20">
        <f>T36</f>
        <v/>
      </c>
      <c r="V35" s="20">
        <f>T35-U35</f>
        <v/>
      </c>
      <c r="W35" s="163">
        <f>V35/U35</f>
        <v/>
      </c>
      <c r="X35" s="19" t="n">
        <v>-0.005</v>
      </c>
      <c r="Y35" s="163" t="n"/>
      <c r="Z35" s="20" t="n"/>
      <c r="AA35" s="9">
        <f>S35</f>
        <v/>
      </c>
      <c r="AB35" s="215" t="n">
        <v>576496.86</v>
      </c>
      <c r="AC35" s="20">
        <f>AB36</f>
        <v/>
      </c>
      <c r="AD35" s="20">
        <f>AB35-AC35</f>
        <v/>
      </c>
      <c r="AE35" s="163">
        <f>AD35/AC35</f>
        <v/>
      </c>
      <c r="AF35" s="19" t="n">
        <v>-0.0041</v>
      </c>
      <c r="AG35" s="163" t="n"/>
      <c r="AH35" s="20" t="n"/>
      <c r="AI35" s="9">
        <f>C35</f>
        <v/>
      </c>
      <c r="AJ35" s="215" t="n">
        <v>647121.76</v>
      </c>
      <c r="AK35" s="20">
        <f>AJ36</f>
        <v/>
      </c>
      <c r="AL35" s="20">
        <f>AJ35-AK35</f>
        <v/>
      </c>
      <c r="AM35" s="163">
        <f>AL35/AK35</f>
        <v/>
      </c>
      <c r="AN35" s="19" t="n">
        <v>-0.0005999999999999999</v>
      </c>
      <c r="AO35" s="19" t="n"/>
      <c r="AP35" s="20" t="n"/>
      <c r="AQ35" s="9">
        <f>C35</f>
        <v/>
      </c>
      <c r="AR35" s="242" t="n">
        <v>1964845.4936</v>
      </c>
      <c r="AS35" s="20">
        <f>AR36</f>
        <v/>
      </c>
      <c r="AT35" s="20">
        <f>AR35-AS35</f>
        <v/>
      </c>
      <c r="AU35" s="163">
        <f>AT35/AS35</f>
        <v/>
      </c>
      <c r="AV35" s="19" t="n">
        <v>-0.0061</v>
      </c>
      <c r="AW35" s="19" t="n"/>
      <c r="AX35" s="5" t="n"/>
      <c r="AY35" s="5" t="n"/>
      <c r="AZ35" s="9">
        <f>C35</f>
        <v/>
      </c>
      <c r="BA35" s="242" t="n">
        <v>651891.6676</v>
      </c>
      <c r="BB35" s="24">
        <f>BA36</f>
        <v/>
      </c>
      <c r="BC35" s="5">
        <f>BA35-BB35</f>
        <v/>
      </c>
      <c r="BD35" s="19">
        <f>BC35/BB35</f>
        <v/>
      </c>
      <c r="BE35" s="19" t="n">
        <v>-0.0058</v>
      </c>
      <c r="BF35" s="19" t="n"/>
      <c r="BG35" s="647" t="n"/>
      <c r="BH35" s="9">
        <f>C35</f>
        <v/>
      </c>
      <c r="BI35" s="242" t="n">
        <v>1109426.5525</v>
      </c>
      <c r="BJ35" s="184">
        <f>BI36</f>
        <v/>
      </c>
      <c r="BK35" s="184">
        <f>BI35-BJ35</f>
        <v/>
      </c>
      <c r="BL35" s="190">
        <f>BK35/BJ35</f>
        <v/>
      </c>
      <c r="BM35" s="191" t="n">
        <v>-0.0113</v>
      </c>
      <c r="BN35" s="182" t="n"/>
      <c r="BP35" s="9">
        <f>C35</f>
        <v/>
      </c>
      <c r="BQ35" s="242" t="n">
        <v>1385662.3921</v>
      </c>
      <c r="BR35" s="13">
        <f>BQ36</f>
        <v/>
      </c>
      <c r="BS35" s="13">
        <f>BQ35-BR35</f>
        <v/>
      </c>
      <c r="BT35" s="193">
        <f>BS35/BR35</f>
        <v/>
      </c>
      <c r="BU35" s="182" t="n">
        <v>-0.0148</v>
      </c>
      <c r="BV35" s="182" t="n"/>
      <c r="BX35" s="9">
        <f>C35</f>
        <v/>
      </c>
      <c r="BY35" s="242" t="n">
        <v>1634260.7019</v>
      </c>
      <c r="BZ35" s="13">
        <f>BY36</f>
        <v/>
      </c>
      <c r="CA35" s="13">
        <f>BY35-BZ35</f>
        <v/>
      </c>
      <c r="CB35" s="193">
        <f>CA35/BZ35</f>
        <v/>
      </c>
      <c r="CC35" s="182" t="n">
        <v>0.0039</v>
      </c>
      <c r="CD35" s="194" t="n"/>
      <c r="CF35" s="9">
        <f>C35</f>
        <v/>
      </c>
      <c r="CG35" s="215" t="n">
        <v>1421703.9</v>
      </c>
      <c r="CH35" s="13">
        <f>CG36</f>
        <v/>
      </c>
      <c r="CI35" s="13">
        <f>CG35-CH35</f>
        <v/>
      </c>
      <c r="CJ35" s="193">
        <f>CI35/CH35</f>
        <v/>
      </c>
      <c r="CK35" s="182" t="n">
        <v>-0.0092</v>
      </c>
      <c r="CL35" s="194" t="n"/>
      <c r="CN35" s="9">
        <f>C35</f>
        <v/>
      </c>
      <c r="CO35" s="215" t="n">
        <v>521746.48</v>
      </c>
      <c r="CP35" s="13">
        <f>CO36</f>
        <v/>
      </c>
      <c r="CQ35" s="13">
        <f>CO35-CP35</f>
        <v/>
      </c>
      <c r="CR35" s="193">
        <f>CQ35/CP35</f>
        <v/>
      </c>
      <c r="CS35" s="194" t="n">
        <v>-0.008500000000000001</v>
      </c>
      <c r="CT35" s="194" t="n"/>
      <c r="CV35" s="9">
        <f>C35</f>
        <v/>
      </c>
      <c r="CW35" s="215" t="n">
        <v>704540.4</v>
      </c>
      <c r="CX35" s="13">
        <f>CW36</f>
        <v/>
      </c>
      <c r="CY35" s="13">
        <f>CW35-CX35</f>
        <v/>
      </c>
      <c r="CZ35" s="193">
        <f>CY35/CX35</f>
        <v/>
      </c>
      <c r="DA35" s="182" t="n">
        <v>-0.008</v>
      </c>
      <c r="DB35" s="182" t="n"/>
      <c r="DC35" s="186" t="n"/>
      <c r="DD35" s="9">
        <f>C35</f>
        <v/>
      </c>
      <c r="DE35" s="242" t="n">
        <v>6147235.9972</v>
      </c>
      <c r="DF35" s="13">
        <f>DE36</f>
        <v/>
      </c>
      <c r="DG35" s="13">
        <f>DE35-DF35</f>
        <v/>
      </c>
      <c r="DH35" s="193">
        <f>DG35/DF35</f>
        <v/>
      </c>
      <c r="DI35" s="182" t="n">
        <v>0.0056</v>
      </c>
      <c r="DJ35" s="182" t="n"/>
      <c r="DK35" s="0" t="n"/>
      <c r="DL35" s="9">
        <f>C35</f>
        <v/>
      </c>
      <c r="DM35" s="215" t="n">
        <v>1965800.72</v>
      </c>
      <c r="DN35" s="13">
        <f>DM36</f>
        <v/>
      </c>
      <c r="DO35" s="13">
        <f>DM35-DN35</f>
        <v/>
      </c>
      <c r="DP35" s="193">
        <f>DO35/DN35</f>
        <v/>
      </c>
      <c r="DQ35" s="182" t="n">
        <v>0</v>
      </c>
      <c r="DR35" s="182" t="n"/>
      <c r="DT35" s="9">
        <f>C35</f>
        <v/>
      </c>
      <c r="DU35" s="215" t="n">
        <v>4347268.43</v>
      </c>
      <c r="DV35" s="13">
        <f>DU36</f>
        <v/>
      </c>
      <c r="DW35" s="13">
        <f>DU35-DV35</f>
        <v/>
      </c>
      <c r="DX35" s="193">
        <f>DW35/DV35</f>
        <v/>
      </c>
      <c r="DY35" s="182" t="n">
        <v>-0.0017</v>
      </c>
      <c r="DZ35" s="182" t="n"/>
      <c r="EB35" s="9">
        <f>C35</f>
        <v/>
      </c>
      <c r="EC35" s="215" t="n">
        <v>5429066.82</v>
      </c>
      <c r="ED35" s="13">
        <f>EC36</f>
        <v/>
      </c>
      <c r="EE35" s="13">
        <f>EC35-ED35</f>
        <v/>
      </c>
      <c r="EF35" s="193">
        <f>EE35/ED35</f>
        <v/>
      </c>
      <c r="EG35" s="182" t="n">
        <v>-0.0017</v>
      </c>
      <c r="EH35" s="182" t="n"/>
      <c r="EJ35" s="9">
        <f>C35</f>
        <v/>
      </c>
      <c r="EK35" s="242" t="n">
        <v>1187322.9669</v>
      </c>
      <c r="EL35" s="13">
        <f>EK36</f>
        <v/>
      </c>
      <c r="EM35" s="13">
        <f>EK35-EL35</f>
        <v/>
      </c>
      <c r="EN35" s="193">
        <f>EM35/EL35</f>
        <v/>
      </c>
      <c r="EO35" s="182" t="n">
        <v>-0.0077</v>
      </c>
      <c r="EP35" s="182" t="n"/>
      <c r="ER35" s="9">
        <f>C35</f>
        <v/>
      </c>
      <c r="ES35" s="215" t="n">
        <v>746094.04</v>
      </c>
      <c r="ET35" s="13">
        <f>ES36</f>
        <v/>
      </c>
      <c r="EU35" s="13">
        <f>ES35-ET35</f>
        <v/>
      </c>
      <c r="EV35" s="193">
        <f>EU35/ET35</f>
        <v/>
      </c>
      <c r="EW35" s="182" t="n">
        <v>-0.007</v>
      </c>
      <c r="EX35" s="182" t="n"/>
      <c r="EZ35" s="9">
        <f>C35</f>
        <v/>
      </c>
      <c r="FA35" s="215" t="n">
        <v>684908</v>
      </c>
      <c r="FB35" s="13">
        <f>FA36</f>
        <v/>
      </c>
      <c r="FC35" s="13">
        <f>FA35-FB35</f>
        <v/>
      </c>
      <c r="FD35" s="193">
        <f>FC35/FB35</f>
        <v/>
      </c>
      <c r="FE35" s="182" t="n">
        <v>-0.0154</v>
      </c>
      <c r="FF35" s="182" t="n"/>
      <c r="FG35" s="182" t="n"/>
      <c r="FH35" s="9">
        <f>C35</f>
        <v/>
      </c>
      <c r="FI35" s="242" t="n">
        <v>910595.3365</v>
      </c>
      <c r="FJ35" s="13">
        <f>FI36</f>
        <v/>
      </c>
      <c r="FK35" s="13">
        <f>FI35-FJ35</f>
        <v/>
      </c>
      <c r="FL35" s="193">
        <f>FK35/FJ35</f>
        <v/>
      </c>
      <c r="FM35" s="194" t="n">
        <v>-0.0094</v>
      </c>
      <c r="FN35" s="194" t="n"/>
      <c r="FP35" s="9">
        <f>C35</f>
        <v/>
      </c>
      <c r="FQ35" s="215" t="n">
        <v>1817068.73</v>
      </c>
      <c r="FR35" s="13">
        <f>FQ36</f>
        <v/>
      </c>
      <c r="FS35" s="13">
        <f>FQ35-FR35</f>
        <v/>
      </c>
      <c r="FT35" s="193">
        <f>FS35/FR35</f>
        <v/>
      </c>
      <c r="FU35" s="182" t="n">
        <v>-0.0054</v>
      </c>
      <c r="FV35" s="182" t="n"/>
      <c r="FX35" s="9">
        <f>C35</f>
        <v/>
      </c>
      <c r="FY35" s="215" t="n">
        <v>7021182.05</v>
      </c>
      <c r="FZ35" s="13">
        <f>FY36</f>
        <v/>
      </c>
      <c r="GA35" s="13">
        <f>FY35-FZ35</f>
        <v/>
      </c>
      <c r="GB35" s="193">
        <f>GA35/FZ35</f>
        <v/>
      </c>
      <c r="GC35" s="182" t="n">
        <v>0.0029</v>
      </c>
      <c r="GD35" s="182" t="n"/>
      <c r="GF35" s="9">
        <f>C35</f>
        <v/>
      </c>
      <c r="GG35" s="215" t="n">
        <v>3920669.49</v>
      </c>
      <c r="GH35" s="13">
        <f>GG36</f>
        <v/>
      </c>
      <c r="GI35" s="13">
        <f>GG35-GH35</f>
        <v/>
      </c>
      <c r="GJ35" s="193">
        <f>GI35/GH35</f>
        <v/>
      </c>
      <c r="GK35" s="182" t="n">
        <v>0</v>
      </c>
      <c r="GL35" s="182" t="n"/>
      <c r="GN35" s="9">
        <f>C35</f>
        <v/>
      </c>
      <c r="GO35" s="242" t="n">
        <v>1901338.1217</v>
      </c>
      <c r="GP35" s="13">
        <f>GO36</f>
        <v/>
      </c>
      <c r="GQ35" s="13">
        <f>GO35-GP35</f>
        <v/>
      </c>
      <c r="GR35" s="193">
        <f>GQ35/GP35</f>
        <v/>
      </c>
      <c r="GS35" s="182" t="n">
        <v>0.0035</v>
      </c>
      <c r="GT35" s="182" t="n"/>
      <c r="GV35" s="9">
        <f>C35</f>
        <v/>
      </c>
      <c r="GW35" s="215" t="n">
        <v>594949.4</v>
      </c>
      <c r="GX35" s="13">
        <f>GW36</f>
        <v/>
      </c>
      <c r="GY35" s="13">
        <f>GW35-GX35</f>
        <v/>
      </c>
      <c r="GZ35" s="193">
        <f>GY35/GX35</f>
        <v/>
      </c>
      <c r="HA35" s="182" t="n">
        <v>-0.0037</v>
      </c>
      <c r="HB35" s="182" t="n"/>
      <c r="HD35" s="9">
        <f>C35</f>
        <v/>
      </c>
      <c r="HE35" s="242" t="n">
        <v>773464.6746</v>
      </c>
      <c r="HF35" s="13">
        <f>HE36</f>
        <v/>
      </c>
      <c r="HG35" s="13">
        <f>HE35-HF35</f>
        <v/>
      </c>
      <c r="HH35" s="193">
        <f>HG35/HF35</f>
        <v/>
      </c>
      <c r="HI35" s="194" t="n">
        <v>-0.007900000000000001</v>
      </c>
      <c r="HJ35" s="182" t="n"/>
      <c r="HL35" s="9">
        <f>C35</f>
        <v/>
      </c>
      <c r="HM35" s="215" t="n">
        <v>106804.25</v>
      </c>
      <c r="HN35" s="13">
        <f>HM36</f>
        <v/>
      </c>
      <c r="HO35" s="13">
        <f>HM35-HN35</f>
        <v/>
      </c>
      <c r="HP35" s="193">
        <f>HO35/HN35</f>
        <v/>
      </c>
      <c r="HQ35" s="182" t="n">
        <v>0.0009</v>
      </c>
      <c r="HR35" s="182" t="n"/>
      <c r="HT35" s="9">
        <f>C35</f>
        <v/>
      </c>
      <c r="HU35" s="242" t="n">
        <v>120068.8265</v>
      </c>
      <c r="HV35" s="13">
        <f>HU36</f>
        <v/>
      </c>
      <c r="HW35" s="13">
        <f>HU35-HV35</f>
        <v/>
      </c>
      <c r="HX35" s="193">
        <f>HW35/HV35</f>
        <v/>
      </c>
      <c r="HY35" s="182" t="n">
        <v>0.0057</v>
      </c>
      <c r="HZ35" s="182" t="n"/>
      <c r="IB35" s="9">
        <f>C35</f>
        <v/>
      </c>
      <c r="IC35" s="215" t="n">
        <v>319234.79</v>
      </c>
      <c r="ID35" s="13">
        <f>IC36</f>
        <v/>
      </c>
      <c r="IE35" s="13">
        <f>IC35-ID35</f>
        <v/>
      </c>
      <c r="IF35" s="193">
        <f>IE35/ID35</f>
        <v/>
      </c>
      <c r="IG35" s="194" t="n">
        <v>-0.0023</v>
      </c>
      <c r="IH35" s="182" t="n"/>
      <c r="IJ35" s="9">
        <f>C35</f>
        <v/>
      </c>
      <c r="IK35" s="242" t="n">
        <v>882476.29</v>
      </c>
      <c r="IL35" s="13">
        <f>IK36</f>
        <v/>
      </c>
      <c r="IM35" s="13">
        <f>IK35-IL35</f>
        <v/>
      </c>
      <c r="IN35" s="193">
        <f>IM35/IL35</f>
        <v/>
      </c>
      <c r="IO35" s="182" t="n">
        <v>-0.0097</v>
      </c>
      <c r="IP35" s="182" t="n"/>
      <c r="IR35" s="9">
        <f>C35</f>
        <v/>
      </c>
      <c r="IS35" s="215" t="n">
        <v>161989</v>
      </c>
      <c r="IT35" s="13">
        <f>IS36</f>
        <v/>
      </c>
      <c r="IU35" s="13">
        <f>IS35-IT35</f>
        <v/>
      </c>
      <c r="IV35" s="193">
        <f>IU35/IT35</f>
        <v/>
      </c>
      <c r="IW35" s="182" t="n">
        <v>-0.0178</v>
      </c>
      <c r="IX35" s="182" t="n"/>
      <c r="IZ35" s="9">
        <f>C35</f>
        <v/>
      </c>
      <c r="JA35" s="215" t="n">
        <v>5628629.15</v>
      </c>
      <c r="JB35" s="13">
        <f>JA36</f>
        <v/>
      </c>
      <c r="JC35" s="13">
        <f>JA35-JB35</f>
        <v/>
      </c>
      <c r="JD35" s="193">
        <f>JC35/JB35</f>
        <v/>
      </c>
      <c r="JE35" s="182" t="n">
        <v>-0.0037</v>
      </c>
      <c r="JF35" s="182" t="n"/>
      <c r="JH35" s="9">
        <f>C35</f>
        <v/>
      </c>
      <c r="JI35" s="215" t="n">
        <v>1163187.99</v>
      </c>
      <c r="JJ35" s="13">
        <f>JI36</f>
        <v/>
      </c>
      <c r="JK35" s="13">
        <f>JI35-JJ35</f>
        <v/>
      </c>
      <c r="JL35" s="193">
        <f>JK35/JJ35</f>
        <v/>
      </c>
      <c r="JM35" s="182" t="n">
        <v>-0.0072</v>
      </c>
      <c r="JN35" s="182" t="n"/>
      <c r="JO35" s="182" t="n"/>
      <c r="JP35" s="9">
        <f>C35</f>
        <v/>
      </c>
      <c r="JQ35" s="242" t="n">
        <v>1038890.4148</v>
      </c>
      <c r="JR35" s="13">
        <f>JQ36</f>
        <v/>
      </c>
      <c r="JS35" s="13">
        <f>JQ35-JR35</f>
        <v/>
      </c>
      <c r="JT35" s="193">
        <f>JS35/JR35</f>
        <v/>
      </c>
      <c r="JU35" s="182" t="n">
        <v>-0.0178</v>
      </c>
      <c r="JV35" s="182" t="n"/>
      <c r="JW35" s="194" t="n"/>
      <c r="JX35" s="9">
        <f>C35</f>
        <v/>
      </c>
      <c r="JY35" s="215" t="n">
        <v>995648.8</v>
      </c>
      <c r="JZ35" s="13">
        <f>JY36</f>
        <v/>
      </c>
      <c r="KA35" s="13">
        <f>JY35-JZ35</f>
        <v/>
      </c>
      <c r="KB35" s="193">
        <f>KA35/JZ35</f>
        <v/>
      </c>
      <c r="KC35" s="182" t="n">
        <v>-0.0005999999999999999</v>
      </c>
      <c r="KD35" s="182" t="n"/>
      <c r="KE35" s="194" t="n"/>
      <c r="KF35" s="9">
        <f>C35</f>
        <v/>
      </c>
      <c r="KG35" s="242" t="n">
        <v>567155.9219</v>
      </c>
      <c r="KH35" s="13">
        <f>KG36</f>
        <v/>
      </c>
      <c r="KI35" s="13">
        <f>KG35-KH35</f>
        <v/>
      </c>
      <c r="KJ35" s="193">
        <f>KI35/KH35</f>
        <v/>
      </c>
      <c r="KK35" s="194" t="n">
        <v>-0.008800000000000001</v>
      </c>
      <c r="KL35" s="194" t="n"/>
      <c r="KN35" s="9">
        <f>C35</f>
        <v/>
      </c>
      <c r="KO35" s="215" t="n">
        <v>7126475.95</v>
      </c>
      <c r="KP35" s="13">
        <f>KO36</f>
        <v/>
      </c>
      <c r="KQ35" s="13">
        <f>KO35-KP35</f>
        <v/>
      </c>
      <c r="KR35" s="193">
        <f>KQ35/KP35</f>
        <v/>
      </c>
      <c r="KS35" s="182" t="n">
        <v>-0.0108</v>
      </c>
      <c r="KT35" s="182" t="n"/>
      <c r="KV35" s="9">
        <f>C35</f>
        <v/>
      </c>
      <c r="KW35" s="242" t="n">
        <v>1026272.9726</v>
      </c>
      <c r="KX35" s="13">
        <f>KW36</f>
        <v/>
      </c>
      <c r="KY35" s="13">
        <f>KW35-KX35</f>
        <v/>
      </c>
      <c r="KZ35" s="193">
        <f>KY35/KX35</f>
        <v/>
      </c>
      <c r="LA35" s="194" t="n">
        <v>0.0042</v>
      </c>
      <c r="LB35" s="182" t="n"/>
      <c r="LD35" s="9">
        <f>C35</f>
        <v/>
      </c>
      <c r="LE35" s="215" t="n">
        <v>376707.7</v>
      </c>
      <c r="LF35" s="13">
        <f>LE36</f>
        <v/>
      </c>
      <c r="LG35" s="13">
        <f>LE35-LF35</f>
        <v/>
      </c>
      <c r="LH35" s="193">
        <f>LG35/LF35</f>
        <v/>
      </c>
      <c r="LI35" s="182" t="n">
        <v>-0.008999999999999999</v>
      </c>
      <c r="LJ35" s="182" t="n"/>
      <c r="LL35" s="9">
        <f>C35</f>
        <v/>
      </c>
      <c r="LM35" s="215" t="n">
        <v>3194935.02</v>
      </c>
      <c r="LN35" s="13">
        <f>LM36</f>
        <v/>
      </c>
      <c r="LO35" s="13">
        <f>LM35-LN35</f>
        <v/>
      </c>
      <c r="LP35" s="193">
        <f>LO35/LN35</f>
        <v/>
      </c>
      <c r="LQ35" s="182" t="n">
        <v>0</v>
      </c>
      <c r="LR35" s="182" t="n"/>
      <c r="LT35" s="9">
        <f>C35</f>
        <v/>
      </c>
      <c r="LU35" s="242" t="n">
        <v>2288262.904</v>
      </c>
      <c r="LV35" s="13">
        <f>LU36</f>
        <v/>
      </c>
      <c r="LW35" s="13">
        <f>LU35-LV35</f>
        <v/>
      </c>
      <c r="LX35" s="193">
        <f>LW35/LV35</f>
        <v/>
      </c>
      <c r="LY35" s="182" t="n">
        <v>-0.003</v>
      </c>
      <c r="LZ35" s="182" t="n"/>
      <c r="MB35" s="9">
        <f>C35</f>
        <v/>
      </c>
      <c r="MC35" s="215" t="n">
        <v>807267.6899999999</v>
      </c>
      <c r="MD35" s="13">
        <f>MC36</f>
        <v/>
      </c>
      <c r="ME35" s="13">
        <f>MC35-MD35</f>
        <v/>
      </c>
      <c r="MF35" s="193">
        <f>ME35/MD35</f>
        <v/>
      </c>
      <c r="MG35" s="182" t="n">
        <v>-0.0232</v>
      </c>
      <c r="MH35" s="182" t="n"/>
      <c r="MK35" s="9">
        <f>C35</f>
        <v/>
      </c>
      <c r="ML35" s="242" t="n">
        <v>164385.5354</v>
      </c>
      <c r="MM35" s="13">
        <f>ML36</f>
        <v/>
      </c>
      <c r="MN35" s="13">
        <f>ML35-MM35</f>
        <v/>
      </c>
      <c r="MO35" s="193">
        <f>MN35/MM35</f>
        <v/>
      </c>
      <c r="MP35" s="182" t="n">
        <v>-0.0125</v>
      </c>
      <c r="MQ35" s="194" t="n"/>
      <c r="MR35" s="194" t="n"/>
      <c r="MT35" s="9">
        <f>C35</f>
        <v/>
      </c>
      <c r="MU35" s="215" t="n">
        <v>120214.8</v>
      </c>
      <c r="MV35" s="188">
        <f>MU36</f>
        <v/>
      </c>
      <c r="MW35" s="9">
        <f>MU35-MV35</f>
        <v/>
      </c>
      <c r="MX35" s="182">
        <f>MW35/MV35</f>
        <v/>
      </c>
      <c r="MY35" s="182" t="n">
        <v>-0.0162</v>
      </c>
      <c r="MZ35" s="182" t="n"/>
      <c r="NA35" s="182" t="n"/>
      <c r="NC35" s="9">
        <f>C35</f>
        <v/>
      </c>
      <c r="ND35" s="215" t="n">
        <v>31091.48</v>
      </c>
      <c r="NE35" s="188">
        <f>ND36</f>
        <v/>
      </c>
      <c r="NF35" s="9">
        <f>ND35-NE35</f>
        <v/>
      </c>
      <c r="NG35" s="182">
        <f>NF35/NE35</f>
        <v/>
      </c>
      <c r="NH35" s="182" t="n">
        <v>-0.008800000000000001</v>
      </c>
      <c r="NI35" s="182" t="n"/>
      <c r="NJ35" s="182" t="n"/>
      <c r="NK35" s="182" t="n"/>
      <c r="NM35" s="9">
        <f>C35</f>
        <v/>
      </c>
      <c r="NN35" s="215" t="n">
        <v>2579211.08</v>
      </c>
      <c r="NO35" s="9">
        <f>NN36</f>
        <v/>
      </c>
      <c r="NP35" s="197">
        <f>NN35-NO35</f>
        <v/>
      </c>
      <c r="NQ35" s="198">
        <f>NP35/NO35</f>
        <v/>
      </c>
      <c r="NR35" s="182" t="n">
        <v>-0.0042</v>
      </c>
      <c r="NS35" s="0" t="n"/>
      <c r="NU35" s="9">
        <f>C35</f>
        <v/>
      </c>
      <c r="NV35" s="215" t="n">
        <v>227376.5</v>
      </c>
      <c r="NW35" s="188">
        <f>NV36</f>
        <v/>
      </c>
      <c r="NX35" s="197">
        <f>NV35-NW35</f>
        <v/>
      </c>
      <c r="NY35" s="198">
        <f>NX35/NW35</f>
        <v/>
      </c>
      <c r="NZ35" s="194" t="n">
        <v>-0.0053</v>
      </c>
      <c r="OA35" s="185" t="n"/>
      <c r="OC35" s="9">
        <f>C35</f>
        <v/>
      </c>
      <c r="OD35" s="215" t="n">
        <v>21683.97</v>
      </c>
      <c r="OE35" s="13">
        <f>OD36</f>
        <v/>
      </c>
      <c r="OF35" s="13">
        <f>OD35-OE35</f>
        <v/>
      </c>
      <c r="OG35" s="193">
        <f>OF35/OE35</f>
        <v/>
      </c>
      <c r="OH35" s="182" t="n">
        <v>-0.0002</v>
      </c>
      <c r="OI35" s="182" t="n"/>
      <c r="OK35" s="9">
        <f>C35</f>
        <v/>
      </c>
      <c r="OL35" s="215" t="n">
        <v>17945.65</v>
      </c>
      <c r="OM35" s="13">
        <f>OL36</f>
        <v/>
      </c>
      <c r="ON35" s="13">
        <f>OL35-OM35</f>
        <v/>
      </c>
      <c r="OO35" s="193">
        <f>ON35/OM35</f>
        <v/>
      </c>
      <c r="OP35" s="182" t="n">
        <v>-0.0001</v>
      </c>
      <c r="OQ35" s="182" t="n"/>
      <c r="OT35" s="201">
        <f>OK35</f>
        <v/>
      </c>
      <c r="OU35" s="199" t="n">
        <v>158232.4066</v>
      </c>
      <c r="OV35" s="9">
        <f>OU36</f>
        <v/>
      </c>
      <c r="OW35" s="671">
        <f>OU35-OV35</f>
        <v/>
      </c>
      <c r="OX35" s="182">
        <f>OW35/OV35</f>
        <v/>
      </c>
      <c r="OY35" s="0" t="n">
        <v>-0.008200000000000001</v>
      </c>
    </row>
    <row r="36" ht="17" customFormat="1" customHeight="1" s="9">
      <c r="A36" s="631" t="n"/>
      <c r="B36" s="631" t="n"/>
      <c r="C36" s="631" t="inlineStr">
        <is>
          <t>2026//9/23</t>
        </is>
      </c>
      <c r="D36" s="215" t="n"/>
      <c r="E36" s="20">
        <f>D37</f>
        <v/>
      </c>
      <c r="F36" s="20">
        <f>D36-E36</f>
        <v/>
      </c>
      <c r="G36" s="163">
        <f>F36/E36</f>
        <v/>
      </c>
      <c r="H36" s="19" t="n"/>
      <c r="I36" s="163" t="n"/>
      <c r="J36" s="163" t="n"/>
      <c r="K36" s="9">
        <f>C36</f>
        <v/>
      </c>
      <c r="L36" s="215" t="n"/>
      <c r="M36" s="20">
        <f>L37</f>
        <v/>
      </c>
      <c r="N36" s="20">
        <f>L36-M36</f>
        <v/>
      </c>
      <c r="O36" s="163">
        <f>N36/M36</f>
        <v/>
      </c>
      <c r="P36" s="19" t="n"/>
      <c r="Q36" s="163" t="n"/>
      <c r="R36" s="20" t="n"/>
      <c r="S36" s="9">
        <f>C36</f>
        <v/>
      </c>
      <c r="T36" s="215" t="n"/>
      <c r="U36" s="20">
        <f>T37</f>
        <v/>
      </c>
      <c r="V36" s="20">
        <f>T36-U36</f>
        <v/>
      </c>
      <c r="W36" s="163">
        <f>V36/U36</f>
        <v/>
      </c>
      <c r="X36" s="19" t="n"/>
      <c r="Y36" s="163" t="n"/>
      <c r="Z36" s="20" t="n"/>
      <c r="AA36" s="9">
        <f>S36</f>
        <v/>
      </c>
      <c r="AB36" s="215" t="n"/>
      <c r="AC36" s="20">
        <f>AB37</f>
        <v/>
      </c>
      <c r="AD36" s="20">
        <f>AB36-AC36</f>
        <v/>
      </c>
      <c r="AE36" s="163">
        <f>AD36/AC36</f>
        <v/>
      </c>
      <c r="AF36" s="19" t="n"/>
      <c r="AG36" s="163" t="n"/>
      <c r="AH36" s="20" t="n"/>
      <c r="AI36" s="9">
        <f>C36</f>
        <v/>
      </c>
      <c r="AJ36" s="215" t="n"/>
      <c r="AK36" s="20">
        <f>AJ37</f>
        <v/>
      </c>
      <c r="AL36" s="20">
        <f>AJ36-AK36</f>
        <v/>
      </c>
      <c r="AM36" s="163">
        <f>AL36/AK36</f>
        <v/>
      </c>
      <c r="AN36" s="19" t="n"/>
      <c r="AO36" s="19" t="n"/>
      <c r="AP36" s="20" t="n"/>
      <c r="AQ36" s="9">
        <f>C36</f>
        <v/>
      </c>
      <c r="AR36" s="242" t="n">
        <v>1962745.4936</v>
      </c>
      <c r="AS36" s="20">
        <f>AR37</f>
        <v/>
      </c>
      <c r="AT36" s="20">
        <f>AR36-AS36</f>
        <v/>
      </c>
      <c r="AU36" s="163">
        <f>AT36/AS36</f>
        <v/>
      </c>
      <c r="AV36" s="19" t="n">
        <v>0.0005999999999999999</v>
      </c>
      <c r="AW36" s="19" t="n"/>
      <c r="AX36" s="5" t="n"/>
      <c r="AY36" s="5" t="n"/>
      <c r="AZ36" s="9">
        <f>C36</f>
        <v/>
      </c>
      <c r="BA36" s="242" t="n">
        <v>644511.6676</v>
      </c>
      <c r="BB36" s="24">
        <f>BA37</f>
        <v/>
      </c>
      <c r="BC36" s="5">
        <f>BA36-BB36</f>
        <v/>
      </c>
      <c r="BD36" s="19">
        <f>BC36/BB36</f>
        <v/>
      </c>
      <c r="BE36" s="19" t="n">
        <v>0.0023</v>
      </c>
      <c r="BF36" s="19" t="n"/>
      <c r="BG36" s="647" t="n"/>
      <c r="BH36" s="9">
        <f>C36</f>
        <v/>
      </c>
      <c r="BI36" s="242" t="n">
        <v>1109326.5525</v>
      </c>
      <c r="BJ36" s="184">
        <f>BI37</f>
        <v/>
      </c>
      <c r="BK36" s="184">
        <f>BI36-BJ36</f>
        <v/>
      </c>
      <c r="BL36" s="190">
        <f>BK36/BJ36</f>
        <v/>
      </c>
      <c r="BM36" s="191" t="n">
        <v>-0.0065</v>
      </c>
      <c r="BN36" s="182" t="n"/>
      <c r="BP36" s="9">
        <f>C36</f>
        <v/>
      </c>
      <c r="BQ36" s="242" t="n">
        <v>1390962.3921</v>
      </c>
      <c r="BR36" s="13">
        <f>BQ37</f>
        <v/>
      </c>
      <c r="BS36" s="13">
        <f>BQ36-BR36</f>
        <v/>
      </c>
      <c r="BT36" s="193">
        <f>BS36/BR36</f>
        <v/>
      </c>
      <c r="BU36" s="182" t="n">
        <v>0.0135</v>
      </c>
      <c r="BV36" s="182" t="n"/>
      <c r="BX36" s="9">
        <f>C36</f>
        <v/>
      </c>
      <c r="BY36" s="242" t="n">
        <v>1646510.7019</v>
      </c>
      <c r="BZ36" s="13">
        <f>BY37</f>
        <v/>
      </c>
      <c r="CA36" s="13">
        <f>BY36-BZ36</f>
        <v/>
      </c>
      <c r="CB36" s="193">
        <f>CA36/BZ36</f>
        <v/>
      </c>
      <c r="CC36" s="182" t="n">
        <v>-0.008999999999999999</v>
      </c>
      <c r="CD36" s="194" t="n"/>
      <c r="CF36" s="9">
        <f>C36</f>
        <v/>
      </c>
      <c r="CG36" s="215" t="n"/>
      <c r="CH36" s="13">
        <f>CG37</f>
        <v/>
      </c>
      <c r="CI36" s="13">
        <f>CG36-CH36</f>
        <v/>
      </c>
      <c r="CJ36" s="193">
        <f>CI36/CH36</f>
        <v/>
      </c>
      <c r="CK36" s="182" t="n"/>
      <c r="CL36" s="194" t="n"/>
      <c r="CN36" s="9">
        <f>C36</f>
        <v/>
      </c>
      <c r="CO36" s="215" t="n"/>
      <c r="CP36" s="13">
        <f>CO37</f>
        <v/>
      </c>
      <c r="CQ36" s="13">
        <f>CO36-CP36</f>
        <v/>
      </c>
      <c r="CR36" s="193">
        <f>CQ36/CP36</f>
        <v/>
      </c>
      <c r="CS36" s="194" t="n"/>
      <c r="CT36" s="194" t="n"/>
      <c r="CV36" s="9">
        <f>C36</f>
        <v/>
      </c>
      <c r="CW36" s="215" t="n"/>
      <c r="CX36" s="13">
        <f>CW37</f>
        <v/>
      </c>
      <c r="CY36" s="13">
        <f>CW36-CX36</f>
        <v/>
      </c>
      <c r="CZ36" s="193">
        <f>CY36/CX36</f>
        <v/>
      </c>
      <c r="DA36" s="182" t="n"/>
      <c r="DB36" s="182" t="n"/>
      <c r="DC36" s="186" t="n"/>
      <c r="DD36" s="9">
        <f>C36</f>
        <v/>
      </c>
      <c r="DE36" s="242" t="n">
        <v>6149935.9972</v>
      </c>
      <c r="DF36" s="13">
        <f>DE37</f>
        <v/>
      </c>
      <c r="DG36" s="13">
        <f>DE36-DF36</f>
        <v/>
      </c>
      <c r="DH36" s="193">
        <f>DG36/DF36</f>
        <v/>
      </c>
      <c r="DI36" s="182" t="n">
        <v>-0.0138</v>
      </c>
      <c r="DJ36" s="182" t="n"/>
      <c r="DK36" s="0" t="n"/>
      <c r="DL36" s="9">
        <f>C36</f>
        <v/>
      </c>
      <c r="DM36" s="215" t="n"/>
      <c r="DN36" s="13">
        <f>DM37</f>
        <v/>
      </c>
      <c r="DO36" s="13">
        <f>DM36-DN36</f>
        <v/>
      </c>
      <c r="DP36" s="193">
        <f>DO36/DN36</f>
        <v/>
      </c>
      <c r="DQ36" s="182" t="n"/>
      <c r="DR36" s="182" t="n"/>
      <c r="DT36" s="9">
        <f>C36</f>
        <v/>
      </c>
      <c r="DU36" s="215" t="n"/>
      <c r="DV36" s="13">
        <f>DU37</f>
        <v/>
      </c>
      <c r="DW36" s="13">
        <f>DU36-DV36</f>
        <v/>
      </c>
      <c r="DX36" s="193">
        <f>DW36/DV36</f>
        <v/>
      </c>
      <c r="DY36" s="182" t="n"/>
      <c r="DZ36" s="182" t="n"/>
      <c r="EB36" s="9">
        <f>C36</f>
        <v/>
      </c>
      <c r="EC36" s="215" t="n"/>
      <c r="ED36" s="13">
        <f>EC37</f>
        <v/>
      </c>
      <c r="EE36" s="13">
        <f>EC36-ED36</f>
        <v/>
      </c>
      <c r="EF36" s="193">
        <f>EE36/ED36</f>
        <v/>
      </c>
      <c r="EG36" s="182" t="n"/>
      <c r="EH36" s="182" t="n"/>
      <c r="EJ36" s="9">
        <f>C36</f>
        <v/>
      </c>
      <c r="EK36" s="242" t="n">
        <v>1187722.9669</v>
      </c>
      <c r="EL36" s="13">
        <f>EK37</f>
        <v/>
      </c>
      <c r="EM36" s="13">
        <f>EK36-EL36</f>
        <v/>
      </c>
      <c r="EN36" s="193">
        <f>EM36/EL36</f>
        <v/>
      </c>
      <c r="EO36" s="182" t="n">
        <v>0.0163</v>
      </c>
      <c r="EP36" s="182" t="n"/>
      <c r="ER36" s="9">
        <f>C36</f>
        <v/>
      </c>
      <c r="ES36" s="215" t="n"/>
      <c r="ET36" s="13">
        <f>ES37</f>
        <v/>
      </c>
      <c r="EU36" s="13">
        <f>ES36-ET36</f>
        <v/>
      </c>
      <c r="EV36" s="193">
        <f>EU36/ET36</f>
        <v/>
      </c>
      <c r="EW36" s="182" t="n"/>
      <c r="EX36" s="182" t="n"/>
      <c r="EZ36" s="9">
        <f>C36</f>
        <v/>
      </c>
      <c r="FA36" s="215" t="n"/>
      <c r="FB36" s="13">
        <f>FA37</f>
        <v/>
      </c>
      <c r="FC36" s="13">
        <f>FA36-FB36</f>
        <v/>
      </c>
      <c r="FD36" s="193">
        <f>FC36/FB36</f>
        <v/>
      </c>
      <c r="FE36" s="182" t="n"/>
      <c r="FF36" s="182" t="n"/>
      <c r="FG36" s="182" t="n"/>
      <c r="FH36" s="9">
        <f>C36</f>
        <v/>
      </c>
      <c r="FI36" s="242" t="n">
        <v>912995.3365</v>
      </c>
      <c r="FJ36" s="13">
        <f>FI37</f>
        <v/>
      </c>
      <c r="FK36" s="13">
        <f>FI36-FJ36</f>
        <v/>
      </c>
      <c r="FL36" s="193">
        <f>FK36/FJ36</f>
        <v/>
      </c>
      <c r="FM36" s="194" t="n">
        <v>-0.0022</v>
      </c>
      <c r="FN36" s="194" t="n"/>
      <c r="FP36" s="9">
        <f>C36</f>
        <v/>
      </c>
      <c r="FQ36" s="215" t="n"/>
      <c r="FR36" s="13">
        <f>FQ37</f>
        <v/>
      </c>
      <c r="FS36" s="13">
        <f>FQ36-FR36</f>
        <v/>
      </c>
      <c r="FT36" s="193">
        <f>FS36/FR36</f>
        <v/>
      </c>
      <c r="FU36" s="182" t="n"/>
      <c r="FV36" s="182" t="n"/>
      <c r="FX36" s="9">
        <f>C36</f>
        <v/>
      </c>
      <c r="FY36" s="215" t="n"/>
      <c r="FZ36" s="13">
        <f>FY37</f>
        <v/>
      </c>
      <c r="GA36" s="13">
        <f>FY36-FZ36</f>
        <v/>
      </c>
      <c r="GB36" s="193">
        <f>GA36/FZ36</f>
        <v/>
      </c>
      <c r="GC36" s="182" t="n"/>
      <c r="GD36" s="182" t="n"/>
      <c r="GF36" s="9">
        <f>C36</f>
        <v/>
      </c>
      <c r="GG36" s="215" t="n"/>
      <c r="GH36" s="13">
        <f>GG37</f>
        <v/>
      </c>
      <c r="GI36" s="13">
        <f>GG36-GH36</f>
        <v/>
      </c>
      <c r="GJ36" s="193">
        <f>GI36/GH36</f>
        <v/>
      </c>
      <c r="GK36" s="182" t="n"/>
      <c r="GL36" s="182" t="n"/>
      <c r="GN36" s="9">
        <f>C36</f>
        <v/>
      </c>
      <c r="GO36" s="242" t="n">
        <v>1910818.1217</v>
      </c>
      <c r="GP36" s="13">
        <f>GO37</f>
        <v/>
      </c>
      <c r="GQ36" s="13">
        <f>GO36-GP36</f>
        <v/>
      </c>
      <c r="GR36" s="193">
        <f>GQ36/GP36</f>
        <v/>
      </c>
      <c r="GS36" s="182" t="n">
        <v>-0.0023</v>
      </c>
      <c r="GT36" s="182" t="n"/>
      <c r="GV36" s="9">
        <f>C36</f>
        <v/>
      </c>
      <c r="GW36" s="215" t="n"/>
      <c r="GX36" s="13">
        <f>GW37</f>
        <v/>
      </c>
      <c r="GY36" s="13">
        <f>GW36-GX36</f>
        <v/>
      </c>
      <c r="GZ36" s="193">
        <f>GY36/GX36</f>
        <v/>
      </c>
      <c r="HA36" s="182" t="n"/>
      <c r="HB36" s="182" t="n"/>
      <c r="HD36" s="9">
        <f>C36</f>
        <v/>
      </c>
      <c r="HE36" s="242" t="n">
        <v>779064.6746</v>
      </c>
      <c r="HF36" s="13">
        <f>HE37</f>
        <v/>
      </c>
      <c r="HG36" s="13">
        <f>HE36-HF36</f>
        <v/>
      </c>
      <c r="HH36" s="193">
        <f>HG36/HF36</f>
        <v/>
      </c>
      <c r="HI36" s="194" t="n">
        <v>0.0046</v>
      </c>
      <c r="HJ36" s="182" t="n"/>
      <c r="HL36" s="9">
        <f>C36</f>
        <v/>
      </c>
      <c r="HM36" s="215" t="n"/>
      <c r="HN36" s="13">
        <f>HM37</f>
        <v/>
      </c>
      <c r="HO36" s="13">
        <f>HM36-HN36</f>
        <v/>
      </c>
      <c r="HP36" s="193">
        <f>HO36/HN36</f>
        <v/>
      </c>
      <c r="HQ36" s="182" t="n"/>
      <c r="HR36" s="182" t="n"/>
      <c r="HT36" s="9">
        <f>C36</f>
        <v/>
      </c>
      <c r="HU36" s="242" t="n">
        <v>119968.8265</v>
      </c>
      <c r="HV36" s="13">
        <f>HU37</f>
        <v/>
      </c>
      <c r="HW36" s="13">
        <f>HU36-HV36</f>
        <v/>
      </c>
      <c r="HX36" s="193">
        <f>HW36/HV36</f>
        <v/>
      </c>
      <c r="HY36" s="182" t="n">
        <v>-0.0075</v>
      </c>
      <c r="HZ36" s="182" t="n"/>
      <c r="IB36" s="9">
        <f>C36</f>
        <v/>
      </c>
      <c r="IC36" s="215" t="n"/>
      <c r="ID36" s="13">
        <f>IC37</f>
        <v/>
      </c>
      <c r="IE36" s="13">
        <f>IC36-ID36</f>
        <v/>
      </c>
      <c r="IF36" s="193">
        <f>IE36/ID36</f>
        <v/>
      </c>
      <c r="IG36" s="194" t="n"/>
      <c r="IH36" s="182" t="n"/>
      <c r="IJ36" s="9">
        <f>C36</f>
        <v/>
      </c>
      <c r="IK36" s="242" t="n">
        <v>885676.29</v>
      </c>
      <c r="IL36" s="13">
        <f>IK37</f>
        <v/>
      </c>
      <c r="IM36" s="13">
        <f>IK36-IL36</f>
        <v/>
      </c>
      <c r="IN36" s="193">
        <f>IM36/IL36</f>
        <v/>
      </c>
      <c r="IO36" s="182" t="n">
        <v>-0.0048</v>
      </c>
      <c r="IP36" s="182" t="n"/>
      <c r="IR36" s="9">
        <f>C36</f>
        <v/>
      </c>
      <c r="IS36" s="215" t="n"/>
      <c r="IT36" s="13">
        <f>IS37</f>
        <v/>
      </c>
      <c r="IU36" s="13">
        <f>IS36-IT36</f>
        <v/>
      </c>
      <c r="IV36" s="193">
        <f>IU36/IT36</f>
        <v/>
      </c>
      <c r="IW36" s="182" t="n"/>
      <c r="IX36" s="182" t="n"/>
      <c r="IZ36" s="9">
        <f>C36</f>
        <v/>
      </c>
      <c r="JA36" s="215" t="n"/>
      <c r="JB36" s="13">
        <f>JA37</f>
        <v/>
      </c>
      <c r="JC36" s="13">
        <f>JA36-JB36</f>
        <v/>
      </c>
      <c r="JD36" s="193">
        <f>JC36/JB36</f>
        <v/>
      </c>
      <c r="JE36" s="182" t="n"/>
      <c r="JF36" s="182" t="n"/>
      <c r="JH36" s="9">
        <f>C36</f>
        <v/>
      </c>
      <c r="JI36" s="215" t="n"/>
      <c r="JJ36" s="13">
        <f>JI37</f>
        <v/>
      </c>
      <c r="JK36" s="13">
        <f>JI36-JJ36</f>
        <v/>
      </c>
      <c r="JL36" s="193">
        <f>JK36/JJ36</f>
        <v/>
      </c>
      <c r="JM36" s="182" t="n"/>
      <c r="JN36" s="182" t="n"/>
      <c r="JO36" s="182" t="n"/>
      <c r="JP36" s="9">
        <f>C36</f>
        <v/>
      </c>
      <c r="JQ36" s="242" t="n">
        <v>1061990.4148</v>
      </c>
      <c r="JR36" s="13">
        <f>JQ37</f>
        <v/>
      </c>
      <c r="JS36" s="13">
        <f>JQ36-JR36</f>
        <v/>
      </c>
      <c r="JT36" s="193">
        <f>JS36/JR36</f>
        <v/>
      </c>
      <c r="JU36" s="182" t="n">
        <v>0.0033</v>
      </c>
      <c r="JV36" s="182" t="n"/>
      <c r="JW36" s="194" t="n"/>
      <c r="JX36" s="9">
        <f>C36</f>
        <v/>
      </c>
      <c r="JY36" s="215" t="n"/>
      <c r="JZ36" s="13">
        <f>JY37</f>
        <v/>
      </c>
      <c r="KA36" s="13">
        <f>JY36-JZ36</f>
        <v/>
      </c>
      <c r="KB36" s="193">
        <f>KA36/JZ36</f>
        <v/>
      </c>
      <c r="KC36" s="182" t="n"/>
      <c r="KD36" s="182" t="n"/>
      <c r="KE36" s="194" t="n"/>
      <c r="KF36" s="9">
        <f>C36</f>
        <v/>
      </c>
      <c r="KG36" s="242" t="n">
        <v>567155.9219</v>
      </c>
      <c r="KH36" s="13">
        <f>KG37</f>
        <v/>
      </c>
      <c r="KI36" s="13">
        <f>KG36-KH36</f>
        <v/>
      </c>
      <c r="KJ36" s="193">
        <f>KI36/KH36</f>
        <v/>
      </c>
      <c r="KK36" s="194" t="n">
        <v>0.0075</v>
      </c>
      <c r="KL36" s="194" t="n"/>
      <c r="KN36" s="9">
        <f>C36</f>
        <v/>
      </c>
      <c r="KO36" s="215" t="n"/>
      <c r="KP36" s="13">
        <f>KO37</f>
        <v/>
      </c>
      <c r="KQ36" s="13">
        <f>KO36-KP36</f>
        <v/>
      </c>
      <c r="KR36" s="193">
        <f>KQ36/KP36</f>
        <v/>
      </c>
      <c r="KS36" s="182" t="n"/>
      <c r="KT36" s="182" t="n"/>
      <c r="KV36" s="9">
        <f>C36</f>
        <v/>
      </c>
      <c r="KW36" s="242" t="n">
        <v>1026372.9726</v>
      </c>
      <c r="KX36" s="13">
        <f>KW37</f>
        <v/>
      </c>
      <c r="KY36" s="13">
        <f>KW36-KX36</f>
        <v/>
      </c>
      <c r="KZ36" s="193">
        <f>KY36/KX36</f>
        <v/>
      </c>
      <c r="LA36" s="194" t="n">
        <v>-0.0097</v>
      </c>
      <c r="LB36" s="182" t="n"/>
      <c r="LD36" s="9">
        <f>C36</f>
        <v/>
      </c>
      <c r="LE36" s="215" t="n"/>
      <c r="LF36" s="13">
        <f>LE37</f>
        <v/>
      </c>
      <c r="LG36" s="13">
        <f>LE36-LF36</f>
        <v/>
      </c>
      <c r="LH36" s="193">
        <f>LG36/LF36</f>
        <v/>
      </c>
      <c r="LI36" s="182" t="n"/>
      <c r="LJ36" s="182" t="n"/>
      <c r="LL36" s="9">
        <f>C36</f>
        <v/>
      </c>
      <c r="LM36" s="215" t="n"/>
      <c r="LN36" s="13">
        <f>LM37</f>
        <v/>
      </c>
      <c r="LO36" s="13">
        <f>LM36-LN36</f>
        <v/>
      </c>
      <c r="LP36" s="193">
        <f>LO36/LN36</f>
        <v/>
      </c>
      <c r="LQ36" s="182" t="n"/>
      <c r="LR36" s="182" t="n"/>
      <c r="LT36" s="9">
        <f>C36</f>
        <v/>
      </c>
      <c r="LU36" s="242" t="n">
        <v>2288462.904</v>
      </c>
      <c r="LV36" s="13">
        <f>LU37</f>
        <v/>
      </c>
      <c r="LW36" s="13">
        <f>LU36-LV36</f>
        <v/>
      </c>
      <c r="LX36" s="193">
        <f>LW36/LV36</f>
        <v/>
      </c>
      <c r="LY36" s="182" t="n">
        <v>0</v>
      </c>
      <c r="LZ36" s="182" t="n"/>
      <c r="MB36" s="9">
        <f>C36</f>
        <v/>
      </c>
      <c r="MC36" s="215" t="n"/>
      <c r="MD36" s="13">
        <f>MC37</f>
        <v/>
      </c>
      <c r="ME36" s="13">
        <f>MC36-MD36</f>
        <v/>
      </c>
      <c r="MF36" s="193">
        <f>ME36/MD36</f>
        <v/>
      </c>
      <c r="MG36" s="182" t="n"/>
      <c r="MH36" s="182" t="n"/>
      <c r="MI36" s="9" t="n"/>
      <c r="MJ36" s="9" t="n"/>
      <c r="MK36" s="9">
        <f>C36</f>
        <v/>
      </c>
      <c r="ML36" s="242" t="n">
        <v>164025.5354</v>
      </c>
      <c r="MM36" s="13">
        <f>ML37</f>
        <v/>
      </c>
      <c r="MN36" s="13">
        <f>ML36-MM36</f>
        <v/>
      </c>
      <c r="MO36" s="193">
        <f>MN36/MM36</f>
        <v/>
      </c>
      <c r="MP36" s="182" t="n">
        <v>0.0137</v>
      </c>
      <c r="MQ36" s="194" t="n"/>
      <c r="MR36" s="194" t="n"/>
      <c r="MT36" s="9">
        <f>C36</f>
        <v/>
      </c>
      <c r="MU36" s="215" t="n"/>
      <c r="MV36" s="188">
        <f>MU37</f>
        <v/>
      </c>
      <c r="MW36" s="9">
        <f>MU36-MV36</f>
        <v/>
      </c>
      <c r="MX36" s="182">
        <f>MW36/MV36</f>
        <v/>
      </c>
      <c r="MY36" s="182" t="n"/>
      <c r="MZ36" s="182" t="n"/>
      <c r="NA36" s="182" t="n"/>
      <c r="NC36" s="9">
        <f>C36</f>
        <v/>
      </c>
      <c r="ND36" s="215" t="n"/>
      <c r="NE36" s="188">
        <f>ND37</f>
        <v/>
      </c>
      <c r="NF36" s="9">
        <f>ND36-NE36</f>
        <v/>
      </c>
      <c r="NG36" s="182">
        <f>NF36/NE36</f>
        <v/>
      </c>
      <c r="NH36" s="182" t="n"/>
      <c r="NI36" s="182" t="n"/>
      <c r="NJ36" s="182" t="n"/>
      <c r="NK36" s="182" t="n"/>
      <c r="NM36" s="9">
        <f>C36</f>
        <v/>
      </c>
      <c r="NN36" s="215" t="n"/>
      <c r="NO36" s="9">
        <f>NN37</f>
        <v/>
      </c>
      <c r="NP36" s="197">
        <f>NN36-NO36</f>
        <v/>
      </c>
      <c r="NQ36" s="198">
        <f>NP36/NO36</f>
        <v/>
      </c>
      <c r="NR36" s="182" t="n"/>
      <c r="NS36" s="0" t="n"/>
      <c r="NU36" s="9">
        <f>C36</f>
        <v/>
      </c>
      <c r="NV36" s="215" t="n"/>
      <c r="NW36" s="188">
        <f>NV37</f>
        <v/>
      </c>
      <c r="NX36" s="197">
        <f>NV36-NW36</f>
        <v/>
      </c>
      <c r="NY36" s="198">
        <f>NX36/NW36</f>
        <v/>
      </c>
      <c r="NZ36" s="194" t="n"/>
      <c r="OA36" s="185" t="n"/>
      <c r="OC36" s="9">
        <f>C36</f>
        <v/>
      </c>
      <c r="OD36" s="215" t="n"/>
      <c r="OE36" s="13">
        <f>OD37</f>
        <v/>
      </c>
      <c r="OF36" s="13">
        <f>OD36-OE36</f>
        <v/>
      </c>
      <c r="OG36" s="193">
        <f>OF36/OE36</f>
        <v/>
      </c>
      <c r="OH36" s="182" t="n"/>
      <c r="OI36" s="182" t="n"/>
      <c r="OK36" s="9">
        <f>C36</f>
        <v/>
      </c>
      <c r="OL36" s="215" t="n"/>
      <c r="OM36" s="13">
        <f>OL37</f>
        <v/>
      </c>
      <c r="ON36" s="13">
        <f>OL36-OM36</f>
        <v/>
      </c>
      <c r="OO36" s="193">
        <f>ON36/OM36</f>
        <v/>
      </c>
      <c r="OP36" s="182" t="n"/>
      <c r="OQ36" s="182" t="n"/>
      <c r="OT36" s="201">
        <f>OK36</f>
        <v/>
      </c>
      <c r="OU36" s="199" t="n">
        <v>158112.4066</v>
      </c>
      <c r="OV36" s="9">
        <f>OU37</f>
        <v/>
      </c>
      <c r="OW36" s="671">
        <f>OU36-OV36</f>
        <v/>
      </c>
      <c r="OX36" s="182">
        <f>OW36/OV36</f>
        <v/>
      </c>
      <c r="OY36" s="0" t="n">
        <v>0.0126</v>
      </c>
    </row>
    <row r="37" ht="17" customFormat="1" customHeight="1" s="9">
      <c r="A37" s="631" t="n"/>
      <c r="B37" s="631" t="n"/>
      <c r="C37" s="631" t="inlineStr">
        <is>
          <t>2026//9/21</t>
        </is>
      </c>
      <c r="D37" s="20" t="n">
        <v>2371368.77</v>
      </c>
      <c r="E37" s="20">
        <f>D38</f>
        <v/>
      </c>
      <c r="F37" s="20">
        <f>D37-E37</f>
        <v/>
      </c>
      <c r="G37" s="163">
        <f>F37/E37</f>
        <v/>
      </c>
      <c r="H37" s="19" t="n">
        <v>0.0057</v>
      </c>
      <c r="I37" s="163" t="n"/>
      <c r="J37" s="163" t="n"/>
      <c r="K37" s="9">
        <f>C37</f>
        <v/>
      </c>
      <c r="L37" s="215" t="n">
        <v>1137664.4</v>
      </c>
      <c r="M37" s="20">
        <f>L38</f>
        <v/>
      </c>
      <c r="N37" s="20">
        <f>L37-M37</f>
        <v/>
      </c>
      <c r="O37" s="163">
        <f>N37/M37</f>
        <v/>
      </c>
      <c r="P37" s="19" t="n">
        <v>0.0061</v>
      </c>
      <c r="Q37" s="163" t="n"/>
      <c r="R37" s="20" t="n"/>
      <c r="S37" s="9">
        <f>C37</f>
        <v/>
      </c>
      <c r="T37" s="215" t="n">
        <v>768936.6800000001</v>
      </c>
      <c r="U37" s="20">
        <f>T38</f>
        <v/>
      </c>
      <c r="V37" s="20">
        <f>T37-U37</f>
        <v/>
      </c>
      <c r="W37" s="163">
        <f>V37/U37</f>
        <v/>
      </c>
      <c r="X37" s="19" t="n">
        <v>0.0091</v>
      </c>
      <c r="Y37" s="163" t="n"/>
      <c r="Z37" s="20" t="n"/>
      <c r="AA37" s="9">
        <f>S37</f>
        <v/>
      </c>
      <c r="AB37" s="215" t="n">
        <v>560696.86</v>
      </c>
      <c r="AC37" s="20">
        <f>AB38</f>
        <v/>
      </c>
      <c r="AD37" s="20">
        <f>AB37-AC37</f>
        <v/>
      </c>
      <c r="AE37" s="163">
        <f>AD37/AC37</f>
        <v/>
      </c>
      <c r="AF37" s="19" t="n">
        <v>0.0054</v>
      </c>
      <c r="AG37" s="163" t="n"/>
      <c r="AH37" s="20" t="n"/>
      <c r="AI37" s="9">
        <f>C37</f>
        <v/>
      </c>
      <c r="AJ37" s="215" t="n">
        <v>629921.76</v>
      </c>
      <c r="AK37" s="20">
        <f>AJ38</f>
        <v/>
      </c>
      <c r="AL37" s="20">
        <f>AJ37-AK37</f>
        <v/>
      </c>
      <c r="AM37" s="163">
        <f>AL37/AK37</f>
        <v/>
      </c>
      <c r="AN37" s="19" t="n">
        <v>0.0064</v>
      </c>
      <c r="AO37" s="19" t="n"/>
      <c r="AP37" s="20" t="n"/>
      <c r="AQ37" s="9">
        <f>C37</f>
        <v/>
      </c>
      <c r="AR37" s="242" t="n">
        <v>1963045.4936</v>
      </c>
      <c r="AS37" s="20">
        <f>AR38</f>
        <v/>
      </c>
      <c r="AT37" s="20">
        <f>AR37-AS37</f>
        <v/>
      </c>
      <c r="AU37" s="163">
        <f>AT37/AS37</f>
        <v/>
      </c>
      <c r="AV37" s="19" t="n">
        <v>0.008</v>
      </c>
      <c r="AW37" s="19" t="n"/>
      <c r="AX37" s="5" t="n"/>
      <c r="AY37" s="5" t="n"/>
      <c r="AZ37" s="9">
        <f>C37</f>
        <v/>
      </c>
      <c r="BA37" s="242" t="n">
        <v>633171.6676</v>
      </c>
      <c r="BB37" s="24">
        <f>BA38</f>
        <v/>
      </c>
      <c r="BC37" s="5">
        <f>BA37-BB37</f>
        <v/>
      </c>
      <c r="BD37" s="19">
        <f>BC37/BB37</f>
        <v/>
      </c>
      <c r="BE37" s="19" t="n">
        <v>0.0061</v>
      </c>
      <c r="BF37" s="19" t="n"/>
      <c r="BG37" s="647" t="n"/>
      <c r="BH37" s="9">
        <f>C37</f>
        <v/>
      </c>
      <c r="BI37" s="242" t="n">
        <v>1113726.5525</v>
      </c>
      <c r="BJ37" s="184">
        <f>BI38</f>
        <v/>
      </c>
      <c r="BK37" s="184">
        <f>BI37-BJ37</f>
        <v/>
      </c>
      <c r="BL37" s="190">
        <f>BK37/BJ37</f>
        <v/>
      </c>
      <c r="BM37" s="191" t="n">
        <v>0.015</v>
      </c>
      <c r="BN37" s="182" t="n"/>
      <c r="BP37" s="9">
        <f>C37</f>
        <v/>
      </c>
      <c r="BQ37" s="242" t="n">
        <v>1412762.3921</v>
      </c>
      <c r="BR37" s="13">
        <f>BQ38</f>
        <v/>
      </c>
      <c r="BS37" s="13">
        <f>BQ37-BR37</f>
        <v/>
      </c>
      <c r="BT37" s="193">
        <f>BS37/BR37</f>
        <v/>
      </c>
      <c r="BU37" s="182" t="n">
        <v>0.0091</v>
      </c>
      <c r="BV37" s="182" t="n"/>
      <c r="BX37" s="9">
        <f>C37</f>
        <v/>
      </c>
      <c r="BY37" s="222" t="n">
        <v>1645610.7019</v>
      </c>
      <c r="BZ37" s="13">
        <f>BY38</f>
        <v/>
      </c>
      <c r="CA37" s="13">
        <f>BY37-BZ37</f>
        <v/>
      </c>
      <c r="CB37" s="193">
        <f>CA37/BZ37</f>
        <v/>
      </c>
      <c r="CC37" s="182" t="n">
        <v>0.0104</v>
      </c>
      <c r="CD37" s="194" t="n"/>
      <c r="CF37" s="9">
        <f>C37</f>
        <v/>
      </c>
      <c r="CG37" s="215" t="n">
        <v>1421253.9</v>
      </c>
      <c r="CH37" s="13">
        <f>CG38</f>
        <v/>
      </c>
      <c r="CI37" s="13">
        <f>CG37-CH37</f>
        <v/>
      </c>
      <c r="CJ37" s="193">
        <f>CI37/CH37</f>
        <v/>
      </c>
      <c r="CK37" s="182" t="n">
        <v>-0.0017</v>
      </c>
      <c r="CL37" s="194" t="n"/>
      <c r="CN37" s="9">
        <f>C37</f>
        <v/>
      </c>
      <c r="CO37" s="215" t="n">
        <v>529846.48</v>
      </c>
      <c r="CP37" s="13">
        <f>CO38</f>
        <v/>
      </c>
      <c r="CQ37" s="13">
        <f>CO37-CP37</f>
        <v/>
      </c>
      <c r="CR37" s="193">
        <f>CQ37/CP37</f>
        <v/>
      </c>
      <c r="CS37" s="194" t="n">
        <v>-0.0005999999999999999</v>
      </c>
      <c r="CT37" s="194" t="n"/>
      <c r="CV37" s="9">
        <f>C37</f>
        <v/>
      </c>
      <c r="CW37" s="215" t="n">
        <v>702790.4</v>
      </c>
      <c r="CX37" s="13">
        <f>CW38</f>
        <v/>
      </c>
      <c r="CY37" s="13">
        <f>CW37-CX37</f>
        <v/>
      </c>
      <c r="CZ37" s="193">
        <f>CY37/CX37</f>
        <v/>
      </c>
      <c r="DA37" s="182" t="n">
        <v>-0.0183</v>
      </c>
      <c r="DB37" s="182" t="n"/>
      <c r="DC37" s="186" t="n"/>
      <c r="DD37" s="9">
        <f>C37</f>
        <v/>
      </c>
      <c r="DE37" s="222" t="n">
        <v>6155935.9972</v>
      </c>
      <c r="DF37" s="13">
        <f>DE38</f>
        <v/>
      </c>
      <c r="DG37" s="13">
        <f>DE37-DF37</f>
        <v/>
      </c>
      <c r="DH37" s="193">
        <f>DG37/DF37</f>
        <v/>
      </c>
      <c r="DI37" s="182" t="n">
        <v>-0.0069</v>
      </c>
      <c r="DJ37" s="182" t="n"/>
      <c r="DK37" s="0" t="n"/>
      <c r="DL37" s="9">
        <f>C37</f>
        <v/>
      </c>
      <c r="DM37" s="215" t="n">
        <v>1964600.72</v>
      </c>
      <c r="DN37" s="13">
        <f>DM38</f>
        <v/>
      </c>
      <c r="DO37" s="13">
        <f>DM37-DN37</f>
        <v/>
      </c>
      <c r="DP37" s="193">
        <f>DO37/DN37</f>
        <v/>
      </c>
      <c r="DQ37" s="182" t="n">
        <v>0.0029</v>
      </c>
      <c r="DR37" s="182" t="n"/>
      <c r="DT37" s="9">
        <f>C37</f>
        <v/>
      </c>
      <c r="DU37" s="215" t="n">
        <v>4313068.43</v>
      </c>
      <c r="DV37" s="13">
        <f>DU38</f>
        <v/>
      </c>
      <c r="DW37" s="13">
        <f>DU37-DV37</f>
        <v/>
      </c>
      <c r="DX37" s="193">
        <f>DW37/DV37</f>
        <v/>
      </c>
      <c r="DY37" s="182" t="n">
        <v>0.0025</v>
      </c>
      <c r="DZ37" s="182" t="n"/>
      <c r="EB37" s="9">
        <f>C37</f>
        <v/>
      </c>
      <c r="EC37" s="215" t="n">
        <v>5527766.82</v>
      </c>
      <c r="ED37" s="13">
        <f>EC38</f>
        <v/>
      </c>
      <c r="EE37" s="13">
        <f>EC37-ED37</f>
        <v/>
      </c>
      <c r="EF37" s="193">
        <f>EE37/ED37</f>
        <v/>
      </c>
      <c r="EG37" s="182" t="n">
        <v>0.0029</v>
      </c>
      <c r="EH37" s="182" t="n"/>
      <c r="EJ37" s="9">
        <f>C37</f>
        <v/>
      </c>
      <c r="EK37" s="222" t="n">
        <v>1199722.9669</v>
      </c>
      <c r="EL37" s="13">
        <f>EK38</f>
        <v/>
      </c>
      <c r="EM37" s="13">
        <f>EK37-EL37</f>
        <v/>
      </c>
      <c r="EN37" s="193">
        <f>EM37/EL37</f>
        <v/>
      </c>
      <c r="EO37" s="182" t="n">
        <v>0.0102</v>
      </c>
      <c r="EP37" s="182" t="n"/>
      <c r="ER37" s="9">
        <f>C37</f>
        <v/>
      </c>
      <c r="ES37" s="215" t="n">
        <v>750094.04</v>
      </c>
      <c r="ET37" s="13">
        <f>ES38</f>
        <v/>
      </c>
      <c r="EU37" s="13">
        <f>ES37-ET37</f>
        <v/>
      </c>
      <c r="EV37" s="193">
        <f>EU37/ET37</f>
        <v/>
      </c>
      <c r="EW37" s="182" t="n">
        <v>0.0117</v>
      </c>
      <c r="EX37" s="182" t="n"/>
      <c r="EZ37" s="9">
        <f>C37</f>
        <v/>
      </c>
      <c r="FA37" s="215" t="n">
        <v>684108</v>
      </c>
      <c r="FB37" s="13">
        <f>FA38</f>
        <v/>
      </c>
      <c r="FC37" s="13">
        <f>FA37-FB37</f>
        <v/>
      </c>
      <c r="FD37" s="193">
        <f>FC37/FB37</f>
        <v/>
      </c>
      <c r="FE37" s="182" t="n">
        <v>0.0138</v>
      </c>
      <c r="FF37" s="182" t="n"/>
      <c r="FG37" s="182" t="n"/>
      <c r="FH37" s="9">
        <f>C37</f>
        <v/>
      </c>
      <c r="FI37" s="672" t="n">
        <v>916495.3365</v>
      </c>
      <c r="FJ37" s="13">
        <f>FI38</f>
        <v/>
      </c>
      <c r="FK37" s="13">
        <f>FI37-FJ37</f>
        <v/>
      </c>
      <c r="FL37" s="193">
        <f>FK37/FJ37</f>
        <v/>
      </c>
      <c r="FM37" s="194" t="n">
        <v>0.0029</v>
      </c>
      <c r="FN37" s="194" t="n"/>
      <c r="FP37" s="9">
        <f>C37</f>
        <v/>
      </c>
      <c r="FQ37" s="215" t="n">
        <v>1832818.73</v>
      </c>
      <c r="FR37" s="13">
        <f>FQ38</f>
        <v/>
      </c>
      <c r="FS37" s="13">
        <f>FQ37-FR37</f>
        <v/>
      </c>
      <c r="FT37" s="193">
        <f>FS37/FR37</f>
        <v/>
      </c>
      <c r="FU37" s="182" t="n">
        <v>0.0021</v>
      </c>
      <c r="FV37" s="182" t="n"/>
      <c r="FX37" s="9">
        <f>C37</f>
        <v/>
      </c>
      <c r="FY37" s="215" t="n">
        <v>7075282.05</v>
      </c>
      <c r="FZ37" s="13">
        <f>FY38</f>
        <v/>
      </c>
      <c r="GA37" s="13">
        <f>FY37-FZ37</f>
        <v/>
      </c>
      <c r="GB37" s="193">
        <f>GA37/FZ37</f>
        <v/>
      </c>
      <c r="GC37" s="182" t="n">
        <v>0.0235</v>
      </c>
      <c r="GD37" s="182" t="n"/>
      <c r="GF37" s="9">
        <f>C37</f>
        <v/>
      </c>
      <c r="GG37" s="215" t="n">
        <v>3919869.49</v>
      </c>
      <c r="GH37" s="13">
        <f>GG38</f>
        <v/>
      </c>
      <c r="GI37" s="13">
        <f>GG37-GH37</f>
        <v/>
      </c>
      <c r="GJ37" s="193">
        <f>GI37/GH37</f>
        <v/>
      </c>
      <c r="GK37" s="182" t="n">
        <v>0.0349</v>
      </c>
      <c r="GL37" s="182" t="n"/>
      <c r="GN37" s="9">
        <f>C37</f>
        <v/>
      </c>
      <c r="GO37" s="222" t="n">
        <v>1918018.1217</v>
      </c>
      <c r="GP37" s="13">
        <f>GO38</f>
        <v/>
      </c>
      <c r="GQ37" s="13">
        <f>GO37-GP37</f>
        <v/>
      </c>
      <c r="GR37" s="193">
        <f>GQ37/GP37</f>
        <v/>
      </c>
      <c r="GS37" s="182" t="n">
        <v>0.0407</v>
      </c>
      <c r="GT37" s="182" t="n"/>
      <c r="GV37" s="9">
        <f>C37</f>
        <v/>
      </c>
      <c r="GW37" s="215" t="n">
        <v>594749.4</v>
      </c>
      <c r="GX37" s="13">
        <f>GW38</f>
        <v/>
      </c>
      <c r="GY37" s="13">
        <f>GW37-GX37</f>
        <v/>
      </c>
      <c r="GZ37" s="193">
        <f>GY37/GX37</f>
        <v/>
      </c>
      <c r="HA37" s="182" t="n">
        <v>0.0061</v>
      </c>
      <c r="HB37" s="182" t="n"/>
      <c r="HD37" s="9">
        <f>C37</f>
        <v/>
      </c>
      <c r="HE37" s="222" t="n">
        <v>773364.6746</v>
      </c>
      <c r="HF37" s="13">
        <f>HE38</f>
        <v/>
      </c>
      <c r="HG37" s="13">
        <f>HE37-HF37</f>
        <v/>
      </c>
      <c r="HH37" s="193">
        <f>HG37/HF37</f>
        <v/>
      </c>
      <c r="HI37" s="194" t="n">
        <v>0.0023</v>
      </c>
      <c r="HJ37" s="182" t="n"/>
      <c r="HL37" s="9">
        <f>C37</f>
        <v/>
      </c>
      <c r="HM37" s="215" t="n">
        <v>109304.25</v>
      </c>
      <c r="HN37" s="13">
        <f>HM38</f>
        <v/>
      </c>
      <c r="HO37" s="13">
        <f>HM37-HN37</f>
        <v/>
      </c>
      <c r="HP37" s="193">
        <f>HO37/HN37</f>
        <v/>
      </c>
      <c r="HQ37" s="182" t="n">
        <v>0.0055</v>
      </c>
      <c r="HR37" s="182" t="n"/>
      <c r="HT37" s="9">
        <f>C37</f>
        <v/>
      </c>
      <c r="HU37" s="242" t="n">
        <v>126768.8265</v>
      </c>
      <c r="HV37" s="13">
        <f>HU38</f>
        <v/>
      </c>
      <c r="HW37" s="13">
        <f>HU37-HV37</f>
        <v/>
      </c>
      <c r="HX37" s="193">
        <f>HW37/HV37</f>
        <v/>
      </c>
      <c r="HY37" s="182" t="n">
        <v>0.0231</v>
      </c>
      <c r="HZ37" s="182" t="n"/>
      <c r="IB37" s="9">
        <f>C37</f>
        <v/>
      </c>
      <c r="IC37" s="215" t="n">
        <v>325134.79</v>
      </c>
      <c r="ID37" s="13">
        <f>IC38</f>
        <v/>
      </c>
      <c r="IE37" s="13">
        <f>IC37-ID37</f>
        <v/>
      </c>
      <c r="IF37" s="193">
        <f>IE37/ID37</f>
        <v/>
      </c>
      <c r="IG37" s="194" t="n">
        <v>0.0423</v>
      </c>
      <c r="IH37" s="182" t="n"/>
      <c r="IJ37" s="9">
        <f>C37</f>
        <v/>
      </c>
      <c r="IK37" s="242" t="n">
        <v>886076.29</v>
      </c>
      <c r="IL37" s="13">
        <f>IK38</f>
        <v/>
      </c>
      <c r="IM37" s="13">
        <f>IK37-IL37</f>
        <v/>
      </c>
      <c r="IN37" s="193">
        <f>IM37/IL37</f>
        <v/>
      </c>
      <c r="IO37" s="182" t="n">
        <v>-0.001</v>
      </c>
      <c r="IP37" s="182" t="n"/>
      <c r="IR37" s="9">
        <f>C37</f>
        <v/>
      </c>
      <c r="IS37" s="215" t="n">
        <v>151489</v>
      </c>
      <c r="IT37" s="13">
        <f>IS38</f>
        <v/>
      </c>
      <c r="IU37" s="13">
        <f>IS37-IT37</f>
        <v/>
      </c>
      <c r="IV37" s="193">
        <f>IU37/IT37</f>
        <v/>
      </c>
      <c r="IW37" s="182" t="n">
        <v>0.0049</v>
      </c>
      <c r="IX37" s="182" t="n"/>
      <c r="IZ37" s="9">
        <f>C37</f>
        <v/>
      </c>
      <c r="JA37" s="215" t="n">
        <v>5660229.15</v>
      </c>
      <c r="JB37" s="13">
        <f>JA38</f>
        <v/>
      </c>
      <c r="JC37" s="13">
        <f>JA37-JB37</f>
        <v/>
      </c>
      <c r="JD37" s="193">
        <f>JC37/JB37</f>
        <v/>
      </c>
      <c r="JE37" s="182" t="n">
        <v>0.0104</v>
      </c>
      <c r="JF37" s="182" t="n"/>
      <c r="JH37" s="9">
        <f>C37</f>
        <v/>
      </c>
      <c r="JI37" s="215" t="n">
        <v>1168407.99</v>
      </c>
      <c r="JJ37" s="13">
        <f>JI38</f>
        <v/>
      </c>
      <c r="JK37" s="13">
        <f>JI37-JJ37</f>
        <v/>
      </c>
      <c r="JL37" s="193">
        <f>JK37/JJ37</f>
        <v/>
      </c>
      <c r="JM37" s="182" t="n">
        <v>0.0048</v>
      </c>
      <c r="JN37" s="182" t="n"/>
      <c r="JO37" s="182" t="n"/>
      <c r="JP37" s="9">
        <f>C37</f>
        <v/>
      </c>
      <c r="JQ37" s="222" t="n">
        <v>1065690.4148</v>
      </c>
      <c r="JR37" s="13">
        <f>JQ38</f>
        <v/>
      </c>
      <c r="JS37" s="13">
        <f>JQ37-JR37</f>
        <v/>
      </c>
      <c r="JT37" s="193">
        <f>JS37/JR37</f>
        <v/>
      </c>
      <c r="JU37" s="182" t="n">
        <v>0.0199</v>
      </c>
      <c r="JV37" s="182" t="n"/>
      <c r="JW37" s="194" t="n"/>
      <c r="JX37" s="9">
        <f>C37</f>
        <v/>
      </c>
      <c r="JY37" s="215" t="n">
        <v>995648.8</v>
      </c>
      <c r="JZ37" s="13">
        <f>JY38</f>
        <v/>
      </c>
      <c r="KA37" s="13">
        <f>JY37-JZ37</f>
        <v/>
      </c>
      <c r="KB37" s="193">
        <f>KA37/JZ37</f>
        <v/>
      </c>
      <c r="KC37" s="182" t="n">
        <v>0.0056</v>
      </c>
      <c r="KD37" s="182" t="n"/>
      <c r="KE37" s="194" t="n"/>
      <c r="KF37" s="9">
        <f>C37</f>
        <v/>
      </c>
      <c r="KG37" s="222" t="n">
        <v>570155.9219</v>
      </c>
      <c r="KH37" s="13">
        <f>KG38</f>
        <v/>
      </c>
      <c r="KI37" s="13">
        <f>KG37-KH37</f>
        <v/>
      </c>
      <c r="KJ37" s="193">
        <f>KI37/KH37</f>
        <v/>
      </c>
      <c r="KK37" s="194" t="n">
        <v>0.0069</v>
      </c>
      <c r="KL37" s="194" t="n"/>
      <c r="KN37" s="9">
        <f>C37</f>
        <v/>
      </c>
      <c r="KO37" s="215" t="n">
        <v>7126375.95</v>
      </c>
      <c r="KP37" s="13">
        <f>KO38</f>
        <v/>
      </c>
      <c r="KQ37" s="13">
        <f>KO37-KP37</f>
        <v/>
      </c>
      <c r="KR37" s="193">
        <f>KQ37/KP37</f>
        <v/>
      </c>
      <c r="KS37" s="182" t="n">
        <v>0.0018</v>
      </c>
      <c r="KT37" s="182" t="n"/>
      <c r="KV37" s="9">
        <f>C37</f>
        <v/>
      </c>
      <c r="KW37" s="222" t="n">
        <v>1027772.9726</v>
      </c>
      <c r="KX37" s="13">
        <f>KW38</f>
        <v/>
      </c>
      <c r="KY37" s="13">
        <f>KW37-KX37</f>
        <v/>
      </c>
      <c r="KZ37" s="193">
        <f>KY37/KX37</f>
        <v/>
      </c>
      <c r="LA37" s="194" t="n">
        <v>0.0557</v>
      </c>
      <c r="LB37" s="182" t="n"/>
      <c r="LD37" s="9">
        <f>C37</f>
        <v/>
      </c>
      <c r="LE37" s="215" t="n">
        <v>376207.7</v>
      </c>
      <c r="LF37" s="13">
        <f>LE38</f>
        <v/>
      </c>
      <c r="LG37" s="13">
        <f>LE37-LF37</f>
        <v/>
      </c>
      <c r="LH37" s="193">
        <f>LG37/LF37</f>
        <v/>
      </c>
      <c r="LI37" s="182" t="n">
        <v>0.012</v>
      </c>
      <c r="LJ37" s="182" t="n"/>
      <c r="LL37" s="9">
        <f>C37</f>
        <v/>
      </c>
      <c r="LM37" s="215" t="n">
        <v>3213115.02</v>
      </c>
      <c r="LN37" s="13">
        <f>LM38</f>
        <v/>
      </c>
      <c r="LO37" s="13">
        <f>LM37-LN37</f>
        <v/>
      </c>
      <c r="LP37" s="193">
        <f>LO37/LN37</f>
        <v/>
      </c>
      <c r="LQ37" s="182" t="n">
        <v>0.0122</v>
      </c>
      <c r="LR37" s="182" t="n"/>
      <c r="LT37" s="9">
        <f>C37</f>
        <v/>
      </c>
      <c r="LU37" s="222" t="n">
        <v>2293662.904</v>
      </c>
      <c r="LV37" s="13">
        <f>LU38</f>
        <v/>
      </c>
      <c r="LW37" s="13">
        <f>LU37-LV37</f>
        <v/>
      </c>
      <c r="LX37" s="193">
        <f>LW37/LV37</f>
        <v/>
      </c>
      <c r="LY37" s="182" t="n">
        <v>0.0092</v>
      </c>
      <c r="LZ37" s="182" t="n"/>
      <c r="MB37" s="9">
        <f>C37</f>
        <v/>
      </c>
      <c r="MC37" s="215" t="n">
        <v>794717.6899999999</v>
      </c>
      <c r="MD37" s="13">
        <f>MC38</f>
        <v/>
      </c>
      <c r="ME37" s="13">
        <f>MC37-MD37</f>
        <v/>
      </c>
      <c r="MF37" s="193">
        <f>ME37/MD37</f>
        <v/>
      </c>
      <c r="MG37" s="182" t="n">
        <v>0.0264</v>
      </c>
      <c r="MH37" s="182" t="n"/>
      <c r="MK37" s="9">
        <f>C37</f>
        <v/>
      </c>
      <c r="ML37" s="223" t="n">
        <v>161985.5354</v>
      </c>
      <c r="MM37" s="13">
        <f>ML38</f>
        <v/>
      </c>
      <c r="MN37" s="13">
        <f>ML37-MM37</f>
        <v/>
      </c>
      <c r="MO37" s="193">
        <f>MN37/MM37</f>
        <v/>
      </c>
      <c r="MP37" s="182" t="n">
        <v>0.0053</v>
      </c>
      <c r="MQ37" s="194" t="n"/>
      <c r="MR37" s="194" t="n"/>
      <c r="MT37" s="9">
        <f>C37</f>
        <v/>
      </c>
      <c r="MU37" s="215" t="n">
        <v>126514.8</v>
      </c>
      <c r="MV37" s="188">
        <f>MU38</f>
        <v/>
      </c>
      <c r="MW37" s="9">
        <f>MU37-MV37</f>
        <v/>
      </c>
      <c r="MX37" s="182">
        <f>MW37/MV37</f>
        <v/>
      </c>
      <c r="MY37" s="182" t="n">
        <v>0.0259</v>
      </c>
      <c r="MZ37" s="182" t="n"/>
      <c r="NA37" s="182" t="n"/>
      <c r="NC37" s="9">
        <f>C37</f>
        <v/>
      </c>
      <c r="ND37" s="215" t="n">
        <v>31091.48</v>
      </c>
      <c r="NE37" s="188">
        <f>ND38</f>
        <v/>
      </c>
      <c r="NF37" s="9">
        <f>ND37-NE37</f>
        <v/>
      </c>
      <c r="NG37" s="182">
        <f>NF37/NE37</f>
        <v/>
      </c>
      <c r="NH37" s="182" t="n">
        <v>0.0089</v>
      </c>
      <c r="NI37" s="182" t="n"/>
      <c r="NJ37" s="182" t="n"/>
      <c r="NK37" s="182" t="n"/>
      <c r="NM37" s="9">
        <f>C37</f>
        <v/>
      </c>
      <c r="NN37" s="215" t="n">
        <v>2594211.08</v>
      </c>
      <c r="NO37" s="9">
        <f>NN38</f>
        <v/>
      </c>
      <c r="NP37" s="197">
        <f>NN37-NO37</f>
        <v/>
      </c>
      <c r="NQ37" s="198">
        <f>NP37/NO37</f>
        <v/>
      </c>
      <c r="NR37" s="182" t="n">
        <v>0.0017</v>
      </c>
      <c r="NS37" s="0" t="n"/>
      <c r="NU37" s="9">
        <f>C37</f>
        <v/>
      </c>
      <c r="NV37" s="215" t="n">
        <v>227026.5</v>
      </c>
      <c r="NW37" s="188">
        <f>NV38</f>
        <v/>
      </c>
      <c r="NX37" s="197">
        <f>NV37-NW37</f>
        <v/>
      </c>
      <c r="NY37" s="198">
        <f>NX37/NW37</f>
        <v/>
      </c>
      <c r="NZ37" s="194" t="n">
        <v>0.0205</v>
      </c>
      <c r="OA37" s="185" t="n"/>
      <c r="OC37" s="9">
        <f>C37</f>
        <v/>
      </c>
      <c r="OD37" s="215" t="n">
        <v>20909.97</v>
      </c>
      <c r="OE37" s="13">
        <f>OD38</f>
        <v/>
      </c>
      <c r="OF37" s="13">
        <f>OD37-OE37</f>
        <v/>
      </c>
      <c r="OG37" s="193">
        <f>OF37/OE37</f>
        <v/>
      </c>
      <c r="OH37" s="182" t="n">
        <v>0.0021</v>
      </c>
      <c r="OI37" s="182" t="n"/>
      <c r="OK37" s="9">
        <f>C37</f>
        <v/>
      </c>
      <c r="OL37" s="215" t="n">
        <v>18188.65</v>
      </c>
      <c r="OM37" s="13">
        <f>OL38</f>
        <v/>
      </c>
      <c r="ON37" s="13">
        <f>OL37-OM37</f>
        <v/>
      </c>
      <c r="OO37" s="193">
        <f>ON37/OM37</f>
        <v/>
      </c>
      <c r="OP37" s="182" t="n">
        <v>0.0001</v>
      </c>
      <c r="OQ37" s="182" t="n"/>
      <c r="OT37" s="201">
        <f>OK37</f>
        <v/>
      </c>
      <c r="OU37" s="199" t="n">
        <v>157992.4066</v>
      </c>
      <c r="OV37" s="9">
        <f>OU38</f>
        <v/>
      </c>
      <c r="OW37" s="671">
        <f>OU37-OV37</f>
        <v/>
      </c>
      <c r="OX37" s="182">
        <f>OW37/OV37</f>
        <v/>
      </c>
      <c r="OY37" s="0" t="n">
        <v>-0.0022</v>
      </c>
    </row>
    <row r="38" ht="17" customFormat="1" customHeight="1" s="10">
      <c r="A38" s="676" t="n"/>
      <c r="B38" s="676" t="n"/>
      <c r="C38" s="676" t="inlineStr">
        <is>
          <t>2026//9/18</t>
        </is>
      </c>
      <c r="D38" s="244" t="n">
        <v>2365968.77</v>
      </c>
      <c r="E38" s="245">
        <f>D39</f>
        <v/>
      </c>
      <c r="F38" s="245">
        <f>D38-E38</f>
        <v/>
      </c>
      <c r="G38" s="246">
        <f>F38/E38</f>
        <v/>
      </c>
      <c r="H38" s="247" t="n">
        <v>0.011</v>
      </c>
      <c r="I38" s="246" t="n"/>
      <c r="J38" s="246" t="n"/>
      <c r="K38" s="14">
        <f>C38</f>
        <v/>
      </c>
      <c r="L38" s="244" t="n">
        <v>1134424.4</v>
      </c>
      <c r="M38" s="245">
        <f>L39</f>
        <v/>
      </c>
      <c r="N38" s="245">
        <f>L38-M38</f>
        <v/>
      </c>
      <c r="O38" s="246">
        <f>N38/M38</f>
        <v/>
      </c>
      <c r="P38" s="247" t="n">
        <v>0.0102</v>
      </c>
      <c r="Q38" s="246" t="n"/>
      <c r="R38" s="245" t="n"/>
      <c r="S38" s="14">
        <f>C38</f>
        <v/>
      </c>
      <c r="T38" s="244" t="n">
        <v>796026.6800000001</v>
      </c>
      <c r="U38" s="245">
        <f>T39</f>
        <v/>
      </c>
      <c r="V38" s="245">
        <f>T38-U38</f>
        <v/>
      </c>
      <c r="W38" s="246">
        <f>V38/U38</f>
        <v/>
      </c>
      <c r="X38" s="247" t="n">
        <v>0.0057</v>
      </c>
      <c r="Y38" s="246" t="n"/>
      <c r="Z38" s="245" t="n"/>
      <c r="AA38" s="14">
        <f>S38</f>
        <v/>
      </c>
      <c r="AB38" s="244" t="n">
        <v>572256.86</v>
      </c>
      <c r="AC38" s="245">
        <f>AB39</f>
        <v/>
      </c>
      <c r="AD38" s="245">
        <f>AB38-AC38</f>
        <v/>
      </c>
      <c r="AE38" s="246">
        <f>AD38/AC38</f>
        <v/>
      </c>
      <c r="AF38" s="247" t="n">
        <v>0.0194</v>
      </c>
      <c r="AG38" s="246" t="n"/>
      <c r="AH38" s="245" t="n"/>
      <c r="AI38" s="14">
        <f>C38</f>
        <v/>
      </c>
      <c r="AJ38" s="244" t="n">
        <v>638721.76</v>
      </c>
      <c r="AK38" s="245">
        <f>AJ39</f>
        <v/>
      </c>
      <c r="AL38" s="245">
        <f>AJ38-AK38</f>
        <v/>
      </c>
      <c r="AM38" s="246">
        <f>AL38/AK38</f>
        <v/>
      </c>
      <c r="AN38" s="247" t="n">
        <v>0.0205</v>
      </c>
      <c r="AO38" s="247" t="n"/>
      <c r="AP38" s="245" t="n"/>
      <c r="AQ38" s="14">
        <f>C38</f>
        <v/>
      </c>
      <c r="AR38" s="248" t="n">
        <v>1985945.4936</v>
      </c>
      <c r="AS38" s="245">
        <f>AR39</f>
        <v/>
      </c>
      <c r="AT38" s="245">
        <f>AR38-AS38</f>
        <v/>
      </c>
      <c r="AU38" s="246">
        <f>AT38/AS38</f>
        <v/>
      </c>
      <c r="AV38" s="247" t="n"/>
      <c r="AW38" s="247" t="n"/>
      <c r="AX38" s="249" t="n"/>
      <c r="AY38" s="249" t="n"/>
      <c r="AZ38" s="14">
        <f>C38</f>
        <v/>
      </c>
      <c r="BA38" s="248" t="n">
        <v>632901.6676</v>
      </c>
      <c r="BB38" s="250">
        <f>BA39</f>
        <v/>
      </c>
      <c r="BC38" s="249">
        <f>BA38-BB38</f>
        <v/>
      </c>
      <c r="BD38" s="247">
        <f>BC38/BB38</f>
        <v/>
      </c>
      <c r="BE38" s="247" t="n"/>
      <c r="BF38" s="247" t="n"/>
      <c r="BG38" s="675" t="n"/>
      <c r="BH38" s="10">
        <f>C38</f>
        <v/>
      </c>
      <c r="BI38" s="251" t="n">
        <v>1122526.5525</v>
      </c>
      <c r="BJ38" s="233">
        <f>BI39</f>
        <v/>
      </c>
      <c r="BK38" s="233">
        <f>BI38-BJ38</f>
        <v/>
      </c>
      <c r="BL38" s="234">
        <f>BK38/BJ38</f>
        <v/>
      </c>
      <c r="BM38" s="235" t="n"/>
      <c r="BN38" s="236" t="n"/>
      <c r="BP38" s="10">
        <f>C38</f>
        <v/>
      </c>
      <c r="BQ38" s="677" t="n">
        <v>1415762.3921</v>
      </c>
      <c r="BR38" s="14">
        <f>BQ39</f>
        <v/>
      </c>
      <c r="BS38" s="14">
        <f>BQ38-BR38</f>
        <v/>
      </c>
      <c r="BT38" s="237">
        <f>BS38/BR38</f>
        <v/>
      </c>
      <c r="BU38" s="236" t="n"/>
      <c r="BV38" s="236" t="n"/>
      <c r="BX38" s="10">
        <f>C38</f>
        <v/>
      </c>
      <c r="BY38" s="253" t="n">
        <v>1628160.7019</v>
      </c>
      <c r="BZ38" s="14">
        <f>BY39</f>
        <v/>
      </c>
      <c r="CA38" s="14">
        <f>BY38-BZ38</f>
        <v/>
      </c>
      <c r="CB38" s="237">
        <f>CA38/BZ38</f>
        <v/>
      </c>
      <c r="CC38" s="236" t="n"/>
      <c r="CD38" s="238" t="n"/>
      <c r="CF38" s="10">
        <f>C38</f>
        <v/>
      </c>
      <c r="CG38" s="225" t="n">
        <v>1419953.9</v>
      </c>
      <c r="CH38" s="14">
        <f>CG39</f>
        <v/>
      </c>
      <c r="CI38" s="14">
        <f>CG38-CH38</f>
        <v/>
      </c>
      <c r="CJ38" s="237">
        <f>CI38/CH38</f>
        <v/>
      </c>
      <c r="CK38" s="236" t="n">
        <v>0.0141</v>
      </c>
      <c r="CL38" s="238" t="n"/>
      <c r="CN38" s="10">
        <f>C38</f>
        <v/>
      </c>
      <c r="CO38" s="225" t="n">
        <v>528646.48</v>
      </c>
      <c r="CP38" s="14">
        <f>CO39</f>
        <v/>
      </c>
      <c r="CQ38" s="14">
        <f>CO38-CP38</f>
        <v/>
      </c>
      <c r="CR38" s="237">
        <f>CQ38/CP38</f>
        <v/>
      </c>
      <c r="CS38" s="238" t="n">
        <v>0.0127</v>
      </c>
      <c r="CT38" s="238" t="n"/>
      <c r="CV38" s="10">
        <f>C38</f>
        <v/>
      </c>
      <c r="CW38" s="225" t="n">
        <v>693390.4</v>
      </c>
      <c r="CX38" s="14">
        <f>CW39</f>
        <v/>
      </c>
      <c r="CY38" s="14">
        <f>CW38-CX38</f>
        <v/>
      </c>
      <c r="CZ38" s="237">
        <f>CY38/CX38</f>
        <v/>
      </c>
      <c r="DA38" s="236" t="n">
        <v>0.0172</v>
      </c>
      <c r="DB38" s="236" t="n"/>
      <c r="DC38" s="239" t="n"/>
      <c r="DD38" s="10">
        <f>C38</f>
        <v/>
      </c>
      <c r="DE38" s="253" t="n">
        <v>6104335.9972</v>
      </c>
      <c r="DF38" s="14">
        <f>DE39</f>
        <v/>
      </c>
      <c r="DG38" s="14">
        <f>DE38-DF38</f>
        <v/>
      </c>
      <c r="DH38" s="237">
        <f>DG38/DF38</f>
        <v/>
      </c>
      <c r="DI38" s="236" t="n"/>
      <c r="DJ38" s="236" t="n"/>
      <c r="DK38" s="0" t="n"/>
      <c r="DL38" s="10">
        <f>C38</f>
        <v/>
      </c>
      <c r="DM38" s="225" t="n">
        <v>1954200.72</v>
      </c>
      <c r="DN38" s="14">
        <f>DM39</f>
        <v/>
      </c>
      <c r="DO38" s="14">
        <f>DM38-DN38</f>
        <v/>
      </c>
      <c r="DP38" s="237">
        <f>DO38/DN38</f>
        <v/>
      </c>
      <c r="DQ38" s="236" t="n">
        <v>0.04</v>
      </c>
      <c r="DR38" s="236" t="n"/>
      <c r="DT38" s="10">
        <f>C38</f>
        <v/>
      </c>
      <c r="DU38" s="225" t="n">
        <v>4293718.43</v>
      </c>
      <c r="DV38" s="14">
        <f>DU39</f>
        <v/>
      </c>
      <c r="DW38" s="14">
        <f>DU38-DV38</f>
        <v/>
      </c>
      <c r="DX38" s="237">
        <f>DW38/DV38</f>
        <v/>
      </c>
      <c r="DY38" s="236" t="n">
        <v>0.0377</v>
      </c>
      <c r="DZ38" s="236" t="n"/>
      <c r="EB38" s="10">
        <f>C38</f>
        <v/>
      </c>
      <c r="EC38" s="225" t="n">
        <v>5499866.82</v>
      </c>
      <c r="ED38" s="14">
        <f>EC39</f>
        <v/>
      </c>
      <c r="EE38" s="14">
        <f>EC38-ED38</f>
        <v/>
      </c>
      <c r="EF38" s="237">
        <f>EE38/ED38</f>
        <v/>
      </c>
      <c r="EG38" s="236" t="n">
        <v>0.0283</v>
      </c>
      <c r="EH38" s="236" t="n"/>
      <c r="EJ38" s="10">
        <f>C38</f>
        <v/>
      </c>
      <c r="EK38" s="253" t="n">
        <v>1205122.9669</v>
      </c>
      <c r="EL38" s="14">
        <f>EK39</f>
        <v/>
      </c>
      <c r="EM38" s="14">
        <f>EK38-EL38</f>
        <v/>
      </c>
      <c r="EN38" s="237">
        <f>EM38/EL38</f>
        <v/>
      </c>
      <c r="EO38" s="236" t="n"/>
      <c r="EP38" s="236" t="n"/>
      <c r="ER38" s="10">
        <f>C38</f>
        <v/>
      </c>
      <c r="ES38" s="225" t="n">
        <v>754894.04</v>
      </c>
      <c r="ET38" s="14">
        <f>ES39</f>
        <v/>
      </c>
      <c r="EU38" s="14">
        <f>ES38-ET38</f>
        <v/>
      </c>
      <c r="EV38" s="237">
        <f>EU38/ET38</f>
        <v/>
      </c>
      <c r="EW38" s="236" t="n">
        <v>0.0258</v>
      </c>
      <c r="EX38" s="236" t="n"/>
      <c r="EZ38" s="10">
        <f>C38</f>
        <v/>
      </c>
      <c r="FA38" s="225" t="n">
        <v>680908</v>
      </c>
      <c r="FB38" s="14">
        <f>FA39</f>
        <v/>
      </c>
      <c r="FC38" s="14">
        <f>FA38-FB38</f>
        <v/>
      </c>
      <c r="FD38" s="237">
        <f>FC38/FB38</f>
        <v/>
      </c>
      <c r="FE38" s="236" t="n">
        <v>0.0158</v>
      </c>
      <c r="FF38" s="236" t="n"/>
      <c r="FG38" s="236" t="n"/>
      <c r="FH38" s="10">
        <f>C38</f>
        <v/>
      </c>
      <c r="FI38" s="677" t="n">
        <v>920895.3365</v>
      </c>
      <c r="FJ38" s="14">
        <f>FI39</f>
        <v/>
      </c>
      <c r="FK38" s="14">
        <f>FI38-FJ38</f>
        <v/>
      </c>
      <c r="FL38" s="237">
        <f>FK38/FJ38</f>
        <v/>
      </c>
      <c r="FM38" s="238" t="n"/>
      <c r="FN38" s="238" t="n"/>
      <c r="FP38" s="10">
        <f>C38</f>
        <v/>
      </c>
      <c r="FQ38" s="225" t="n">
        <v>1836418.73</v>
      </c>
      <c r="FR38" s="14">
        <f>FQ39</f>
        <v/>
      </c>
      <c r="FS38" s="14">
        <f>FQ38-FR38</f>
        <v/>
      </c>
      <c r="FT38" s="237">
        <f>FS38/FR38</f>
        <v/>
      </c>
      <c r="FU38" s="236" t="n">
        <v>0.0197</v>
      </c>
      <c r="FV38" s="236" t="n"/>
      <c r="FX38" s="10">
        <f>C38</f>
        <v/>
      </c>
      <c r="FY38" s="225" t="n">
        <v>7120882.05</v>
      </c>
      <c r="FZ38" s="14">
        <f>FY39</f>
        <v/>
      </c>
      <c r="GA38" s="14">
        <f>FY38-FZ38</f>
        <v/>
      </c>
      <c r="GB38" s="237">
        <f>GA38/FZ38</f>
        <v/>
      </c>
      <c r="GC38" s="236" t="n">
        <v>0.0089</v>
      </c>
      <c r="GD38" s="236" t="n"/>
      <c r="GF38" s="10">
        <f>C38</f>
        <v/>
      </c>
      <c r="GG38" s="225" t="n">
        <v>3983369.49</v>
      </c>
      <c r="GH38" s="14">
        <f>GG39</f>
        <v/>
      </c>
      <c r="GI38" s="14">
        <f>GG38-GH38</f>
        <v/>
      </c>
      <c r="GJ38" s="237">
        <f>GI38/GH38</f>
        <v/>
      </c>
      <c r="GK38" s="236" t="n">
        <v>0.0027</v>
      </c>
      <c r="GL38" s="236" t="n"/>
      <c r="GN38" s="10">
        <f>C38</f>
        <v/>
      </c>
      <c r="GO38" s="253" t="n">
        <v>1962958.1217</v>
      </c>
      <c r="GP38" s="14">
        <f>GO39</f>
        <v/>
      </c>
      <c r="GQ38" s="14">
        <f>GO38-GP38</f>
        <v/>
      </c>
      <c r="GR38" s="237">
        <f>GQ38/GP38</f>
        <v/>
      </c>
      <c r="GS38" s="236" t="n"/>
      <c r="GT38" s="236" t="n"/>
      <c r="GV38" s="10">
        <f>C38</f>
        <v/>
      </c>
      <c r="GW38" s="225" t="n">
        <v>593549.4</v>
      </c>
      <c r="GX38" s="14">
        <f>GW39</f>
        <v/>
      </c>
      <c r="GY38" s="14">
        <f>GW38-GX38</f>
        <v/>
      </c>
      <c r="GZ38" s="237">
        <f>GY38/GX38</f>
        <v/>
      </c>
      <c r="HA38" s="236" t="n">
        <v>0.0277</v>
      </c>
      <c r="HB38" s="236" t="n"/>
      <c r="HD38" s="10">
        <f>C38</f>
        <v/>
      </c>
      <c r="HE38" s="253" t="n">
        <v>777064.6746</v>
      </c>
      <c r="HF38" s="14">
        <f>HE39</f>
        <v/>
      </c>
      <c r="HG38" s="14">
        <f>HE38-HF38</f>
        <v/>
      </c>
      <c r="HH38" s="237">
        <f>HG38/HF38</f>
        <v/>
      </c>
      <c r="HI38" s="238" t="n"/>
      <c r="HJ38" s="236" t="n"/>
      <c r="HL38" s="10">
        <f>C38</f>
        <v/>
      </c>
      <c r="HM38" s="225" t="n">
        <v>109404.25</v>
      </c>
      <c r="HN38" s="14">
        <f>HM39</f>
        <v/>
      </c>
      <c r="HO38" s="14">
        <f>HM38-HN38</f>
        <v/>
      </c>
      <c r="HP38" s="237">
        <f>HO38/HN38</f>
        <v/>
      </c>
      <c r="HQ38" s="236" t="n">
        <v>0.0101</v>
      </c>
      <c r="HR38" s="236" t="n"/>
      <c r="HT38" s="10">
        <f>C38</f>
        <v/>
      </c>
      <c r="HU38" s="253" t="n">
        <v>126968.8265</v>
      </c>
      <c r="HV38" s="14">
        <f>HU39</f>
        <v/>
      </c>
      <c r="HW38" s="14">
        <f>HU38-HV38</f>
        <v/>
      </c>
      <c r="HX38" s="237">
        <f>HW38/HV38</f>
        <v/>
      </c>
      <c r="HY38" s="236" t="n"/>
      <c r="HZ38" s="236" t="n"/>
      <c r="IB38" s="10">
        <f>C38</f>
        <v/>
      </c>
      <c r="IC38" s="225" t="n">
        <v>324334.79</v>
      </c>
      <c r="ID38" s="14">
        <f>IC39</f>
        <v/>
      </c>
      <c r="IE38" s="14">
        <f>IC38-ID38</f>
        <v/>
      </c>
      <c r="IF38" s="237">
        <f>IE38/ID38</f>
        <v/>
      </c>
      <c r="IG38" s="238" t="n">
        <v>0.038</v>
      </c>
      <c r="IH38" s="236" t="n"/>
      <c r="IJ38" s="10">
        <f>C38</f>
        <v/>
      </c>
      <c r="IK38" s="253" t="n">
        <v>887676.29</v>
      </c>
      <c r="IL38" s="14">
        <f>IK39</f>
        <v/>
      </c>
      <c r="IM38" s="14">
        <f>IK38-IL38</f>
        <v/>
      </c>
      <c r="IN38" s="237">
        <f>IM38/IL38</f>
        <v/>
      </c>
      <c r="IO38" s="236" t="n"/>
      <c r="IP38" s="236" t="n"/>
      <c r="IR38" s="10">
        <f>C38</f>
        <v/>
      </c>
      <c r="IS38" s="225" t="n">
        <v>151989</v>
      </c>
      <c r="IT38" s="14">
        <f>IS39</f>
        <v/>
      </c>
      <c r="IU38" s="14">
        <f>IS38-IT38</f>
        <v/>
      </c>
      <c r="IV38" s="237">
        <f>IU38/IT38</f>
        <v/>
      </c>
      <c r="IW38" s="236" t="n">
        <v>0.0225</v>
      </c>
      <c r="IX38" s="236" t="n"/>
      <c r="IZ38" s="10">
        <f>C38</f>
        <v/>
      </c>
      <c r="JA38" s="225" t="n">
        <v>5660529.15</v>
      </c>
      <c r="JB38" s="14">
        <f>JA39</f>
        <v/>
      </c>
      <c r="JC38" s="14">
        <f>JA38-JB38</f>
        <v/>
      </c>
      <c r="JD38" s="237">
        <f>JC38/JB38</f>
        <v/>
      </c>
      <c r="JE38" s="236" t="n">
        <v>0.0144</v>
      </c>
      <c r="JF38" s="236" t="n"/>
      <c r="JH38" s="10">
        <f>C38</f>
        <v/>
      </c>
      <c r="JI38" s="225" t="n">
        <v>1179327.99</v>
      </c>
      <c r="JJ38" s="14">
        <f>JI39</f>
        <v/>
      </c>
      <c r="JK38" s="14">
        <f>JI38-JJ38</f>
        <v/>
      </c>
      <c r="JL38" s="237">
        <f>JK38/JJ38</f>
        <v/>
      </c>
      <c r="JM38" s="236" t="n">
        <v>-0.0024</v>
      </c>
      <c r="JN38" s="236" t="n"/>
      <c r="JO38" s="236" t="n"/>
      <c r="JP38" s="10">
        <f>C38</f>
        <v/>
      </c>
      <c r="JQ38" s="253" t="n">
        <v>1050090.4148</v>
      </c>
      <c r="JR38" s="14">
        <f>JQ39</f>
        <v/>
      </c>
      <c r="JS38" s="14">
        <f>JQ38-JR38</f>
        <v/>
      </c>
      <c r="JT38" s="237">
        <f>JS38/JR38</f>
        <v/>
      </c>
      <c r="JU38" s="236" t="n"/>
      <c r="JV38" s="236" t="n"/>
      <c r="JW38" s="238" t="n"/>
      <c r="JX38" s="10">
        <f>C38</f>
        <v/>
      </c>
      <c r="JY38" s="225" t="n">
        <v>996098.8</v>
      </c>
      <c r="JZ38" s="14">
        <f>JY39</f>
        <v/>
      </c>
      <c r="KA38" s="14">
        <f>JY38-JZ38</f>
        <v/>
      </c>
      <c r="KB38" s="237">
        <f>KA38/JZ38</f>
        <v/>
      </c>
      <c r="KC38" s="236" t="n">
        <v>0.0158</v>
      </c>
      <c r="KD38" s="236" t="n"/>
      <c r="KE38" s="238" t="n"/>
      <c r="KF38" s="10">
        <f>C38</f>
        <v/>
      </c>
      <c r="KG38" s="253" t="n">
        <v>570155.9219</v>
      </c>
      <c r="KH38" s="14">
        <f>KG39</f>
        <v/>
      </c>
      <c r="KI38" s="14">
        <f>KG38-KH38</f>
        <v/>
      </c>
      <c r="KJ38" s="237">
        <f>KI38/KH38</f>
        <v/>
      </c>
      <c r="KK38" s="238" t="n"/>
      <c r="KL38" s="238" t="n"/>
      <c r="KN38" s="10">
        <f>C38</f>
        <v/>
      </c>
      <c r="KO38" s="225" t="n">
        <v>7126275.95</v>
      </c>
      <c r="KP38" s="14">
        <f>KO39</f>
        <v/>
      </c>
      <c r="KQ38" s="14">
        <f>KO38-KP38</f>
        <v/>
      </c>
      <c r="KR38" s="237">
        <f>KQ38/KP38</f>
        <v/>
      </c>
      <c r="KS38" s="236" t="n">
        <v>0.0203</v>
      </c>
      <c r="KT38" s="236" t="n"/>
      <c r="KV38" s="10">
        <f>C38</f>
        <v/>
      </c>
      <c r="KW38" s="253" t="n">
        <v>1038272.9726</v>
      </c>
      <c r="KX38" s="14">
        <f>KW39</f>
        <v/>
      </c>
      <c r="KY38" s="14">
        <f>KW38-KX38</f>
        <v/>
      </c>
      <c r="KZ38" s="237">
        <f>KY38/KX38</f>
        <v/>
      </c>
      <c r="LA38" s="238" t="n"/>
      <c r="LB38" s="236" t="n"/>
      <c r="LD38" s="10">
        <f>C38</f>
        <v/>
      </c>
      <c r="LE38" s="225" t="n">
        <v>374707.7</v>
      </c>
      <c r="LF38" s="14">
        <f>LE39</f>
        <v/>
      </c>
      <c r="LG38" s="14">
        <f>LE38-LF38</f>
        <v/>
      </c>
      <c r="LH38" s="237">
        <f>LG38/LF38</f>
        <v/>
      </c>
      <c r="LI38" s="236" t="n">
        <v>0.0134</v>
      </c>
      <c r="LJ38" s="236" t="n"/>
      <c r="LL38" s="10">
        <f>C38</f>
        <v/>
      </c>
      <c r="LM38" s="225" t="n">
        <v>3217255.02</v>
      </c>
      <c r="LN38" s="14">
        <f>LM39</f>
        <v/>
      </c>
      <c r="LO38" s="14">
        <f>LM38-LN38</f>
        <v/>
      </c>
      <c r="LP38" s="237">
        <f>LO38/LN38</f>
        <v/>
      </c>
      <c r="LQ38" s="236" t="n">
        <v>0.0074</v>
      </c>
      <c r="LR38" s="236" t="n"/>
      <c r="LT38" s="10">
        <f>C38</f>
        <v/>
      </c>
      <c r="LU38" s="253" t="n">
        <v>2295262.904</v>
      </c>
      <c r="LV38" s="14">
        <f>LU39</f>
        <v/>
      </c>
      <c r="LW38" s="14">
        <f>LU38-LV38</f>
        <v/>
      </c>
      <c r="LX38" s="237">
        <f>LW38/LV38</f>
        <v/>
      </c>
      <c r="LY38" s="236" t="n"/>
      <c r="LZ38" s="236" t="n"/>
      <c r="MB38" s="10">
        <f>C38</f>
        <v/>
      </c>
      <c r="MC38" s="225" t="n">
        <v>789917.6899999999</v>
      </c>
      <c r="MD38" s="14">
        <f>MC39</f>
        <v/>
      </c>
      <c r="ME38" s="14">
        <f>MC38-MD38</f>
        <v/>
      </c>
      <c r="MF38" s="237">
        <f>ME38/MD38</f>
        <v/>
      </c>
      <c r="MG38" s="236" t="n">
        <v>-0.0072</v>
      </c>
      <c r="MH38" s="236" t="n"/>
      <c r="MK38" s="10">
        <f>C38</f>
        <v/>
      </c>
      <c r="ML38" s="254" t="n">
        <v>162225.5354</v>
      </c>
      <c r="MM38" s="14">
        <f>ML39</f>
        <v/>
      </c>
      <c r="MN38" s="14">
        <f>ML38-MM38</f>
        <v/>
      </c>
      <c r="MO38" s="237">
        <f>MN38/MM38</f>
        <v/>
      </c>
      <c r="MP38" s="236" t="n"/>
      <c r="MQ38" s="238" t="n"/>
      <c r="MR38" s="238" t="n"/>
      <c r="MT38" s="10">
        <f>C38</f>
        <v/>
      </c>
      <c r="MU38" s="225" t="n">
        <v>126914.8</v>
      </c>
      <c r="MV38" s="240">
        <f>MU39</f>
        <v/>
      </c>
      <c r="MW38" s="10">
        <f>MU38-MV38</f>
        <v/>
      </c>
      <c r="MX38" s="236">
        <f>MW38/MV38</f>
        <v/>
      </c>
      <c r="MY38" s="236" t="n">
        <v>0.0055</v>
      </c>
      <c r="MZ38" s="236" t="n"/>
      <c r="NA38" s="236" t="n"/>
      <c r="NC38" s="10">
        <f>C38</f>
        <v/>
      </c>
      <c r="ND38" s="225" t="n">
        <v>31091.48</v>
      </c>
      <c r="NE38" s="240">
        <f>ND39</f>
        <v/>
      </c>
      <c r="NF38" s="10">
        <f>ND38-NE38</f>
        <v/>
      </c>
      <c r="NG38" s="236">
        <f>NF38/NE38</f>
        <v/>
      </c>
      <c r="NH38" s="236" t="n">
        <v>0.0067</v>
      </c>
      <c r="NI38" s="236" t="n"/>
      <c r="NJ38" s="236" t="n"/>
      <c r="NK38" s="236" t="n"/>
      <c r="NM38" s="10">
        <f>C38</f>
        <v/>
      </c>
      <c r="NN38" s="225" t="n">
        <v>2608611.08</v>
      </c>
      <c r="NO38" s="10">
        <f>NN39</f>
        <v/>
      </c>
      <c r="NP38" s="10">
        <f>NN38-NO38</f>
        <v/>
      </c>
      <c r="NQ38" s="236">
        <f>NP38/NO38</f>
        <v/>
      </c>
      <c r="NR38" s="236" t="n">
        <v>0</v>
      </c>
      <c r="NS38" s="0" t="n"/>
      <c r="NU38" s="10">
        <f>C38</f>
        <v/>
      </c>
      <c r="NV38" s="225" t="n">
        <v>227276.5</v>
      </c>
      <c r="NW38" s="240">
        <f>NV39</f>
        <v/>
      </c>
      <c r="NX38" s="10">
        <f>NV38-NW38</f>
        <v/>
      </c>
      <c r="NY38" s="236">
        <f>NX38/NW38</f>
        <v/>
      </c>
      <c r="NZ38" s="238" t="n">
        <v>0.0022</v>
      </c>
      <c r="OA38" s="241" t="n"/>
      <c r="OC38" s="10">
        <f>C38</f>
        <v/>
      </c>
      <c r="OD38" s="225" t="n">
        <v>20879.97</v>
      </c>
      <c r="OE38" s="14">
        <f>OD39</f>
        <v/>
      </c>
      <c r="OF38" s="14">
        <f>OD38-OE38</f>
        <v/>
      </c>
      <c r="OG38" s="237">
        <f>OF38/OE38</f>
        <v/>
      </c>
      <c r="OH38" s="236" t="n">
        <v>0.0019</v>
      </c>
      <c r="OI38" s="236" t="n"/>
      <c r="OK38" s="10">
        <f>C38</f>
        <v/>
      </c>
      <c r="OL38" s="225" t="n">
        <v>18186.65</v>
      </c>
      <c r="OM38" s="14">
        <f>OL39</f>
        <v/>
      </c>
      <c r="ON38" s="14">
        <f>OL38-OM38</f>
        <v/>
      </c>
      <c r="OO38" s="237">
        <f>ON38/OM38</f>
        <v/>
      </c>
      <c r="OP38" s="236" t="n">
        <v>0.0003</v>
      </c>
      <c r="OQ38" s="236" t="n"/>
      <c r="OT38" s="201">
        <f>OK38</f>
        <v/>
      </c>
      <c r="OU38" s="199" t="n">
        <v>157872.4066</v>
      </c>
      <c r="OV38" s="9">
        <f>OU39</f>
        <v/>
      </c>
      <c r="OW38" s="671">
        <f>OU38-OV38</f>
        <v/>
      </c>
      <c r="OX38" s="182">
        <f>OW38/OV38</f>
        <v/>
      </c>
      <c r="OY38" s="0" t="n"/>
    </row>
    <row r="39" ht="17" customFormat="1" customHeight="1" s="9">
      <c r="A39" s="631" t="n"/>
      <c r="B39" s="631" t="n"/>
      <c r="C39" s="631" t="inlineStr">
        <is>
          <t>2026//9/18</t>
        </is>
      </c>
      <c r="D39" s="215" t="n">
        <v>2365968.77</v>
      </c>
      <c r="E39" s="20">
        <f>D40</f>
        <v/>
      </c>
      <c r="F39" s="20">
        <f>D39-E39</f>
        <v/>
      </c>
      <c r="G39" s="163">
        <f>F39/E39</f>
        <v/>
      </c>
      <c r="H39" s="19" t="n">
        <v>0.011</v>
      </c>
      <c r="I39" s="163" t="n"/>
      <c r="J39" s="163" t="n"/>
      <c r="K39" s="9">
        <f>C39</f>
        <v/>
      </c>
      <c r="L39" s="215" t="n">
        <v>1134424.4</v>
      </c>
      <c r="M39" s="20">
        <f>L40</f>
        <v/>
      </c>
      <c r="N39" s="20">
        <f>L39-M39</f>
        <v/>
      </c>
      <c r="O39" s="163">
        <f>N39/M39</f>
        <v/>
      </c>
      <c r="P39" s="19" t="n">
        <v>0.0102</v>
      </c>
      <c r="Q39" s="163" t="n"/>
      <c r="R39" s="20" t="n"/>
      <c r="S39" s="9">
        <f>C39</f>
        <v/>
      </c>
      <c r="T39" s="215" t="n">
        <v>796026.6800000001</v>
      </c>
      <c r="U39" s="20">
        <f>T40</f>
        <v/>
      </c>
      <c r="V39" s="20">
        <f>T39-U39</f>
        <v/>
      </c>
      <c r="W39" s="163">
        <f>V39/U39</f>
        <v/>
      </c>
      <c r="X39" s="19" t="n">
        <v>0.0057</v>
      </c>
      <c r="Y39" s="163" t="n"/>
      <c r="Z39" s="20" t="n"/>
      <c r="AA39" s="9">
        <f>S39</f>
        <v/>
      </c>
      <c r="AB39" s="215" t="n">
        <v>572256.86</v>
      </c>
      <c r="AC39" s="20">
        <f>AB40</f>
        <v/>
      </c>
      <c r="AD39" s="20">
        <f>AB39-AC39</f>
        <v/>
      </c>
      <c r="AE39" s="163">
        <f>AD39/AC39</f>
        <v/>
      </c>
      <c r="AF39" s="19" t="n">
        <v>0.0194</v>
      </c>
      <c r="AG39" s="163" t="n"/>
      <c r="AH39" s="20" t="n"/>
      <c r="AI39" s="9">
        <f>C39</f>
        <v/>
      </c>
      <c r="AJ39" s="215" t="n">
        <v>638721.76</v>
      </c>
      <c r="AK39" s="20">
        <f>AJ40</f>
        <v/>
      </c>
      <c r="AL39" s="20">
        <f>AJ39-AK39</f>
        <v/>
      </c>
      <c r="AM39" s="163">
        <f>AL39/AK39</f>
        <v/>
      </c>
      <c r="AN39" s="19" t="n">
        <v>0.0205</v>
      </c>
      <c r="AO39" s="19" t="n"/>
      <c r="AP39" s="20" t="n"/>
      <c r="AQ39" s="9">
        <f>C39</f>
        <v/>
      </c>
      <c r="AR39" s="242" t="n">
        <v>1985945.4936</v>
      </c>
      <c r="AS39" s="20">
        <f>AR40</f>
        <v/>
      </c>
      <c r="AT39" s="20">
        <f>AR39-AS39</f>
        <v/>
      </c>
      <c r="AU39" s="163">
        <f>AT39/AS39</f>
        <v/>
      </c>
      <c r="AV39" s="19" t="n">
        <v>0.0217</v>
      </c>
      <c r="AW39" s="19" t="n"/>
      <c r="AX39" s="5" t="n"/>
      <c r="AY39" s="5" t="n"/>
      <c r="AZ39" s="9">
        <f>C39</f>
        <v/>
      </c>
      <c r="BA39" s="242" t="n">
        <v>632901.6676</v>
      </c>
      <c r="BB39" s="24">
        <f>BA40</f>
        <v/>
      </c>
      <c r="BC39" s="5">
        <f>BA39-BB39</f>
        <v/>
      </c>
      <c r="BD39" s="19">
        <f>BC39/BB39</f>
        <v/>
      </c>
      <c r="BE39" s="19" t="n">
        <v>0.0101</v>
      </c>
      <c r="BF39" s="19" t="n"/>
      <c r="BG39" s="647" t="n"/>
      <c r="BH39" s="9">
        <f>C39</f>
        <v/>
      </c>
      <c r="BI39" s="221" t="n">
        <v>1122526.5525</v>
      </c>
      <c r="BJ39" s="184">
        <f>BI40</f>
        <v/>
      </c>
      <c r="BK39" s="184">
        <f>BI39-BJ39</f>
        <v/>
      </c>
      <c r="BL39" s="190">
        <f>BK39/BJ39</f>
        <v/>
      </c>
      <c r="BM39" s="191" t="n">
        <v>0.0128</v>
      </c>
      <c r="BN39" s="182" t="n"/>
      <c r="BP39" s="9">
        <f>C39</f>
        <v/>
      </c>
      <c r="BQ39" s="672" t="n">
        <v>1415762.3921</v>
      </c>
      <c r="BR39" s="13">
        <f>BQ40</f>
        <v/>
      </c>
      <c r="BS39" s="13">
        <f>BQ39-BR39</f>
        <v/>
      </c>
      <c r="BT39" s="193">
        <f>BS39/BR39</f>
        <v/>
      </c>
      <c r="BU39" s="182" t="n">
        <v>0.0233</v>
      </c>
      <c r="BV39" s="182" t="n"/>
      <c r="BX39" s="9">
        <f>C39</f>
        <v/>
      </c>
      <c r="BY39" s="222" t="n">
        <v>1628160.7019</v>
      </c>
      <c r="BZ39" s="13">
        <f>BY40</f>
        <v/>
      </c>
      <c r="CA39" s="13">
        <f>BY39-BZ39</f>
        <v/>
      </c>
      <c r="CB39" s="193">
        <f>CA39/BZ39</f>
        <v/>
      </c>
      <c r="CC39" s="182" t="n">
        <v>0.0092</v>
      </c>
      <c r="CD39" s="194" t="n"/>
      <c r="CF39" s="9">
        <f>C39</f>
        <v/>
      </c>
      <c r="CG39" s="215" t="n">
        <v>1419953.9</v>
      </c>
      <c r="CH39" s="13">
        <f>CG40</f>
        <v/>
      </c>
      <c r="CI39" s="13">
        <f>CG39-CH39</f>
        <v/>
      </c>
      <c r="CJ39" s="193">
        <f>CI39/CH39</f>
        <v/>
      </c>
      <c r="CK39" s="182" t="n">
        <v>0.0141</v>
      </c>
      <c r="CL39" s="194" t="n"/>
      <c r="CN39" s="9">
        <f>C39</f>
        <v/>
      </c>
      <c r="CO39" s="215" t="n">
        <v>528646.48</v>
      </c>
      <c r="CP39" s="13">
        <f>CO40</f>
        <v/>
      </c>
      <c r="CQ39" s="13">
        <f>CO39-CP39</f>
        <v/>
      </c>
      <c r="CR39" s="193">
        <f>CQ39/CP39</f>
        <v/>
      </c>
      <c r="CS39" s="194" t="n">
        <v>0.0127</v>
      </c>
      <c r="CT39" s="194" t="n"/>
      <c r="CV39" s="9">
        <f>C39</f>
        <v/>
      </c>
      <c r="CW39" s="215" t="n">
        <v>693390.4</v>
      </c>
      <c r="CX39" s="13">
        <f>CW40</f>
        <v/>
      </c>
      <c r="CY39" s="13">
        <f>CW39-CX39</f>
        <v/>
      </c>
      <c r="CZ39" s="193">
        <f>CY39/CX39</f>
        <v/>
      </c>
      <c r="DA39" s="182" t="n">
        <v>0.0172</v>
      </c>
      <c r="DB39" s="182" t="n"/>
      <c r="DC39" s="186" t="n"/>
      <c r="DD39" s="9">
        <f>C39</f>
        <v/>
      </c>
      <c r="DE39" s="222" t="n">
        <v>6104335.9972</v>
      </c>
      <c r="DF39" s="13">
        <f>DE40</f>
        <v/>
      </c>
      <c r="DG39" s="13">
        <f>DE39-DF39</f>
        <v/>
      </c>
      <c r="DH39" s="193">
        <f>DG39/DF39</f>
        <v/>
      </c>
      <c r="DI39" s="182" t="n">
        <v>0.037</v>
      </c>
      <c r="DJ39" s="182" t="n"/>
      <c r="DK39" s="0" t="n"/>
      <c r="DL39" s="9">
        <f>C39</f>
        <v/>
      </c>
      <c r="DM39" s="215" t="n">
        <v>1954200.72</v>
      </c>
      <c r="DN39" s="13">
        <f>DM40</f>
        <v/>
      </c>
      <c r="DO39" s="13">
        <f>DM39-DN39</f>
        <v/>
      </c>
      <c r="DP39" s="193">
        <f>DO39/DN39</f>
        <v/>
      </c>
      <c r="DQ39" s="182" t="n">
        <v>0.04</v>
      </c>
      <c r="DR39" s="182" t="n"/>
      <c r="DT39" s="9">
        <f>C39</f>
        <v/>
      </c>
      <c r="DU39" s="215" t="n">
        <v>4293718.43</v>
      </c>
      <c r="DV39" s="13">
        <f>DU40</f>
        <v/>
      </c>
      <c r="DW39" s="13">
        <f>DU39-DV39</f>
        <v/>
      </c>
      <c r="DX39" s="193">
        <f>DW39/DV39</f>
        <v/>
      </c>
      <c r="DY39" s="182" t="n">
        <v>0.0377</v>
      </c>
      <c r="DZ39" s="182" t="n"/>
      <c r="EB39" s="9">
        <f>C39</f>
        <v/>
      </c>
      <c r="EC39" s="215" t="n">
        <v>5499866.82</v>
      </c>
      <c r="ED39" s="13">
        <f>EC40</f>
        <v/>
      </c>
      <c r="EE39" s="13">
        <f>EC39-ED39</f>
        <v/>
      </c>
      <c r="EF39" s="193">
        <f>EE39/ED39</f>
        <v/>
      </c>
      <c r="EG39" s="182" t="n">
        <v>0.0283</v>
      </c>
      <c r="EH39" s="182" t="n"/>
      <c r="EJ39" s="9">
        <f>C39</f>
        <v/>
      </c>
      <c r="EK39" s="222" t="n">
        <v>1205122.9669</v>
      </c>
      <c r="EL39" s="13">
        <f>EK40</f>
        <v/>
      </c>
      <c r="EM39" s="13">
        <f>EK39-EL39</f>
        <v/>
      </c>
      <c r="EN39" s="193">
        <f>EM39/EL39</f>
        <v/>
      </c>
      <c r="EO39" s="182" t="n">
        <v>0.028</v>
      </c>
      <c r="EP39" s="182" t="n"/>
      <c r="ER39" s="9">
        <f>C39</f>
        <v/>
      </c>
      <c r="ES39" s="215" t="n">
        <v>754894.04</v>
      </c>
      <c r="ET39" s="13">
        <f>ES40</f>
        <v/>
      </c>
      <c r="EU39" s="13">
        <f>ES39-ET39</f>
        <v/>
      </c>
      <c r="EV39" s="193">
        <f>EU39/ET39</f>
        <v/>
      </c>
      <c r="EW39" s="182" t="n">
        <v>0.0258</v>
      </c>
      <c r="EX39" s="182" t="n"/>
      <c r="EZ39" s="9">
        <f>C39</f>
        <v/>
      </c>
      <c r="FA39" s="215" t="n">
        <v>680908</v>
      </c>
      <c r="FB39" s="13">
        <f>FA40</f>
        <v/>
      </c>
      <c r="FC39" s="13">
        <f>FA39-FB39</f>
        <v/>
      </c>
      <c r="FD39" s="193">
        <f>FC39/FB39</f>
        <v/>
      </c>
      <c r="FE39" s="182" t="n">
        <v>0.0158</v>
      </c>
      <c r="FF39" s="182" t="n"/>
      <c r="FG39" s="182" t="n"/>
      <c r="FH39" s="9">
        <f>C39</f>
        <v/>
      </c>
      <c r="FI39" s="672" t="n">
        <v>920895.3365</v>
      </c>
      <c r="FJ39" s="13">
        <f>FI40</f>
        <v/>
      </c>
      <c r="FK39" s="13">
        <f>FI39-FJ39</f>
        <v/>
      </c>
      <c r="FL39" s="193">
        <f>FK39/FJ39</f>
        <v/>
      </c>
      <c r="FM39" s="194" t="n">
        <v>0.0259</v>
      </c>
      <c r="FN39" s="194" t="n"/>
      <c r="FP39" s="9">
        <f>C39</f>
        <v/>
      </c>
      <c r="FQ39" s="215" t="n">
        <v>1836418.73</v>
      </c>
      <c r="FR39" s="13">
        <f>FQ40</f>
        <v/>
      </c>
      <c r="FS39" s="13">
        <f>FQ39-FR39</f>
        <v/>
      </c>
      <c r="FT39" s="193">
        <f>FS39/FR39</f>
        <v/>
      </c>
      <c r="FU39" s="182" t="n">
        <v>0.0197</v>
      </c>
      <c r="FV39" s="182" t="n"/>
      <c r="FX39" s="9">
        <f>C39</f>
        <v/>
      </c>
      <c r="FY39" s="215" t="n">
        <v>7120882.05</v>
      </c>
      <c r="FZ39" s="13">
        <f>FY40</f>
        <v/>
      </c>
      <c r="GA39" s="13">
        <f>FY39-FZ39</f>
        <v/>
      </c>
      <c r="GB39" s="193">
        <f>GA39/FZ39</f>
        <v/>
      </c>
      <c r="GC39" s="182" t="n">
        <v>0.0089</v>
      </c>
      <c r="GD39" s="182" t="n"/>
      <c r="GF39" s="9">
        <f>C39</f>
        <v/>
      </c>
      <c r="GG39" s="215" t="n">
        <v>3983369.49</v>
      </c>
      <c r="GH39" s="13">
        <f>GG40</f>
        <v/>
      </c>
      <c r="GI39" s="13">
        <f>GG39-GH39</f>
        <v/>
      </c>
      <c r="GJ39" s="193">
        <f>GI39/GH39</f>
        <v/>
      </c>
      <c r="GK39" s="182" t="n">
        <v>0.0027</v>
      </c>
      <c r="GL39" s="182" t="n"/>
      <c r="GN39" s="9">
        <f>C39</f>
        <v/>
      </c>
      <c r="GO39" s="222" t="n">
        <v>1962958.1217</v>
      </c>
      <c r="GP39" s="13">
        <f>GO40</f>
        <v/>
      </c>
      <c r="GQ39" s="13">
        <f>GO39-GP39</f>
        <v/>
      </c>
      <c r="GR39" s="193">
        <f>GQ39/GP39</f>
        <v/>
      </c>
      <c r="GS39" s="182" t="n">
        <v>0.006</v>
      </c>
      <c r="GT39" s="182" t="n"/>
      <c r="GV39" s="9">
        <f>C39</f>
        <v/>
      </c>
      <c r="GW39" s="215" t="n">
        <v>593549.4</v>
      </c>
      <c r="GX39" s="13">
        <f>GW40</f>
        <v/>
      </c>
      <c r="GY39" s="13">
        <f>GW39-GX39</f>
        <v/>
      </c>
      <c r="GZ39" s="193">
        <f>GY39/GX39</f>
        <v/>
      </c>
      <c r="HA39" s="182" t="n">
        <v>0.0277</v>
      </c>
      <c r="HB39" s="182" t="n"/>
      <c r="HD39" s="9">
        <f>C39</f>
        <v/>
      </c>
      <c r="HE39" s="222" t="n">
        <v>777064.6746</v>
      </c>
      <c r="HF39" s="13">
        <f>HE40</f>
        <v/>
      </c>
      <c r="HG39" s="13">
        <f>HE39-HF39</f>
        <v/>
      </c>
      <c r="HH39" s="193">
        <f>HG39/HF39</f>
        <v/>
      </c>
      <c r="HI39" s="194" t="n">
        <v>0.0139</v>
      </c>
      <c r="HJ39" s="182" t="n"/>
      <c r="HL39" s="9">
        <f>C39</f>
        <v/>
      </c>
      <c r="HM39" s="215" t="n">
        <v>109404.25</v>
      </c>
      <c r="HN39" s="13">
        <f>HM40</f>
        <v/>
      </c>
      <c r="HO39" s="13">
        <f>HM39-HN39</f>
        <v/>
      </c>
      <c r="HP39" s="193">
        <f>HO39/HN39</f>
        <v/>
      </c>
      <c r="HQ39" s="182" t="n">
        <v>0.0101</v>
      </c>
      <c r="HR39" s="182" t="n"/>
      <c r="HT39" s="9">
        <f>C39</f>
        <v/>
      </c>
      <c r="HU39" s="222" t="n">
        <v>126968.8265</v>
      </c>
      <c r="HV39" s="13">
        <f>HU40</f>
        <v/>
      </c>
      <c r="HW39" s="13">
        <f>HU39-HV39</f>
        <v/>
      </c>
      <c r="HX39" s="193">
        <f>HW39/HV39</f>
        <v/>
      </c>
      <c r="HY39" s="182" t="n">
        <v>0.0117</v>
      </c>
      <c r="HZ39" s="182" t="n"/>
      <c r="IB39" s="9">
        <f>C39</f>
        <v/>
      </c>
      <c r="IC39" s="215" t="n">
        <v>324334.79</v>
      </c>
      <c r="ID39" s="13">
        <f>IC40</f>
        <v/>
      </c>
      <c r="IE39" s="13">
        <f>IC39-ID39</f>
        <v/>
      </c>
      <c r="IF39" s="193">
        <f>IE39/ID39</f>
        <v/>
      </c>
      <c r="IG39" s="194" t="n">
        <v>0.038</v>
      </c>
      <c r="IH39" s="182" t="n"/>
      <c r="IJ39" s="9">
        <f>C39</f>
        <v/>
      </c>
      <c r="IK39" s="222" t="n">
        <v>887676.29</v>
      </c>
      <c r="IL39" s="13">
        <f>IK40</f>
        <v/>
      </c>
      <c r="IM39" s="13">
        <f>IK39-IL39</f>
        <v/>
      </c>
      <c r="IN39" s="193">
        <f>IM39/IL39</f>
        <v/>
      </c>
      <c r="IO39" s="182" t="n">
        <v>0.0029</v>
      </c>
      <c r="IP39" s="182" t="n"/>
      <c r="IR39" s="9">
        <f>C39</f>
        <v/>
      </c>
      <c r="IS39" s="215" t="n">
        <v>151989</v>
      </c>
      <c r="IT39" s="13">
        <f>IS40</f>
        <v/>
      </c>
      <c r="IU39" s="13">
        <f>IS39-IT39</f>
        <v/>
      </c>
      <c r="IV39" s="193">
        <f>IU39/IT39</f>
        <v/>
      </c>
      <c r="IW39" s="182" t="n">
        <v>0.0225</v>
      </c>
      <c r="IX39" s="182" t="n"/>
      <c r="IZ39" s="9">
        <f>C39</f>
        <v/>
      </c>
      <c r="JA39" s="215" t="n">
        <v>5660529.15</v>
      </c>
      <c r="JB39" s="13">
        <f>JA40</f>
        <v/>
      </c>
      <c r="JC39" s="13">
        <f>JA39-JB39</f>
        <v/>
      </c>
      <c r="JD39" s="193">
        <f>JC39/JB39</f>
        <v/>
      </c>
      <c r="JE39" s="182" t="n">
        <v>0.0144</v>
      </c>
      <c r="JF39" s="182" t="n"/>
      <c r="JH39" s="9">
        <f>C39</f>
        <v/>
      </c>
      <c r="JI39" s="215" t="n">
        <v>1179327.99</v>
      </c>
      <c r="JJ39" s="13">
        <f>JI40</f>
        <v/>
      </c>
      <c r="JK39" s="13">
        <f>JI39-JJ39</f>
        <v/>
      </c>
      <c r="JL39" s="193">
        <f>JK39/JJ39</f>
        <v/>
      </c>
      <c r="JM39" s="182" t="n">
        <v>-0.0024</v>
      </c>
      <c r="JN39" s="182" t="n"/>
      <c r="JO39" s="182" t="n"/>
      <c r="JP39" s="9">
        <f>C39</f>
        <v/>
      </c>
      <c r="JQ39" s="222" t="n">
        <v>1050090.4148</v>
      </c>
      <c r="JR39" s="13">
        <f>JQ40</f>
        <v/>
      </c>
      <c r="JS39" s="13">
        <f>JQ39-JR39</f>
        <v/>
      </c>
      <c r="JT39" s="193">
        <f>JS39/JR39</f>
        <v/>
      </c>
      <c r="JU39" s="182" t="n">
        <v>0.0238</v>
      </c>
      <c r="JV39" s="182" t="n"/>
      <c r="JW39" s="194" t="n"/>
      <c r="JX39" s="9">
        <f>C39</f>
        <v/>
      </c>
      <c r="JY39" s="215" t="n">
        <v>996098.8</v>
      </c>
      <c r="JZ39" s="13">
        <f>JY40</f>
        <v/>
      </c>
      <c r="KA39" s="13">
        <f>JY39-JZ39</f>
        <v/>
      </c>
      <c r="KB39" s="193">
        <f>KA39/JZ39</f>
        <v/>
      </c>
      <c r="KC39" s="182" t="n">
        <v>0.0158</v>
      </c>
      <c r="KD39" s="182" t="n"/>
      <c r="KE39" s="194" t="n"/>
      <c r="KF39" s="9">
        <f>C39</f>
        <v/>
      </c>
      <c r="KG39" s="222" t="n">
        <v>570155.9219</v>
      </c>
      <c r="KH39" s="13">
        <f>KG40</f>
        <v/>
      </c>
      <c r="KI39" s="13">
        <f>KG39-KH39</f>
        <v/>
      </c>
      <c r="KJ39" s="193">
        <f>KI39/KH39</f>
        <v/>
      </c>
      <c r="KK39" s="194" t="n">
        <v>0.0076</v>
      </c>
      <c r="KL39" s="194" t="n"/>
      <c r="KN39" s="9">
        <f>C39</f>
        <v/>
      </c>
      <c r="KO39" s="215" t="n">
        <v>7126275.95</v>
      </c>
      <c r="KP39" s="13">
        <f>KO40</f>
        <v/>
      </c>
      <c r="KQ39" s="13">
        <f>KO39-KP39</f>
        <v/>
      </c>
      <c r="KR39" s="193">
        <f>KQ39/KP39</f>
        <v/>
      </c>
      <c r="KS39" s="182" t="n">
        <v>0.0203</v>
      </c>
      <c r="KT39" s="182" t="n"/>
      <c r="KV39" s="9">
        <f>C39</f>
        <v/>
      </c>
      <c r="KW39" s="222" t="n">
        <v>1038272.9726</v>
      </c>
      <c r="KX39" s="13">
        <f>KW40</f>
        <v/>
      </c>
      <c r="KY39" s="13">
        <f>KW39-KX39</f>
        <v/>
      </c>
      <c r="KZ39" s="193">
        <f>KY39/KX39</f>
        <v/>
      </c>
      <c r="LA39" s="194" t="n">
        <v>0.0029</v>
      </c>
      <c r="LB39" s="182" t="n"/>
      <c r="LD39" s="9">
        <f>C39</f>
        <v/>
      </c>
      <c r="LE39" s="215" t="n">
        <v>374707.7</v>
      </c>
      <c r="LF39" s="13">
        <f>LE40</f>
        <v/>
      </c>
      <c r="LG39" s="13">
        <f>LE39-LF39</f>
        <v/>
      </c>
      <c r="LH39" s="193">
        <f>LG39/LF39</f>
        <v/>
      </c>
      <c r="LI39" s="182" t="n">
        <v>0.0134</v>
      </c>
      <c r="LJ39" s="182" t="n"/>
      <c r="LL39" s="9">
        <f>C39</f>
        <v/>
      </c>
      <c r="LM39" s="215" t="n">
        <v>3217255.02</v>
      </c>
      <c r="LN39" s="13">
        <f>LM40</f>
        <v/>
      </c>
      <c r="LO39" s="13">
        <f>LM39-LN39</f>
        <v/>
      </c>
      <c r="LP39" s="193">
        <f>LO39/LN39</f>
        <v/>
      </c>
      <c r="LQ39" s="182" t="n">
        <v>0.0074</v>
      </c>
      <c r="LR39" s="182" t="n"/>
      <c r="LT39" s="9">
        <f>C39</f>
        <v/>
      </c>
      <c r="LU39" s="222" t="n">
        <v>2295262.904</v>
      </c>
      <c r="LV39" s="13">
        <f>LU40</f>
        <v/>
      </c>
      <c r="LW39" s="13">
        <f>LU39-LV39</f>
        <v/>
      </c>
      <c r="LX39" s="193">
        <f>LW39/LV39</f>
        <v/>
      </c>
      <c r="LY39" s="182" t="n">
        <v>0.0046</v>
      </c>
      <c r="LZ39" s="182" t="n"/>
      <c r="MB39" s="9">
        <f>C39</f>
        <v/>
      </c>
      <c r="MC39" s="215" t="n">
        <v>789917.6899999999</v>
      </c>
      <c r="MD39" s="13">
        <f>MC40</f>
        <v/>
      </c>
      <c r="ME39" s="13">
        <f>MC39-MD39</f>
        <v/>
      </c>
      <c r="MF39" s="193">
        <f>ME39/MD39</f>
        <v/>
      </c>
      <c r="MG39" s="182" t="n">
        <v>-0.0072</v>
      </c>
      <c r="MH39" s="182" t="n"/>
      <c r="MK39" s="9">
        <f>C39</f>
        <v/>
      </c>
      <c r="ML39" s="223" t="n">
        <v>162225.5354</v>
      </c>
      <c r="MM39" s="13">
        <f>ML40</f>
        <v/>
      </c>
      <c r="MN39" s="13">
        <f>ML39-MM39</f>
        <v/>
      </c>
      <c r="MO39" s="193">
        <f>MN39/MM39</f>
        <v/>
      </c>
      <c r="MP39" s="182" t="n">
        <v>0.0205</v>
      </c>
      <c r="MQ39" s="194" t="n"/>
      <c r="MR39" s="194" t="n"/>
      <c r="MT39" s="9">
        <f>C39</f>
        <v/>
      </c>
      <c r="MU39" s="215" t="n">
        <v>126914.8</v>
      </c>
      <c r="MV39" s="188">
        <f>MU40</f>
        <v/>
      </c>
      <c r="MW39" s="9">
        <f>MU39-MV39</f>
        <v/>
      </c>
      <c r="MX39" s="182">
        <f>MW39/MV39</f>
        <v/>
      </c>
      <c r="MY39" s="182" t="n">
        <v>0.0055</v>
      </c>
      <c r="MZ39" s="182" t="n"/>
      <c r="NA39" s="182" t="n"/>
      <c r="NC39" s="9">
        <f>C39</f>
        <v/>
      </c>
      <c r="ND39" s="215" t="n">
        <v>31091.48</v>
      </c>
      <c r="NE39" s="188">
        <f>ND40</f>
        <v/>
      </c>
      <c r="NF39" s="9">
        <f>ND39-NE39</f>
        <v/>
      </c>
      <c r="NG39" s="182">
        <f>NF39/NE39</f>
        <v/>
      </c>
      <c r="NH39" s="182" t="n">
        <v>0.0067</v>
      </c>
      <c r="NI39" s="182" t="n"/>
      <c r="NJ39" s="182" t="n"/>
      <c r="NK39" s="182" t="n"/>
      <c r="NM39" s="9">
        <f>C39</f>
        <v/>
      </c>
      <c r="NN39" s="215" t="n">
        <v>2608611.08</v>
      </c>
      <c r="NO39" s="9">
        <f>NN40</f>
        <v/>
      </c>
      <c r="NP39" s="197">
        <f>NN39-NO39</f>
        <v/>
      </c>
      <c r="NQ39" s="198">
        <f>NP39/NO39</f>
        <v/>
      </c>
      <c r="NR39" s="182" t="n">
        <v>0</v>
      </c>
      <c r="NS39" s="0" t="n"/>
      <c r="NU39" s="9">
        <f>C39</f>
        <v/>
      </c>
      <c r="NV39" s="215" t="n">
        <v>227276.5</v>
      </c>
      <c r="NW39" s="188">
        <f>NV40</f>
        <v/>
      </c>
      <c r="NX39" s="197">
        <f>NV39-NW39</f>
        <v/>
      </c>
      <c r="NY39" s="198">
        <f>NX39/NW39</f>
        <v/>
      </c>
      <c r="NZ39" s="194" t="n">
        <v>0.0022</v>
      </c>
      <c r="OA39" s="185" t="n"/>
      <c r="OC39" s="9">
        <f>C39</f>
        <v/>
      </c>
      <c r="OD39" s="215" t="n">
        <v>20879.97</v>
      </c>
      <c r="OE39" s="13">
        <f>OD40</f>
        <v/>
      </c>
      <c r="OF39" s="13">
        <f>OD39-OE39</f>
        <v/>
      </c>
      <c r="OG39" s="193">
        <f>OF39/OE39</f>
        <v/>
      </c>
      <c r="OH39" s="182" t="n">
        <v>0.0019</v>
      </c>
      <c r="OI39" s="182" t="n"/>
      <c r="OK39" s="9">
        <f>C39</f>
        <v/>
      </c>
      <c r="OL39" s="215" t="n">
        <v>18186.65</v>
      </c>
      <c r="OM39" s="13">
        <f>OL40</f>
        <v/>
      </c>
      <c r="ON39" s="13">
        <f>OL39-OM39</f>
        <v/>
      </c>
      <c r="OO39" s="193">
        <f>ON39/OM39</f>
        <v/>
      </c>
      <c r="OP39" s="182" t="n">
        <v>0.0003</v>
      </c>
      <c r="OQ39" s="182" t="n"/>
      <c r="OT39" s="201">
        <f>OK39</f>
        <v/>
      </c>
      <c r="OU39" s="199" t="n">
        <v>157872.4066</v>
      </c>
      <c r="OV39" s="9">
        <f>OU40</f>
        <v/>
      </c>
      <c r="OW39" s="671">
        <f>OU39-OV39</f>
        <v/>
      </c>
      <c r="OX39" s="182">
        <f>OW39/OV39</f>
        <v/>
      </c>
      <c r="OY39" s="0" t="n">
        <v>-0.0312</v>
      </c>
    </row>
    <row r="40" ht="17" customFormat="1" customHeight="1" s="9">
      <c r="A40" s="631" t="n"/>
      <c r="B40" s="631" t="n"/>
      <c r="C40" s="631" t="inlineStr">
        <is>
          <t>2026//9/17</t>
        </is>
      </c>
      <c r="D40" s="215" t="n">
        <v>2370108.77</v>
      </c>
      <c r="E40" s="20">
        <f>D41</f>
        <v/>
      </c>
      <c r="F40" s="20">
        <f>D40-E40</f>
        <v/>
      </c>
      <c r="G40" s="163">
        <f>F40/E40</f>
        <v/>
      </c>
      <c r="H40" s="19" t="n">
        <v>-0.004</v>
      </c>
      <c r="I40" s="163" t="n"/>
      <c r="J40" s="163" t="n"/>
      <c r="K40" s="9">
        <f>C40</f>
        <v/>
      </c>
      <c r="L40" s="215" t="n">
        <v>1134424.4</v>
      </c>
      <c r="M40" s="20">
        <f>L41</f>
        <v/>
      </c>
      <c r="N40" s="20">
        <f>L40-M40</f>
        <v/>
      </c>
      <c r="O40" s="163">
        <f>N40/M40</f>
        <v/>
      </c>
      <c r="P40" s="19" t="n">
        <v>-0.0036</v>
      </c>
      <c r="Q40" s="163" t="n"/>
      <c r="R40" s="20" t="n"/>
      <c r="S40" s="9">
        <f>C40</f>
        <v/>
      </c>
      <c r="T40" s="215" t="n">
        <v>779016.6800000001</v>
      </c>
      <c r="U40" s="20">
        <f>T41</f>
        <v/>
      </c>
      <c r="V40" s="20">
        <f>T40-U40</f>
        <v/>
      </c>
      <c r="W40" s="163">
        <f>V40/U40</f>
        <v/>
      </c>
      <c r="X40" s="19" t="n">
        <v>-0.0074</v>
      </c>
      <c r="Y40" s="163" t="n"/>
      <c r="Z40" s="20" t="n"/>
      <c r="AA40" s="9">
        <f>S40</f>
        <v/>
      </c>
      <c r="AB40" s="215" t="n">
        <v>569016.86</v>
      </c>
      <c r="AC40" s="20">
        <f>AB41</f>
        <v/>
      </c>
      <c r="AD40" s="20">
        <f>AB40-AC40</f>
        <v/>
      </c>
      <c r="AE40" s="163">
        <f>AD40/AC40</f>
        <v/>
      </c>
      <c r="AF40" s="19" t="n">
        <v>-0.0038</v>
      </c>
      <c r="AG40" s="163" t="n"/>
      <c r="AH40" s="20" t="n"/>
      <c r="AI40" s="9">
        <f>C40</f>
        <v/>
      </c>
      <c r="AJ40" s="215" t="n">
        <v>639121.76</v>
      </c>
      <c r="AK40" s="20">
        <f>AJ41</f>
        <v/>
      </c>
      <c r="AL40" s="20">
        <f>AJ40-AK40</f>
        <v/>
      </c>
      <c r="AM40" s="163">
        <f>AL40/AK40</f>
        <v/>
      </c>
      <c r="AN40" s="19" t="n">
        <v>-0.0052</v>
      </c>
      <c r="AO40" s="19" t="n"/>
      <c r="AP40" s="20" t="n"/>
      <c r="AQ40" s="9">
        <f>C40</f>
        <v/>
      </c>
      <c r="AR40" s="242" t="n">
        <v>1999545.4936</v>
      </c>
      <c r="AS40" s="20">
        <f>AR41</f>
        <v/>
      </c>
      <c r="AT40" s="20">
        <f>AR40-AS40</f>
        <v/>
      </c>
      <c r="AU40" s="163">
        <f>AT40/AS40</f>
        <v/>
      </c>
      <c r="AV40" s="19" t="n">
        <v>-0.0033</v>
      </c>
      <c r="AW40" s="19" t="n"/>
      <c r="AX40" s="5" t="n"/>
      <c r="AY40" s="5" t="n"/>
      <c r="AZ40" s="9">
        <f>C40</f>
        <v/>
      </c>
      <c r="BA40" s="242" t="n">
        <v>634071.6676</v>
      </c>
      <c r="BB40" s="24">
        <f>BA41</f>
        <v/>
      </c>
      <c r="BC40" s="5">
        <f>BA40-BB40</f>
        <v/>
      </c>
      <c r="BD40" s="19">
        <f>BC40/BB40</f>
        <v/>
      </c>
      <c r="BE40" s="19" t="n">
        <v>-0.0034</v>
      </c>
      <c r="BF40" s="19" t="n"/>
      <c r="BG40" s="647" t="n"/>
      <c r="BH40" s="9">
        <f>C40</f>
        <v/>
      </c>
      <c r="BI40" s="221" t="n">
        <v>1129426.5525</v>
      </c>
      <c r="BJ40" s="184">
        <f>BI41</f>
        <v/>
      </c>
      <c r="BK40" s="184">
        <f>BI40-BJ40</f>
        <v/>
      </c>
      <c r="BL40" s="190">
        <f>BK40/BJ40</f>
        <v/>
      </c>
      <c r="BM40" s="191" t="n">
        <v>0.0012</v>
      </c>
      <c r="BN40" s="182" t="n"/>
      <c r="BP40" s="9">
        <f>C40</f>
        <v/>
      </c>
      <c r="BQ40" s="672" t="n">
        <v>1431562.3921</v>
      </c>
      <c r="BR40" s="13">
        <f>BQ41</f>
        <v/>
      </c>
      <c r="BS40" s="13">
        <f>BQ40-BR40</f>
        <v/>
      </c>
      <c r="BT40" s="193">
        <f>BS40/BR40</f>
        <v/>
      </c>
      <c r="BU40" s="182" t="n">
        <v>-0.0077</v>
      </c>
      <c r="BV40" s="182" t="n"/>
      <c r="BX40" s="9">
        <f>C40</f>
        <v/>
      </c>
      <c r="BY40" s="222" t="n">
        <v>1633510.7019</v>
      </c>
      <c r="BZ40" s="13">
        <f>BY41</f>
        <v/>
      </c>
      <c r="CA40" s="13">
        <f>BY40-BZ40</f>
        <v/>
      </c>
      <c r="CB40" s="193">
        <f>CA40/BZ40</f>
        <v/>
      </c>
      <c r="CC40" s="182" t="n">
        <v>-0.0091</v>
      </c>
      <c r="CD40" s="194" t="n"/>
      <c r="CF40" s="9">
        <f>C40</f>
        <v/>
      </c>
      <c r="CG40" s="215" t="n">
        <v>1422053.9</v>
      </c>
      <c r="CH40" s="13">
        <f>CG41</f>
        <v/>
      </c>
      <c r="CI40" s="13">
        <f>CG40-CH40</f>
        <v/>
      </c>
      <c r="CJ40" s="193">
        <f>CI40/CH40</f>
        <v/>
      </c>
      <c r="CK40" s="182" t="n">
        <v>-0.0257</v>
      </c>
      <c r="CL40" s="194" t="n"/>
      <c r="CN40" s="9">
        <f>C40</f>
        <v/>
      </c>
      <c r="CO40" s="215" t="n">
        <v>531646.48</v>
      </c>
      <c r="CP40" s="13">
        <f>CO41</f>
        <v/>
      </c>
      <c r="CQ40" s="13">
        <f>CO40-CP40</f>
        <v/>
      </c>
      <c r="CR40" s="193">
        <f>CQ40/CP40</f>
        <v/>
      </c>
      <c r="CS40" s="194" t="n">
        <v>-0.0274</v>
      </c>
      <c r="CT40" s="194" t="n"/>
      <c r="CV40" s="9">
        <f>C40</f>
        <v/>
      </c>
      <c r="CW40" s="215" t="n">
        <v>690240.4</v>
      </c>
      <c r="CX40" s="13">
        <f>CW41</f>
        <v/>
      </c>
      <c r="CY40" s="13">
        <f>CW40-CX40</f>
        <v/>
      </c>
      <c r="CZ40" s="193">
        <f>CY40/CX40</f>
        <v/>
      </c>
      <c r="DA40" s="182" t="n">
        <v>-0.0445</v>
      </c>
      <c r="DB40" s="182" t="n"/>
      <c r="DC40" s="186" t="n"/>
      <c r="DD40" s="9">
        <f>C40</f>
        <v/>
      </c>
      <c r="DE40" s="222" t="n">
        <v>6127435.9972</v>
      </c>
      <c r="DF40" s="13">
        <f>DE41</f>
        <v/>
      </c>
      <c r="DG40" s="13">
        <f>DE40-DF40</f>
        <v/>
      </c>
      <c r="DH40" s="193">
        <f>DG40/DF40</f>
        <v/>
      </c>
      <c r="DI40" s="182" t="n">
        <v>-0.0042</v>
      </c>
      <c r="DJ40" s="182" t="n"/>
      <c r="DK40" s="0" t="n"/>
      <c r="DL40" s="9">
        <f>C40</f>
        <v/>
      </c>
      <c r="DM40" s="215" t="n">
        <v>1986200.72</v>
      </c>
      <c r="DN40" s="13">
        <f>DM41</f>
        <v/>
      </c>
      <c r="DO40" s="13">
        <f>DM40-DN40</f>
        <v/>
      </c>
      <c r="DP40" s="193">
        <f>DO40/DN40</f>
        <v/>
      </c>
      <c r="DQ40" s="182" t="n">
        <v>-0.0069</v>
      </c>
      <c r="DR40" s="182" t="n"/>
      <c r="DT40" s="9">
        <f>C40</f>
        <v/>
      </c>
      <c r="DU40" s="215" t="n">
        <v>4291018.43</v>
      </c>
      <c r="DV40" s="13">
        <f>DU41</f>
        <v/>
      </c>
      <c r="DW40" s="13">
        <f>DU40-DV40</f>
        <v/>
      </c>
      <c r="DX40" s="193">
        <f>DW40/DV40</f>
        <v/>
      </c>
      <c r="DY40" s="182" t="n">
        <v>-0.0052</v>
      </c>
      <c r="DZ40" s="182" t="n"/>
      <c r="EB40" s="9">
        <f>C40</f>
        <v/>
      </c>
      <c r="EC40" s="215" t="n">
        <v>5559266.82</v>
      </c>
      <c r="ED40" s="13">
        <f>EC41</f>
        <v/>
      </c>
      <c r="EE40" s="13">
        <f>EC40-ED40</f>
        <v/>
      </c>
      <c r="EF40" s="193">
        <f>EE40/ED40</f>
        <v/>
      </c>
      <c r="EG40" s="182" t="n">
        <v>-0.007</v>
      </c>
      <c r="EH40" s="182" t="n"/>
      <c r="EJ40" s="9">
        <f>C40</f>
        <v/>
      </c>
      <c r="EK40" s="222" t="n">
        <v>1207522.9669</v>
      </c>
      <c r="EL40" s="13">
        <f>EK41</f>
        <v/>
      </c>
      <c r="EM40" s="13">
        <f>EK40-EL40</f>
        <v/>
      </c>
      <c r="EN40" s="193">
        <f>EM40/EL40</f>
        <v/>
      </c>
      <c r="EO40" s="182" t="n">
        <v>-0.0052</v>
      </c>
      <c r="EP40" s="182" t="n"/>
      <c r="ER40" s="9">
        <f>C40</f>
        <v/>
      </c>
      <c r="ES40" s="215" t="n">
        <v>758294.04</v>
      </c>
      <c r="ET40" s="13">
        <f>ES41</f>
        <v/>
      </c>
      <c r="EU40" s="13">
        <f>ES40-ET40</f>
        <v/>
      </c>
      <c r="EV40" s="193">
        <f>EU40/ET40</f>
        <v/>
      </c>
      <c r="EW40" s="182" t="n">
        <v>-0.0018</v>
      </c>
      <c r="EX40" s="182" t="n"/>
      <c r="EZ40" s="9">
        <f>C40</f>
        <v/>
      </c>
      <c r="FA40" s="215" t="n">
        <v>676508</v>
      </c>
      <c r="FB40" s="13">
        <f>FA41</f>
        <v/>
      </c>
      <c r="FC40" s="13">
        <f>FA40-FB40</f>
        <v/>
      </c>
      <c r="FD40" s="193">
        <f>FC40/FB40</f>
        <v/>
      </c>
      <c r="FE40" s="182" t="n">
        <v>-0.007</v>
      </c>
      <c r="FF40" s="182" t="n"/>
      <c r="FG40" s="182" t="n"/>
      <c r="FH40" s="9">
        <f>C40</f>
        <v/>
      </c>
      <c r="FI40" s="672" t="n">
        <v>925395.3365</v>
      </c>
      <c r="FJ40" s="13">
        <f>FI41</f>
        <v/>
      </c>
      <c r="FK40" s="13">
        <f>FI40-FJ40</f>
        <v/>
      </c>
      <c r="FL40" s="193">
        <f>FK40/FJ40</f>
        <v/>
      </c>
      <c r="FM40" s="194" t="n">
        <v>-0.0095</v>
      </c>
      <c r="FN40" s="194" t="n"/>
      <c r="FP40" s="9">
        <f>C40</f>
        <v/>
      </c>
      <c r="FQ40" s="215" t="n">
        <v>1851868.73</v>
      </c>
      <c r="FR40" s="13">
        <f>FQ41</f>
        <v/>
      </c>
      <c r="FS40" s="13">
        <f>FQ40-FR40</f>
        <v/>
      </c>
      <c r="FT40" s="193">
        <f>FS40/FR40</f>
        <v/>
      </c>
      <c r="FU40" s="182" t="n">
        <v>0.0044</v>
      </c>
      <c r="FV40" s="182" t="n"/>
      <c r="FX40" s="9">
        <f>C40</f>
        <v/>
      </c>
      <c r="FY40" s="215" t="n">
        <v>7132582.05</v>
      </c>
      <c r="FZ40" s="13">
        <f>FY41</f>
        <v/>
      </c>
      <c r="GA40" s="13">
        <f>FY40-FZ40</f>
        <v/>
      </c>
      <c r="GB40" s="193">
        <f>GA40/FZ40</f>
        <v/>
      </c>
      <c r="GC40" s="182" t="n">
        <v>0.006</v>
      </c>
      <c r="GD40" s="182" t="n"/>
      <c r="GF40" s="9">
        <f>C40</f>
        <v/>
      </c>
      <c r="GG40" s="215" t="n">
        <v>3983169.49</v>
      </c>
      <c r="GH40" s="13">
        <f>GG41</f>
        <v/>
      </c>
      <c r="GI40" s="13">
        <f>GG40-GH40</f>
        <v/>
      </c>
      <c r="GJ40" s="193">
        <f>GI40/GH40</f>
        <v/>
      </c>
      <c r="GK40" s="182" t="n">
        <v>0.0081</v>
      </c>
      <c r="GL40" s="182" t="n"/>
      <c r="GN40" s="9">
        <f>C40</f>
        <v/>
      </c>
      <c r="GO40" s="222" t="n">
        <v>1953718.1217</v>
      </c>
      <c r="GP40" s="13">
        <f>GO41</f>
        <v/>
      </c>
      <c r="GQ40" s="13">
        <f>GO40-GP40</f>
        <v/>
      </c>
      <c r="GR40" s="193">
        <f>GQ40/GP40</f>
        <v/>
      </c>
      <c r="GS40" s="182" t="n">
        <v>0.0048</v>
      </c>
      <c r="GT40" s="182" t="n"/>
      <c r="GV40" s="9">
        <f>C40</f>
        <v/>
      </c>
      <c r="GW40" s="215" t="n">
        <v>594349.4</v>
      </c>
      <c r="GX40" s="13">
        <f>GW41</f>
        <v/>
      </c>
      <c r="GY40" s="13">
        <f>GW40-GX40</f>
        <v/>
      </c>
      <c r="GZ40" s="193">
        <f>GY40/GX40</f>
        <v/>
      </c>
      <c r="HA40" s="182" t="n">
        <v>-0.0063</v>
      </c>
      <c r="HB40" s="182" t="n"/>
      <c r="HD40" s="9">
        <f>C40</f>
        <v/>
      </c>
      <c r="HE40" s="222" t="n">
        <v>777764.6746</v>
      </c>
      <c r="HF40" s="13">
        <f>HE41</f>
        <v/>
      </c>
      <c r="HG40" s="13">
        <f>HE40-HF40</f>
        <v/>
      </c>
      <c r="HH40" s="193">
        <f>HG40/HF40</f>
        <v/>
      </c>
      <c r="HI40" s="194" t="n">
        <v>-0.0012</v>
      </c>
      <c r="HJ40" s="182" t="n"/>
      <c r="HL40" s="9">
        <f>C40</f>
        <v/>
      </c>
      <c r="HM40" s="215" t="n">
        <v>109454.25</v>
      </c>
      <c r="HN40" s="13">
        <f>HM41</f>
        <v/>
      </c>
      <c r="HO40" s="13">
        <f>HM40-HN40</f>
        <v/>
      </c>
      <c r="HP40" s="193">
        <f>HO40/HN40</f>
        <v/>
      </c>
      <c r="HQ40" s="182" t="n">
        <v>0.0009</v>
      </c>
      <c r="HR40" s="182" t="n"/>
      <c r="HT40" s="9">
        <f>C40</f>
        <v/>
      </c>
      <c r="HU40" s="222" t="n">
        <v>128668.8265</v>
      </c>
      <c r="HV40" s="13">
        <f>HU41</f>
        <v/>
      </c>
      <c r="HW40" s="13">
        <f>HU40-HV40</f>
        <v/>
      </c>
      <c r="HX40" s="193">
        <f>HW40/HV40</f>
        <v/>
      </c>
      <c r="HY40" s="182" t="n">
        <v>-0.0039</v>
      </c>
      <c r="HZ40" s="182" t="n"/>
      <c r="IB40" s="9">
        <f>C40</f>
        <v/>
      </c>
      <c r="IC40" s="215" t="n">
        <v>320834.79</v>
      </c>
      <c r="ID40" s="13">
        <f>IC41</f>
        <v/>
      </c>
      <c r="IE40" s="13">
        <f>IC40-ID40</f>
        <v/>
      </c>
      <c r="IF40" s="193">
        <f>IE40/ID40</f>
        <v/>
      </c>
      <c r="IG40" s="194" t="n">
        <v>0.0034</v>
      </c>
      <c r="IH40" s="182" t="n"/>
      <c r="IJ40" s="9">
        <f>C40</f>
        <v/>
      </c>
      <c r="IK40" s="222" t="n">
        <v>897836.29</v>
      </c>
      <c r="IL40" s="13">
        <f>IK41</f>
        <v/>
      </c>
      <c r="IM40" s="13">
        <f>IK40-IL40</f>
        <v/>
      </c>
      <c r="IN40" s="193">
        <f>IM40/IL40</f>
        <v/>
      </c>
      <c r="IO40" s="182" t="n">
        <v>-0.0152</v>
      </c>
      <c r="IP40" s="182" t="n"/>
      <c r="IR40" s="9">
        <f>C40</f>
        <v/>
      </c>
      <c r="IS40" s="215" t="n">
        <v>152589</v>
      </c>
      <c r="IT40" s="13">
        <f>IS41</f>
        <v/>
      </c>
      <c r="IU40" s="13">
        <f>IS40-IT40</f>
        <v/>
      </c>
      <c r="IV40" s="193">
        <f>IU40/IT40</f>
        <v/>
      </c>
      <c r="IW40" s="182" t="n">
        <v>-0.0068</v>
      </c>
      <c r="IX40" s="182" t="n"/>
      <c r="IZ40" s="9">
        <f>C40</f>
        <v/>
      </c>
      <c r="JA40" s="215" t="n">
        <v>5687629.15</v>
      </c>
      <c r="JB40" s="13">
        <f>JA41</f>
        <v/>
      </c>
      <c r="JC40" s="13">
        <f>JA40-JB40</f>
        <v/>
      </c>
      <c r="JD40" s="193">
        <f>JC40/JB40</f>
        <v/>
      </c>
      <c r="JE40" s="182" t="n">
        <v>-0.0114</v>
      </c>
      <c r="JF40" s="182" t="n"/>
      <c r="JH40" s="9">
        <f>C40</f>
        <v/>
      </c>
      <c r="JI40" s="215" t="n">
        <v>1176327.99</v>
      </c>
      <c r="JJ40" s="13">
        <f>JI41</f>
        <v/>
      </c>
      <c r="JK40" s="13">
        <f>JI40-JJ40</f>
        <v/>
      </c>
      <c r="JL40" s="193">
        <f>JK40/JJ40</f>
        <v/>
      </c>
      <c r="JM40" s="182" t="n">
        <v>-0.0024</v>
      </c>
      <c r="JN40" s="182" t="n"/>
      <c r="JO40" s="182" t="n"/>
      <c r="JP40" s="9">
        <f>C40</f>
        <v/>
      </c>
      <c r="JQ40" s="222" t="n">
        <v>1050990.4148</v>
      </c>
      <c r="JR40" s="13">
        <f>JQ41</f>
        <v/>
      </c>
      <c r="JS40" s="13">
        <f>JQ40-JR40</f>
        <v/>
      </c>
      <c r="JT40" s="193">
        <f>JS40/JR40</f>
        <v/>
      </c>
      <c r="JU40" s="182" t="n">
        <v>-0.0151</v>
      </c>
      <c r="JV40" s="182" t="n"/>
      <c r="JW40" s="194" t="n"/>
      <c r="JX40" s="9">
        <f>C40</f>
        <v/>
      </c>
      <c r="JY40" s="215" t="n">
        <v>996198.8</v>
      </c>
      <c r="JZ40" s="13">
        <f>JY41</f>
        <v/>
      </c>
      <c r="KA40" s="13">
        <f>JY40-JZ40</f>
        <v/>
      </c>
      <c r="KB40" s="193">
        <f>KA40/JZ40</f>
        <v/>
      </c>
      <c r="KC40" s="182" t="n">
        <v>-0.0139</v>
      </c>
      <c r="KD40" s="182" t="n"/>
      <c r="KE40" s="194" t="n"/>
      <c r="KF40" s="9">
        <f>C40</f>
        <v/>
      </c>
      <c r="KG40" s="222" t="n">
        <v>570155.9219</v>
      </c>
      <c r="KH40" s="13">
        <f>KG41</f>
        <v/>
      </c>
      <c r="KI40" s="13">
        <f>KG40-KH40</f>
        <v/>
      </c>
      <c r="KJ40" s="193">
        <f>KI40/KH40</f>
        <v/>
      </c>
      <c r="KK40" s="194" t="n">
        <v>-0.0069</v>
      </c>
      <c r="KL40" s="194" t="n"/>
      <c r="KN40" s="9">
        <f>C40</f>
        <v/>
      </c>
      <c r="KO40" s="215" t="n">
        <v>7134275.95</v>
      </c>
      <c r="KP40" s="13">
        <f>KO41</f>
        <v/>
      </c>
      <c r="KQ40" s="13">
        <f>KO40-KP40</f>
        <v/>
      </c>
      <c r="KR40" s="193">
        <f>KQ40/KP40</f>
        <v/>
      </c>
      <c r="KS40" s="182" t="n">
        <v>-0.0073</v>
      </c>
      <c r="KT40" s="182" t="n"/>
      <c r="KV40" s="9">
        <f>C40</f>
        <v/>
      </c>
      <c r="KW40" s="222" t="n">
        <v>1039672.9726</v>
      </c>
      <c r="KX40" s="13">
        <f>KW41</f>
        <v/>
      </c>
      <c r="KY40" s="13">
        <f>KW40-KX40</f>
        <v/>
      </c>
      <c r="KZ40" s="193">
        <f>KY40/KX40</f>
        <v/>
      </c>
      <c r="LA40" s="194" t="n">
        <v>0.0089</v>
      </c>
      <c r="LB40" s="182" t="n"/>
      <c r="LD40" s="9">
        <f>C40</f>
        <v/>
      </c>
      <c r="LE40" s="215" t="n">
        <v>376207.7</v>
      </c>
      <c r="LF40" s="13">
        <f>LE41</f>
        <v/>
      </c>
      <c r="LG40" s="13">
        <f>LE40-LF40</f>
        <v/>
      </c>
      <c r="LH40" s="193">
        <f>LG40/LF40</f>
        <v/>
      </c>
      <c r="LI40" s="182" t="n">
        <v>-0.0174</v>
      </c>
      <c r="LJ40" s="182" t="n"/>
      <c r="LL40" s="9">
        <f>C40</f>
        <v/>
      </c>
      <c r="LM40" s="215" t="n">
        <v>3219955.02</v>
      </c>
      <c r="LN40" s="13">
        <f>LM41</f>
        <v/>
      </c>
      <c r="LO40" s="13">
        <f>LM40-LN40</f>
        <v/>
      </c>
      <c r="LP40" s="193">
        <f>LO40/LN40</f>
        <v/>
      </c>
      <c r="LQ40" s="182" t="n">
        <v>0</v>
      </c>
      <c r="LR40" s="182" t="n"/>
      <c r="LT40" s="9">
        <f>C40</f>
        <v/>
      </c>
      <c r="LU40" s="222" t="n">
        <v>2296062.904</v>
      </c>
      <c r="LV40" s="13">
        <f>LU41</f>
        <v/>
      </c>
      <c r="LW40" s="13">
        <f>LU40-LV40</f>
        <v/>
      </c>
      <c r="LX40" s="193">
        <f>LW40/LV40</f>
        <v/>
      </c>
      <c r="LY40" s="182" t="n">
        <v>0.0015</v>
      </c>
      <c r="LZ40" s="182" t="n"/>
      <c r="MB40" s="9">
        <f>C40</f>
        <v/>
      </c>
      <c r="MC40" s="215" t="n">
        <v>796417.6899999999</v>
      </c>
      <c r="MD40" s="13">
        <f>MC41</f>
        <v/>
      </c>
      <c r="ME40" s="13">
        <f>MC40-MD40</f>
        <v/>
      </c>
      <c r="MF40" s="193">
        <f>ME40/MD40</f>
        <v/>
      </c>
      <c r="MG40" s="182" t="n">
        <v>-0.011</v>
      </c>
      <c r="MH40" s="182" t="n"/>
      <c r="MK40" s="9">
        <f>C40</f>
        <v/>
      </c>
      <c r="ML40" s="223" t="n">
        <v>162465.5354</v>
      </c>
      <c r="MM40" s="13">
        <f>ML41</f>
        <v/>
      </c>
      <c r="MN40" s="13">
        <f>ML40-MM40</f>
        <v/>
      </c>
      <c r="MO40" s="193">
        <f>MN40/MM40</f>
        <v/>
      </c>
      <c r="MP40" s="182" t="n">
        <v>-0.0075</v>
      </c>
      <c r="MQ40" s="194" t="n"/>
      <c r="MR40" s="194" t="n"/>
      <c r="MT40" s="9">
        <f>C40</f>
        <v/>
      </c>
      <c r="MU40" s="215" t="n">
        <v>129114.8</v>
      </c>
      <c r="MV40" s="188">
        <f>MU41</f>
        <v/>
      </c>
      <c r="MW40" s="9">
        <f>MU40-MV40</f>
        <v/>
      </c>
      <c r="MX40" s="182">
        <f>MW40/MV40</f>
        <v/>
      </c>
      <c r="MY40" s="182" t="n">
        <v>0</v>
      </c>
      <c r="MZ40" s="182" t="n"/>
      <c r="NA40" s="182" t="n"/>
      <c r="NC40" s="9">
        <f>C40</f>
        <v/>
      </c>
      <c r="ND40" s="215" t="n">
        <v>31291.48</v>
      </c>
      <c r="NE40" s="188">
        <f>ND41</f>
        <v/>
      </c>
      <c r="NF40" s="9">
        <f>ND40-NE40</f>
        <v/>
      </c>
      <c r="NG40" s="182">
        <f>NF40/NE40</f>
        <v/>
      </c>
      <c r="NH40" s="182" t="n">
        <v>-0.0197</v>
      </c>
      <c r="NI40" s="182" t="n"/>
      <c r="NJ40" s="182" t="n"/>
      <c r="NK40" s="182" t="n"/>
      <c r="NM40" s="9">
        <f>C40</f>
        <v/>
      </c>
      <c r="NN40" s="215" t="n">
        <v>2611411.08</v>
      </c>
      <c r="NO40" s="9">
        <f>NN41</f>
        <v/>
      </c>
      <c r="NP40" s="197">
        <f>NN40-NO40</f>
        <v/>
      </c>
      <c r="NQ40" s="198">
        <f>NP40/NO40</f>
        <v/>
      </c>
      <c r="NR40" s="182" t="n">
        <v>-0.005</v>
      </c>
      <c r="NS40" s="0" t="n"/>
      <c r="NU40" s="9">
        <f>C40</f>
        <v/>
      </c>
      <c r="NV40" s="215" t="n">
        <v>226726.5</v>
      </c>
      <c r="NW40" s="188">
        <f>NV41</f>
        <v/>
      </c>
      <c r="NX40" s="197">
        <f>NV40-NW40</f>
        <v/>
      </c>
      <c r="NY40" s="198">
        <f>NX40/NW40</f>
        <v/>
      </c>
      <c r="NZ40" s="194" t="n">
        <v>0.0011</v>
      </c>
      <c r="OA40" s="185" t="n"/>
      <c r="OC40" s="9">
        <f>C40</f>
        <v/>
      </c>
      <c r="OD40" s="215" t="n">
        <v>20785.97</v>
      </c>
      <c r="OE40" s="13">
        <f>OD41</f>
        <v/>
      </c>
      <c r="OF40" s="13">
        <f>OD40-OE40</f>
        <v/>
      </c>
      <c r="OG40" s="193">
        <f>OF40/OE40</f>
        <v/>
      </c>
      <c r="OH40" s="182" t="n">
        <v>0.0005999999999999999</v>
      </c>
      <c r="OI40" s="182" t="n"/>
      <c r="OK40" s="9">
        <f>C40</f>
        <v/>
      </c>
      <c r="OL40" s="215" t="n">
        <v>18194.65</v>
      </c>
      <c r="OM40" s="13">
        <f>OL41</f>
        <v/>
      </c>
      <c r="ON40" s="13">
        <f>OL40-OM40</f>
        <v/>
      </c>
      <c r="OO40" s="193">
        <f>ON40/OM40</f>
        <v/>
      </c>
      <c r="OP40" s="182" t="n">
        <v>0.0002</v>
      </c>
      <c r="OQ40" s="182" t="n"/>
      <c r="OT40" s="201">
        <f>OK40</f>
        <v/>
      </c>
      <c r="OU40" s="199" t="n">
        <v>157752.4066</v>
      </c>
      <c r="OV40" s="9">
        <f>OU41</f>
        <v/>
      </c>
      <c r="OW40" s="671">
        <f>OU40-OV40</f>
        <v/>
      </c>
      <c r="OX40" s="182">
        <f>OW40/OV40</f>
        <v/>
      </c>
      <c r="OY40" s="0" t="n">
        <v>-0.0042</v>
      </c>
    </row>
    <row r="41" ht="17" customFormat="1" customHeight="1" s="9">
      <c r="A41" s="631" t="n"/>
      <c r="B41" s="631" t="n"/>
      <c r="C41" s="631" t="inlineStr">
        <is>
          <t>2026//9/16</t>
        </is>
      </c>
      <c r="D41" s="215" t="n">
        <v>2379468.77</v>
      </c>
      <c r="E41" s="20">
        <f>D42</f>
        <v/>
      </c>
      <c r="F41" s="20">
        <f>D41-E41</f>
        <v/>
      </c>
      <c r="G41" s="163">
        <f>F41/E41</f>
        <v/>
      </c>
      <c r="H41" s="19" t="n">
        <v>0.006</v>
      </c>
      <c r="I41" s="163" t="n"/>
      <c r="J41" s="163" t="n"/>
      <c r="K41" s="9">
        <f>C41</f>
        <v/>
      </c>
      <c r="L41" s="215" t="n">
        <v>1134244.4</v>
      </c>
      <c r="M41" s="20">
        <f>L42</f>
        <v/>
      </c>
      <c r="N41" s="20">
        <f>L41-M41</f>
        <v/>
      </c>
      <c r="O41" s="163">
        <f>N41/M41</f>
        <v/>
      </c>
      <c r="P41" s="19" t="n">
        <v>0.0066</v>
      </c>
      <c r="Q41" s="163" t="n"/>
      <c r="R41" s="20" t="n"/>
      <c r="S41" s="9">
        <f>C41</f>
        <v/>
      </c>
      <c r="T41" s="215" t="n">
        <v>759126.6800000001</v>
      </c>
      <c r="U41" s="20">
        <f>T42</f>
        <v/>
      </c>
      <c r="V41" s="20">
        <f>T41-U41</f>
        <v/>
      </c>
      <c r="W41" s="163">
        <f>V41/U41</f>
        <v/>
      </c>
      <c r="X41" s="19" t="n">
        <v>0.0074</v>
      </c>
      <c r="Y41" s="163" t="n"/>
      <c r="Z41" s="20" t="n"/>
      <c r="AA41" s="9">
        <f>S41</f>
        <v/>
      </c>
      <c r="AB41" s="215" t="n">
        <v>570336.86</v>
      </c>
      <c r="AC41" s="20">
        <f>AB42</f>
        <v/>
      </c>
      <c r="AD41" s="20">
        <f>AB41-AC41</f>
        <v/>
      </c>
      <c r="AE41" s="163">
        <f>AD41/AC41</f>
        <v/>
      </c>
      <c r="AF41" s="19" t="n">
        <v>0.0161</v>
      </c>
      <c r="AG41" s="163" t="n"/>
      <c r="AH41" s="20" t="n"/>
      <c r="AI41" s="9">
        <f>C41</f>
        <v/>
      </c>
      <c r="AJ41" s="215" t="n">
        <v>644921.76</v>
      </c>
      <c r="AK41" s="20">
        <f>AJ42</f>
        <v/>
      </c>
      <c r="AL41" s="20">
        <f>AJ41-AK41</f>
        <v/>
      </c>
      <c r="AM41" s="163">
        <f>AL41/AK41</f>
        <v/>
      </c>
      <c r="AN41" s="19" t="n">
        <v>0.0192</v>
      </c>
      <c r="AO41" s="19" t="n"/>
      <c r="AP41" s="20" t="n"/>
      <c r="AQ41" s="9">
        <f>C41</f>
        <v/>
      </c>
      <c r="AR41" s="242" t="n">
        <v>2028345.4936</v>
      </c>
      <c r="AS41" s="20">
        <f>AR42</f>
        <v/>
      </c>
      <c r="AT41" s="20">
        <f>AR41-AS41</f>
        <v/>
      </c>
      <c r="AU41" s="163">
        <f>AT41/AS41</f>
        <v/>
      </c>
      <c r="AV41" s="19" t="n">
        <v>0.019</v>
      </c>
      <c r="AW41" s="19" t="n"/>
      <c r="AX41" s="5" t="n"/>
      <c r="AY41" s="5" t="n"/>
      <c r="AZ41" s="9">
        <f>C41</f>
        <v/>
      </c>
      <c r="BA41" s="242" t="n">
        <v>634161.6676</v>
      </c>
      <c r="BB41" s="24">
        <f>BA42</f>
        <v/>
      </c>
      <c r="BC41" s="5">
        <f>BA41-BB41</f>
        <v/>
      </c>
      <c r="BD41" s="19">
        <f>BC41/BB41</f>
        <v/>
      </c>
      <c r="BE41" s="19" t="n">
        <v>0.0068</v>
      </c>
      <c r="BF41" s="19" t="n"/>
      <c r="BG41" s="647" t="n"/>
      <c r="BH41" s="9">
        <f>C41</f>
        <v/>
      </c>
      <c r="BI41" s="242" t="n">
        <v>1137726.5525</v>
      </c>
      <c r="BJ41" s="184">
        <f>BI42</f>
        <v/>
      </c>
      <c r="BK41" s="184">
        <f>BI41-BJ41</f>
        <v/>
      </c>
      <c r="BL41" s="190">
        <f>BK41/BJ41</f>
        <v/>
      </c>
      <c r="BM41" s="191" t="n">
        <v>0.0123</v>
      </c>
      <c r="BN41" s="182" t="n"/>
      <c r="BP41" s="9">
        <f>C41</f>
        <v/>
      </c>
      <c r="BQ41" s="242" t="n">
        <v>1436462.3921</v>
      </c>
      <c r="BR41" s="13">
        <f>BQ42</f>
        <v/>
      </c>
      <c r="BS41" s="13">
        <f>BQ41-BR41</f>
        <v/>
      </c>
      <c r="BT41" s="193">
        <f>BS41/BR41</f>
        <v/>
      </c>
      <c r="BU41" s="182" t="n">
        <v>0.0031</v>
      </c>
      <c r="BV41" s="182" t="n"/>
      <c r="BX41" s="9">
        <f>C41</f>
        <v/>
      </c>
      <c r="BY41" s="242" t="n">
        <v>1638860.7019</v>
      </c>
      <c r="BZ41" s="13">
        <f>BY42</f>
        <v/>
      </c>
      <c r="CA41" s="13">
        <f>BY41-BZ41</f>
        <v/>
      </c>
      <c r="CB41" s="193">
        <f>CA41/BZ41</f>
        <v/>
      </c>
      <c r="CC41" s="182" t="n">
        <v>0.0039</v>
      </c>
      <c r="CD41" s="194" t="n"/>
      <c r="CF41" s="9">
        <f>C41</f>
        <v/>
      </c>
      <c r="CG41" s="215" t="n">
        <v>1425703.9</v>
      </c>
      <c r="CH41" s="13">
        <f>CG42</f>
        <v/>
      </c>
      <c r="CI41" s="13">
        <f>CG41-CH41</f>
        <v/>
      </c>
      <c r="CJ41" s="193">
        <f>CI41/CH41</f>
        <v/>
      </c>
      <c r="CK41" s="182" t="n">
        <v>0.0162</v>
      </c>
      <c r="CL41" s="194" t="n"/>
      <c r="CN41" s="9">
        <f>C41</f>
        <v/>
      </c>
      <c r="CO41" s="215" t="n">
        <v>531846.48</v>
      </c>
      <c r="CP41" s="13">
        <f>CO42</f>
        <v/>
      </c>
      <c r="CQ41" s="13">
        <f>CO41-CP41</f>
        <v/>
      </c>
      <c r="CR41" s="193">
        <f>CQ41/CP41</f>
        <v/>
      </c>
      <c r="CS41" s="194" t="n">
        <v>0.0165</v>
      </c>
      <c r="CT41" s="194" t="n"/>
      <c r="CV41" s="9">
        <f>C41</f>
        <v/>
      </c>
      <c r="CW41" s="215" t="n">
        <v>642790.4</v>
      </c>
      <c r="CX41" s="13">
        <f>CW42</f>
        <v/>
      </c>
      <c r="CY41" s="13">
        <f>CW41-CX41</f>
        <v/>
      </c>
      <c r="CZ41" s="193">
        <f>CY41/CX41</f>
        <v/>
      </c>
      <c r="DA41" s="182" t="n">
        <v>0.0384</v>
      </c>
      <c r="DB41" s="182" t="n"/>
      <c r="DC41" s="186" t="n"/>
      <c r="DD41" s="9">
        <f>C41</f>
        <v/>
      </c>
      <c r="DE41" s="242" t="n">
        <v>6091735.9972</v>
      </c>
      <c r="DF41" s="13">
        <f>DE42</f>
        <v/>
      </c>
      <c r="DG41" s="13">
        <f>DE41-DF41</f>
        <v/>
      </c>
      <c r="DH41" s="193">
        <f>DG41/DF41</f>
        <v/>
      </c>
      <c r="DI41" s="182" t="n">
        <v>0.0553</v>
      </c>
      <c r="DJ41" s="182" t="n"/>
      <c r="DK41" s="0" t="n"/>
      <c r="DL41" s="9">
        <f>C41</f>
        <v/>
      </c>
      <c r="DM41" s="215" t="n">
        <v>1988200.72</v>
      </c>
      <c r="DN41" s="13">
        <f>DM42</f>
        <v/>
      </c>
      <c r="DO41" s="13">
        <f>DM41-DN41</f>
        <v/>
      </c>
      <c r="DP41" s="193">
        <f>DO41/DN41</f>
        <v/>
      </c>
      <c r="DQ41" s="182" t="n">
        <v>0.0456</v>
      </c>
      <c r="DR41" s="182" t="n"/>
      <c r="DT41" s="9">
        <f>C41</f>
        <v/>
      </c>
      <c r="DU41" s="215" t="n">
        <v>4294618.43</v>
      </c>
      <c r="DV41" s="13">
        <f>DU42</f>
        <v/>
      </c>
      <c r="DW41" s="13">
        <f>DU41-DV41</f>
        <v/>
      </c>
      <c r="DX41" s="193">
        <f>DW41/DV41</f>
        <v/>
      </c>
      <c r="DY41" s="182" t="n">
        <v>0.0504</v>
      </c>
      <c r="DZ41" s="182" t="n"/>
      <c r="EB41" s="9">
        <f>C41</f>
        <v/>
      </c>
      <c r="EC41" s="215" t="n">
        <v>5538266.82</v>
      </c>
      <c r="ED41" s="13">
        <f>EC42</f>
        <v/>
      </c>
      <c r="EE41" s="13">
        <f>EC41-ED41</f>
        <v/>
      </c>
      <c r="EF41" s="193">
        <f>EE41/ED41</f>
        <v/>
      </c>
      <c r="EG41" s="182" t="n">
        <v>0.0427</v>
      </c>
      <c r="EH41" s="182" t="n"/>
      <c r="EJ41" s="9">
        <f>C41</f>
        <v/>
      </c>
      <c r="EK41" s="242" t="n">
        <v>1212922.9669</v>
      </c>
      <c r="EL41" s="13">
        <f>EK42</f>
        <v/>
      </c>
      <c r="EM41" s="13">
        <f>EK41-EL41</f>
        <v/>
      </c>
      <c r="EN41" s="193">
        <f>EM41/EL41</f>
        <v/>
      </c>
      <c r="EO41" s="182" t="n">
        <v>0.0342</v>
      </c>
      <c r="EP41" s="182" t="n"/>
      <c r="ER41" s="9">
        <f>C41</f>
        <v/>
      </c>
      <c r="ES41" s="215" t="n">
        <v>762094.04</v>
      </c>
      <c r="ET41" s="13">
        <f>ES42</f>
        <v/>
      </c>
      <c r="EU41" s="13">
        <f>ES41-ET41</f>
        <v/>
      </c>
      <c r="EV41" s="193">
        <f>EU41/ET41</f>
        <v/>
      </c>
      <c r="EW41" s="182" t="n">
        <v>0.0313</v>
      </c>
      <c r="EX41" s="182" t="n"/>
      <c r="EZ41" s="9">
        <f>C41</f>
        <v/>
      </c>
      <c r="FA41" s="215" t="n">
        <v>677808</v>
      </c>
      <c r="FB41" s="13">
        <f>FA42</f>
        <v/>
      </c>
      <c r="FC41" s="13">
        <f>FA41-FB41</f>
        <v/>
      </c>
      <c r="FD41" s="193">
        <f>FC41/FB41</f>
        <v/>
      </c>
      <c r="FE41" s="182" t="n">
        <v>0.0097</v>
      </c>
      <c r="FF41" s="182" t="n"/>
      <c r="FG41" s="182" t="n"/>
      <c r="FH41" s="9">
        <f>C41</f>
        <v/>
      </c>
      <c r="FI41" s="242" t="n">
        <v>928295.3365</v>
      </c>
      <c r="FJ41" s="13">
        <f>FI42</f>
        <v/>
      </c>
      <c r="FK41" s="13">
        <f>FI41-FJ41</f>
        <v/>
      </c>
      <c r="FL41" s="193">
        <f>FK41/FJ41</f>
        <v/>
      </c>
      <c r="FM41" s="194" t="n">
        <v>0.0287</v>
      </c>
      <c r="FN41" s="194" t="n"/>
      <c r="FP41" s="9">
        <f>C41</f>
        <v/>
      </c>
      <c r="FQ41" s="215" t="n">
        <v>1862818.73</v>
      </c>
      <c r="FR41" s="13">
        <f>FQ42</f>
        <v/>
      </c>
      <c r="FS41" s="13">
        <f>FQ41-FR41</f>
        <v/>
      </c>
      <c r="FT41" s="193">
        <f>FS41/FR41</f>
        <v/>
      </c>
      <c r="FU41" s="182" t="n">
        <v>0.0066</v>
      </c>
      <c r="FV41" s="182" t="n"/>
      <c r="FX41" s="9">
        <f>C41</f>
        <v/>
      </c>
      <c r="FY41" s="215" t="n">
        <v>7169882.05</v>
      </c>
      <c r="FZ41" s="13">
        <f>FY42</f>
        <v/>
      </c>
      <c r="GA41" s="13">
        <f>FY41-FZ41</f>
        <v/>
      </c>
      <c r="GB41" s="193">
        <f>GA41/FZ41</f>
        <v/>
      </c>
      <c r="GC41" s="182" t="n">
        <v>0.008999999999999999</v>
      </c>
      <c r="GD41" s="182" t="n"/>
      <c r="GF41" s="9">
        <f>C41</f>
        <v/>
      </c>
      <c r="GG41" s="215" t="n">
        <v>3996369.49</v>
      </c>
      <c r="GH41" s="13">
        <f>GG42</f>
        <v/>
      </c>
      <c r="GI41" s="13">
        <f>GG41-GH41</f>
        <v/>
      </c>
      <c r="GJ41" s="193">
        <f>GI41/GH41</f>
        <v/>
      </c>
      <c r="GK41" s="182" t="n">
        <v>0</v>
      </c>
      <c r="GL41" s="182" t="n"/>
      <c r="GN41" s="9">
        <f>C41</f>
        <v/>
      </c>
      <c r="GO41" s="242" t="n">
        <v>1956598.1217</v>
      </c>
      <c r="GP41" s="13">
        <f>GO42</f>
        <v/>
      </c>
      <c r="GQ41" s="13">
        <f>GO41-GP41</f>
        <v/>
      </c>
      <c r="GR41" s="193">
        <f>GQ41/GP41</f>
        <v/>
      </c>
      <c r="GS41" s="182" t="n">
        <v>0.0049</v>
      </c>
      <c r="GT41" s="182" t="n"/>
      <c r="GV41" s="9">
        <f>C41</f>
        <v/>
      </c>
      <c r="GW41" s="215" t="n">
        <v>596149.4</v>
      </c>
      <c r="GX41" s="13">
        <f>GW42</f>
        <v/>
      </c>
      <c r="GY41" s="13">
        <f>GW41-GX41</f>
        <v/>
      </c>
      <c r="GZ41" s="193">
        <f>GY41/GX41</f>
        <v/>
      </c>
      <c r="HA41" s="182" t="n">
        <v>0.014</v>
      </c>
      <c r="HB41" s="182" t="n"/>
      <c r="HD41" s="9">
        <f>C41</f>
        <v/>
      </c>
      <c r="HE41" s="242" t="n">
        <v>775864.6746</v>
      </c>
      <c r="HF41" s="13">
        <f>HE42</f>
        <v/>
      </c>
      <c r="HG41" s="13">
        <f>HE41-HF41</f>
        <v/>
      </c>
      <c r="HH41" s="193">
        <f>HG41/HF41</f>
        <v/>
      </c>
      <c r="HI41" s="194" t="n">
        <v>0</v>
      </c>
      <c r="HJ41" s="182" t="n"/>
      <c r="HL41" s="9">
        <f>C41</f>
        <v/>
      </c>
      <c r="HM41" s="215" t="n">
        <v>110004.25</v>
      </c>
      <c r="HN41" s="13">
        <f>HM42</f>
        <v/>
      </c>
      <c r="HO41" s="13">
        <f>HM41-HN41</f>
        <v/>
      </c>
      <c r="HP41" s="193">
        <f>HO41/HN41</f>
        <v/>
      </c>
      <c r="HQ41" s="182" t="n">
        <v>0.0046</v>
      </c>
      <c r="HR41" s="182" t="n"/>
      <c r="HT41" s="9">
        <f>C41</f>
        <v/>
      </c>
      <c r="HU41" s="242" t="n">
        <v>129968.8265</v>
      </c>
      <c r="HV41" s="13">
        <f>HU42</f>
        <v/>
      </c>
      <c r="HW41" s="13">
        <f>HU41-HV41</f>
        <v/>
      </c>
      <c r="HX41" s="193">
        <f>HW41/HV41</f>
        <v/>
      </c>
      <c r="HY41" s="182" t="n">
        <v>0.0039</v>
      </c>
      <c r="HZ41" s="182" t="n"/>
      <c r="IB41" s="9">
        <f>C41</f>
        <v/>
      </c>
      <c r="IC41" s="215" t="n">
        <v>321834.79</v>
      </c>
      <c r="ID41" s="13">
        <f>IC42</f>
        <v/>
      </c>
      <c r="IE41" s="13">
        <f>IC41-ID41</f>
        <v/>
      </c>
      <c r="IF41" s="193">
        <f>IE41/ID41</f>
        <v/>
      </c>
      <c r="IG41" s="194" t="n">
        <v>0.0103</v>
      </c>
      <c r="IH41" s="182" t="n"/>
      <c r="IJ41" s="9">
        <f>C41</f>
        <v/>
      </c>
      <c r="IK41" s="242" t="n">
        <v>903996.29</v>
      </c>
      <c r="IL41" s="13">
        <f>IK42</f>
        <v/>
      </c>
      <c r="IM41" s="13">
        <f>IK41-IL41</f>
        <v/>
      </c>
      <c r="IN41" s="193">
        <f>IM41/IL41</f>
        <v/>
      </c>
      <c r="IO41" s="182" t="n">
        <v>-0.0009</v>
      </c>
      <c r="IP41" s="182" t="n"/>
      <c r="IR41" s="9">
        <f>C41</f>
        <v/>
      </c>
      <c r="IS41" s="215" t="n">
        <v>152689</v>
      </c>
      <c r="IT41" s="13">
        <f>IS42</f>
        <v/>
      </c>
      <c r="IU41" s="13">
        <f>IS41-IT41</f>
        <v/>
      </c>
      <c r="IV41" s="193">
        <f>IU41/IT41</f>
        <v/>
      </c>
      <c r="IW41" s="182" t="n">
        <v>0.0145</v>
      </c>
      <c r="IX41" s="182" t="n"/>
      <c r="IZ41" s="9">
        <f>C41</f>
        <v/>
      </c>
      <c r="JA41" s="215" t="n">
        <v>5672129.15</v>
      </c>
      <c r="JB41" s="13">
        <f>JA42</f>
        <v/>
      </c>
      <c r="JC41" s="13">
        <f>JA41-JB41</f>
        <v/>
      </c>
      <c r="JD41" s="193">
        <f>JC41/JB41</f>
        <v/>
      </c>
      <c r="JE41" s="182" t="n">
        <v>0.0067</v>
      </c>
      <c r="JF41" s="182" t="n"/>
      <c r="JH41" s="9">
        <f>C41</f>
        <v/>
      </c>
      <c r="JI41" s="215" t="n">
        <v>1176567.99</v>
      </c>
      <c r="JJ41" s="13">
        <f>JI42</f>
        <v/>
      </c>
      <c r="JK41" s="13">
        <f>JI41-JJ41</f>
        <v/>
      </c>
      <c r="JL41" s="193">
        <f>JK41/JJ41</f>
        <v/>
      </c>
      <c r="JM41" s="182" t="n">
        <v>-0.0047</v>
      </c>
      <c r="JN41" s="182" t="n"/>
      <c r="JO41" s="182" t="n"/>
      <c r="JP41" s="9">
        <f>C41</f>
        <v/>
      </c>
      <c r="JQ41" s="242" t="n">
        <v>1049790.4148</v>
      </c>
      <c r="JR41" s="13">
        <f>JQ42</f>
        <v/>
      </c>
      <c r="JS41" s="13">
        <f>JQ41-JR41</f>
        <v/>
      </c>
      <c r="JT41" s="193">
        <f>JS41/JR41</f>
        <v/>
      </c>
      <c r="JU41" s="182" t="n">
        <v>0.0153</v>
      </c>
      <c r="JV41" s="182" t="n"/>
      <c r="JW41" s="194" t="n"/>
      <c r="JX41" s="9">
        <f>C41</f>
        <v/>
      </c>
      <c r="JY41" s="215" t="n">
        <v>988598.8</v>
      </c>
      <c r="JZ41" s="13">
        <f>JY42</f>
        <v/>
      </c>
      <c r="KA41" s="13">
        <f>JY41-JZ41</f>
        <v/>
      </c>
      <c r="KB41" s="193">
        <f>KA41/JZ41</f>
        <v/>
      </c>
      <c r="KC41" s="182" t="n">
        <v>0.0017</v>
      </c>
      <c r="KD41" s="182" t="n"/>
      <c r="KE41" s="194" t="n"/>
      <c r="KF41" s="9">
        <f>C41</f>
        <v/>
      </c>
      <c r="KG41" s="242" t="n">
        <v>570155.9219</v>
      </c>
      <c r="KH41" s="13">
        <f>KG42</f>
        <v/>
      </c>
      <c r="KI41" s="13">
        <f>KG41-KH41</f>
        <v/>
      </c>
      <c r="KJ41" s="193">
        <f>KI41/KH41</f>
        <v/>
      </c>
      <c r="KK41" s="194" t="n">
        <v>-0.0007</v>
      </c>
      <c r="KL41" s="194" t="n"/>
      <c r="KN41" s="9">
        <f>C41</f>
        <v/>
      </c>
      <c r="KO41" s="215" t="n">
        <v>7103975.95</v>
      </c>
      <c r="KP41" s="13">
        <f>KO42</f>
        <v/>
      </c>
      <c r="KQ41" s="13">
        <f>KO41-KP41</f>
        <v/>
      </c>
      <c r="KR41" s="193">
        <f>KQ41/KP41</f>
        <v/>
      </c>
      <c r="KS41" s="182" t="n">
        <v>0.0037</v>
      </c>
      <c r="KT41" s="182" t="n"/>
      <c r="KV41" s="9">
        <f>C41</f>
        <v/>
      </c>
      <c r="KW41" s="242" t="n">
        <v>1039672.9726</v>
      </c>
      <c r="KX41" s="13">
        <f>KW42</f>
        <v/>
      </c>
      <c r="KY41" s="13">
        <f>KW41-KX41</f>
        <v/>
      </c>
      <c r="KZ41" s="193">
        <f>KY41/KX41</f>
        <v/>
      </c>
      <c r="LA41" s="194" t="n">
        <v>-0.0103</v>
      </c>
      <c r="LB41" s="182" t="n"/>
      <c r="LD41" s="9">
        <f>C41</f>
        <v/>
      </c>
      <c r="LE41" s="215" t="n">
        <v>379457.7</v>
      </c>
      <c r="LF41" s="13">
        <f>LE42</f>
        <v/>
      </c>
      <c r="LG41" s="13">
        <f>LE41-LF41</f>
        <v/>
      </c>
      <c r="LH41" s="193">
        <f>LG41/LF41</f>
        <v/>
      </c>
      <c r="LI41" s="182" t="n">
        <v>0.0146</v>
      </c>
      <c r="LJ41" s="182" t="n"/>
      <c r="LL41" s="9">
        <f>C41</f>
        <v/>
      </c>
      <c r="LM41" s="215" t="n">
        <v>3236335.02</v>
      </c>
      <c r="LN41" s="13">
        <f>LM42</f>
        <v/>
      </c>
      <c r="LO41" s="13">
        <f>LM41-LN41</f>
        <v/>
      </c>
      <c r="LP41" s="193">
        <f>LO41/LN41</f>
        <v/>
      </c>
      <c r="LQ41" s="182" t="n">
        <v>-0.0049</v>
      </c>
      <c r="LR41" s="182" t="n"/>
      <c r="LT41" s="9">
        <f>C41</f>
        <v/>
      </c>
      <c r="LU41" s="242" t="n">
        <v>2299462.904</v>
      </c>
      <c r="LV41" s="13">
        <f>LU42</f>
        <v/>
      </c>
      <c r="LW41" s="13">
        <f>LU41-LV41</f>
        <v/>
      </c>
      <c r="LX41" s="193">
        <f>LW41/LV41</f>
        <v/>
      </c>
      <c r="LY41" s="182" t="n">
        <v>-0.0092</v>
      </c>
      <c r="LZ41" s="182" t="n"/>
      <c r="MB41" s="9">
        <f>C41</f>
        <v/>
      </c>
      <c r="MC41" s="215" t="n">
        <v>798267.6899999999</v>
      </c>
      <c r="MD41" s="13">
        <f>MC42</f>
        <v/>
      </c>
      <c r="ME41" s="13">
        <f>MC41-MD41</f>
        <v/>
      </c>
      <c r="MF41" s="193">
        <f>ME41/MD41</f>
        <v/>
      </c>
      <c r="MG41" s="182" t="n">
        <v>0.0016</v>
      </c>
      <c r="MH41" s="182" t="n"/>
      <c r="MI41" s="9" t="n"/>
      <c r="MJ41" s="9" t="n"/>
      <c r="MK41" s="9">
        <f>C41</f>
        <v/>
      </c>
      <c r="ML41" s="242" t="n">
        <v>162585.5354</v>
      </c>
      <c r="MM41" s="13">
        <f>ML42</f>
        <v/>
      </c>
      <c r="MN41" s="13">
        <f>ML41-MM41</f>
        <v/>
      </c>
      <c r="MO41" s="193">
        <f>MN41/MM41</f>
        <v/>
      </c>
      <c r="MP41" s="182" t="n">
        <v>0.0108</v>
      </c>
      <c r="MQ41" s="194" t="n"/>
      <c r="MR41" s="194" t="n"/>
      <c r="MT41" s="9">
        <f>C41</f>
        <v/>
      </c>
      <c r="MU41" s="215" t="n">
        <v>129014.8</v>
      </c>
      <c r="MV41" s="188">
        <f>MU42</f>
        <v/>
      </c>
      <c r="MW41" s="9">
        <f>MU41-MV41</f>
        <v/>
      </c>
      <c r="MX41" s="182">
        <f>MW41/MV41</f>
        <v/>
      </c>
      <c r="MY41" s="182" t="n">
        <v>-0.0034</v>
      </c>
      <c r="MZ41" s="182" t="n"/>
      <c r="NA41" s="182" t="n"/>
      <c r="NC41" s="9">
        <f>C41</f>
        <v/>
      </c>
      <c r="ND41" s="215" t="n">
        <v>31491.48</v>
      </c>
      <c r="NE41" s="188">
        <f>ND42</f>
        <v/>
      </c>
      <c r="NF41" s="9">
        <f>ND41-NE41</f>
        <v/>
      </c>
      <c r="NG41" s="182">
        <f>NF41/NE41</f>
        <v/>
      </c>
      <c r="NH41" s="182" t="n">
        <v>0.009599999999999999</v>
      </c>
      <c r="NI41" s="182" t="n"/>
      <c r="NJ41" s="182" t="n"/>
      <c r="NK41" s="182" t="n"/>
      <c r="NM41" s="9">
        <f>C41</f>
        <v/>
      </c>
      <c r="NN41" s="215" t="n">
        <v>2614311.08</v>
      </c>
      <c r="NO41" s="9">
        <f>NN42</f>
        <v/>
      </c>
      <c r="NP41" s="197">
        <f>NN41-NO41</f>
        <v/>
      </c>
      <c r="NQ41" s="198">
        <f>NP41/NO41</f>
        <v/>
      </c>
      <c r="NR41" s="182" t="n">
        <v>-0.005</v>
      </c>
      <c r="NS41" s="0" t="n"/>
      <c r="NU41" s="9">
        <f>C41</f>
        <v/>
      </c>
      <c r="NV41" s="215" t="n">
        <v>225176.5</v>
      </c>
      <c r="NW41" s="188">
        <f>NV42</f>
        <v/>
      </c>
      <c r="NX41" s="197">
        <f>NV41-NW41</f>
        <v/>
      </c>
      <c r="NY41" s="198">
        <f>NX41/NW41</f>
        <v/>
      </c>
      <c r="NZ41" s="194" t="n">
        <v>0</v>
      </c>
      <c r="OA41" s="185" t="n"/>
      <c r="OC41" s="9">
        <f>C41</f>
        <v/>
      </c>
      <c r="OD41" s="215" t="n">
        <v>20708.97</v>
      </c>
      <c r="OE41" s="13">
        <f>OD42</f>
        <v/>
      </c>
      <c r="OF41" s="13">
        <f>OD41-OE41</f>
        <v/>
      </c>
      <c r="OG41" s="193">
        <f>OF41/OE41</f>
        <v/>
      </c>
      <c r="OH41" s="182" t="n">
        <v>0.0001</v>
      </c>
      <c r="OI41" s="182" t="n"/>
      <c r="OK41" s="9">
        <f>C41</f>
        <v/>
      </c>
      <c r="OL41" s="215" t="n">
        <v>18035.65</v>
      </c>
      <c r="OM41" s="13">
        <f>OL42</f>
        <v/>
      </c>
      <c r="ON41" s="13">
        <f>OL41-OM41</f>
        <v/>
      </c>
      <c r="OO41" s="193">
        <f>ON41/OM41</f>
        <v/>
      </c>
      <c r="OP41" s="182" t="n">
        <v>0.0002</v>
      </c>
      <c r="OQ41" s="182" t="n"/>
      <c r="OT41" s="201">
        <f>OK41</f>
        <v/>
      </c>
      <c r="OU41" s="199" t="n">
        <v>157632.4066</v>
      </c>
      <c r="OV41" s="9">
        <f>OU42</f>
        <v/>
      </c>
      <c r="OW41" s="671">
        <f>OU41-OV41</f>
        <v/>
      </c>
      <c r="OX41" s="182">
        <f>OW41/OV41</f>
        <v/>
      </c>
      <c r="OY41" s="0" t="n">
        <v>0.0329</v>
      </c>
    </row>
    <row r="42" ht="17" customFormat="1" customHeight="1" s="10">
      <c r="A42" s="674" t="n"/>
      <c r="B42" s="674" t="n"/>
      <c r="C42" s="674" t="inlineStr">
        <is>
          <t>2026//9/15</t>
        </is>
      </c>
      <c r="D42" s="225" t="n">
        <v>2354268.77</v>
      </c>
      <c r="E42" s="226">
        <f>D43</f>
        <v/>
      </c>
      <c r="F42" s="226">
        <f>D42-E42</f>
        <v/>
      </c>
      <c r="G42" s="227">
        <f>F42/E42</f>
        <v/>
      </c>
      <c r="H42" s="228" t="n">
        <v>-0.0064</v>
      </c>
      <c r="I42" s="227" t="n"/>
      <c r="J42" s="227" t="n"/>
      <c r="K42" s="10">
        <f>C42</f>
        <v/>
      </c>
      <c r="L42" s="225" t="n">
        <v>1135324.4</v>
      </c>
      <c r="M42" s="226">
        <f>L43</f>
        <v/>
      </c>
      <c r="N42" s="226">
        <f>L42-M42</f>
        <v/>
      </c>
      <c r="O42" s="227">
        <f>N42/M42</f>
        <v/>
      </c>
      <c r="P42" s="228" t="n">
        <v>-0.0068</v>
      </c>
      <c r="Q42" s="227" t="n"/>
      <c r="R42" s="226" t="n"/>
      <c r="S42" s="10">
        <f>C42</f>
        <v/>
      </c>
      <c r="T42" s="225" t="n">
        <v>718986.6800000001</v>
      </c>
      <c r="U42" s="226">
        <f>T43</f>
        <v/>
      </c>
      <c r="V42" s="226">
        <f>T42-U42</f>
        <v/>
      </c>
      <c r="W42" s="227">
        <f>V42/U42</f>
        <v/>
      </c>
      <c r="X42" s="228" t="n">
        <v>-0.006</v>
      </c>
      <c r="Y42" s="227" t="n"/>
      <c r="Z42" s="226" t="n"/>
      <c r="AA42" s="10">
        <f>S42</f>
        <v/>
      </c>
      <c r="AB42" s="225" t="n">
        <v>550976.86</v>
      </c>
      <c r="AC42" s="226">
        <f>AB43</f>
        <v/>
      </c>
      <c r="AD42" s="226">
        <f>AB42-AC42</f>
        <v/>
      </c>
      <c r="AE42" s="227">
        <f>AD42/AC42</f>
        <v/>
      </c>
      <c r="AF42" s="228" t="n">
        <v>-0.0013</v>
      </c>
      <c r="AG42" s="227" t="n"/>
      <c r="AH42" s="226" t="n"/>
      <c r="AI42" s="10">
        <f>C42</f>
        <v/>
      </c>
      <c r="AJ42" s="225" t="n">
        <v>585721.76</v>
      </c>
      <c r="AK42" s="226">
        <f>AJ43</f>
        <v/>
      </c>
      <c r="AL42" s="226">
        <f>AJ42-AK42</f>
        <v/>
      </c>
      <c r="AM42" s="227">
        <f>AL42/AK42</f>
        <v/>
      </c>
      <c r="AN42" s="228" t="n">
        <v>-0.003</v>
      </c>
      <c r="AO42" s="228" t="n"/>
      <c r="AP42" s="226" t="n"/>
      <c r="AQ42" s="10">
        <f>C42</f>
        <v/>
      </c>
      <c r="AR42" s="229" t="n">
        <v>2030545.4936</v>
      </c>
      <c r="AS42" s="226">
        <f>AR43</f>
        <v/>
      </c>
      <c r="AT42" s="226">
        <f>AR42-AS42</f>
        <v/>
      </c>
      <c r="AU42" s="227">
        <f>AT42/AS42</f>
        <v/>
      </c>
      <c r="AV42" s="228" t="n">
        <v>-0.0109</v>
      </c>
      <c r="AW42" s="228" t="n"/>
      <c r="AX42" s="230" t="n"/>
      <c r="AY42" s="230" t="n"/>
      <c r="AZ42" s="10">
        <f>C42</f>
        <v/>
      </c>
      <c r="BA42" s="229" t="n">
        <v>633711.6676</v>
      </c>
      <c r="BB42" s="231">
        <f>BA43</f>
        <v/>
      </c>
      <c r="BC42" s="230">
        <f>BA42-BB42</f>
        <v/>
      </c>
      <c r="BD42" s="228">
        <f>BC42/BB42</f>
        <v/>
      </c>
      <c r="BE42" s="228" t="n">
        <v>-0.0072</v>
      </c>
      <c r="BF42" s="228" t="n"/>
      <c r="BG42" s="675" t="n"/>
      <c r="BH42" s="10">
        <f>C42</f>
        <v/>
      </c>
      <c r="BI42" s="229" t="n">
        <v>1144026.5525</v>
      </c>
      <c r="BJ42" s="233">
        <f>BI43</f>
        <v/>
      </c>
      <c r="BK42" s="233">
        <f>BI42-BJ42</f>
        <v/>
      </c>
      <c r="BL42" s="234">
        <f>BK42/BJ42</f>
        <v/>
      </c>
      <c r="BM42" s="235" t="n">
        <v>-0.0037</v>
      </c>
      <c r="BN42" s="236" t="n"/>
      <c r="BP42" s="10">
        <f>C42</f>
        <v/>
      </c>
      <c r="BQ42" s="229" t="n">
        <v>1432262.3921</v>
      </c>
      <c r="BR42" s="14">
        <f>BQ43</f>
        <v/>
      </c>
      <c r="BS42" s="14">
        <f>BQ42-BR42</f>
        <v/>
      </c>
      <c r="BT42" s="237">
        <f>BS42/BR42</f>
        <v/>
      </c>
      <c r="BU42" s="236" t="n">
        <v>-0.0046</v>
      </c>
      <c r="BV42" s="236" t="n"/>
      <c r="BX42" s="10">
        <f>C42</f>
        <v/>
      </c>
      <c r="BY42" s="229" t="n">
        <v>1640860.7019</v>
      </c>
      <c r="BZ42" s="14">
        <f>BY43</f>
        <v/>
      </c>
      <c r="CA42" s="14">
        <f>BY42-BZ42</f>
        <v/>
      </c>
      <c r="CB42" s="237">
        <f>CA42/BZ42</f>
        <v/>
      </c>
      <c r="CC42" s="236" t="n">
        <v>-0.0039</v>
      </c>
      <c r="CD42" s="238" t="n"/>
      <c r="CF42" s="10">
        <f>C42</f>
        <v/>
      </c>
      <c r="CG42" s="225" t="n">
        <v>1436153.9</v>
      </c>
      <c r="CH42" s="14">
        <f>CG43</f>
        <v/>
      </c>
      <c r="CI42" s="14">
        <f>CG42-CH42</f>
        <v/>
      </c>
      <c r="CJ42" s="237">
        <f>CI42/CH42</f>
        <v/>
      </c>
      <c r="CK42" s="236" t="n">
        <v>-0.0081</v>
      </c>
      <c r="CL42" s="238" t="n"/>
      <c r="CN42" s="10">
        <f>C42</f>
        <v/>
      </c>
      <c r="CO42" s="225" t="n">
        <v>532346.48</v>
      </c>
      <c r="CP42" s="14">
        <f>CO43</f>
        <v/>
      </c>
      <c r="CQ42" s="14">
        <f>CO42-CP42</f>
        <v/>
      </c>
      <c r="CR42" s="237">
        <f>CQ42/CP42</f>
        <v/>
      </c>
      <c r="CS42" s="238" t="n">
        <v>-0.008999999999999999</v>
      </c>
      <c r="CT42" s="238" t="n"/>
      <c r="CV42" s="10">
        <f>C42</f>
        <v/>
      </c>
      <c r="CW42" s="225" t="n">
        <v>642190.4</v>
      </c>
      <c r="CX42" s="14">
        <f>CW43</f>
        <v/>
      </c>
      <c r="CY42" s="14">
        <f>CW42-CX42</f>
        <v/>
      </c>
      <c r="CZ42" s="237">
        <f>CY42/CX42</f>
        <v/>
      </c>
      <c r="DA42" s="236" t="n">
        <v>-0.0219</v>
      </c>
      <c r="DB42" s="236" t="n"/>
      <c r="DC42" s="255" t="n"/>
      <c r="DD42" s="10">
        <f>C42</f>
        <v/>
      </c>
      <c r="DE42" s="229" t="n">
        <v>5986435.9972</v>
      </c>
      <c r="DF42" s="14">
        <f>DE43</f>
        <v/>
      </c>
      <c r="DG42" s="14">
        <f>DE42-DF42</f>
        <v/>
      </c>
      <c r="DH42" s="237">
        <f>DG42/DF42</f>
        <v/>
      </c>
      <c r="DI42" s="236" t="n">
        <v>0.0324</v>
      </c>
      <c r="DJ42" s="236" t="n"/>
      <c r="DK42" s="0" t="n"/>
      <c r="DL42" s="10">
        <f>C42</f>
        <v/>
      </c>
      <c r="DM42" s="225" t="n">
        <v>2021800.72</v>
      </c>
      <c r="DN42" s="14">
        <f>DM43</f>
        <v/>
      </c>
      <c r="DO42" s="14">
        <f>DM42-DN42</f>
        <v/>
      </c>
      <c r="DP42" s="237">
        <f>DO42/DN42</f>
        <v/>
      </c>
      <c r="DQ42" s="236" t="n">
        <v>0.018</v>
      </c>
      <c r="DR42" s="236" t="n"/>
      <c r="DT42" s="10">
        <f>C42</f>
        <v/>
      </c>
      <c r="DU42" s="225" t="n">
        <v>4283368.43</v>
      </c>
      <c r="DV42" s="14">
        <f>DU43</f>
        <v/>
      </c>
      <c r="DW42" s="14">
        <f>DU42-DV42</f>
        <v/>
      </c>
      <c r="DX42" s="237">
        <f>DW42/DV42</f>
        <v/>
      </c>
      <c r="DY42" s="236" t="n">
        <v>0.0196</v>
      </c>
      <c r="DZ42" s="236" t="n"/>
      <c r="EB42" s="10">
        <f>C42</f>
        <v/>
      </c>
      <c r="EC42" s="225" t="n">
        <v>5564366.82</v>
      </c>
      <c r="ED42" s="14">
        <f>EC43</f>
        <v/>
      </c>
      <c r="EE42" s="14">
        <f>EC42-ED42</f>
        <v/>
      </c>
      <c r="EF42" s="237">
        <f>EE42/ED42</f>
        <v/>
      </c>
      <c r="EG42" s="236" t="n">
        <v>0.0155</v>
      </c>
      <c r="EH42" s="236" t="n"/>
      <c r="EJ42" s="10">
        <f>C42</f>
        <v/>
      </c>
      <c r="EK42" s="229" t="n">
        <v>1218922.9669</v>
      </c>
      <c r="EL42" s="14">
        <f>EK43</f>
        <v/>
      </c>
      <c r="EM42" s="14">
        <f>EK42-EL42</f>
        <v/>
      </c>
      <c r="EN42" s="237">
        <f>EM42/EL42</f>
        <v/>
      </c>
      <c r="EO42" s="236" t="n">
        <v>0.0012</v>
      </c>
      <c r="EP42" s="236" t="n"/>
      <c r="ER42" s="10">
        <f>C42</f>
        <v/>
      </c>
      <c r="ES42" s="225" t="n">
        <v>756294.04</v>
      </c>
      <c r="ET42" s="14">
        <f>ES43</f>
        <v/>
      </c>
      <c r="EU42" s="14">
        <f>ES42-ET42</f>
        <v/>
      </c>
      <c r="EV42" s="237">
        <f>EU42/ET42</f>
        <v/>
      </c>
      <c r="EW42" s="236" t="n">
        <v>0.0019</v>
      </c>
      <c r="EX42" s="236" t="n"/>
      <c r="EZ42" s="10">
        <f>C42</f>
        <v/>
      </c>
      <c r="FA42" s="225" t="n">
        <v>674808</v>
      </c>
      <c r="FB42" s="14">
        <f>FA43</f>
        <v/>
      </c>
      <c r="FC42" s="14">
        <f>FA42-FB42</f>
        <v/>
      </c>
      <c r="FD42" s="237">
        <f>FC42/FB42</f>
        <v/>
      </c>
      <c r="FE42" s="236" t="n">
        <v>-0.008699999999999999</v>
      </c>
      <c r="FF42" s="236" t="n"/>
      <c r="FG42" s="236" t="n"/>
      <c r="FH42" s="10">
        <f>C42</f>
        <v/>
      </c>
      <c r="FI42" s="229" t="n">
        <v>930495.3365</v>
      </c>
      <c r="FJ42" s="14">
        <f>FI43</f>
        <v/>
      </c>
      <c r="FK42" s="14">
        <f>FI42-FJ42</f>
        <v/>
      </c>
      <c r="FL42" s="237">
        <f>FK42/FJ42</f>
        <v/>
      </c>
      <c r="FM42" s="238" t="n">
        <v>0</v>
      </c>
      <c r="FN42" s="238" t="n"/>
      <c r="FP42" s="10">
        <f>C42</f>
        <v/>
      </c>
      <c r="FQ42" s="225" t="n">
        <v>1857568.73</v>
      </c>
      <c r="FR42" s="14">
        <f>FQ43</f>
        <v/>
      </c>
      <c r="FS42" s="14">
        <f>FQ42-FR42</f>
        <v/>
      </c>
      <c r="FT42" s="237">
        <f>FS42/FR42</f>
        <v/>
      </c>
      <c r="FU42" s="236" t="n">
        <v>-0.008800000000000001</v>
      </c>
      <c r="FV42" s="236" t="n"/>
      <c r="FX42" s="10">
        <f>C42</f>
        <v/>
      </c>
      <c r="FY42" s="225" t="n">
        <v>7181282.05</v>
      </c>
      <c r="FZ42" s="14">
        <f>FY43</f>
        <v/>
      </c>
      <c r="GA42" s="14">
        <f>FY42-FZ42</f>
        <v/>
      </c>
      <c r="GB42" s="237">
        <f>GA42/FZ42</f>
        <v/>
      </c>
      <c r="GC42" s="236" t="n">
        <v>-0.006</v>
      </c>
      <c r="GD42" s="236" t="n"/>
      <c r="GF42" s="10">
        <f>C42</f>
        <v/>
      </c>
      <c r="GG42" s="225" t="n">
        <v>4000469.49</v>
      </c>
      <c r="GH42" s="14">
        <f>GG43</f>
        <v/>
      </c>
      <c r="GI42" s="14">
        <f>GG42-GH42</f>
        <v/>
      </c>
      <c r="GJ42" s="237">
        <f>GI42/GH42</f>
        <v/>
      </c>
      <c r="GK42" s="236" t="n">
        <v>-0.0081</v>
      </c>
      <c r="GL42" s="236" t="n"/>
      <c r="GN42" s="10">
        <f>C42</f>
        <v/>
      </c>
      <c r="GO42" s="229" t="n">
        <v>1950118.1217</v>
      </c>
      <c r="GP42" s="14">
        <f>GO43</f>
        <v/>
      </c>
      <c r="GQ42" s="14">
        <f>GO42-GP42</f>
        <v/>
      </c>
      <c r="GR42" s="237">
        <f>GQ42/GP42</f>
        <v/>
      </c>
      <c r="GS42" s="236" t="n">
        <v>-0.009599999999999999</v>
      </c>
      <c r="GT42" s="236" t="n"/>
      <c r="GV42" s="10">
        <f>C42</f>
        <v/>
      </c>
      <c r="GW42" s="225" t="n">
        <v>596149.4</v>
      </c>
      <c r="GX42" s="14">
        <f>GW43</f>
        <v/>
      </c>
      <c r="GY42" s="14">
        <f>GW42-GX42</f>
        <v/>
      </c>
      <c r="GZ42" s="237">
        <f>GY42/GX42</f>
        <v/>
      </c>
      <c r="HA42" s="236" t="n">
        <v>-0.0076</v>
      </c>
      <c r="HB42" s="236" t="n"/>
      <c r="HD42" s="10">
        <f>C42</f>
        <v/>
      </c>
      <c r="HE42" s="229" t="n">
        <v>780764.6746</v>
      </c>
      <c r="HF42" s="14">
        <f>HE43</f>
        <v/>
      </c>
      <c r="HG42" s="14">
        <f>HE42-HF42</f>
        <v/>
      </c>
      <c r="HH42" s="237">
        <f>HG42/HF42</f>
        <v/>
      </c>
      <c r="HI42" s="238" t="n">
        <v>-0.0148</v>
      </c>
      <c r="HJ42" s="236" t="n"/>
      <c r="HL42" s="10">
        <f>C42</f>
        <v/>
      </c>
      <c r="HM42" s="225" t="n">
        <v>110404.25</v>
      </c>
      <c r="HN42" s="14">
        <f>HM43</f>
        <v/>
      </c>
      <c r="HO42" s="14">
        <f>HM42-HN42</f>
        <v/>
      </c>
      <c r="HP42" s="237">
        <f>HO42/HN42</f>
        <v/>
      </c>
      <c r="HQ42" s="236" t="n">
        <v>-0.0119</v>
      </c>
      <c r="HR42" s="236" t="n"/>
      <c r="HT42" s="10">
        <f>C42</f>
        <v/>
      </c>
      <c r="HU42" s="229" t="n">
        <v>128868.8265</v>
      </c>
      <c r="HV42" s="14">
        <f>HU43</f>
        <v/>
      </c>
      <c r="HW42" s="14">
        <f>HU42-HV42</f>
        <v/>
      </c>
      <c r="HX42" s="237">
        <f>HW42/HV42</f>
        <v/>
      </c>
      <c r="HY42" s="236" t="n">
        <v>-0.0172</v>
      </c>
      <c r="HZ42" s="236" t="n"/>
      <c r="IB42" s="10">
        <f>C42</f>
        <v/>
      </c>
      <c r="IC42" s="225" t="n">
        <v>323109.79</v>
      </c>
      <c r="ID42" s="14">
        <f>IC43</f>
        <v/>
      </c>
      <c r="IE42" s="14">
        <f>IC42-ID42</f>
        <v/>
      </c>
      <c r="IF42" s="237">
        <f>IE42/ID42</f>
        <v/>
      </c>
      <c r="IG42" s="238" t="n">
        <v>-0.0135</v>
      </c>
      <c r="IH42" s="236" t="n"/>
      <c r="IJ42" s="10">
        <f>C42</f>
        <v/>
      </c>
      <c r="IK42" s="229" t="n">
        <v>909676.29</v>
      </c>
      <c r="IL42" s="14">
        <f>IK43</f>
        <v/>
      </c>
      <c r="IM42" s="14">
        <f>IK42-IL42</f>
        <v/>
      </c>
      <c r="IN42" s="237">
        <f>IM42/IL42</f>
        <v/>
      </c>
      <c r="IO42" s="236" t="n">
        <v>-0.0028</v>
      </c>
      <c r="IP42" s="236" t="n"/>
      <c r="IR42" s="10">
        <f>C42</f>
        <v/>
      </c>
      <c r="IS42" s="225" t="n">
        <v>152789</v>
      </c>
      <c r="IT42" s="14">
        <f>IS43</f>
        <v/>
      </c>
      <c r="IU42" s="14">
        <f>IS42-IT42</f>
        <v/>
      </c>
      <c r="IV42" s="237">
        <f>IU42/IT42</f>
        <v/>
      </c>
      <c r="IW42" s="236" t="n">
        <v>-0.0044</v>
      </c>
      <c r="IX42" s="236" t="n"/>
      <c r="IZ42" s="10">
        <f>C42</f>
        <v/>
      </c>
      <c r="JA42" s="225" t="n">
        <v>5665429.15</v>
      </c>
      <c r="JB42" s="14">
        <f>JA43</f>
        <v/>
      </c>
      <c r="JC42" s="14">
        <f>JA42-JB42</f>
        <v/>
      </c>
      <c r="JD42" s="237">
        <f>JC42/JB42</f>
        <v/>
      </c>
      <c r="JE42" s="236" t="n">
        <v>-0.0048</v>
      </c>
      <c r="JF42" s="236" t="n"/>
      <c r="JH42" s="10">
        <f>C42</f>
        <v/>
      </c>
      <c r="JI42" s="225" t="n">
        <v>1171527.99</v>
      </c>
      <c r="JJ42" s="14">
        <f>JI43</f>
        <v/>
      </c>
      <c r="JK42" s="14">
        <f>JI42-JJ42</f>
        <v/>
      </c>
      <c r="JL42" s="237">
        <f>JK42/JJ42</f>
        <v/>
      </c>
      <c r="JM42" s="236" t="n">
        <v>-0.0152</v>
      </c>
      <c r="JN42" s="236" t="n"/>
      <c r="JO42" s="236" t="n"/>
      <c r="JP42" s="10">
        <f>C42</f>
        <v/>
      </c>
      <c r="JQ42" s="229" t="n">
        <v>1051990.4148</v>
      </c>
      <c r="JR42" s="14">
        <f>JQ43</f>
        <v/>
      </c>
      <c r="JS42" s="14">
        <f>JQ42-JR42</f>
        <v/>
      </c>
      <c r="JT42" s="237">
        <f>JS42/JR42</f>
        <v/>
      </c>
      <c r="JU42" s="236" t="n">
        <v>-0.0134</v>
      </c>
      <c r="JV42" s="236" t="n"/>
      <c r="JW42" s="238" t="n"/>
      <c r="JX42" s="10">
        <f>C42</f>
        <v/>
      </c>
      <c r="JY42" s="225" t="n">
        <v>975548.8</v>
      </c>
      <c r="JZ42" s="14">
        <f>JY43</f>
        <v/>
      </c>
      <c r="KA42" s="14">
        <f>JY42-JZ42</f>
        <v/>
      </c>
      <c r="KB42" s="237">
        <f>KA42/JZ42</f>
        <v/>
      </c>
      <c r="KC42" s="236" t="n">
        <v>-0.0077</v>
      </c>
      <c r="KD42" s="236" t="n"/>
      <c r="KE42" s="238" t="n"/>
      <c r="KF42" s="10">
        <f>C42</f>
        <v/>
      </c>
      <c r="KG42" s="229" t="n">
        <v>570155.9219</v>
      </c>
      <c r="KH42" s="14">
        <f>KG43</f>
        <v/>
      </c>
      <c r="KI42" s="14">
        <f>KG42-KH42</f>
        <v/>
      </c>
      <c r="KJ42" s="237">
        <f>KI42/KH42</f>
        <v/>
      </c>
      <c r="KK42" s="238" t="n">
        <v>-0.0068</v>
      </c>
      <c r="KL42" s="238" t="n"/>
      <c r="KN42" s="10">
        <f>C42</f>
        <v/>
      </c>
      <c r="KO42" s="225" t="n">
        <v>7099575.95</v>
      </c>
      <c r="KP42" s="14">
        <f>KO43</f>
        <v/>
      </c>
      <c r="KQ42" s="14">
        <f>KO42-KP42</f>
        <v/>
      </c>
      <c r="KR42" s="237">
        <f>KQ42/KP42</f>
        <v/>
      </c>
      <c r="KS42" s="236" t="n">
        <v>-0.0018</v>
      </c>
      <c r="KT42" s="236" t="n"/>
      <c r="KV42" s="10">
        <f>C42</f>
        <v/>
      </c>
      <c r="KW42" s="229" t="n">
        <v>1039672.9726</v>
      </c>
      <c r="KX42" s="14">
        <f>KW43</f>
        <v/>
      </c>
      <c r="KY42" s="14">
        <f>KW42-KX42</f>
        <v/>
      </c>
      <c r="KZ42" s="237">
        <f>KY42/KX42</f>
        <v/>
      </c>
      <c r="LA42" s="238" t="n">
        <v>-0.0102</v>
      </c>
      <c r="LB42" s="236" t="n"/>
      <c r="LD42" s="10">
        <f>C42</f>
        <v/>
      </c>
      <c r="LE42" s="225" t="n">
        <v>379007.7</v>
      </c>
      <c r="LF42" s="14">
        <f>LE43</f>
        <v/>
      </c>
      <c r="LG42" s="14">
        <f>LE42-LF42</f>
        <v/>
      </c>
      <c r="LH42" s="237">
        <f>LG42/LF42</f>
        <v/>
      </c>
      <c r="LI42" s="236" t="n">
        <v>-0.0005999999999999999</v>
      </c>
      <c r="LJ42" s="236" t="n"/>
      <c r="LL42" s="10">
        <f>C42</f>
        <v/>
      </c>
      <c r="LM42" s="225" t="n">
        <v>3228595.02</v>
      </c>
      <c r="LN42" s="14">
        <f>LM43</f>
        <v/>
      </c>
      <c r="LO42" s="14">
        <f>LM42-LN42</f>
        <v/>
      </c>
      <c r="LP42" s="237">
        <f>LO42/LN42</f>
        <v/>
      </c>
      <c r="LQ42" s="236" t="n">
        <v>-0.0049</v>
      </c>
      <c r="LR42" s="236" t="n"/>
      <c r="LT42" s="10">
        <f>C42</f>
        <v/>
      </c>
      <c r="LU42" s="229" t="n">
        <v>2302862.904</v>
      </c>
      <c r="LV42" s="14">
        <f>LU43</f>
        <v/>
      </c>
      <c r="LW42" s="14">
        <f>LU42-LV42</f>
        <v/>
      </c>
      <c r="LX42" s="237">
        <f>LW42/LV42</f>
        <v/>
      </c>
      <c r="LY42" s="236" t="n">
        <v>-0.0046</v>
      </c>
      <c r="LZ42" s="236" t="n"/>
      <c r="MB42" s="10">
        <f>C42</f>
        <v/>
      </c>
      <c r="MC42" s="225" t="n">
        <v>812517.6899999999</v>
      </c>
      <c r="MD42" s="14">
        <f>MC43</f>
        <v/>
      </c>
      <c r="ME42" s="14">
        <f>MC42-MD42</f>
        <v/>
      </c>
      <c r="MF42" s="237">
        <f>ME42/MD42</f>
        <v/>
      </c>
      <c r="MG42" s="236" t="n">
        <v>-0.0024</v>
      </c>
      <c r="MH42" s="236" t="n"/>
      <c r="MK42" s="10">
        <f>C42</f>
        <v/>
      </c>
      <c r="ML42" s="229" t="n">
        <v>162585.5354</v>
      </c>
      <c r="MM42" s="14">
        <f>ML43</f>
        <v/>
      </c>
      <c r="MN42" s="14">
        <f>ML42-MM42</f>
        <v/>
      </c>
      <c r="MO42" s="237">
        <f>MN42/MM42</f>
        <v/>
      </c>
      <c r="MP42" s="236" t="n">
        <v>-0.0011</v>
      </c>
      <c r="MQ42" s="238" t="n"/>
      <c r="MR42" s="238" t="n"/>
      <c r="MT42" s="10">
        <f>C42</f>
        <v/>
      </c>
      <c r="MU42" s="225" t="n">
        <v>135214.8</v>
      </c>
      <c r="MV42" s="240">
        <f>MU43</f>
        <v/>
      </c>
      <c r="MW42" s="10">
        <f>MU42-MV42</f>
        <v/>
      </c>
      <c r="MX42" s="236">
        <f>MW42/MV42</f>
        <v/>
      </c>
      <c r="MY42" s="236" t="n">
        <v>-0.0007</v>
      </c>
      <c r="MZ42" s="236" t="n"/>
      <c r="NA42" s="236" t="n"/>
      <c r="NC42" s="10">
        <f>C42</f>
        <v/>
      </c>
      <c r="ND42" s="225" t="n">
        <v>31491.48</v>
      </c>
      <c r="NE42" s="240">
        <f>ND43</f>
        <v/>
      </c>
      <c r="NF42" s="10">
        <f>ND42-NE42</f>
        <v/>
      </c>
      <c r="NG42" s="236">
        <f>NF42/NE42</f>
        <v/>
      </c>
      <c r="NH42" s="236" t="n">
        <v>-0.0022</v>
      </c>
      <c r="NI42" s="236" t="n"/>
      <c r="NJ42" s="236" t="n"/>
      <c r="NK42" s="236" t="n"/>
      <c r="NM42" s="10">
        <f>C42</f>
        <v/>
      </c>
      <c r="NN42" s="225" t="n">
        <v>2618911.08</v>
      </c>
      <c r="NO42" s="10">
        <f>NN43</f>
        <v/>
      </c>
      <c r="NP42" s="10">
        <f>NN42-NO42</f>
        <v/>
      </c>
      <c r="NQ42" s="236">
        <f>NP42/NO42</f>
        <v/>
      </c>
      <c r="NR42" s="236" t="n">
        <v>-0.009900000000000001</v>
      </c>
      <c r="NS42" s="0" t="n"/>
      <c r="NU42" s="10">
        <f>C42</f>
        <v/>
      </c>
      <c r="NV42" s="225" t="n">
        <v>224976.5</v>
      </c>
      <c r="NW42" s="240">
        <f>NV43</f>
        <v/>
      </c>
      <c r="NX42" s="10">
        <f>NV42-NW42</f>
        <v/>
      </c>
      <c r="NY42" s="236">
        <f>NX42/NW42</f>
        <v/>
      </c>
      <c r="NZ42" s="238" t="n">
        <v>-0.0118</v>
      </c>
      <c r="OA42" s="241" t="n"/>
      <c r="OC42" s="10">
        <f>C42</f>
        <v/>
      </c>
      <c r="OD42" s="225" t="n">
        <v>20543.97</v>
      </c>
      <c r="OE42" s="14">
        <f>OD43</f>
        <v/>
      </c>
      <c r="OF42" s="14">
        <f>OD42-OE42</f>
        <v/>
      </c>
      <c r="OG42" s="237">
        <f>OF42/OE42</f>
        <v/>
      </c>
      <c r="OH42" s="236" t="n">
        <v>0.0019</v>
      </c>
      <c r="OI42" s="236" t="n"/>
      <c r="OK42" s="10">
        <f>C42</f>
        <v/>
      </c>
      <c r="OL42" s="225" t="n">
        <v>17720.65</v>
      </c>
      <c r="OM42" s="14">
        <f>OL43</f>
        <v/>
      </c>
      <c r="ON42" s="14">
        <f>OL42-OM42</f>
        <v/>
      </c>
      <c r="OO42" s="237">
        <f>ON42/OM42</f>
        <v/>
      </c>
      <c r="OP42" s="236" t="n">
        <v>0.0005</v>
      </c>
      <c r="OQ42" s="236" t="n"/>
      <c r="OT42" s="201">
        <f>OK42</f>
        <v/>
      </c>
      <c r="OU42" s="199" t="n">
        <v>157512.4066</v>
      </c>
      <c r="OV42" s="9">
        <f>OU43</f>
        <v/>
      </c>
      <c r="OW42" s="671">
        <f>OU42-OV42</f>
        <v/>
      </c>
      <c r="OX42" s="182">
        <f>OW42/OV42</f>
        <v/>
      </c>
      <c r="OY42" s="0" t="n">
        <v>0.007</v>
      </c>
    </row>
    <row r="43" ht="17" customFormat="1" customHeight="1" s="9">
      <c r="A43" s="631" t="n"/>
      <c r="B43" s="631" t="n"/>
      <c r="C43" s="631" t="inlineStr">
        <is>
          <t>2026//9/14</t>
        </is>
      </c>
      <c r="D43" s="215" t="n">
        <v>2340318.77</v>
      </c>
      <c r="E43" s="20">
        <f>D44</f>
        <v/>
      </c>
      <c r="F43" s="20">
        <f>D43-E43</f>
        <v/>
      </c>
      <c r="G43" s="163">
        <f>F43/E43</f>
        <v/>
      </c>
      <c r="H43" s="19" t="n">
        <v>-0.0059</v>
      </c>
      <c r="I43" s="163" t="n"/>
      <c r="J43" s="163" t="n"/>
      <c r="K43" s="9">
        <f>C43</f>
        <v/>
      </c>
      <c r="L43" s="215" t="n">
        <v>1137394.4</v>
      </c>
      <c r="M43" s="20">
        <f>L44</f>
        <v/>
      </c>
      <c r="N43" s="20">
        <f>L43-M43</f>
        <v/>
      </c>
      <c r="O43" s="163">
        <f>N43/M43</f>
        <v/>
      </c>
      <c r="P43" s="19" t="n">
        <v>-0.0058</v>
      </c>
      <c r="Q43" s="163" t="n"/>
      <c r="R43" s="20" t="n"/>
      <c r="S43" s="9">
        <f>C43</f>
        <v/>
      </c>
      <c r="T43" s="215" t="n">
        <v>704676.6800000001</v>
      </c>
      <c r="U43" s="20">
        <f>T44</f>
        <v/>
      </c>
      <c r="V43" s="20">
        <f>T43-U43</f>
        <v/>
      </c>
      <c r="W43" s="163">
        <f>V43/U43</f>
        <v/>
      </c>
      <c r="X43" s="19" t="n">
        <v>-0.0017</v>
      </c>
      <c r="Y43" s="163" t="n"/>
      <c r="Z43" s="20" t="n"/>
      <c r="AA43" s="9">
        <f>S43</f>
        <v/>
      </c>
      <c r="AB43" s="215" t="n">
        <v>529536.86</v>
      </c>
      <c r="AC43" s="20">
        <f>AB44</f>
        <v/>
      </c>
      <c r="AD43" s="20">
        <f>AB43-AC43</f>
        <v/>
      </c>
      <c r="AE43" s="163">
        <f>AD43/AC43</f>
        <v/>
      </c>
      <c r="AF43" s="19" t="n">
        <v>-0.0017</v>
      </c>
      <c r="AG43" s="163" t="n"/>
      <c r="AH43" s="20" t="n"/>
      <c r="AI43" s="9">
        <f>C43</f>
        <v/>
      </c>
      <c r="AJ43" s="215" t="n">
        <v>588521.76</v>
      </c>
      <c r="AK43" s="20">
        <f>AJ44</f>
        <v/>
      </c>
      <c r="AL43" s="20">
        <f>AJ43-AK43</f>
        <v/>
      </c>
      <c r="AM43" s="163">
        <f>AL43/AK43</f>
        <v/>
      </c>
      <c r="AN43" s="19" t="n">
        <v>0.0063</v>
      </c>
      <c r="AO43" s="19" t="n"/>
      <c r="AP43" s="20" t="n"/>
      <c r="AQ43" s="9">
        <f>C43</f>
        <v/>
      </c>
      <c r="AR43" s="242" t="n">
        <v>1977845.4936</v>
      </c>
      <c r="AS43" s="20">
        <f>AR44</f>
        <v/>
      </c>
      <c r="AT43" s="20">
        <f>AR43-AS43</f>
        <v/>
      </c>
      <c r="AU43" s="163">
        <f>AT43/AS43</f>
        <v/>
      </c>
      <c r="AV43" s="19" t="n">
        <v>-0.0111</v>
      </c>
      <c r="AW43" s="19" t="n"/>
      <c r="AX43" s="5" t="n"/>
      <c r="AY43" s="5" t="n"/>
      <c r="AZ43" s="9">
        <f>C43</f>
        <v/>
      </c>
      <c r="BA43" s="242" t="n">
        <v>631101.6676</v>
      </c>
      <c r="BB43" s="24">
        <f>BA44</f>
        <v/>
      </c>
      <c r="BC43" s="5">
        <f>BA43-BB43</f>
        <v/>
      </c>
      <c r="BD43" s="19">
        <f>BC43/BB43</f>
        <v/>
      </c>
      <c r="BE43" s="19" t="n">
        <v>-0.0067</v>
      </c>
      <c r="BF43" s="19" t="n"/>
      <c r="BG43" s="647" t="n"/>
      <c r="BH43" s="9">
        <f>C43</f>
        <v/>
      </c>
      <c r="BI43" s="242" t="n">
        <v>1150526.5525</v>
      </c>
      <c r="BJ43" s="184">
        <f>BI44</f>
        <v/>
      </c>
      <c r="BK43" s="184">
        <f>BI43-BJ43</f>
        <v/>
      </c>
      <c r="BL43" s="190">
        <f>BK43/BJ43</f>
        <v/>
      </c>
      <c r="BM43" s="191" t="n">
        <v>-0.0067</v>
      </c>
      <c r="BN43" s="182" t="n"/>
      <c r="BP43" s="9">
        <f>C43</f>
        <v/>
      </c>
      <c r="BQ43" s="242" t="n">
        <v>1427062.3921</v>
      </c>
      <c r="BR43" s="13">
        <f>BQ44</f>
        <v/>
      </c>
      <c r="BS43" s="13">
        <f>BQ43-BR43</f>
        <v/>
      </c>
      <c r="BT43" s="193">
        <f>BS43/BR43</f>
        <v/>
      </c>
      <c r="BU43" s="182" t="n">
        <v>0.0046</v>
      </c>
      <c r="BV43" s="182" t="n"/>
      <c r="BX43" s="9">
        <f>C43</f>
        <v/>
      </c>
      <c r="BY43" s="242" t="n">
        <v>1671060.7019</v>
      </c>
      <c r="BZ43" s="13">
        <f>BY44</f>
        <v/>
      </c>
      <c r="CA43" s="13">
        <f>BY43-BZ43</f>
        <v/>
      </c>
      <c r="CB43" s="193">
        <f>CA43/BZ43</f>
        <v/>
      </c>
      <c r="CC43" s="182" t="n">
        <v>-0.0026</v>
      </c>
      <c r="CD43" s="194" t="n"/>
      <c r="CF43" s="9">
        <f>C43</f>
        <v/>
      </c>
      <c r="CG43" s="215" t="n">
        <v>1448003.9</v>
      </c>
      <c r="CH43" s="13">
        <f>CG44</f>
        <v/>
      </c>
      <c r="CI43" s="13">
        <f>CG43-CH43</f>
        <v/>
      </c>
      <c r="CJ43" s="193">
        <f>CI43/CH43</f>
        <v/>
      </c>
      <c r="CK43" s="182" t="n">
        <v>-0.0086</v>
      </c>
      <c r="CL43" s="194" t="n"/>
      <c r="CN43" s="9">
        <f>C43</f>
        <v/>
      </c>
      <c r="CO43" s="215" t="n">
        <v>532846.48</v>
      </c>
      <c r="CP43" s="13">
        <f>CO44</f>
        <v/>
      </c>
      <c r="CQ43" s="13">
        <f>CO43-CP43</f>
        <v/>
      </c>
      <c r="CR43" s="193">
        <f>CQ43/CP43</f>
        <v/>
      </c>
      <c r="CS43" s="194" t="n">
        <v>-0.0073</v>
      </c>
      <c r="CT43" s="194" t="n"/>
      <c r="CV43" s="9">
        <f>C43</f>
        <v/>
      </c>
      <c r="CW43" s="215" t="n">
        <v>644590.4</v>
      </c>
      <c r="CX43" s="13">
        <f>CW44</f>
        <v/>
      </c>
      <c r="CY43" s="13">
        <f>CW43-CX43</f>
        <v/>
      </c>
      <c r="CZ43" s="193">
        <f>CY43/CX43</f>
        <v/>
      </c>
      <c r="DA43" s="182" t="n">
        <v>-0.0066</v>
      </c>
      <c r="DB43" s="182" t="n"/>
      <c r="DC43" s="256" t="n"/>
      <c r="DD43" s="9">
        <f>C43</f>
        <v/>
      </c>
      <c r="DE43" s="242" t="n">
        <v>6068035.9972</v>
      </c>
      <c r="DF43" s="13">
        <f>DE44</f>
        <v/>
      </c>
      <c r="DG43" s="13">
        <f>DE43-DF43</f>
        <v/>
      </c>
      <c r="DH43" s="193">
        <f>DG43/DF43</f>
        <v/>
      </c>
      <c r="DI43" s="182" t="n">
        <v>-0.0077</v>
      </c>
      <c r="DJ43" s="182" t="n"/>
      <c r="DK43" s="0" t="n"/>
      <c r="DL43" s="9">
        <f>C43</f>
        <v/>
      </c>
      <c r="DM43" s="215" t="n">
        <v>2051000.72</v>
      </c>
      <c r="DN43" s="13">
        <f>DM44</f>
        <v/>
      </c>
      <c r="DO43" s="13">
        <f>DM43-DN43</f>
        <v/>
      </c>
      <c r="DP43" s="193">
        <f>DO43/DN43</f>
        <v/>
      </c>
      <c r="DQ43" s="182" t="n">
        <v>-0.0135</v>
      </c>
      <c r="DR43" s="182" t="n"/>
      <c r="DT43" s="9">
        <f>C43</f>
        <v/>
      </c>
      <c r="DU43" s="215" t="n">
        <v>4342318.43</v>
      </c>
      <c r="DV43" s="13">
        <f>DU44</f>
        <v/>
      </c>
      <c r="DW43" s="13">
        <f>DU43-DV43</f>
        <v/>
      </c>
      <c r="DX43" s="193">
        <f>DW43/DV43</f>
        <v/>
      </c>
      <c r="DY43" s="182" t="n">
        <v>-0.0165</v>
      </c>
      <c r="DZ43" s="182" t="n"/>
      <c r="EB43" s="9">
        <f>C43</f>
        <v/>
      </c>
      <c r="EC43" s="215" t="n">
        <v>5659166.82</v>
      </c>
      <c r="ED43" s="13">
        <f>EC44</f>
        <v/>
      </c>
      <c r="EE43" s="13">
        <f>EC43-ED43</f>
        <v/>
      </c>
      <c r="EF43" s="193">
        <f>EE43/ED43</f>
        <v/>
      </c>
      <c r="EG43" s="182" t="n">
        <v>-0.0159</v>
      </c>
      <c r="EH43" s="182" t="n"/>
      <c r="EJ43" s="9">
        <f>C43</f>
        <v/>
      </c>
      <c r="EK43" s="242" t="n">
        <v>1221522.9669</v>
      </c>
      <c r="EL43" s="13">
        <f>EK44</f>
        <v/>
      </c>
      <c r="EM43" s="13">
        <f>EK43-EL43</f>
        <v/>
      </c>
      <c r="EN43" s="193">
        <f>EM43/EL43</f>
        <v/>
      </c>
      <c r="EO43" s="182" t="n">
        <v>-0.0194</v>
      </c>
      <c r="EP43" s="182" t="n"/>
      <c r="ER43" s="9">
        <f>C43</f>
        <v/>
      </c>
      <c r="ES43" s="215" t="n">
        <v>756094.04</v>
      </c>
      <c r="ET43" s="13">
        <f>ES44</f>
        <v/>
      </c>
      <c r="EU43" s="13">
        <f>ES43-ET43</f>
        <v/>
      </c>
      <c r="EV43" s="193">
        <f>EU43/ET43</f>
        <v/>
      </c>
      <c r="EW43" s="182" t="n">
        <v>-0.0177</v>
      </c>
      <c r="EX43" s="182" t="n"/>
      <c r="EZ43" s="9">
        <f>C43</f>
        <v/>
      </c>
      <c r="FA43" s="215" t="n">
        <v>674708</v>
      </c>
      <c r="FB43" s="13">
        <f>FA44</f>
        <v/>
      </c>
      <c r="FC43" s="13">
        <f>FA43-FB43</f>
        <v/>
      </c>
      <c r="FD43" s="193">
        <f>FC43/FB43</f>
        <v/>
      </c>
      <c r="FE43" s="182" t="n">
        <v>-0.0154</v>
      </c>
      <c r="FF43" s="182" t="n"/>
      <c r="FG43" s="182" t="n"/>
      <c r="FH43" s="9">
        <f>C43</f>
        <v/>
      </c>
      <c r="FI43" s="242" t="n">
        <v>931195.3365</v>
      </c>
      <c r="FJ43" s="13">
        <f>FI44</f>
        <v/>
      </c>
      <c r="FK43" s="13">
        <f>FI43-FJ43</f>
        <v/>
      </c>
      <c r="FL43" s="193">
        <f>FK43/FJ43</f>
        <v/>
      </c>
      <c r="FM43" s="194" t="n">
        <v>-0.0015</v>
      </c>
      <c r="FN43" s="194" t="n"/>
      <c r="FP43" s="9">
        <f>C43</f>
        <v/>
      </c>
      <c r="FQ43" s="215" t="n">
        <v>1856518.73</v>
      </c>
      <c r="FR43" s="13">
        <f>FQ44</f>
        <v/>
      </c>
      <c r="FS43" s="13">
        <f>FQ43-FR43</f>
        <v/>
      </c>
      <c r="FT43" s="193">
        <f>FS43/FR43</f>
        <v/>
      </c>
      <c r="FU43" s="182" t="n">
        <v>0.0044</v>
      </c>
      <c r="FV43" s="182" t="n"/>
      <c r="FX43" s="9">
        <f>C43</f>
        <v/>
      </c>
      <c r="FY43" s="215" t="n">
        <v>7188882.05</v>
      </c>
      <c r="FZ43" s="13">
        <f>FY44</f>
        <v/>
      </c>
      <c r="GA43" s="13">
        <f>FY43-FZ43</f>
        <v/>
      </c>
      <c r="GB43" s="193">
        <f>GA43/FZ43</f>
        <v/>
      </c>
      <c r="GC43" s="182" t="n">
        <v>0.0214</v>
      </c>
      <c r="GD43" s="182" t="n"/>
      <c r="GF43" s="9">
        <f>C43</f>
        <v/>
      </c>
      <c r="GG43" s="215" t="n">
        <v>3999769.49</v>
      </c>
      <c r="GH43" s="13">
        <f>GG44</f>
        <v/>
      </c>
      <c r="GI43" s="13">
        <f>GG43-GH43</f>
        <v/>
      </c>
      <c r="GJ43" s="193">
        <f>GI43/GH43</f>
        <v/>
      </c>
      <c r="GK43" s="182" t="n">
        <v>0.0192</v>
      </c>
      <c r="GL43" s="182" t="n"/>
      <c r="GN43" s="9">
        <f>C43</f>
        <v/>
      </c>
      <c r="GO43" s="242" t="n">
        <v>1944958.1217</v>
      </c>
      <c r="GP43" s="13">
        <f>GO44</f>
        <v/>
      </c>
      <c r="GQ43" s="13">
        <f>GO43-GP43</f>
        <v/>
      </c>
      <c r="GR43" s="193">
        <f>GQ43/GP43</f>
        <v/>
      </c>
      <c r="GS43" s="182" t="n">
        <v>0.0336</v>
      </c>
      <c r="GT43" s="182" t="n"/>
      <c r="GV43" s="9">
        <f>C43</f>
        <v/>
      </c>
      <c r="GW43" s="215" t="n">
        <v>596549.4</v>
      </c>
      <c r="GX43" s="13">
        <f>GW44</f>
        <v/>
      </c>
      <c r="GY43" s="13">
        <f>GW43-GX43</f>
        <v/>
      </c>
      <c r="GZ43" s="193">
        <f>GY43/GX43</f>
        <v/>
      </c>
      <c r="HA43" s="182" t="n">
        <v>0</v>
      </c>
      <c r="HB43" s="182" t="n"/>
      <c r="HD43" s="9">
        <f>C43</f>
        <v/>
      </c>
      <c r="HE43" s="242" t="n">
        <v>782964.6746</v>
      </c>
      <c r="HF43" s="13">
        <f>HE44</f>
        <v/>
      </c>
      <c r="HG43" s="13">
        <f>HE43-HF43</f>
        <v/>
      </c>
      <c r="HH43" s="193">
        <f>HG43/HF43</f>
        <v/>
      </c>
      <c r="HI43" s="194" t="n">
        <v>0.0138</v>
      </c>
      <c r="HJ43" s="182" t="n"/>
      <c r="HL43" s="9">
        <f>C43</f>
        <v/>
      </c>
      <c r="HM43" s="215" t="n">
        <v>114954.25</v>
      </c>
      <c r="HN43" s="13">
        <f>HM44</f>
        <v/>
      </c>
      <c r="HO43" s="13">
        <f>HM43-HN43</f>
        <v/>
      </c>
      <c r="HP43" s="193">
        <f>HO43/HN43</f>
        <v/>
      </c>
      <c r="HQ43" s="182" t="n">
        <v>-0.0046</v>
      </c>
      <c r="HR43" s="182" t="n"/>
      <c r="HT43" s="9">
        <f>C43</f>
        <v/>
      </c>
      <c r="HU43" s="242" t="n">
        <v>127668.8265</v>
      </c>
      <c r="HV43" s="13">
        <f>HU44</f>
        <v/>
      </c>
      <c r="HW43" s="13">
        <f>HU43-HV43</f>
        <v/>
      </c>
      <c r="HX43" s="193">
        <f>HW43/HV43</f>
        <v/>
      </c>
      <c r="HY43" s="182" t="n">
        <v>0</v>
      </c>
      <c r="HZ43" s="182" t="n"/>
      <c r="IB43" s="9">
        <f>C43</f>
        <v/>
      </c>
      <c r="IC43" s="215" t="n">
        <v>326109.79</v>
      </c>
      <c r="ID43" s="13">
        <f>IC44</f>
        <v/>
      </c>
      <c r="IE43" s="13">
        <f>IC43-ID43</f>
        <v/>
      </c>
      <c r="IF43" s="193">
        <f>IE43/ID43</f>
        <v/>
      </c>
      <c r="IG43" s="194" t="n">
        <v>-0.0008</v>
      </c>
      <c r="IH43" s="182" t="n"/>
      <c r="IJ43" s="9">
        <f>C43</f>
        <v/>
      </c>
      <c r="IK43" s="242" t="n">
        <v>901516.29</v>
      </c>
      <c r="IL43" s="13">
        <f>IK44</f>
        <v/>
      </c>
      <c r="IM43" s="13">
        <f>IK43-IL43</f>
        <v/>
      </c>
      <c r="IN43" s="193">
        <f>IM43/IL43</f>
        <v/>
      </c>
      <c r="IO43" s="182" t="n">
        <v>0.0028</v>
      </c>
      <c r="IP43" s="182" t="n"/>
      <c r="IR43" s="9">
        <f>C43</f>
        <v/>
      </c>
      <c r="IS43" s="215" t="n">
        <v>152789</v>
      </c>
      <c r="IT43" s="13">
        <f>IS44</f>
        <v/>
      </c>
      <c r="IU43" s="13">
        <f>IS43-IT43</f>
        <v/>
      </c>
      <c r="IV43" s="193">
        <f>IU43/IT43</f>
        <v/>
      </c>
      <c r="IW43" s="182" t="n">
        <v>-0.0013</v>
      </c>
      <c r="IX43" s="182" t="n"/>
      <c r="IZ43" s="9">
        <f>C43</f>
        <v/>
      </c>
      <c r="JA43" s="215" t="n">
        <v>5670929.15</v>
      </c>
      <c r="JB43" s="13">
        <f>JA44</f>
        <v/>
      </c>
      <c r="JC43" s="13">
        <f>JA43-JB43</f>
        <v/>
      </c>
      <c r="JD43" s="193">
        <f>JC43/JB43</f>
        <v/>
      </c>
      <c r="JE43" s="182" t="n">
        <v>-0.0057</v>
      </c>
      <c r="JF43" s="182" t="n"/>
      <c r="JH43" s="9">
        <f>C43</f>
        <v/>
      </c>
      <c r="JI43" s="215" t="n">
        <v>1164267.99</v>
      </c>
      <c r="JJ43" s="13">
        <f>JI44</f>
        <v/>
      </c>
      <c r="JK43" s="13">
        <f>JI43-JJ43</f>
        <v/>
      </c>
      <c r="JL43" s="193">
        <f>JK43/JJ43</f>
        <v/>
      </c>
      <c r="JM43" s="182" t="n">
        <v>0.0106</v>
      </c>
      <c r="JN43" s="182" t="n"/>
      <c r="JO43" s="182" t="n"/>
      <c r="JP43" s="9">
        <f>C43</f>
        <v/>
      </c>
      <c r="JQ43" s="242" t="n">
        <v>1047990.4148</v>
      </c>
      <c r="JR43" s="13">
        <f>JQ44</f>
        <v/>
      </c>
      <c r="JS43" s="13">
        <f>JQ43-JR43</f>
        <v/>
      </c>
      <c r="JT43" s="193">
        <f>JS43/JR43</f>
        <v/>
      </c>
      <c r="JU43" s="182" t="n">
        <v>-0.0017</v>
      </c>
      <c r="JV43" s="182" t="n"/>
      <c r="JW43" s="194" t="n"/>
      <c r="JX43" s="9">
        <f>C43</f>
        <v/>
      </c>
      <c r="JY43" s="215" t="n">
        <v>972148.8</v>
      </c>
      <c r="JZ43" s="13">
        <f>JY44</f>
        <v/>
      </c>
      <c r="KA43" s="13">
        <f>JY43-JZ43</f>
        <v/>
      </c>
      <c r="KB43" s="193">
        <f>KA43/JZ43</f>
        <v/>
      </c>
      <c r="KC43" s="182" t="n">
        <v>-0.0039</v>
      </c>
      <c r="KD43" s="182" t="n"/>
      <c r="KE43" s="194" t="n"/>
      <c r="KF43" s="9">
        <f>C43</f>
        <v/>
      </c>
      <c r="KG43" s="242" t="n">
        <v>570155.9219</v>
      </c>
      <c r="KH43" s="13">
        <f>KG44</f>
        <v/>
      </c>
      <c r="KI43" s="13">
        <f>KG43-KH43</f>
        <v/>
      </c>
      <c r="KJ43" s="193">
        <f>KI43/KH43</f>
        <v/>
      </c>
      <c r="KK43" s="194" t="n">
        <v>0.0034</v>
      </c>
      <c r="KL43" s="194" t="n"/>
      <c r="KN43" s="9">
        <f>C43</f>
        <v/>
      </c>
      <c r="KO43" s="215" t="n">
        <v>7100575.95</v>
      </c>
      <c r="KP43" s="13">
        <f>KO44</f>
        <v/>
      </c>
      <c r="KQ43" s="13">
        <f>KO43-KP43</f>
        <v/>
      </c>
      <c r="KR43" s="193">
        <f>KQ43/KP43</f>
        <v/>
      </c>
      <c r="KS43" s="182" t="n">
        <v>-0.0037</v>
      </c>
      <c r="KT43" s="182" t="n"/>
      <c r="KV43" s="9">
        <f>C43</f>
        <v/>
      </c>
      <c r="KW43" s="242" t="n">
        <v>1039272.9726</v>
      </c>
      <c r="KX43" s="13">
        <f>KW44</f>
        <v/>
      </c>
      <c r="KY43" s="13">
        <f>KW43-KX43</f>
        <v/>
      </c>
      <c r="KZ43" s="193">
        <f>KY43/KX43</f>
        <v/>
      </c>
      <c r="LA43" s="194" t="n">
        <v>0.0377</v>
      </c>
      <c r="LB43" s="182" t="n"/>
      <c r="LD43" s="9">
        <f>C43</f>
        <v/>
      </c>
      <c r="LE43" s="215" t="n">
        <v>378757.7</v>
      </c>
      <c r="LF43" s="13">
        <f>LE44</f>
        <v/>
      </c>
      <c r="LG43" s="13">
        <f>LE43-LF43</f>
        <v/>
      </c>
      <c r="LH43" s="193">
        <f>LG43/LF43</f>
        <v/>
      </c>
      <c r="LI43" s="182" t="n">
        <v>0.0037</v>
      </c>
      <c r="LJ43" s="182" t="n"/>
      <c r="LL43" s="9">
        <f>C43</f>
        <v/>
      </c>
      <c r="LM43" s="215" t="n">
        <v>3221035.02</v>
      </c>
      <c r="LN43" s="13">
        <f>LM44</f>
        <v/>
      </c>
      <c r="LO43" s="13">
        <f>LM43-LN43</f>
        <v/>
      </c>
      <c r="LP43" s="193">
        <f>LO43/LN43</f>
        <v/>
      </c>
      <c r="LQ43" s="182" t="n">
        <v>0</v>
      </c>
      <c r="LR43" s="182" t="n"/>
      <c r="LT43" s="9">
        <f>C43</f>
        <v/>
      </c>
      <c r="LU43" s="242" t="n">
        <v>2305662.904</v>
      </c>
      <c r="LV43" s="13">
        <f>LU44</f>
        <v/>
      </c>
      <c r="LW43" s="13">
        <f>LU43-LV43</f>
        <v/>
      </c>
      <c r="LX43" s="193">
        <f>LW43/LV43</f>
        <v/>
      </c>
      <c r="LY43" s="182" t="n">
        <v>-0.0015</v>
      </c>
      <c r="LZ43" s="182" t="n"/>
      <c r="MB43" s="9">
        <f>C43</f>
        <v/>
      </c>
      <c r="MC43" s="215" t="n">
        <v>817717.6899999999</v>
      </c>
      <c r="MD43" s="13">
        <f>MC44</f>
        <v/>
      </c>
      <c r="ME43" s="13">
        <f>MC43-MD43</f>
        <v/>
      </c>
      <c r="MF43" s="193">
        <f>ME43/MD43</f>
        <v/>
      </c>
      <c r="MG43" s="182" t="n">
        <v>-0.0147</v>
      </c>
      <c r="MH43" s="182" t="n"/>
      <c r="MI43" s="9" t="n"/>
      <c r="MJ43" s="9" t="n"/>
      <c r="MK43" s="9">
        <f>C43</f>
        <v/>
      </c>
      <c r="ML43" s="242" t="n">
        <v>161865.5354</v>
      </c>
      <c r="MM43" s="13">
        <f>ML44</f>
        <v/>
      </c>
      <c r="MN43" s="13">
        <f>ML43-MM43</f>
        <v/>
      </c>
      <c r="MO43" s="193">
        <f>MN43/MM43</f>
        <v/>
      </c>
      <c r="MP43" s="182" t="n">
        <v>-0.0043</v>
      </c>
      <c r="MQ43" s="194" t="n"/>
      <c r="MR43" s="194" t="n"/>
      <c r="MT43" s="9">
        <f>C43</f>
        <v/>
      </c>
      <c r="MU43" s="215" t="n">
        <v>136514.8</v>
      </c>
      <c r="MV43" s="188">
        <f>MU44</f>
        <v/>
      </c>
      <c r="MW43" s="9">
        <f>MU43-MV43</f>
        <v/>
      </c>
      <c r="MX43" s="182">
        <f>MW43/MV43</f>
        <v/>
      </c>
      <c r="MY43" s="182" t="n">
        <v>-0.0074</v>
      </c>
      <c r="MZ43" s="182" t="n"/>
      <c r="NA43" s="182" t="n"/>
      <c r="NC43" s="9">
        <f>C43</f>
        <v/>
      </c>
      <c r="ND43" s="215" t="n">
        <v>33491.48</v>
      </c>
      <c r="NE43" s="188">
        <f>ND44</f>
        <v/>
      </c>
      <c r="NF43" s="9">
        <f>ND43-NE43</f>
        <v/>
      </c>
      <c r="NG43" s="182">
        <f>NF43/NE43</f>
        <v/>
      </c>
      <c r="NH43" s="182" t="n">
        <v>-0.008</v>
      </c>
      <c r="NI43" s="182" t="n"/>
      <c r="NJ43" s="182" t="n"/>
      <c r="NK43" s="182" t="n"/>
      <c r="NM43" s="9">
        <f>C43</f>
        <v/>
      </c>
      <c r="NN43" s="215" t="n">
        <v>2625111.08</v>
      </c>
      <c r="NO43" s="9">
        <f>NN44</f>
        <v/>
      </c>
      <c r="NP43" s="197">
        <f>NN43-NO43</f>
        <v/>
      </c>
      <c r="NQ43" s="198">
        <f>NP43/NO43</f>
        <v/>
      </c>
      <c r="NR43" s="182" t="n">
        <v>0.0042</v>
      </c>
      <c r="NS43" s="0" t="n"/>
      <c r="NU43" s="9">
        <f>C43</f>
        <v/>
      </c>
      <c r="NV43" s="215" t="n">
        <v>225176.5</v>
      </c>
      <c r="NW43" s="188">
        <f>NV44</f>
        <v/>
      </c>
      <c r="NX43" s="197">
        <f>NV43-NW43</f>
        <v/>
      </c>
      <c r="NY43" s="198">
        <f>NX43/NW43</f>
        <v/>
      </c>
      <c r="NZ43" s="194" t="n">
        <v>0.0119</v>
      </c>
      <c r="OA43" s="185" t="n"/>
      <c r="OC43" s="9">
        <f>C43</f>
        <v/>
      </c>
      <c r="OD43" s="215" t="n">
        <v>20514.97</v>
      </c>
      <c r="OE43" s="13">
        <f>OD44</f>
        <v/>
      </c>
      <c r="OF43" s="13">
        <f>OD43-OE43</f>
        <v/>
      </c>
      <c r="OG43" s="193">
        <f>OF43/OE43</f>
        <v/>
      </c>
      <c r="OH43" s="182" t="n">
        <v>-0.0011</v>
      </c>
      <c r="OI43" s="182" t="n"/>
      <c r="OK43" s="9">
        <f>C43</f>
        <v/>
      </c>
      <c r="OL43" s="215" t="n">
        <v>17371.65</v>
      </c>
      <c r="OM43" s="13">
        <f>OL44</f>
        <v/>
      </c>
      <c r="ON43" s="13">
        <f>OL43-OM43</f>
        <v/>
      </c>
      <c r="OO43" s="193">
        <f>ON43/OM43</f>
        <v/>
      </c>
      <c r="OP43" s="182" t="n">
        <v>0</v>
      </c>
      <c r="OQ43" s="182" t="n"/>
      <c r="OT43" s="201">
        <f>OK43</f>
        <v/>
      </c>
      <c r="OU43" s="199" t="n">
        <v>157392.4066</v>
      </c>
      <c r="OV43" s="9">
        <f>OU44</f>
        <v/>
      </c>
      <c r="OW43" s="671">
        <f>OU43-OV43</f>
        <v/>
      </c>
      <c r="OX43" s="182">
        <f>OW43/OV43</f>
        <v/>
      </c>
      <c r="OY43" s="0" t="n">
        <v>-0.0146</v>
      </c>
    </row>
    <row r="44" ht="17" customFormat="1" customHeight="1" s="9">
      <c r="A44" s="631" t="n"/>
      <c r="B44" s="631" t="n"/>
      <c r="C44" s="631" t="inlineStr">
        <is>
          <t>2026//9/11</t>
        </is>
      </c>
      <c r="D44" s="215" t="n">
        <v>2339868.77</v>
      </c>
      <c r="E44" s="20">
        <f>D45</f>
        <v/>
      </c>
      <c r="F44" s="20">
        <f>D44-E44</f>
        <v/>
      </c>
      <c r="G44" s="163">
        <f>F44/E44</f>
        <v/>
      </c>
      <c r="H44" s="19" t="n">
        <v>-0.008200000000000001</v>
      </c>
      <c r="I44" s="163" t="n"/>
      <c r="J44" s="163" t="n"/>
      <c r="K44" s="9">
        <f>C44</f>
        <v/>
      </c>
      <c r="L44" s="215" t="n">
        <v>1134784.4</v>
      </c>
      <c r="M44" s="20">
        <f>L45</f>
        <v/>
      </c>
      <c r="N44" s="20">
        <f>L44-M44</f>
        <v/>
      </c>
      <c r="O44" s="163">
        <f>N44/M44</f>
        <v/>
      </c>
      <c r="P44" s="19" t="n">
        <v>-0.008699999999999999</v>
      </c>
      <c r="Q44" s="163" t="n"/>
      <c r="R44" s="20" t="n"/>
      <c r="S44" s="9">
        <f>C44</f>
        <v/>
      </c>
      <c r="T44" s="215" t="n">
        <v>703146.6800000001</v>
      </c>
      <c r="U44" s="20">
        <f>T45</f>
        <v/>
      </c>
      <c r="V44" s="20">
        <f>T44-U44</f>
        <v/>
      </c>
      <c r="W44" s="163">
        <f>V44/U44</f>
        <v/>
      </c>
      <c r="X44" s="19" t="n">
        <v>-0.0116</v>
      </c>
      <c r="Y44" s="163" t="n"/>
      <c r="Z44" s="20" t="n"/>
      <c r="AA44" s="9">
        <f>S44</f>
        <v/>
      </c>
      <c r="AB44" s="215" t="n">
        <v>523216.86</v>
      </c>
      <c r="AC44" s="20">
        <f>AB45</f>
        <v/>
      </c>
      <c r="AD44" s="20">
        <f>AB44-AC44</f>
        <v/>
      </c>
      <c r="AE44" s="163">
        <f>AD44/AC44</f>
        <v/>
      </c>
      <c r="AF44" s="19" t="n">
        <v>-0.0169</v>
      </c>
      <c r="AG44" s="163" t="n"/>
      <c r="AH44" s="20" t="n"/>
      <c r="AI44" s="9">
        <f>C44</f>
        <v/>
      </c>
      <c r="AJ44" s="215" t="n">
        <v>608721.76</v>
      </c>
      <c r="AK44" s="20">
        <f>AJ45</f>
        <v/>
      </c>
      <c r="AL44" s="20">
        <f>AJ44-AK44</f>
        <v/>
      </c>
      <c r="AM44" s="163">
        <f>AL44/AK44</f>
        <v/>
      </c>
      <c r="AN44" s="19" t="n">
        <v>-0.0221</v>
      </c>
      <c r="AO44" s="19" t="n"/>
      <c r="AP44" s="20" t="n"/>
      <c r="AQ44" s="9">
        <f>C44</f>
        <v/>
      </c>
      <c r="AR44" s="242" t="n">
        <v>1968245.4936</v>
      </c>
      <c r="AS44" s="20">
        <f>AR45</f>
        <v/>
      </c>
      <c r="AT44" s="20">
        <f>AR44-AS44</f>
        <v/>
      </c>
      <c r="AU44" s="163">
        <f>AT44/AS44</f>
        <v/>
      </c>
      <c r="AV44" s="19" t="n">
        <v>-0.0051</v>
      </c>
      <c r="AW44" s="19" t="n"/>
      <c r="AX44" s="5" t="n"/>
      <c r="AY44" s="5" t="n"/>
      <c r="AZ44" s="9">
        <f>C44</f>
        <v/>
      </c>
      <c r="BA44" s="242" t="n">
        <v>626241.6676</v>
      </c>
      <c r="BB44" s="24">
        <f>BA45</f>
        <v/>
      </c>
      <c r="BC44" s="5">
        <f>BA44-BB44</f>
        <v/>
      </c>
      <c r="BD44" s="19">
        <f>BC44/BB44</f>
        <v/>
      </c>
      <c r="BE44" s="19" t="n">
        <v>-0.0081</v>
      </c>
      <c r="BF44" s="19" t="n"/>
      <c r="BG44" s="647" t="n"/>
      <c r="BH44" s="9">
        <f>C44</f>
        <v/>
      </c>
      <c r="BI44" s="242" t="n">
        <v>1151626.5525</v>
      </c>
      <c r="BJ44" s="184">
        <f>BI45</f>
        <v/>
      </c>
      <c r="BK44" s="184">
        <f>BI44-BJ44</f>
        <v/>
      </c>
      <c r="BL44" s="190">
        <f>BK44/BJ44</f>
        <v/>
      </c>
      <c r="BM44" s="191" t="n">
        <v>-0.0036</v>
      </c>
      <c r="BN44" s="182" t="n"/>
      <c r="BP44" s="9">
        <f>C44</f>
        <v/>
      </c>
      <c r="BQ44" s="242" t="n">
        <v>1433162.3921</v>
      </c>
      <c r="BR44" s="13">
        <f>BQ45</f>
        <v/>
      </c>
      <c r="BS44" s="13">
        <f>BQ44-BR44</f>
        <v/>
      </c>
      <c r="BT44" s="193">
        <f>BS44/BR44</f>
        <v/>
      </c>
      <c r="BU44" s="182" t="n">
        <v>-0.0167</v>
      </c>
      <c r="BV44" s="182" t="n"/>
      <c r="BX44" s="9">
        <f>C44</f>
        <v/>
      </c>
      <c r="BY44" s="242" t="n">
        <v>1684910.7019</v>
      </c>
      <c r="BZ44" s="13">
        <f>BY45</f>
        <v/>
      </c>
      <c r="CA44" s="13">
        <f>BY44-BZ44</f>
        <v/>
      </c>
      <c r="CB44" s="193">
        <f>CA44/BZ44</f>
        <v/>
      </c>
      <c r="CC44" s="182" t="n">
        <v>-0.0325</v>
      </c>
      <c r="CD44" s="194" t="n"/>
      <c r="CF44" s="9">
        <f>C44</f>
        <v/>
      </c>
      <c r="CG44" s="215" t="n">
        <v>1457503.9</v>
      </c>
      <c r="CH44" s="13">
        <f>CG45</f>
        <v/>
      </c>
      <c r="CI44" s="13">
        <f>CG44-CH44</f>
        <v/>
      </c>
      <c r="CJ44" s="193">
        <f>CI44/CH44</f>
        <v/>
      </c>
      <c r="CK44" s="182" t="n">
        <v>-0.0405</v>
      </c>
      <c r="CL44" s="194" t="n"/>
      <c r="CN44" s="9">
        <f>C44</f>
        <v/>
      </c>
      <c r="CO44" s="215" t="n">
        <v>528646.48</v>
      </c>
      <c r="CP44" s="13">
        <f>CO45</f>
        <v/>
      </c>
      <c r="CQ44" s="13">
        <f>CO44-CP44</f>
        <v/>
      </c>
      <c r="CR44" s="193">
        <f>CQ44/CP44</f>
        <v/>
      </c>
      <c r="CS44" s="194" t="n">
        <v>-0.0413</v>
      </c>
      <c r="CT44" s="194" t="n"/>
      <c r="CV44" s="9">
        <f>C44</f>
        <v/>
      </c>
      <c r="CW44" s="215" t="n">
        <v>646090.4</v>
      </c>
      <c r="CX44" s="13">
        <f>CW45</f>
        <v/>
      </c>
      <c r="CY44" s="13">
        <f>CW44-CX44</f>
        <v/>
      </c>
      <c r="CZ44" s="193">
        <f>CY44/CX44</f>
        <v/>
      </c>
      <c r="DA44" s="182" t="n">
        <v>-0.0307</v>
      </c>
      <c r="DB44" s="182" t="n"/>
      <c r="DC44" s="256" t="n"/>
      <c r="DD44" s="9">
        <f>C44</f>
        <v/>
      </c>
      <c r="DE44" s="242" t="n">
        <v>6121435.9972</v>
      </c>
      <c r="DF44" s="13">
        <f>DE45</f>
        <v/>
      </c>
      <c r="DG44" s="13">
        <f>DE44-DF44</f>
        <v/>
      </c>
      <c r="DH44" s="193">
        <f>DG44/DF44</f>
        <v/>
      </c>
      <c r="DI44" s="182" t="n">
        <v>-0.0195</v>
      </c>
      <c r="DJ44" s="182" t="n"/>
      <c r="DK44" s="0" t="n"/>
      <c r="DL44" s="9">
        <f>C44</f>
        <v/>
      </c>
      <c r="DM44" s="215" t="n">
        <v>2054600.72</v>
      </c>
      <c r="DN44" s="13">
        <f>DM45</f>
        <v/>
      </c>
      <c r="DO44" s="13">
        <f>DM44-DN44</f>
        <v/>
      </c>
      <c r="DP44" s="193">
        <f>DO44/DN44</f>
        <v/>
      </c>
      <c r="DQ44" s="182" t="n">
        <v>-0.0164</v>
      </c>
      <c r="DR44" s="182" t="n"/>
      <c r="DT44" s="9">
        <f>C44</f>
        <v/>
      </c>
      <c r="DU44" s="215" t="n">
        <v>4337818.43</v>
      </c>
      <c r="DV44" s="13">
        <f>DU45</f>
        <v/>
      </c>
      <c r="DW44" s="13">
        <f>DU44-DV44</f>
        <v/>
      </c>
      <c r="DX44" s="193">
        <f>DW44/DV44</f>
        <v/>
      </c>
      <c r="DY44" s="182" t="n">
        <v>-0.0154</v>
      </c>
      <c r="DZ44" s="182" t="n"/>
      <c r="EB44" s="9">
        <f>C44</f>
        <v/>
      </c>
      <c r="EC44" s="215" t="n">
        <v>5607266.82</v>
      </c>
      <c r="ED44" s="13">
        <f>EC45</f>
        <v/>
      </c>
      <c r="EE44" s="13">
        <f>EC44-ED44</f>
        <v/>
      </c>
      <c r="EF44" s="193">
        <f>EE44/ED44</f>
        <v/>
      </c>
      <c r="EG44" s="182" t="n">
        <v>-0.0121</v>
      </c>
      <c r="EH44" s="182" t="n"/>
      <c r="EJ44" s="9">
        <f>C44</f>
        <v/>
      </c>
      <c r="EK44" s="242" t="n">
        <v>1218922.9669</v>
      </c>
      <c r="EL44" s="13">
        <f>EK45</f>
        <v/>
      </c>
      <c r="EM44" s="13">
        <f>EK44-EL44</f>
        <v/>
      </c>
      <c r="EN44" s="193">
        <f>EM44/EL44</f>
        <v/>
      </c>
      <c r="EO44" s="182" t="n">
        <v>-0.0012</v>
      </c>
      <c r="EP44" s="182" t="n"/>
      <c r="ER44" s="9">
        <f>C44</f>
        <v/>
      </c>
      <c r="ES44" s="215" t="n">
        <v>755494.04</v>
      </c>
      <c r="ET44" s="13">
        <f>ES45</f>
        <v/>
      </c>
      <c r="EU44" s="13">
        <f>ES44-ET44</f>
        <v/>
      </c>
      <c r="EV44" s="193">
        <f>EU44/ET44</f>
        <v/>
      </c>
      <c r="EW44" s="182" t="n">
        <v>-0.0019</v>
      </c>
      <c r="EX44" s="182" t="n"/>
      <c r="EZ44" s="9">
        <f>C44</f>
        <v/>
      </c>
      <c r="FA44" s="215" t="n">
        <v>672808</v>
      </c>
      <c r="FB44" s="13">
        <f>FA45</f>
        <v/>
      </c>
      <c r="FC44" s="13">
        <f>FA44-FB44</f>
        <v/>
      </c>
      <c r="FD44" s="193">
        <f>FC44/FB44</f>
        <v/>
      </c>
      <c r="FE44" s="182" t="n">
        <v>-0.011</v>
      </c>
      <c r="FF44" s="182" t="n"/>
      <c r="FG44" s="182" t="n"/>
      <c r="FH44" s="9">
        <f>C44</f>
        <v/>
      </c>
      <c r="FI44" s="242" t="n">
        <v>933295.3365</v>
      </c>
      <c r="FJ44" s="13">
        <f>FI45</f>
        <v/>
      </c>
      <c r="FK44" s="13">
        <f>FI44-FJ44</f>
        <v/>
      </c>
      <c r="FL44" s="193">
        <f>FK44/FJ44</f>
        <v/>
      </c>
      <c r="FM44" s="194" t="n">
        <v>-0.0126</v>
      </c>
      <c r="FN44" s="194" t="n"/>
      <c r="FP44" s="9">
        <f>C44</f>
        <v/>
      </c>
      <c r="FQ44" s="215" t="n">
        <v>1856518.73</v>
      </c>
      <c r="FR44" s="13">
        <f>FQ45</f>
        <v/>
      </c>
      <c r="FS44" s="13">
        <f>FQ44-FR44</f>
        <v/>
      </c>
      <c r="FT44" s="193">
        <f>FS44/FR44</f>
        <v/>
      </c>
      <c r="FU44" s="182" t="n">
        <v>-0.0173</v>
      </c>
      <c r="FV44" s="182" t="n"/>
      <c r="FX44" s="9">
        <f>C44</f>
        <v/>
      </c>
      <c r="FY44" s="215" t="n">
        <v>7203082.05</v>
      </c>
      <c r="FZ44" s="13">
        <f>FY45</f>
        <v/>
      </c>
      <c r="GA44" s="13">
        <f>FY44-FZ44</f>
        <v/>
      </c>
      <c r="GB44" s="193">
        <f>GA44/FZ44</f>
        <v/>
      </c>
      <c r="GC44" s="182" t="n">
        <v>-0.018</v>
      </c>
      <c r="GD44" s="182" t="n"/>
      <c r="GF44" s="9">
        <f>C44</f>
        <v/>
      </c>
      <c r="GG44" s="215" t="n">
        <v>4021869.49</v>
      </c>
      <c r="GH44" s="13">
        <f>GG45</f>
        <v/>
      </c>
      <c r="GI44" s="13">
        <f>GG44-GH44</f>
        <v/>
      </c>
      <c r="GJ44" s="193">
        <f>GI44/GH44</f>
        <v/>
      </c>
      <c r="GK44" s="182" t="n">
        <v>-0.0108</v>
      </c>
      <c r="GL44" s="182" t="n"/>
      <c r="GN44" s="9">
        <f>C44</f>
        <v/>
      </c>
      <c r="GO44" s="242" t="n">
        <v>1972018.1217</v>
      </c>
      <c r="GP44" s="13">
        <f>GO45</f>
        <v/>
      </c>
      <c r="GQ44" s="13">
        <f>GO44-GP44</f>
        <v/>
      </c>
      <c r="GR44" s="193">
        <f>GQ44/GP44</f>
        <v/>
      </c>
      <c r="GS44" s="182" t="n">
        <v>-0.0219</v>
      </c>
      <c r="GT44" s="182" t="n"/>
      <c r="GV44" s="9">
        <f>C44</f>
        <v/>
      </c>
      <c r="GW44" s="215" t="n">
        <v>595749.4</v>
      </c>
      <c r="GX44" s="13">
        <f>GW45</f>
        <v/>
      </c>
      <c r="GY44" s="13">
        <f>GW44-GX44</f>
        <v/>
      </c>
      <c r="GZ44" s="193">
        <f>GY44/GX44</f>
        <v/>
      </c>
      <c r="HA44" s="182" t="n">
        <v>-0.0186</v>
      </c>
      <c r="HB44" s="182" t="n"/>
      <c r="HD44" s="9">
        <f>C44</f>
        <v/>
      </c>
      <c r="HE44" s="242" t="n">
        <v>782364.6746</v>
      </c>
      <c r="HF44" s="13">
        <f>HE45</f>
        <v/>
      </c>
      <c r="HG44" s="13">
        <f>HE44-HF44</f>
        <v/>
      </c>
      <c r="HH44" s="193">
        <f>HG44/HF44</f>
        <v/>
      </c>
      <c r="HI44" s="194" t="n">
        <v>-0.0137</v>
      </c>
      <c r="HJ44" s="182" t="n"/>
      <c r="HL44" s="9">
        <f>C44</f>
        <v/>
      </c>
      <c r="HM44" s="215" t="n">
        <v>115154.25</v>
      </c>
      <c r="HN44" s="13">
        <f>HM45</f>
        <v/>
      </c>
      <c r="HO44" s="13">
        <f>HM44-HN44</f>
        <v/>
      </c>
      <c r="HP44" s="193">
        <f>HO44/HN44</f>
        <v/>
      </c>
      <c r="HQ44" s="182" t="n">
        <v>-0.0214</v>
      </c>
      <c r="HR44" s="182" t="n"/>
      <c r="HT44" s="9">
        <f>C44</f>
        <v/>
      </c>
      <c r="HU44" s="242" t="n">
        <v>128968.8265</v>
      </c>
      <c r="HV44" s="13">
        <f>HU45</f>
        <v/>
      </c>
      <c r="HW44" s="13">
        <f>HU44-HV44</f>
        <v/>
      </c>
      <c r="HX44" s="193">
        <f>HW44/HV44</f>
        <v/>
      </c>
      <c r="HY44" s="182" t="n">
        <v>-0.0206</v>
      </c>
      <c r="HZ44" s="182" t="n"/>
      <c r="IB44" s="9">
        <f>C44</f>
        <v/>
      </c>
      <c r="IC44" s="215" t="n">
        <v>322809.79</v>
      </c>
      <c r="ID44" s="13">
        <f>IC45</f>
        <v/>
      </c>
      <c r="IE44" s="13">
        <f>IC44-ID44</f>
        <v/>
      </c>
      <c r="IF44" s="193">
        <f>IE44/ID44</f>
        <v/>
      </c>
      <c r="IG44" s="194" t="n">
        <v>-0.0303</v>
      </c>
      <c r="IH44" s="182" t="n"/>
      <c r="IJ44" s="9">
        <f>C44</f>
        <v/>
      </c>
      <c r="IK44" s="242" t="n">
        <v>900476.29</v>
      </c>
      <c r="IL44" s="13">
        <f>IK45</f>
        <v/>
      </c>
      <c r="IM44" s="13">
        <f>IK44-IL44</f>
        <v/>
      </c>
      <c r="IN44" s="193">
        <f>IM44/IL44</f>
        <v/>
      </c>
      <c r="IO44" s="182" t="n">
        <v>-0.0075</v>
      </c>
      <c r="IP44" s="182" t="n"/>
      <c r="IR44" s="9">
        <f>C44</f>
        <v/>
      </c>
      <c r="IS44" s="215" t="n">
        <v>152089</v>
      </c>
      <c r="IT44" s="13">
        <f>IS45</f>
        <v/>
      </c>
      <c r="IU44" s="13">
        <f>IS44-IT44</f>
        <v/>
      </c>
      <c r="IV44" s="193">
        <f>IU44/IT44</f>
        <v/>
      </c>
      <c r="IW44" s="182" t="n">
        <v>-0.008699999999999999</v>
      </c>
      <c r="IX44" s="182" t="n"/>
      <c r="IZ44" s="9">
        <f>C44</f>
        <v/>
      </c>
      <c r="JA44" s="215" t="n">
        <v>5668229.15</v>
      </c>
      <c r="JB44" s="13">
        <f>JA45</f>
        <v/>
      </c>
      <c r="JC44" s="13">
        <f>JA44-JB44</f>
        <v/>
      </c>
      <c r="JD44" s="193">
        <f>JC44/JB44</f>
        <v/>
      </c>
      <c r="JE44" s="182" t="n">
        <v>-0.0302</v>
      </c>
      <c r="JF44" s="182" t="n"/>
      <c r="JH44" s="9">
        <f>C44</f>
        <v/>
      </c>
      <c r="JI44" s="215" t="n">
        <v>1143267.99</v>
      </c>
      <c r="JJ44" s="13">
        <f>JI45</f>
        <v/>
      </c>
      <c r="JK44" s="13">
        <f>JI44-JJ44</f>
        <v/>
      </c>
      <c r="JL44" s="193">
        <f>JK44/JJ44</f>
        <v/>
      </c>
      <c r="JM44" s="182" t="n">
        <v>-0.007</v>
      </c>
      <c r="JN44" s="182" t="n"/>
      <c r="JO44" s="182" t="n"/>
      <c r="JP44" s="9">
        <f>C44</f>
        <v/>
      </c>
      <c r="JQ44" s="242" t="n">
        <v>1040690.4148</v>
      </c>
      <c r="JR44" s="13">
        <f>JQ45</f>
        <v/>
      </c>
      <c r="JS44" s="13">
        <f>JQ44-JR44</f>
        <v/>
      </c>
      <c r="JT44" s="193">
        <f>JS44/JR44</f>
        <v/>
      </c>
      <c r="JU44" s="182" t="n">
        <v>-0.037</v>
      </c>
      <c r="JV44" s="182" t="n"/>
      <c r="JW44" s="194" t="n"/>
      <c r="JX44" s="9">
        <f>C44</f>
        <v/>
      </c>
      <c r="JY44" s="215" t="n">
        <v>972198.8</v>
      </c>
      <c r="JZ44" s="13">
        <f>JY45</f>
        <v/>
      </c>
      <c r="KA44" s="13">
        <f>JY44-JZ44</f>
        <v/>
      </c>
      <c r="KB44" s="193">
        <f>KA44/JZ44</f>
        <v/>
      </c>
      <c r="KC44" s="182" t="n">
        <v>-0.0195</v>
      </c>
      <c r="KD44" s="182" t="n"/>
      <c r="KE44" s="194" t="n"/>
      <c r="KF44" s="9">
        <f>C44</f>
        <v/>
      </c>
      <c r="KG44" s="242" t="n">
        <v>570155.9219</v>
      </c>
      <c r="KH44" s="13">
        <f>KG45</f>
        <v/>
      </c>
      <c r="KI44" s="13">
        <f>KG44-KH44</f>
        <v/>
      </c>
      <c r="KJ44" s="193">
        <f>KI44/KH44</f>
        <v/>
      </c>
      <c r="KK44" s="194" t="n">
        <v>-0.0061</v>
      </c>
      <c r="KL44" s="194" t="n"/>
      <c r="KN44" s="9">
        <f>C44</f>
        <v/>
      </c>
      <c r="KO44" s="215" t="n">
        <v>7146475.95</v>
      </c>
      <c r="KP44" s="13">
        <f>KO45</f>
        <v/>
      </c>
      <c r="KQ44" s="13">
        <f>KO44-KP44</f>
        <v/>
      </c>
      <c r="KR44" s="193">
        <f>KQ44/KP44</f>
        <v/>
      </c>
      <c r="KS44" s="182" t="n">
        <v>-0.0036</v>
      </c>
      <c r="KT44" s="182" t="n"/>
      <c r="KV44" s="9">
        <f>C44</f>
        <v/>
      </c>
      <c r="KW44" s="242" t="n">
        <v>1039272.9726</v>
      </c>
      <c r="KX44" s="13">
        <f>KW45</f>
        <v/>
      </c>
      <c r="KY44" s="13">
        <f>KW44-KX44</f>
        <v/>
      </c>
      <c r="KZ44" s="193">
        <f>KY44/KX44</f>
        <v/>
      </c>
      <c r="LA44" s="194" t="n">
        <v>-0.0236</v>
      </c>
      <c r="LB44" s="182" t="n"/>
      <c r="LD44" s="9">
        <f>C44</f>
        <v/>
      </c>
      <c r="LE44" s="215" t="n">
        <v>377957.7</v>
      </c>
      <c r="LF44" s="13">
        <f>LE45</f>
        <v/>
      </c>
      <c r="LG44" s="13">
        <f>LE44-LF44</f>
        <v/>
      </c>
      <c r="LH44" s="193">
        <f>LG44/LF44</f>
        <v/>
      </c>
      <c r="LI44" s="182" t="n">
        <v>-0.0209</v>
      </c>
      <c r="LJ44" s="182" t="n"/>
      <c r="LL44" s="9">
        <f>C44</f>
        <v/>
      </c>
      <c r="LM44" s="215" t="n">
        <v>3212215.02</v>
      </c>
      <c r="LN44" s="13">
        <f>LM45</f>
        <v/>
      </c>
      <c r="LO44" s="13">
        <f>LM44-LN44</f>
        <v/>
      </c>
      <c r="LP44" s="193">
        <f>LO44/LN44</f>
        <v/>
      </c>
      <c r="LQ44" s="182" t="n">
        <v>-0.0144</v>
      </c>
      <c r="LR44" s="182" t="n"/>
      <c r="LT44" s="9">
        <f>C44</f>
        <v/>
      </c>
      <c r="LU44" s="242" t="n">
        <v>2306862.904</v>
      </c>
      <c r="LV44" s="13">
        <f>LU45</f>
        <v/>
      </c>
      <c r="LW44" s="13">
        <f>LU44-LV44</f>
        <v/>
      </c>
      <c r="LX44" s="193">
        <f>LW44/LV44</f>
        <v/>
      </c>
      <c r="LY44" s="182" t="n">
        <v>-0.0135</v>
      </c>
      <c r="LZ44" s="182" t="n"/>
      <c r="MB44" s="9">
        <f>C44</f>
        <v/>
      </c>
      <c r="MC44" s="215" t="n">
        <v>828967.6899999999</v>
      </c>
      <c r="MD44" s="13">
        <f>MC45</f>
        <v/>
      </c>
      <c r="ME44" s="13">
        <f>MC44-MD44</f>
        <v/>
      </c>
      <c r="MF44" s="193">
        <f>ME44/MD44</f>
        <v/>
      </c>
      <c r="MG44" s="182" t="n">
        <v>-0.0205</v>
      </c>
      <c r="MH44" s="182" t="n"/>
      <c r="MI44" s="9" t="n"/>
      <c r="MJ44" s="9" t="n"/>
      <c r="MK44" s="9">
        <f>C44</f>
        <v/>
      </c>
      <c r="ML44" s="242" t="n">
        <v>160785.5354</v>
      </c>
      <c r="MM44" s="13">
        <f>ML45</f>
        <v/>
      </c>
      <c r="MN44" s="13">
        <f>ML44-MM44</f>
        <v/>
      </c>
      <c r="MO44" s="193">
        <f>MN44/MM44</f>
        <v/>
      </c>
      <c r="MP44" s="182" t="n">
        <v>-0.0117</v>
      </c>
      <c r="MQ44" s="194" t="n"/>
      <c r="MR44" s="194" t="n"/>
      <c r="MT44" s="9">
        <f>C44</f>
        <v/>
      </c>
      <c r="MU44" s="215" t="n">
        <v>136514.8</v>
      </c>
      <c r="MV44" s="188">
        <f>MU45</f>
        <v/>
      </c>
      <c r="MW44" s="9">
        <f>MU44-MV44</f>
        <v/>
      </c>
      <c r="MX44" s="182">
        <f>MW44/MV44</f>
        <v/>
      </c>
      <c r="MY44" s="182" t="n">
        <v>-0.027</v>
      </c>
      <c r="MZ44" s="182" t="n"/>
      <c r="NA44" s="182" t="n"/>
      <c r="NC44" s="9">
        <f>C44</f>
        <v/>
      </c>
      <c r="ND44" s="215" t="n">
        <v>33491.48</v>
      </c>
      <c r="NE44" s="188">
        <f>ND45</f>
        <v/>
      </c>
      <c r="NF44" s="9">
        <f>ND44-NE44</f>
        <v/>
      </c>
      <c r="NG44" s="182">
        <f>NF44/NE44</f>
        <v/>
      </c>
      <c r="NH44" s="182" t="n">
        <v>-0.0311</v>
      </c>
      <c r="NI44" s="182" t="n"/>
      <c r="NJ44" s="182" t="n"/>
      <c r="NK44" s="182" t="n"/>
      <c r="NM44" s="9">
        <f>C44</f>
        <v/>
      </c>
      <c r="NN44" s="215" t="n">
        <v>2629711.08</v>
      </c>
      <c r="NO44" s="9">
        <f>NN45</f>
        <v/>
      </c>
      <c r="NP44" s="197">
        <f>NN44-NO44</f>
        <v/>
      </c>
      <c r="NQ44" s="198">
        <f>NP44/NO44</f>
        <v/>
      </c>
      <c r="NR44" s="182" t="n">
        <v>-0.0091</v>
      </c>
      <c r="NS44" s="0" t="n"/>
      <c r="NU44" s="9">
        <f>C44</f>
        <v/>
      </c>
      <c r="NV44" s="215" t="n">
        <v>228376.5</v>
      </c>
      <c r="NW44" s="188">
        <f>NV45</f>
        <v/>
      </c>
      <c r="NX44" s="197">
        <f>NV44-NW44</f>
        <v/>
      </c>
      <c r="NY44" s="198">
        <f>NX44/NW44</f>
        <v/>
      </c>
      <c r="NZ44" s="194" t="n">
        <v>-0.0149</v>
      </c>
      <c r="OA44" s="185" t="n"/>
      <c r="OC44" s="9">
        <f>C44</f>
        <v/>
      </c>
      <c r="OD44" s="215" t="n">
        <v>20284.97</v>
      </c>
      <c r="OE44" s="13">
        <f>OD45</f>
        <v/>
      </c>
      <c r="OF44" s="13">
        <f>OD44-OE44</f>
        <v/>
      </c>
      <c r="OG44" s="193">
        <f>OF44/OE44</f>
        <v/>
      </c>
      <c r="OH44" s="182" t="n">
        <v>-0.0004</v>
      </c>
      <c r="OI44" s="182" t="n"/>
      <c r="OK44" s="9">
        <f>C44</f>
        <v/>
      </c>
      <c r="OL44" s="215" t="n">
        <v>17111.65</v>
      </c>
      <c r="OM44" s="13">
        <f>OL45</f>
        <v/>
      </c>
      <c r="ON44" s="13">
        <f>OL44-OM44</f>
        <v/>
      </c>
      <c r="OO44" s="193">
        <f>ON44/OM44</f>
        <v/>
      </c>
      <c r="OP44" s="182" t="n">
        <v>-0.0003</v>
      </c>
      <c r="OQ44" s="182" t="n"/>
      <c r="OT44" s="201">
        <f>OK44</f>
        <v/>
      </c>
      <c r="OU44" s="199" t="n">
        <v>157272.4066</v>
      </c>
      <c r="OV44" s="9">
        <f>OU45</f>
        <v/>
      </c>
      <c r="OW44" s="671">
        <f>OU44-OV44</f>
        <v/>
      </c>
      <c r="OX44" s="182">
        <f>OW44/OV44</f>
        <v/>
      </c>
      <c r="OY44" s="0" t="n">
        <v>0.0091</v>
      </c>
    </row>
    <row r="45" ht="17" customFormat="1" customHeight="1" s="11">
      <c r="A45" s="652" t="n"/>
      <c r="B45" s="652" t="n"/>
      <c r="C45" s="652" t="inlineStr">
        <is>
          <t>2026//9/10</t>
        </is>
      </c>
      <c r="D45" s="80" t="n">
        <v>2319078.77</v>
      </c>
      <c r="E45" s="80">
        <f>D46</f>
        <v/>
      </c>
      <c r="F45" s="80">
        <f>D45-E45</f>
        <v/>
      </c>
      <c r="G45" s="203">
        <f>F45/E45</f>
        <v/>
      </c>
      <c r="H45" s="79" t="n">
        <v>-0.0043</v>
      </c>
      <c r="I45" s="203" t="n"/>
      <c r="J45" s="203" t="n"/>
      <c r="K45" s="11">
        <f>C45</f>
        <v/>
      </c>
      <c r="L45" s="80" t="n">
        <v>1137754.4</v>
      </c>
      <c r="M45" s="80">
        <f>L46</f>
        <v/>
      </c>
      <c r="N45" s="80">
        <f>L45-M45</f>
        <v/>
      </c>
      <c r="O45" s="203">
        <f>N45/M45</f>
        <v/>
      </c>
      <c r="P45" s="79" t="n">
        <v>-0.004</v>
      </c>
      <c r="Q45" s="203" t="n"/>
      <c r="R45" s="80" t="n"/>
      <c r="S45" s="11">
        <f>C45</f>
        <v/>
      </c>
      <c r="T45" s="80" t="n">
        <v>671826.6800000001</v>
      </c>
      <c r="U45" s="80">
        <f>T46</f>
        <v/>
      </c>
      <c r="V45" s="80">
        <f>T45-U45</f>
        <v/>
      </c>
      <c r="W45" s="203">
        <f>V45/U45</f>
        <v/>
      </c>
      <c r="X45" s="79" t="n">
        <v>-0.0017</v>
      </c>
      <c r="Y45" s="203" t="n"/>
      <c r="Z45" s="80" t="n"/>
      <c r="AA45" s="11">
        <f>S45</f>
        <v/>
      </c>
      <c r="AB45" s="80" t="n">
        <v>544296.86</v>
      </c>
      <c r="AC45" s="80">
        <f>AB46</f>
        <v/>
      </c>
      <c r="AD45" s="80">
        <f>AB45-AC45</f>
        <v/>
      </c>
      <c r="AE45" s="203">
        <f>AD45/AC45</f>
        <v/>
      </c>
      <c r="AF45" s="79" t="n">
        <v>-0.0055</v>
      </c>
      <c r="AG45" s="203" t="n"/>
      <c r="AH45" s="80" t="n"/>
      <c r="AI45" s="11">
        <f>C45</f>
        <v/>
      </c>
      <c r="AJ45" s="80" t="n">
        <v>624521.76</v>
      </c>
      <c r="AK45" s="80">
        <f>AJ46</f>
        <v/>
      </c>
      <c r="AL45" s="80">
        <f>AJ45-AK45</f>
        <v/>
      </c>
      <c r="AM45" s="203">
        <f>AL45/AK45</f>
        <v/>
      </c>
      <c r="AN45" s="79" t="n">
        <v>-0.0061</v>
      </c>
      <c r="AO45" s="79" t="n"/>
      <c r="AP45" s="80" t="n"/>
      <c r="AQ45" s="11">
        <f>C45</f>
        <v/>
      </c>
      <c r="AR45" s="651" t="n">
        <v>1944845.4936</v>
      </c>
      <c r="AS45" s="80">
        <f>AR46</f>
        <v/>
      </c>
      <c r="AT45" s="80">
        <f>AR45-AS45</f>
        <v/>
      </c>
      <c r="AU45" s="203">
        <f>AT45/AS45</f>
        <v/>
      </c>
      <c r="AV45" s="79" t="n">
        <v>-0.0044</v>
      </c>
      <c r="AW45" s="79" t="n"/>
      <c r="AX45" s="4" t="n"/>
      <c r="AY45" s="4" t="n"/>
      <c r="AZ45" s="11">
        <f>C45</f>
        <v/>
      </c>
      <c r="BA45" s="257" t="n">
        <v>624351.6676</v>
      </c>
      <c r="BB45" s="204">
        <f>BA46</f>
        <v/>
      </c>
      <c r="BC45" s="4">
        <f>BA45-BB45</f>
        <v/>
      </c>
      <c r="BD45" s="79">
        <f>BC45/BB45</f>
        <v/>
      </c>
      <c r="BE45" s="79" t="n">
        <v>-0.0043</v>
      </c>
      <c r="BF45" s="79" t="n"/>
      <c r="BG45" s="648" t="n"/>
      <c r="BH45" s="11">
        <f>C45</f>
        <v/>
      </c>
      <c r="BI45" s="258" t="n">
        <v>1154326.5525</v>
      </c>
      <c r="BJ45" s="184">
        <f>BI46</f>
        <v/>
      </c>
      <c r="BK45" s="184">
        <f>BI45-BJ45</f>
        <v/>
      </c>
      <c r="BL45" s="190">
        <f>BK45/BJ45</f>
        <v/>
      </c>
      <c r="BM45" s="208" t="n">
        <v>-0.0185</v>
      </c>
      <c r="BN45" s="209" t="n"/>
      <c r="BP45" s="11">
        <f>C45</f>
        <v/>
      </c>
      <c r="BQ45" s="673" t="n">
        <v>1426262.3921</v>
      </c>
      <c r="BR45" s="13">
        <f>BQ46</f>
        <v/>
      </c>
      <c r="BS45" s="13">
        <f>BQ45-BR45</f>
        <v/>
      </c>
      <c r="BT45" s="193">
        <f>BS45/BR45</f>
        <v/>
      </c>
      <c r="BU45" s="209" t="n">
        <v>-0.0105</v>
      </c>
      <c r="BV45" s="209" t="n"/>
      <c r="BX45" s="11">
        <f>C45</f>
        <v/>
      </c>
      <c r="BY45" s="259" t="n">
        <v>1711610.7019</v>
      </c>
      <c r="BZ45" s="13">
        <f>BY46</f>
        <v/>
      </c>
      <c r="CA45" s="13">
        <f>BY45-BZ45</f>
        <v/>
      </c>
      <c r="CB45" s="193">
        <f>CA45/BZ45</f>
        <v/>
      </c>
      <c r="CC45" s="209" t="n">
        <v>-0.0208</v>
      </c>
      <c r="CD45" s="214" t="n"/>
      <c r="CF45" s="11">
        <f>C45</f>
        <v/>
      </c>
      <c r="CG45" s="213" t="n">
        <v>1445153.9</v>
      </c>
      <c r="CH45" s="211">
        <f>CG46</f>
        <v/>
      </c>
      <c r="CI45" s="211">
        <f>CG45-CH45</f>
        <v/>
      </c>
      <c r="CJ45" s="212">
        <f>CI45/CH45</f>
        <v/>
      </c>
      <c r="CK45" s="209" t="n">
        <v>-0.0135</v>
      </c>
      <c r="CL45" s="214" t="n"/>
      <c r="CN45" s="11">
        <f>C45</f>
        <v/>
      </c>
      <c r="CO45" s="213" t="n">
        <v>526246.48</v>
      </c>
      <c r="CP45" s="211">
        <f>CO46</f>
        <v/>
      </c>
      <c r="CQ45" s="211">
        <f>CO45-CP45</f>
        <v/>
      </c>
      <c r="CR45" s="212">
        <f>CQ45/CP45</f>
        <v/>
      </c>
      <c r="CS45" s="214" t="n">
        <v>-0.0117</v>
      </c>
      <c r="CT45" s="214" t="n"/>
      <c r="CV45" s="11">
        <f>C45</f>
        <v/>
      </c>
      <c r="CW45" s="213" t="n">
        <v>632690.4</v>
      </c>
      <c r="CX45" s="211">
        <f>CW46</f>
        <v/>
      </c>
      <c r="CY45" s="211">
        <f>CW45-CX45</f>
        <v/>
      </c>
      <c r="CZ45" s="212">
        <f>CY45/CX45</f>
        <v/>
      </c>
      <c r="DA45" s="209" t="n">
        <v>-0.014</v>
      </c>
      <c r="DB45" s="209" t="n"/>
      <c r="DC45" s="260" t="n"/>
      <c r="DD45" s="11">
        <f>C45</f>
        <v/>
      </c>
      <c r="DE45" s="259" t="n">
        <v>6143035.9972</v>
      </c>
      <c r="DF45" s="211">
        <f>DE46</f>
        <v/>
      </c>
      <c r="DG45" s="211">
        <f>DE45-DF45</f>
        <v/>
      </c>
      <c r="DH45" s="212">
        <f>DG45/DF45</f>
        <v/>
      </c>
      <c r="DI45" s="209" t="n">
        <v>0</v>
      </c>
      <c r="DJ45" s="209" t="n"/>
      <c r="DK45" s="0" t="n"/>
      <c r="DL45" s="11">
        <f>C45</f>
        <v/>
      </c>
      <c r="DM45" s="215" t="n">
        <v>2040600.72</v>
      </c>
      <c r="DN45" s="211">
        <f>DM46</f>
        <v/>
      </c>
      <c r="DO45" s="211">
        <f>DM45-DN45</f>
        <v/>
      </c>
      <c r="DP45" s="212">
        <f>DO45/DN45</f>
        <v/>
      </c>
      <c r="DQ45" s="209" t="n">
        <v>-0.0071</v>
      </c>
      <c r="DR45" s="209" t="n"/>
      <c r="DT45" s="11">
        <f>C45</f>
        <v/>
      </c>
      <c r="DU45" s="215" t="n">
        <v>4332418.43</v>
      </c>
      <c r="DV45" s="211">
        <f>DU46</f>
        <v/>
      </c>
      <c r="DW45" s="211">
        <f>DU45-DV45</f>
        <v/>
      </c>
      <c r="DX45" s="212">
        <f>DW45/DV45</f>
        <v/>
      </c>
      <c r="DY45" s="209" t="n">
        <v>-0.0072</v>
      </c>
      <c r="DZ45" s="209" t="n"/>
      <c r="EB45" s="11">
        <f>C45</f>
        <v/>
      </c>
      <c r="EC45" s="215" t="n">
        <v>5475866.82</v>
      </c>
      <c r="ED45" s="211">
        <f>EC46</f>
        <v/>
      </c>
      <c r="EE45" s="211">
        <f>EC45-ED45</f>
        <v/>
      </c>
      <c r="EF45" s="212">
        <f>EE45/ED45</f>
        <v/>
      </c>
      <c r="EG45" s="209" t="n">
        <v>-0.0072</v>
      </c>
      <c r="EH45" s="209" t="n"/>
      <c r="EJ45" s="11">
        <f>C45</f>
        <v/>
      </c>
      <c r="EK45" s="259" t="n">
        <v>1216722.9669</v>
      </c>
      <c r="EL45" s="211">
        <f>EK46</f>
        <v/>
      </c>
      <c r="EM45" s="211">
        <f>EK45-EL45</f>
        <v/>
      </c>
      <c r="EN45" s="212">
        <f>EM45/EL45</f>
        <v/>
      </c>
      <c r="EO45" s="209" t="n">
        <v>-0.0122</v>
      </c>
      <c r="EP45" s="209" t="n"/>
      <c r="ER45" s="11">
        <f>C45</f>
        <v/>
      </c>
      <c r="ES45" s="215" t="n">
        <v>753494.04</v>
      </c>
      <c r="ET45" s="211">
        <f>ES46</f>
        <v/>
      </c>
      <c r="EU45" s="211">
        <f>ES45-ET45</f>
        <v/>
      </c>
      <c r="EV45" s="212">
        <f>EU45/ET45</f>
        <v/>
      </c>
      <c r="EW45" s="209" t="n">
        <v>-0.012</v>
      </c>
      <c r="EX45" s="209" t="n"/>
      <c r="EZ45" s="11">
        <f>C45</f>
        <v/>
      </c>
      <c r="FA45" s="215" t="n">
        <v>672108</v>
      </c>
      <c r="FB45" s="211">
        <f>FA46</f>
        <v/>
      </c>
      <c r="FC45" s="211">
        <f>FA45-FB45</f>
        <v/>
      </c>
      <c r="FD45" s="212">
        <f>FC45/FB45</f>
        <v/>
      </c>
      <c r="FE45" s="209" t="n">
        <v>0</v>
      </c>
      <c r="FF45" s="209" t="n"/>
      <c r="FH45" s="11">
        <f>C45</f>
        <v/>
      </c>
      <c r="FI45" s="673" t="n">
        <v>936695.3365</v>
      </c>
      <c r="FJ45" s="211">
        <f>FI46</f>
        <v/>
      </c>
      <c r="FK45" s="211">
        <f>FI45-FJ45</f>
        <v/>
      </c>
      <c r="FL45" s="212">
        <f>FK45/FJ45</f>
        <v/>
      </c>
      <c r="FM45" s="214" t="n">
        <v>-0.0037</v>
      </c>
      <c r="FN45" s="214" t="n"/>
      <c r="FP45" s="11">
        <f>C45</f>
        <v/>
      </c>
      <c r="FQ45" s="215" t="n">
        <v>1846018.73</v>
      </c>
      <c r="FR45" s="211">
        <f>FQ46</f>
        <v/>
      </c>
      <c r="FS45" s="211">
        <f>FQ45-FR45</f>
        <v/>
      </c>
      <c r="FT45" s="212">
        <f>FS45/FR45</f>
        <v/>
      </c>
      <c r="FU45" s="209" t="n">
        <v>-0.017</v>
      </c>
      <c r="FV45" s="209" t="n"/>
      <c r="FX45" s="11">
        <f>C45</f>
        <v/>
      </c>
      <c r="FY45" s="215" t="n">
        <v>7185282.05</v>
      </c>
      <c r="FZ45" s="211">
        <f>FY46</f>
        <v/>
      </c>
      <c r="GA45" s="211">
        <f>FY45-FZ45</f>
        <v/>
      </c>
      <c r="GB45" s="212">
        <f>GA45/FZ45</f>
        <v/>
      </c>
      <c r="GC45" s="209" t="n">
        <v>-0.0119</v>
      </c>
      <c r="GD45" s="209" t="n"/>
      <c r="GF45" s="11">
        <f>C45</f>
        <v/>
      </c>
      <c r="GG45" s="215" t="n">
        <v>4013169.49</v>
      </c>
      <c r="GH45" s="211">
        <f>GG46</f>
        <v/>
      </c>
      <c r="GI45" s="211">
        <f>GG45-GH45</f>
        <v/>
      </c>
      <c r="GJ45" s="212">
        <f>GI45/GH45</f>
        <v/>
      </c>
      <c r="GK45" s="209" t="n">
        <v>-0.0134</v>
      </c>
      <c r="GL45" s="209" t="n"/>
      <c r="GN45" s="11">
        <f>C45</f>
        <v/>
      </c>
      <c r="GO45" s="259" t="n">
        <v>2007538.1217</v>
      </c>
      <c r="GP45" s="211">
        <f>GO46</f>
        <v/>
      </c>
      <c r="GQ45" s="211">
        <f>GO45-GP45</f>
        <v/>
      </c>
      <c r="GR45" s="212">
        <f>GQ45/GP45</f>
        <v/>
      </c>
      <c r="GS45" s="209" t="n">
        <v>-0.0191</v>
      </c>
      <c r="GT45" s="209" t="n"/>
      <c r="GV45" s="11">
        <f>C45</f>
        <v/>
      </c>
      <c r="GW45" s="215" t="n">
        <v>598149.4</v>
      </c>
      <c r="GX45" s="211">
        <f>GW46</f>
        <v/>
      </c>
      <c r="GY45" s="211">
        <f>GW45-GX45</f>
        <v/>
      </c>
      <c r="GZ45" s="212">
        <f>GY45/GX45</f>
        <v/>
      </c>
      <c r="HA45" s="209" t="n">
        <v>-0.011</v>
      </c>
      <c r="HB45" s="209" t="n"/>
      <c r="HD45" s="11">
        <f>C45</f>
        <v/>
      </c>
      <c r="HE45" s="259" t="n">
        <v>784864.6746</v>
      </c>
      <c r="HF45" s="211">
        <f>HE46</f>
        <v/>
      </c>
      <c r="HG45" s="211">
        <f>HE45-HF45</f>
        <v/>
      </c>
      <c r="HH45" s="212">
        <f>HG45/HF45</f>
        <v/>
      </c>
      <c r="HI45" s="214" t="n">
        <v>-0.0146</v>
      </c>
      <c r="HJ45" s="209" t="n"/>
      <c r="HL45" s="11">
        <f>C45</f>
        <v/>
      </c>
      <c r="HM45" s="215" t="n">
        <v>115554.25</v>
      </c>
      <c r="HN45" s="211">
        <f>HM46</f>
        <v/>
      </c>
      <c r="HO45" s="211">
        <f>HM45-HN45</f>
        <v/>
      </c>
      <c r="HP45" s="212">
        <f>HO45/HN45</f>
        <v/>
      </c>
      <c r="HQ45" s="209" t="n">
        <v>-0.0009</v>
      </c>
      <c r="HR45" s="209" t="n"/>
      <c r="HT45" s="11">
        <f>C45</f>
        <v/>
      </c>
      <c r="HU45" s="259" t="n">
        <v>131068.8265</v>
      </c>
      <c r="HV45" s="211">
        <f>HU46</f>
        <v/>
      </c>
      <c r="HW45" s="211">
        <f>HU45-HV45</f>
        <v/>
      </c>
      <c r="HX45" s="212">
        <f>HW45/HV45</f>
        <v/>
      </c>
      <c r="HY45" s="209" t="n">
        <v>-0.0111</v>
      </c>
      <c r="HZ45" s="209" t="n"/>
      <c r="IB45" s="11">
        <f>C45</f>
        <v/>
      </c>
      <c r="IC45" s="215" t="n">
        <v>326109.79</v>
      </c>
      <c r="ID45" s="211">
        <f>IC46</f>
        <v/>
      </c>
      <c r="IE45" s="211">
        <f>IC45-ID45</f>
        <v/>
      </c>
      <c r="IF45" s="212">
        <f>IE45/ID45</f>
        <v/>
      </c>
      <c r="IG45" s="214" t="n">
        <v>-0.0113</v>
      </c>
      <c r="IH45" s="209" t="n"/>
      <c r="IJ45" s="11">
        <f>C45</f>
        <v/>
      </c>
      <c r="IK45" s="259" t="n">
        <v>900076.29</v>
      </c>
      <c r="IL45" s="211">
        <f>IK46</f>
        <v/>
      </c>
      <c r="IM45" s="211">
        <f>IK45-IL45</f>
        <v/>
      </c>
      <c r="IN45" s="212">
        <f>IM45/IL45</f>
        <v/>
      </c>
      <c r="IO45" s="209" t="n">
        <v>0.0076</v>
      </c>
      <c r="IP45" s="209" t="n"/>
      <c r="IR45" s="11">
        <f>C45</f>
        <v/>
      </c>
      <c r="IS45" s="215" t="n">
        <v>151289</v>
      </c>
      <c r="IT45" s="211">
        <f>IS46</f>
        <v/>
      </c>
      <c r="IU45" s="211">
        <f>IS45-IT45</f>
        <v/>
      </c>
      <c r="IV45" s="212">
        <f>IU45/IT45</f>
        <v/>
      </c>
      <c r="IW45" s="209" t="n">
        <v>-0.011</v>
      </c>
      <c r="IX45" s="209" t="n"/>
      <c r="IZ45" s="11">
        <f>C45</f>
        <v/>
      </c>
      <c r="JA45" s="215" t="n">
        <v>5608729.15</v>
      </c>
      <c r="JB45" s="211">
        <f>JA46</f>
        <v/>
      </c>
      <c r="JC45" s="211">
        <f>JA45-JB45</f>
        <v/>
      </c>
      <c r="JD45" s="212">
        <f>JC45/JB45</f>
        <v/>
      </c>
      <c r="JE45" s="209" t="n">
        <v>0.0055</v>
      </c>
      <c r="JF45" s="209" t="n"/>
      <c r="JH45" s="11">
        <f>C45</f>
        <v/>
      </c>
      <c r="JI45" s="215" t="n">
        <v>1147287.99</v>
      </c>
      <c r="JJ45" s="211">
        <f>JI46</f>
        <v/>
      </c>
      <c r="JK45" s="211">
        <f>JI45-JJ45</f>
        <v/>
      </c>
      <c r="JL45" s="212">
        <f>JK45/JJ45</f>
        <v/>
      </c>
      <c r="JM45" s="209" t="n">
        <v>0.0131</v>
      </c>
      <c r="JN45" s="209" t="n"/>
      <c r="JP45" s="11">
        <f>C45</f>
        <v/>
      </c>
      <c r="JQ45" s="259" t="n">
        <v>1030790.4148</v>
      </c>
      <c r="JR45" s="211">
        <f>JQ46</f>
        <v/>
      </c>
      <c r="JS45" s="211">
        <f>JQ45-JR45</f>
        <v/>
      </c>
      <c r="JT45" s="212">
        <f>JS45/JR45</f>
        <v/>
      </c>
      <c r="JU45" s="209" t="n">
        <v>-0.008</v>
      </c>
      <c r="JV45" s="214" t="n"/>
      <c r="JX45" s="11">
        <f>C45</f>
        <v/>
      </c>
      <c r="JY45" s="215" t="n">
        <v>972548.8</v>
      </c>
      <c r="JZ45" s="211">
        <f>JY46</f>
        <v/>
      </c>
      <c r="KA45" s="211">
        <f>JY45-JZ45</f>
        <v/>
      </c>
      <c r="KB45" s="212">
        <f>KA45/JZ45</f>
        <v/>
      </c>
      <c r="KC45" s="209" t="n">
        <v>0.0022</v>
      </c>
      <c r="KD45" s="214" t="n"/>
      <c r="KF45" s="11">
        <f>C45</f>
        <v/>
      </c>
      <c r="KG45" s="259" t="n">
        <v>570155.9219</v>
      </c>
      <c r="KH45" s="211">
        <f>KG46</f>
        <v/>
      </c>
      <c r="KI45" s="211">
        <f>KG45-KH45</f>
        <v/>
      </c>
      <c r="KJ45" s="212">
        <f>KI45/KH45</f>
        <v/>
      </c>
      <c r="KK45" s="214" t="n">
        <v>-0.0101</v>
      </c>
      <c r="KL45" s="214" t="n"/>
      <c r="KN45" s="11">
        <f>C45</f>
        <v/>
      </c>
      <c r="KO45" s="215" t="n">
        <v>7035375.95</v>
      </c>
      <c r="KP45" s="211">
        <f>KO46</f>
        <v/>
      </c>
      <c r="KQ45" s="211">
        <f>KO45-KP45</f>
        <v/>
      </c>
      <c r="KR45" s="212">
        <f>KQ45/KP45</f>
        <v/>
      </c>
      <c r="KS45" s="209" t="n">
        <v>-0.0179</v>
      </c>
      <c r="KT45" s="209" t="n"/>
      <c r="KV45" s="11">
        <f>C45</f>
        <v/>
      </c>
      <c r="KW45" s="259" t="n">
        <v>1039272.9726</v>
      </c>
      <c r="KX45" s="211">
        <f>KW46</f>
        <v/>
      </c>
      <c r="KY45" s="211">
        <f>KW45-KX45</f>
        <v/>
      </c>
      <c r="KZ45" s="212">
        <f>KY45/KX45</f>
        <v/>
      </c>
      <c r="LA45" s="214" t="n">
        <v>-0.0244</v>
      </c>
      <c r="LB45" s="209" t="n"/>
      <c r="LD45" s="11">
        <f>C45</f>
        <v/>
      </c>
      <c r="LE45" s="215" t="n">
        <v>378407.7</v>
      </c>
      <c r="LF45" s="211">
        <f>LE46</f>
        <v/>
      </c>
      <c r="LG45" s="211">
        <f>LE45-LF45</f>
        <v/>
      </c>
      <c r="LH45" s="212">
        <f>LG45/LF45</f>
        <v/>
      </c>
      <c r="LI45" s="209" t="n">
        <v>-0.0101</v>
      </c>
      <c r="LJ45" s="209" t="n"/>
      <c r="LL45" s="11">
        <f>C45</f>
        <v/>
      </c>
      <c r="LM45" s="215" t="n">
        <v>3205375.02</v>
      </c>
      <c r="LN45" s="13">
        <f>LM46</f>
        <v/>
      </c>
      <c r="LO45" s="13">
        <f>LM45-LN45</f>
        <v/>
      </c>
      <c r="LP45" s="193">
        <f>LO45/LN45</f>
        <v/>
      </c>
      <c r="LQ45" s="209" t="n">
        <v>-0.0188</v>
      </c>
      <c r="LR45" s="209" t="n"/>
      <c r="LT45" s="11">
        <f>C45</f>
        <v/>
      </c>
      <c r="LU45" s="259" t="n">
        <v>2305062.904</v>
      </c>
      <c r="LV45" s="211">
        <f>LU46</f>
        <v/>
      </c>
      <c r="LW45" s="211">
        <f>LU45-LV45</f>
        <v/>
      </c>
      <c r="LX45" s="212">
        <f>LW45/LV45</f>
        <v/>
      </c>
      <c r="LY45" s="209" t="n">
        <v>-0.0177</v>
      </c>
      <c r="LZ45" s="209" t="n"/>
      <c r="MB45" s="11">
        <f>C45</f>
        <v/>
      </c>
      <c r="MC45" s="215" t="n">
        <v>829167.6899999999</v>
      </c>
      <c r="MD45" s="211">
        <f>MC46</f>
        <v/>
      </c>
      <c r="ME45" s="211">
        <f>MC45-MD45</f>
        <v/>
      </c>
      <c r="MF45" s="212">
        <f>ME45/MD45</f>
        <v/>
      </c>
      <c r="MG45" s="209" t="n">
        <v>-0.0164</v>
      </c>
      <c r="MH45" s="209" t="n"/>
      <c r="MK45" s="11">
        <f>C45</f>
        <v/>
      </c>
      <c r="ML45" s="261" t="n">
        <v>160545.5354</v>
      </c>
      <c r="MM45" s="211">
        <f>ML46</f>
        <v/>
      </c>
      <c r="MN45" s="211">
        <f>ML45-MM45</f>
        <v/>
      </c>
      <c r="MO45" s="212">
        <f>MN45/MM45</f>
        <v/>
      </c>
      <c r="MP45" s="209" t="n">
        <v>-0.0053</v>
      </c>
      <c r="MQ45" s="214" t="n"/>
      <c r="MR45" s="214" t="n"/>
      <c r="MT45" s="11">
        <f>C45</f>
        <v/>
      </c>
      <c r="MU45" s="215" t="n">
        <v>136114.8</v>
      </c>
      <c r="MV45" s="188">
        <f>MU46</f>
        <v/>
      </c>
      <c r="MW45" s="9">
        <f>MU45-MV45</f>
        <v/>
      </c>
      <c r="MX45" s="182">
        <f>MW45/MV45</f>
        <v/>
      </c>
      <c r="MY45" s="209" t="n">
        <v>-0.0136</v>
      </c>
      <c r="MZ45" s="209" t="n"/>
      <c r="NA45" s="209" t="n"/>
      <c r="NC45" s="11">
        <f>C45</f>
        <v/>
      </c>
      <c r="ND45" s="215" t="n">
        <v>33091.48</v>
      </c>
      <c r="NE45" s="188">
        <f>ND46</f>
        <v/>
      </c>
      <c r="NF45" s="9">
        <f>ND45-NE45</f>
        <v/>
      </c>
      <c r="NG45" s="182">
        <f>NF45/NE45</f>
        <v/>
      </c>
      <c r="NH45" s="209" t="n">
        <v>-0.0132</v>
      </c>
      <c r="NI45" s="209" t="n"/>
      <c r="NJ45" s="209" t="n"/>
      <c r="NK45" s="209" t="n"/>
      <c r="NM45" s="11">
        <f>C45</f>
        <v/>
      </c>
      <c r="NN45" s="215" t="n">
        <v>2624011.08</v>
      </c>
      <c r="NO45" s="9">
        <f>NN46</f>
        <v/>
      </c>
      <c r="NP45" s="197">
        <f>NN45-NO45</f>
        <v/>
      </c>
      <c r="NQ45" s="198">
        <f>NP45/NO45</f>
        <v/>
      </c>
      <c r="NR45" s="209" t="n">
        <v>0.0025</v>
      </c>
      <c r="NS45" s="209" t="n"/>
      <c r="NU45" s="11">
        <f>C45</f>
        <v/>
      </c>
      <c r="NV45" s="215" t="n">
        <v>228276.5</v>
      </c>
      <c r="NW45" s="188">
        <f>NV46</f>
        <v/>
      </c>
      <c r="NX45" s="197">
        <f>NV45-NW45</f>
        <v/>
      </c>
      <c r="NY45" s="198">
        <f>NX45/NW45</f>
        <v/>
      </c>
      <c r="NZ45" s="214" t="n">
        <v>-0.0178</v>
      </c>
      <c r="OA45" s="214" t="n"/>
      <c r="OC45" s="11">
        <f>C45</f>
        <v/>
      </c>
      <c r="OD45" s="215" t="n">
        <v>20029.97</v>
      </c>
      <c r="OE45" s="211">
        <f>OD46</f>
        <v/>
      </c>
      <c r="OF45" s="211">
        <f>OD45-OE45</f>
        <v/>
      </c>
      <c r="OG45" s="212">
        <f>OF45/OE45</f>
        <v/>
      </c>
      <c r="OH45" s="209" t="n">
        <v>-0.0022</v>
      </c>
      <c r="OI45" s="209" t="n"/>
      <c r="OK45" s="11">
        <f>C45</f>
        <v/>
      </c>
      <c r="OL45" s="215" t="n">
        <v>17099.65</v>
      </c>
      <c r="OM45" s="211">
        <f>OL46</f>
        <v/>
      </c>
      <c r="ON45" s="211">
        <f>OL45-OM45</f>
        <v/>
      </c>
      <c r="OO45" s="212">
        <f>ON45/OM45</f>
        <v/>
      </c>
      <c r="OP45" s="209" t="n">
        <v>-0.0003</v>
      </c>
      <c r="OQ45" s="209" t="n"/>
      <c r="OT45" s="201">
        <f>OK45</f>
        <v/>
      </c>
      <c r="OU45" s="199" t="n">
        <v>157152.4066</v>
      </c>
      <c r="OV45" s="9">
        <f>OU46</f>
        <v/>
      </c>
      <c r="OW45" s="671">
        <f>OU45-OV45</f>
        <v/>
      </c>
      <c r="OX45" s="182">
        <f>OW45/OV45</f>
        <v/>
      </c>
      <c r="OY45" s="0" t="n">
        <v>-0.0376</v>
      </c>
    </row>
    <row r="46" ht="17" customFormat="1" customHeight="1" s="9">
      <c r="A46" s="631" t="n"/>
      <c r="B46" s="631" t="n"/>
      <c r="C46" s="631" t="inlineStr">
        <is>
          <t>2026//9/9</t>
        </is>
      </c>
      <c r="D46" s="20" t="n">
        <v>2318538.77</v>
      </c>
      <c r="E46" s="20">
        <f>D47</f>
        <v/>
      </c>
      <c r="F46" s="20">
        <f>D46-E46</f>
        <v/>
      </c>
      <c r="G46" s="163">
        <f>F46/E46</f>
        <v/>
      </c>
      <c r="H46" s="19" t="n">
        <v>0.0028</v>
      </c>
      <c r="I46" s="163" t="n"/>
      <c r="J46" s="163" t="n"/>
      <c r="K46" s="9">
        <f>C46</f>
        <v/>
      </c>
      <c r="L46" s="20" t="n">
        <v>1138474.4</v>
      </c>
      <c r="M46" s="20">
        <f>L47</f>
        <v/>
      </c>
      <c r="N46" s="20">
        <f>L46-M46</f>
        <v/>
      </c>
      <c r="O46" s="163">
        <f>N46/M46</f>
        <v/>
      </c>
      <c r="P46" s="19" t="n">
        <v>0.0029</v>
      </c>
      <c r="Q46" s="163" t="n"/>
      <c r="R46" s="20" t="n"/>
      <c r="S46" s="9">
        <f>C46</f>
        <v/>
      </c>
      <c r="T46" s="20" t="n">
        <v>684696.6800000001</v>
      </c>
      <c r="U46" s="20">
        <f>T47</f>
        <v/>
      </c>
      <c r="V46" s="20">
        <f>T46-U46</f>
        <v/>
      </c>
      <c r="W46" s="163">
        <f>V46/U46</f>
        <v/>
      </c>
      <c r="X46" s="19" t="n">
        <v>0.0013</v>
      </c>
      <c r="Y46" s="163" t="n"/>
      <c r="Z46" s="20" t="n"/>
      <c r="AA46" s="9">
        <f>S46</f>
        <v/>
      </c>
      <c r="AB46" s="20" t="n">
        <v>538016.86</v>
      </c>
      <c r="AC46" s="20">
        <f>AB47</f>
        <v/>
      </c>
      <c r="AD46" s="20">
        <f>AB46-AC46</f>
        <v/>
      </c>
      <c r="AE46" s="163">
        <f>AD46/AC46</f>
        <v/>
      </c>
      <c r="AF46" s="19" t="n">
        <v>-0.0004</v>
      </c>
      <c r="AG46" s="163" t="n"/>
      <c r="AH46" s="20" t="n"/>
      <c r="AI46" s="9">
        <f>C46</f>
        <v/>
      </c>
      <c r="AJ46" s="20" t="n">
        <v>626521.76</v>
      </c>
      <c r="AK46" s="20">
        <f>AJ47</f>
        <v/>
      </c>
      <c r="AL46" s="20">
        <f>AJ46-AK46</f>
        <v/>
      </c>
      <c r="AM46" s="163">
        <f>AL46/AK46</f>
        <v/>
      </c>
      <c r="AN46" s="19" t="n">
        <v>-0.0016</v>
      </c>
      <c r="AO46" s="19" t="n"/>
      <c r="AP46" s="20" t="n"/>
      <c r="AQ46" s="9">
        <f>C46</f>
        <v/>
      </c>
      <c r="AR46" s="634" t="n">
        <v>1935645.4936</v>
      </c>
      <c r="AS46" s="20">
        <f>AR47</f>
        <v/>
      </c>
      <c r="AT46" s="20">
        <f>AR46-AS46</f>
        <v/>
      </c>
      <c r="AU46" s="163">
        <f>AT46/AS46</f>
        <v/>
      </c>
      <c r="AV46" s="19" t="n">
        <v>-0.0009</v>
      </c>
      <c r="AW46" s="19" t="n"/>
      <c r="AX46" s="5" t="n"/>
      <c r="AY46" s="5" t="n"/>
      <c r="AZ46" s="9">
        <f>C46</f>
        <v/>
      </c>
      <c r="BA46" s="220" t="n">
        <v>624711.6676</v>
      </c>
      <c r="BB46" s="24">
        <f>BA47</f>
        <v/>
      </c>
      <c r="BC46" s="5">
        <f>BA46-BB46</f>
        <v/>
      </c>
      <c r="BD46" s="19">
        <f>BC46/BB46</f>
        <v/>
      </c>
      <c r="BE46" s="19" t="n">
        <v>0.0031</v>
      </c>
      <c r="BF46" s="19" t="n"/>
      <c r="BG46" s="647" t="n"/>
      <c r="BH46" s="9">
        <f>C46</f>
        <v/>
      </c>
      <c r="BI46" s="242" t="n">
        <v>1155526.5525</v>
      </c>
      <c r="BJ46" s="184">
        <f>BI47</f>
        <v/>
      </c>
      <c r="BK46" s="184">
        <f>BI46-BJ46</f>
        <v/>
      </c>
      <c r="BL46" s="190">
        <f>BK46/BJ46</f>
        <v/>
      </c>
      <c r="BM46" s="191" t="n">
        <v>0.0188</v>
      </c>
      <c r="BN46" s="182" t="n"/>
      <c r="BP46" s="9">
        <f>C46</f>
        <v/>
      </c>
      <c r="BQ46" s="242" t="n">
        <v>1421362.3921</v>
      </c>
      <c r="BR46" s="13">
        <f>BQ47</f>
        <v/>
      </c>
      <c r="BS46" s="13">
        <f>BQ46-BR46</f>
        <v/>
      </c>
      <c r="BT46" s="193">
        <f>BS46/BR46</f>
        <v/>
      </c>
      <c r="BU46" s="182" t="n">
        <v>-0.0104</v>
      </c>
      <c r="BV46" s="182" t="n"/>
      <c r="BX46" s="9">
        <f>C46</f>
        <v/>
      </c>
      <c r="BY46" s="242" t="n">
        <v>1712810.7019</v>
      </c>
      <c r="BZ46" s="13">
        <f>BY47</f>
        <v/>
      </c>
      <c r="CA46" s="13">
        <f>BY46-BZ46</f>
        <v/>
      </c>
      <c r="CB46" s="193">
        <f>CA46/BZ46</f>
        <v/>
      </c>
      <c r="CC46" s="182" t="n">
        <v>0.0074</v>
      </c>
      <c r="CD46" s="194" t="n"/>
      <c r="CF46" s="9">
        <f>C46</f>
        <v/>
      </c>
      <c r="CG46" s="215" t="n">
        <v>1445303.9</v>
      </c>
      <c r="CH46" s="13">
        <f>CG47</f>
        <v/>
      </c>
      <c r="CI46" s="13">
        <f>CG46-CH46</f>
        <v/>
      </c>
      <c r="CJ46" s="193">
        <f>CI46/CH46</f>
        <v/>
      </c>
      <c r="CK46" s="182" t="n">
        <v>0.0176</v>
      </c>
      <c r="CL46" s="194" t="n"/>
      <c r="CN46" s="9">
        <f>C46</f>
        <v/>
      </c>
      <c r="CO46" s="215" t="n">
        <v>526446.48</v>
      </c>
      <c r="CP46" s="13">
        <f>CO47</f>
        <v/>
      </c>
      <c r="CQ46" s="13">
        <f>CO46-CP46</f>
        <v/>
      </c>
      <c r="CR46" s="193">
        <f>CQ46/CP46</f>
        <v/>
      </c>
      <c r="CS46" s="194" t="n">
        <v>0.014</v>
      </c>
      <c r="CT46" s="194" t="n"/>
      <c r="CV46" s="9">
        <f>C46</f>
        <v/>
      </c>
      <c r="CW46" s="215" t="n">
        <v>631990.4</v>
      </c>
      <c r="CX46" s="13">
        <f>CW47</f>
        <v/>
      </c>
      <c r="CY46" s="13">
        <f>CW46-CX46</f>
        <v/>
      </c>
      <c r="CZ46" s="193">
        <f>CY46/CX46</f>
        <v/>
      </c>
      <c r="DA46" s="182" t="n">
        <v>0.0161</v>
      </c>
      <c r="DB46" s="182" t="n"/>
      <c r="DC46" s="256" t="n"/>
      <c r="DD46" s="9">
        <f>C46</f>
        <v/>
      </c>
      <c r="DE46" s="242" t="n">
        <v>6143335.9972</v>
      </c>
      <c r="DF46" s="13">
        <f>DE47</f>
        <v/>
      </c>
      <c r="DG46" s="13">
        <f>DE46-DF46</f>
        <v/>
      </c>
      <c r="DH46" s="193">
        <f>DG46/DF46</f>
        <v/>
      </c>
      <c r="DI46" s="182" t="n">
        <v>-0.006</v>
      </c>
      <c r="DJ46" s="182" t="n"/>
      <c r="DK46" s="0" t="n"/>
      <c r="DL46" s="9">
        <f>C46</f>
        <v/>
      </c>
      <c r="DM46" s="215" t="n">
        <v>2036600.72</v>
      </c>
      <c r="DN46" s="13">
        <f>DM47</f>
        <v/>
      </c>
      <c r="DO46" s="13">
        <f>DM46-DN46</f>
        <v/>
      </c>
      <c r="DP46" s="193">
        <f>DO46/DN46</f>
        <v/>
      </c>
      <c r="DQ46" s="182" t="n">
        <v>-0.0051</v>
      </c>
      <c r="DR46" s="182" t="n"/>
      <c r="DT46" s="9">
        <f>C46</f>
        <v/>
      </c>
      <c r="DU46" s="215" t="n">
        <v>4331968.43</v>
      </c>
      <c r="DV46" s="13">
        <f>DU47</f>
        <v/>
      </c>
      <c r="DW46" s="13">
        <f>DU46-DV46</f>
        <v/>
      </c>
      <c r="DX46" s="193">
        <f>DW46/DV46</f>
        <v/>
      </c>
      <c r="DY46" s="182" t="n">
        <v>-0.0062</v>
      </c>
      <c r="DZ46" s="182" t="n"/>
      <c r="EB46" s="9">
        <f>C46</f>
        <v/>
      </c>
      <c r="EC46" s="215" t="n">
        <v>5424566.82</v>
      </c>
      <c r="ED46" s="13">
        <f>EC47</f>
        <v/>
      </c>
      <c r="EE46" s="13">
        <f>EC46-ED46</f>
        <v/>
      </c>
      <c r="EF46" s="193">
        <f>EE46/ED46</f>
        <v/>
      </c>
      <c r="EG46" s="182" t="n">
        <v>-0.0059</v>
      </c>
      <c r="EH46" s="182" t="n"/>
      <c r="EJ46" s="9">
        <f>C46</f>
        <v/>
      </c>
      <c r="EK46" s="242" t="n">
        <v>1214522.9669</v>
      </c>
      <c r="EL46" s="13">
        <f>EK47</f>
        <v/>
      </c>
      <c r="EM46" s="13">
        <f>EK46-EL46</f>
        <v/>
      </c>
      <c r="EN46" s="193">
        <f>EM46/EL46</f>
        <v/>
      </c>
      <c r="EO46" s="182" t="n">
        <v>-0.0041</v>
      </c>
      <c r="EP46" s="182" t="n"/>
      <c r="ER46" s="9">
        <f>C46</f>
        <v/>
      </c>
      <c r="ES46" s="215" t="n">
        <v>752894.04</v>
      </c>
      <c r="ET46" s="13">
        <f>ES47</f>
        <v/>
      </c>
      <c r="EU46" s="13">
        <f>ES46-ET46</f>
        <v/>
      </c>
      <c r="EV46" s="193">
        <f>EU46/ET46</f>
        <v/>
      </c>
      <c r="EW46" s="182" t="n">
        <v>-0.0064</v>
      </c>
      <c r="EX46" s="182" t="n"/>
      <c r="EZ46" s="9">
        <f>C46</f>
        <v/>
      </c>
      <c r="FA46" s="215" t="n">
        <v>666408</v>
      </c>
      <c r="FB46" s="13">
        <f>FA47</f>
        <v/>
      </c>
      <c r="FC46" s="13">
        <f>FA46-FB46</f>
        <v/>
      </c>
      <c r="FD46" s="193">
        <f>FC46/FB46</f>
        <v/>
      </c>
      <c r="FE46" s="182" t="n">
        <v>0.0155</v>
      </c>
      <c r="FF46" s="182" t="n"/>
      <c r="FH46" s="9">
        <f>C46</f>
        <v/>
      </c>
      <c r="FI46" s="242" t="n">
        <v>940395.3365</v>
      </c>
      <c r="FJ46" s="13">
        <f>FI47</f>
        <v/>
      </c>
      <c r="FK46" s="13">
        <f>FI46-FJ46</f>
        <v/>
      </c>
      <c r="FL46" s="193">
        <f>FK46/FJ46</f>
        <v/>
      </c>
      <c r="FM46" s="194" t="n">
        <v>-0.0007</v>
      </c>
      <c r="FN46" s="194" t="n"/>
      <c r="FP46" s="9">
        <f>C46</f>
        <v/>
      </c>
      <c r="FQ46" s="215" t="n">
        <v>1843768.73</v>
      </c>
      <c r="FR46" s="13">
        <f>FQ47</f>
        <v/>
      </c>
      <c r="FS46" s="13">
        <f>FQ46-FR46</f>
        <v/>
      </c>
      <c r="FT46" s="193">
        <f>FS46/FR46</f>
        <v/>
      </c>
      <c r="FU46" s="182" t="n">
        <v>-0.0095</v>
      </c>
      <c r="FV46" s="182" t="n"/>
      <c r="FX46" s="9">
        <f>C46</f>
        <v/>
      </c>
      <c r="FY46" s="215" t="n">
        <v>7171782.05</v>
      </c>
      <c r="FZ46" s="13">
        <f>FY47</f>
        <v/>
      </c>
      <c r="GA46" s="13">
        <f>FY46-FZ46</f>
        <v/>
      </c>
      <c r="GB46" s="193">
        <f>GA46/FZ46</f>
        <v/>
      </c>
      <c r="GC46" s="182" t="n">
        <v>-0.0117</v>
      </c>
      <c r="GD46" s="182" t="n"/>
      <c r="GF46" s="9">
        <f>C46</f>
        <v/>
      </c>
      <c r="GG46" s="215" t="n">
        <v>4011569.49</v>
      </c>
      <c r="GH46" s="13">
        <f>GG47</f>
        <v/>
      </c>
      <c r="GI46" s="13">
        <f>GG46-GH46</f>
        <v/>
      </c>
      <c r="GJ46" s="193">
        <f>GI46/GH46</f>
        <v/>
      </c>
      <c r="GK46" s="182" t="n">
        <v>-0.0132</v>
      </c>
      <c r="GL46" s="182" t="n"/>
      <c r="GN46" s="9">
        <f>C46</f>
        <v/>
      </c>
      <c r="GO46" s="242" t="n">
        <v>2031298.1217</v>
      </c>
      <c r="GP46" s="13">
        <f>GO47</f>
        <v/>
      </c>
      <c r="GQ46" s="13">
        <f>GO46-GP46</f>
        <v/>
      </c>
      <c r="GR46" s="193">
        <f>GQ46/GP46</f>
        <v/>
      </c>
      <c r="GS46" s="182" t="n">
        <v>-0.0141</v>
      </c>
      <c r="GT46" s="182" t="n"/>
      <c r="GV46" s="9">
        <f>C46</f>
        <v/>
      </c>
      <c r="GW46" s="215" t="n">
        <v>598949.4</v>
      </c>
      <c r="GX46" s="13">
        <f>GW47</f>
        <v/>
      </c>
      <c r="GY46" s="13">
        <f>GW46-GX46</f>
        <v/>
      </c>
      <c r="GZ46" s="193">
        <f>GY46/GX46</f>
        <v/>
      </c>
      <c r="HA46" s="182" t="n">
        <v>-0.0024</v>
      </c>
      <c r="HB46" s="182" t="n"/>
      <c r="HD46" s="9">
        <f>C46</f>
        <v/>
      </c>
      <c r="HE46" s="242" t="n">
        <v>783164.6746</v>
      </c>
      <c r="HF46" s="13">
        <f>HE47</f>
        <v/>
      </c>
      <c r="HG46" s="13">
        <f>HE46-HF46</f>
        <v/>
      </c>
      <c r="HH46" s="193">
        <f>HG46/HF46</f>
        <v/>
      </c>
      <c r="HI46" s="194" t="n">
        <v>0</v>
      </c>
      <c r="HJ46" s="182" t="n"/>
      <c r="HL46" s="9">
        <f>C46</f>
        <v/>
      </c>
      <c r="HM46" s="215" t="n">
        <v>115204.25</v>
      </c>
      <c r="HN46" s="13">
        <f>HM47</f>
        <v/>
      </c>
      <c r="HO46" s="13">
        <f>HM46-HN46</f>
        <v/>
      </c>
      <c r="HP46" s="193">
        <f>HO46/HN46</f>
        <v/>
      </c>
      <c r="HQ46" s="182" t="n">
        <v>0.0045</v>
      </c>
      <c r="HR46" s="182" t="n"/>
      <c r="HT46" s="9">
        <f>C46</f>
        <v/>
      </c>
      <c r="HU46" s="242" t="n">
        <v>131668.8265</v>
      </c>
      <c r="HV46" s="13">
        <f>HU47</f>
        <v/>
      </c>
      <c r="HW46" s="13">
        <f>HU46-HV46</f>
        <v/>
      </c>
      <c r="HX46" s="193">
        <f>HW46/HV46</f>
        <v/>
      </c>
      <c r="HY46" s="182" t="n">
        <v>-0.0092</v>
      </c>
      <c r="HZ46" s="182" t="n"/>
      <c r="IB46" s="9">
        <f>C46</f>
        <v/>
      </c>
      <c r="IC46" s="215" t="n">
        <v>326509.79</v>
      </c>
      <c r="ID46" s="13">
        <f>IC47</f>
        <v/>
      </c>
      <c r="IE46" s="13">
        <f>IC46-ID46</f>
        <v/>
      </c>
      <c r="IF46" s="193">
        <f>IE46/ID46</f>
        <v/>
      </c>
      <c r="IG46" s="194" t="n">
        <v>-0.0175</v>
      </c>
      <c r="IH46" s="182" t="n"/>
      <c r="IJ46" s="9">
        <f>C46</f>
        <v/>
      </c>
      <c r="IK46" s="242" t="n">
        <v>901436.29</v>
      </c>
      <c r="IL46" s="13">
        <f>IK47</f>
        <v/>
      </c>
      <c r="IM46" s="13">
        <f>IK46-IL46</f>
        <v/>
      </c>
      <c r="IN46" s="193">
        <f>IM46/IL46</f>
        <v/>
      </c>
      <c r="IO46" s="182" t="n">
        <v>0.0105</v>
      </c>
      <c r="IP46" s="182" t="n"/>
      <c r="IR46" s="9">
        <f>C46</f>
        <v/>
      </c>
      <c r="IS46" s="215" t="n">
        <v>150589</v>
      </c>
      <c r="IT46" s="13">
        <f>IS47</f>
        <v/>
      </c>
      <c r="IU46" s="13">
        <f>IS46-IT46</f>
        <v/>
      </c>
      <c r="IV46" s="193">
        <f>IU46/IT46</f>
        <v/>
      </c>
      <c r="IW46" s="182" t="n">
        <v>-0.0115</v>
      </c>
      <c r="IX46" s="182" t="n"/>
      <c r="IZ46" s="9">
        <f>C46</f>
        <v/>
      </c>
      <c r="JA46" s="215" t="n">
        <v>5625529.15</v>
      </c>
      <c r="JB46" s="13">
        <f>JA47</f>
        <v/>
      </c>
      <c r="JC46" s="13">
        <f>JA46-JB46</f>
        <v/>
      </c>
      <c r="JD46" s="193">
        <f>JC46/JB46</f>
        <v/>
      </c>
      <c r="JE46" s="182" t="n">
        <v>0</v>
      </c>
      <c r="JF46" s="182" t="n"/>
      <c r="JH46" s="9">
        <f>C46</f>
        <v/>
      </c>
      <c r="JI46" s="215" t="n">
        <v>1149207.99</v>
      </c>
      <c r="JJ46" s="13">
        <f>JI47</f>
        <v/>
      </c>
      <c r="JK46" s="13">
        <f>JI46-JJ46</f>
        <v/>
      </c>
      <c r="JL46" s="193">
        <f>JK46/JJ46</f>
        <v/>
      </c>
      <c r="JM46" s="182" t="n">
        <v>0.0036</v>
      </c>
      <c r="JN46" s="182" t="n"/>
      <c r="JP46" s="9">
        <f>C46</f>
        <v/>
      </c>
      <c r="JQ46" s="242" t="n">
        <v>1029790.4148</v>
      </c>
      <c r="JR46" s="13">
        <f>JQ47</f>
        <v/>
      </c>
      <c r="JS46" s="13">
        <f>JQ46-JR46</f>
        <v/>
      </c>
      <c r="JT46" s="193">
        <f>JS46/JR46</f>
        <v/>
      </c>
      <c r="JU46" s="182" t="n">
        <v>-0.0126</v>
      </c>
      <c r="JV46" s="194" t="n"/>
      <c r="JX46" s="9">
        <f>C46</f>
        <v/>
      </c>
      <c r="JY46" s="215" t="n">
        <v>971148.8</v>
      </c>
      <c r="JZ46" s="13">
        <f>JY47</f>
        <v/>
      </c>
      <c r="KA46" s="13">
        <f>JY46-JZ46</f>
        <v/>
      </c>
      <c r="KB46" s="193">
        <f>KA46/JZ46</f>
        <v/>
      </c>
      <c r="KC46" s="182" t="n">
        <v>0</v>
      </c>
      <c r="KD46" s="194" t="n"/>
      <c r="KF46" s="9">
        <f>C46</f>
        <v/>
      </c>
      <c r="KG46" s="242" t="n">
        <v>570155.9219</v>
      </c>
      <c r="KH46" s="13">
        <f>KG47</f>
        <v/>
      </c>
      <c r="KI46" s="13">
        <f>KG46-KH46</f>
        <v/>
      </c>
      <c r="KJ46" s="193">
        <f>KI46/KH46</f>
        <v/>
      </c>
      <c r="KK46" s="194" t="n">
        <v>-0.0034</v>
      </c>
      <c r="KL46" s="194" t="n"/>
      <c r="KN46" s="9">
        <f>C46</f>
        <v/>
      </c>
      <c r="KO46" s="215" t="n">
        <v>6957675.95</v>
      </c>
      <c r="KP46" s="13">
        <f>KO47</f>
        <v/>
      </c>
      <c r="KQ46" s="13">
        <f>KO46-KP46</f>
        <v/>
      </c>
      <c r="KR46" s="193">
        <f>KQ46/KP46</f>
        <v/>
      </c>
      <c r="KS46" s="182" t="n">
        <v>-0.0053</v>
      </c>
      <c r="KT46" s="182" t="n"/>
      <c r="KV46" s="9">
        <f>C46</f>
        <v/>
      </c>
      <c r="KW46" s="242" t="n">
        <v>1039272.9726</v>
      </c>
      <c r="KX46" s="13">
        <f>KW47</f>
        <v/>
      </c>
      <c r="KY46" s="13">
        <f>KW46-KX46</f>
        <v/>
      </c>
      <c r="KZ46" s="193">
        <f>KY46/KX46</f>
        <v/>
      </c>
      <c r="LA46" s="194" t="n">
        <v>-0.0225</v>
      </c>
      <c r="LB46" s="182" t="n"/>
      <c r="LD46" s="9">
        <f>C46</f>
        <v/>
      </c>
      <c r="LE46" s="215" t="n">
        <v>378407.7</v>
      </c>
      <c r="LF46" s="13">
        <f>LE47</f>
        <v/>
      </c>
      <c r="LG46" s="13">
        <f>LE46-LF46</f>
        <v/>
      </c>
      <c r="LH46" s="193">
        <f>LG46/LF46</f>
        <v/>
      </c>
      <c r="LI46" s="182" t="n">
        <v>0.003</v>
      </c>
      <c r="LJ46" s="182" t="n"/>
      <c r="LL46" s="9">
        <f>C46</f>
        <v/>
      </c>
      <c r="LM46" s="215" t="n">
        <v>3193315.02</v>
      </c>
      <c r="LN46" s="13">
        <f>LM47</f>
        <v/>
      </c>
      <c r="LO46" s="13">
        <f>LM46-LN46</f>
        <v/>
      </c>
      <c r="LP46" s="193">
        <f>LO46/LN46</f>
        <v/>
      </c>
      <c r="LQ46" s="182" t="n">
        <v>-0.0139</v>
      </c>
      <c r="LR46" s="182" t="n"/>
      <c r="LT46" s="9">
        <f>C46</f>
        <v/>
      </c>
      <c r="LU46" s="242" t="n">
        <v>2310262.904</v>
      </c>
      <c r="LV46" s="13">
        <f>LU47</f>
        <v/>
      </c>
      <c r="LW46" s="13">
        <f>LU46-LV46</f>
        <v/>
      </c>
      <c r="LX46" s="193">
        <f>LW46/LV46</f>
        <v/>
      </c>
      <c r="LY46" s="182" t="n">
        <v>-0.0059</v>
      </c>
      <c r="LZ46" s="182" t="n"/>
      <c r="MB46" s="9">
        <f>C46</f>
        <v/>
      </c>
      <c r="MC46" s="215" t="n">
        <v>820617.6899999999</v>
      </c>
      <c r="MD46" s="13">
        <f>MC47</f>
        <v/>
      </c>
      <c r="ME46" s="13">
        <f>MC46-MD46</f>
        <v/>
      </c>
      <c r="MF46" s="193">
        <f>ME46/MD46</f>
        <v/>
      </c>
      <c r="MG46" s="182" t="n">
        <v>0.03</v>
      </c>
      <c r="MH46" s="182" t="n"/>
      <c r="MK46" s="9">
        <f>C46</f>
        <v/>
      </c>
      <c r="ML46" s="242" t="n">
        <v>159585.5354</v>
      </c>
      <c r="MM46" s="13">
        <f>ML47</f>
        <v/>
      </c>
      <c r="MN46" s="13">
        <f>ML46-MM46</f>
        <v/>
      </c>
      <c r="MO46" s="193">
        <f>MN46/MM46</f>
        <v/>
      </c>
      <c r="MP46" s="182" t="n">
        <v>-0.0115</v>
      </c>
      <c r="MQ46" s="194" t="n"/>
      <c r="MR46" s="194" t="n"/>
      <c r="MT46" s="9">
        <f>C46</f>
        <v/>
      </c>
      <c r="MU46" s="215" t="n">
        <v>136214.8</v>
      </c>
      <c r="MV46" s="188">
        <f>MU47</f>
        <v/>
      </c>
      <c r="MW46" s="9">
        <f>MU46-MV46</f>
        <v/>
      </c>
      <c r="MX46" s="182">
        <f>MW46/MV46</f>
        <v/>
      </c>
      <c r="MY46" s="182" t="n">
        <v>0.0152</v>
      </c>
      <c r="MZ46" s="182" t="n"/>
      <c r="NA46" s="182" t="n"/>
      <c r="NC46" s="9">
        <f>C46</f>
        <v/>
      </c>
      <c r="ND46" s="215" t="n">
        <v>32891.48</v>
      </c>
      <c r="NE46" s="188">
        <f>ND47</f>
        <v/>
      </c>
      <c r="NF46" s="9">
        <f>ND46-NE46</f>
        <v/>
      </c>
      <c r="NG46" s="182">
        <f>NF46/NE46</f>
        <v/>
      </c>
      <c r="NH46" s="182" t="n">
        <v>0.0127</v>
      </c>
      <c r="NI46" s="182" t="n"/>
      <c r="NJ46" s="182" t="n"/>
      <c r="NK46" s="182" t="n"/>
      <c r="NM46" s="9">
        <f>C46</f>
        <v/>
      </c>
      <c r="NN46" s="215" t="n">
        <v>2634511.08</v>
      </c>
      <c r="NO46" s="9">
        <f>NN47</f>
        <v/>
      </c>
      <c r="NP46" s="197">
        <f>NN46-NO46</f>
        <v/>
      </c>
      <c r="NQ46" s="198">
        <f>NP46/NO46</f>
        <v/>
      </c>
      <c r="NR46" s="182" t="n">
        <v>0.0033</v>
      </c>
      <c r="NS46" s="24" t="n"/>
      <c r="NU46" s="9">
        <f>C46</f>
        <v/>
      </c>
      <c r="NV46" s="215" t="n">
        <v>227526.5</v>
      </c>
      <c r="NW46" s="188">
        <f>NV47</f>
        <v/>
      </c>
      <c r="NX46" s="197">
        <f>NV46-NW46</f>
        <v/>
      </c>
      <c r="NY46" s="198">
        <f>NX46/NW46</f>
        <v/>
      </c>
      <c r="NZ46" s="194" t="n">
        <v>-0.0073</v>
      </c>
      <c r="OA46" s="185" t="n"/>
      <c r="OC46" s="9">
        <f>C46</f>
        <v/>
      </c>
      <c r="OD46" s="215" t="n">
        <v>20109.97</v>
      </c>
      <c r="OE46" s="13">
        <f>OD47</f>
        <v/>
      </c>
      <c r="OF46" s="13">
        <f>OD46-OE46</f>
        <v/>
      </c>
      <c r="OG46" s="193">
        <f>OF46/OE46</f>
        <v/>
      </c>
      <c r="OH46" s="182" t="n">
        <v>0.0005</v>
      </c>
      <c r="OI46" s="182" t="n"/>
      <c r="OK46" s="9">
        <f>C46</f>
        <v/>
      </c>
      <c r="OL46" s="215" t="n">
        <v>17183.65</v>
      </c>
      <c r="OM46" s="13">
        <f>OL47</f>
        <v/>
      </c>
      <c r="ON46" s="13">
        <f>OL46-OM46</f>
        <v/>
      </c>
      <c r="OO46" s="193">
        <f>ON46/OM46</f>
        <v/>
      </c>
      <c r="OP46" s="182" t="n">
        <v>0.0003</v>
      </c>
      <c r="OQ46" s="182" t="n"/>
      <c r="OT46" s="201">
        <f>OK46</f>
        <v/>
      </c>
      <c r="OU46" s="199" t="n">
        <v>157032.4066</v>
      </c>
      <c r="OV46" s="9">
        <f>OU47</f>
        <v/>
      </c>
      <c r="OW46" s="671">
        <f>OU46-OV46</f>
        <v/>
      </c>
      <c r="OX46" s="182">
        <f>OW46/OV46</f>
        <v/>
      </c>
      <c r="OY46" s="0" t="n">
        <v>-0.0233</v>
      </c>
    </row>
    <row r="47" ht="17" customFormat="1" customHeight="1" s="10">
      <c r="A47" s="674" t="n"/>
      <c r="B47" s="674" t="n"/>
      <c r="C47" s="674" t="inlineStr">
        <is>
          <t>2026//9/9</t>
        </is>
      </c>
      <c r="D47" s="226" t="n"/>
      <c r="E47" s="226">
        <f>D48</f>
        <v/>
      </c>
      <c r="F47" s="226">
        <f>D47-E47</f>
        <v/>
      </c>
      <c r="G47" s="227">
        <f>F47/E47</f>
        <v/>
      </c>
      <c r="H47" s="228" t="n"/>
      <c r="I47" s="227" t="n"/>
      <c r="J47" s="227" t="n"/>
      <c r="K47" s="10">
        <f>C47</f>
        <v/>
      </c>
      <c r="L47" s="225" t="n"/>
      <c r="M47" s="226">
        <f>L48</f>
        <v/>
      </c>
      <c r="N47" s="226">
        <f>L47-M47</f>
        <v/>
      </c>
      <c r="O47" s="227">
        <f>N47/M47</f>
        <v/>
      </c>
      <c r="P47" s="228" t="n"/>
      <c r="Q47" s="227" t="n"/>
      <c r="R47" s="226" t="n"/>
      <c r="S47" s="10">
        <f>C47</f>
        <v/>
      </c>
      <c r="T47" s="225" t="n"/>
      <c r="U47" s="226">
        <f>T48</f>
        <v/>
      </c>
      <c r="V47" s="226">
        <f>T47-U47</f>
        <v/>
      </c>
      <c r="W47" s="227">
        <f>V47/U47</f>
        <v/>
      </c>
      <c r="X47" s="228" t="n"/>
      <c r="Y47" s="227" t="n"/>
      <c r="Z47" s="226" t="n"/>
      <c r="AA47" s="10">
        <f>S47</f>
        <v/>
      </c>
      <c r="AB47" s="225" t="n"/>
      <c r="AC47" s="226">
        <f>AB48</f>
        <v/>
      </c>
      <c r="AD47" s="226">
        <f>AB47-AC47</f>
        <v/>
      </c>
      <c r="AE47" s="227">
        <f>AD47/AC47</f>
        <v/>
      </c>
      <c r="AF47" s="228" t="n"/>
      <c r="AG47" s="227" t="n"/>
      <c r="AH47" s="226" t="n"/>
      <c r="AI47" s="10">
        <f>C47</f>
        <v/>
      </c>
      <c r="AJ47" s="225" t="n"/>
      <c r="AK47" s="226">
        <f>AJ48</f>
        <v/>
      </c>
      <c r="AL47" s="226">
        <f>AJ47-AK47</f>
        <v/>
      </c>
      <c r="AM47" s="227">
        <f>AL47/AK47</f>
        <v/>
      </c>
      <c r="AN47" s="228" t="n"/>
      <c r="AO47" s="228" t="n"/>
      <c r="AP47" s="226" t="n"/>
      <c r="AQ47" s="10">
        <f>C47</f>
        <v/>
      </c>
      <c r="AR47" s="229" t="n">
        <v>1936445.4936</v>
      </c>
      <c r="AS47" s="226">
        <f>AR48</f>
        <v/>
      </c>
      <c r="AT47" s="226">
        <f>AR47-AS47</f>
        <v/>
      </c>
      <c r="AU47" s="227">
        <f>AT47/AS47</f>
        <v/>
      </c>
      <c r="AV47" s="228" t="n">
        <v>-0.0111</v>
      </c>
      <c r="AW47" s="228" t="n"/>
      <c r="AX47" s="230" t="n"/>
      <c r="AY47" s="230" t="n"/>
      <c r="AZ47" s="10">
        <f>C47</f>
        <v/>
      </c>
      <c r="BA47" s="229" t="n">
        <v>625701.6676</v>
      </c>
      <c r="BB47" s="231">
        <f>BA48</f>
        <v/>
      </c>
      <c r="BC47" s="230">
        <f>BA47-BB47</f>
        <v/>
      </c>
      <c r="BD47" s="228">
        <f>BC47/BB47</f>
        <v/>
      </c>
      <c r="BE47" s="228" t="n">
        <v>-0.0031</v>
      </c>
      <c r="BF47" s="228" t="n"/>
      <c r="BG47" s="675" t="n"/>
      <c r="BH47" s="10">
        <f>C47</f>
        <v/>
      </c>
      <c r="BI47" s="229" t="n">
        <v>1153426.5525</v>
      </c>
      <c r="BJ47" s="233">
        <f>BI48</f>
        <v/>
      </c>
      <c r="BK47" s="233">
        <f>BI47-BJ47</f>
        <v/>
      </c>
      <c r="BL47" s="234">
        <f>BK47/BJ47</f>
        <v/>
      </c>
      <c r="BM47" s="235" t="n">
        <v>-0.0054</v>
      </c>
      <c r="BN47" s="236" t="n"/>
      <c r="BP47" s="10">
        <f>C47</f>
        <v/>
      </c>
      <c r="BQ47" s="229" t="n">
        <v>1412762.3921</v>
      </c>
      <c r="BR47" s="14">
        <f>BQ48</f>
        <v/>
      </c>
      <c r="BS47" s="14">
        <f>BQ47-BR47</f>
        <v/>
      </c>
      <c r="BT47" s="237">
        <f>BS47/BR47</f>
        <v/>
      </c>
      <c r="BU47" s="236" t="n">
        <v>-0.0103</v>
      </c>
      <c r="BV47" s="236" t="n"/>
      <c r="BX47" s="10">
        <f>C47</f>
        <v/>
      </c>
      <c r="BY47" s="229" t="n">
        <v>1701160.7019</v>
      </c>
      <c r="BZ47" s="14">
        <f>BY48</f>
        <v/>
      </c>
      <c r="CA47" s="14">
        <f>BY47-BZ47</f>
        <v/>
      </c>
      <c r="CB47" s="237">
        <f>CA47/BZ47</f>
        <v/>
      </c>
      <c r="CC47" s="236" t="n">
        <v>0.0189</v>
      </c>
      <c r="CD47" s="238" t="n"/>
      <c r="CF47" s="10">
        <f>C47</f>
        <v/>
      </c>
      <c r="CG47" s="225" t="n"/>
      <c r="CH47" s="14">
        <f>CG48</f>
        <v/>
      </c>
      <c r="CI47" s="14">
        <f>CG47-CH47</f>
        <v/>
      </c>
      <c r="CJ47" s="237">
        <f>CI47/CH47</f>
        <v/>
      </c>
      <c r="CK47" s="236" t="n"/>
      <c r="CL47" s="238" t="n"/>
      <c r="CN47" s="10">
        <f>C47</f>
        <v/>
      </c>
      <c r="CO47" s="225" t="n"/>
      <c r="CP47" s="14">
        <f>CO48</f>
        <v/>
      </c>
      <c r="CQ47" s="14">
        <f>CO47-CP47</f>
        <v/>
      </c>
      <c r="CR47" s="237">
        <f>CQ47/CP47</f>
        <v/>
      </c>
      <c r="CS47" s="238" t="n"/>
      <c r="CT47" s="238" t="n"/>
      <c r="CV47" s="10">
        <f>C47</f>
        <v/>
      </c>
      <c r="CW47" s="225" t="n"/>
      <c r="CX47" s="14">
        <f>CW48</f>
        <v/>
      </c>
      <c r="CY47" s="14">
        <f>CW47-CX47</f>
        <v/>
      </c>
      <c r="CZ47" s="237">
        <f>CY47/CX47</f>
        <v/>
      </c>
      <c r="DA47" s="236" t="n"/>
      <c r="DB47" s="236" t="n"/>
      <c r="DC47" s="255" t="n"/>
      <c r="DD47" s="10">
        <f>C47</f>
        <v/>
      </c>
      <c r="DE47" s="229" t="n">
        <v>6169135.9972</v>
      </c>
      <c r="DF47" s="14">
        <f>DE48</f>
        <v/>
      </c>
      <c r="DG47" s="14">
        <f>DE47-DF47</f>
        <v/>
      </c>
      <c r="DH47" s="237">
        <f>DG47/DF47</f>
        <v/>
      </c>
      <c r="DI47" s="236" t="n">
        <v>-0.0176</v>
      </c>
      <c r="DJ47" s="236" t="n"/>
      <c r="DK47" s="0" t="n"/>
      <c r="DL47" s="10">
        <f>C47</f>
        <v/>
      </c>
      <c r="DM47" s="225" t="n"/>
      <c r="DN47" s="14">
        <f>DM48</f>
        <v/>
      </c>
      <c r="DO47" s="14">
        <f>DM47-DN47</f>
        <v/>
      </c>
      <c r="DP47" s="237">
        <f>DO47/DN47</f>
        <v/>
      </c>
      <c r="DQ47" s="236" t="n"/>
      <c r="DR47" s="236" t="n"/>
      <c r="DT47" s="10">
        <f>C47</f>
        <v/>
      </c>
      <c r="DU47" s="225" t="n"/>
      <c r="DV47" s="14">
        <f>DU48</f>
        <v/>
      </c>
      <c r="DW47" s="14">
        <f>DU47-DV47</f>
        <v/>
      </c>
      <c r="DX47" s="237">
        <f>DW47/DV47</f>
        <v/>
      </c>
      <c r="DY47" s="236" t="n"/>
      <c r="DZ47" s="236" t="n"/>
      <c r="EB47" s="10">
        <f>C47</f>
        <v/>
      </c>
      <c r="EC47" s="225" t="n"/>
      <c r="ED47" s="14">
        <f>EC48</f>
        <v/>
      </c>
      <c r="EE47" s="14">
        <f>EC47-ED47</f>
        <v/>
      </c>
      <c r="EF47" s="237">
        <f>EE47/ED47</f>
        <v/>
      </c>
      <c r="EG47" s="236" t="n"/>
      <c r="EH47" s="236" t="n"/>
      <c r="EJ47" s="10">
        <f>C47</f>
        <v/>
      </c>
      <c r="EK47" s="229" t="n">
        <v>1213722.9669</v>
      </c>
      <c r="EL47" s="14">
        <f>EK48</f>
        <v/>
      </c>
      <c r="EM47" s="14">
        <f>EK47-EL47</f>
        <v/>
      </c>
      <c r="EN47" s="237">
        <f>EM47/EL47</f>
        <v/>
      </c>
      <c r="EO47" s="236" t="n">
        <v>-0.0131</v>
      </c>
      <c r="EP47" s="236" t="n"/>
      <c r="ER47" s="10">
        <f>C47</f>
        <v/>
      </c>
      <c r="ES47" s="225" t="n"/>
      <c r="ET47" s="14">
        <f>ES48</f>
        <v/>
      </c>
      <c r="EU47" s="14">
        <f>ES47-ET47</f>
        <v/>
      </c>
      <c r="EV47" s="237">
        <f>EU47/ET47</f>
        <v/>
      </c>
      <c r="EW47" s="236" t="n"/>
      <c r="EX47" s="236" t="n"/>
      <c r="EZ47" s="10">
        <f>C47</f>
        <v/>
      </c>
      <c r="FA47" s="225" t="n"/>
      <c r="FB47" s="14">
        <f>FA48</f>
        <v/>
      </c>
      <c r="FC47" s="14">
        <f>FA47-FB47</f>
        <v/>
      </c>
      <c r="FD47" s="237">
        <f>FC47/FB47</f>
        <v/>
      </c>
      <c r="FE47" s="236" t="n"/>
      <c r="FF47" s="236" t="n"/>
      <c r="FH47" s="10">
        <f>C47</f>
        <v/>
      </c>
      <c r="FI47" s="229" t="n">
        <v>940195.3365</v>
      </c>
      <c r="FJ47" s="14">
        <f>FI48</f>
        <v/>
      </c>
      <c r="FK47" s="14">
        <f>FI47-FJ47</f>
        <v/>
      </c>
      <c r="FL47" s="237">
        <f>FK47/FJ47</f>
        <v/>
      </c>
      <c r="FM47" s="238" t="n">
        <v>-0.003</v>
      </c>
      <c r="FN47" s="238" t="n"/>
      <c r="FP47" s="10">
        <f>C47</f>
        <v/>
      </c>
      <c r="FQ47" s="225" t="n"/>
      <c r="FR47" s="14">
        <f>FQ48</f>
        <v/>
      </c>
      <c r="FS47" s="14">
        <f>FQ47-FR47</f>
        <v/>
      </c>
      <c r="FT47" s="237">
        <f>FS47/FR47</f>
        <v/>
      </c>
      <c r="FU47" s="236" t="n"/>
      <c r="FV47" s="236" t="n"/>
      <c r="FX47" s="10">
        <f>C47</f>
        <v/>
      </c>
      <c r="FY47" s="225" t="n"/>
      <c r="FZ47" s="14">
        <f>FY48</f>
        <v/>
      </c>
      <c r="GA47" s="14">
        <f>FY47-FZ47</f>
        <v/>
      </c>
      <c r="GB47" s="237">
        <f>GA47/FZ47</f>
        <v/>
      </c>
      <c r="GC47" s="236" t="n"/>
      <c r="GD47" s="236" t="n"/>
      <c r="GF47" s="10">
        <f>C47</f>
        <v/>
      </c>
      <c r="GG47" s="225" t="n"/>
      <c r="GH47" s="14">
        <f>GG48</f>
        <v/>
      </c>
      <c r="GI47" s="14">
        <f>GG47-GH47</f>
        <v/>
      </c>
      <c r="GJ47" s="237">
        <f>GI47/GH47</f>
        <v/>
      </c>
      <c r="GK47" s="236" t="n"/>
      <c r="GL47" s="236" t="n"/>
      <c r="GN47" s="10">
        <f>C47</f>
        <v/>
      </c>
      <c r="GO47" s="229" t="n">
        <v>2022298.1217</v>
      </c>
      <c r="GP47" s="14">
        <f>GO48</f>
        <v/>
      </c>
      <c r="GQ47" s="14">
        <f>GO47-GP47</f>
        <v/>
      </c>
      <c r="GR47" s="237">
        <f>GQ47/GP47</f>
        <v/>
      </c>
      <c r="GS47" s="236" t="n">
        <v>0.0095</v>
      </c>
      <c r="GT47" s="236" t="n"/>
      <c r="GV47" s="10">
        <f>C47</f>
        <v/>
      </c>
      <c r="GW47" s="225" t="n"/>
      <c r="GX47" s="14">
        <f>GW48</f>
        <v/>
      </c>
      <c r="GY47" s="14">
        <f>GW47-GX47</f>
        <v/>
      </c>
      <c r="GZ47" s="237">
        <f>GY47/GX47</f>
        <v/>
      </c>
      <c r="HA47" s="236" t="n"/>
      <c r="HB47" s="236" t="n"/>
      <c r="HD47" s="10">
        <f>C47</f>
        <v/>
      </c>
      <c r="HE47" s="229" t="n">
        <v>778364.6746</v>
      </c>
      <c r="HF47" s="14">
        <f>HE48</f>
        <v/>
      </c>
      <c r="HG47" s="14">
        <f>HE47-HF47</f>
        <v/>
      </c>
      <c r="HH47" s="237">
        <f>HG47/HF47</f>
        <v/>
      </c>
      <c r="HI47" s="238" t="n">
        <v>-0.0067</v>
      </c>
      <c r="HJ47" s="236" t="n"/>
      <c r="HL47" s="10">
        <f>C47</f>
        <v/>
      </c>
      <c r="HM47" s="225" t="n"/>
      <c r="HN47" s="14">
        <f>HM48</f>
        <v/>
      </c>
      <c r="HO47" s="14">
        <f>HM47-HN47</f>
        <v/>
      </c>
      <c r="HP47" s="237">
        <f>HO47/HN47</f>
        <v/>
      </c>
      <c r="HQ47" s="236" t="n"/>
      <c r="HR47" s="236" t="n"/>
      <c r="HT47" s="10">
        <f>C47</f>
        <v/>
      </c>
      <c r="HU47" s="229" t="n">
        <v>131768.8265</v>
      </c>
      <c r="HV47" s="14">
        <f>HU48</f>
        <v/>
      </c>
      <c r="HW47" s="14">
        <f>HU47-HV47</f>
        <v/>
      </c>
      <c r="HX47" s="237">
        <f>HW47/HV47</f>
        <v/>
      </c>
      <c r="HY47" s="236" t="n">
        <v>0.013</v>
      </c>
      <c r="HZ47" s="236" t="n"/>
      <c r="IB47" s="10">
        <f>C47</f>
        <v/>
      </c>
      <c r="IC47" s="225" t="n"/>
      <c r="ID47" s="14">
        <f>IC48</f>
        <v/>
      </c>
      <c r="IE47" s="14">
        <f>IC47-ID47</f>
        <v/>
      </c>
      <c r="IF47" s="237">
        <f>IE47/ID47</f>
        <v/>
      </c>
      <c r="IG47" s="238" t="n"/>
      <c r="IH47" s="236" t="n"/>
      <c r="IJ47" s="10">
        <f>C47</f>
        <v/>
      </c>
      <c r="IK47" s="229" t="n">
        <v>913916.29</v>
      </c>
      <c r="IL47" s="14">
        <f>IK48</f>
        <v/>
      </c>
      <c r="IM47" s="14">
        <f>IK47-IL47</f>
        <v/>
      </c>
      <c r="IN47" s="237">
        <f>IM47/IL47</f>
        <v/>
      </c>
      <c r="IO47" s="236" t="n">
        <v>0.0077</v>
      </c>
      <c r="IP47" s="236" t="n"/>
      <c r="IR47" s="10">
        <f>C47</f>
        <v/>
      </c>
      <c r="IS47" s="225" t="n"/>
      <c r="IT47" s="14">
        <f>IS48</f>
        <v/>
      </c>
      <c r="IU47" s="14">
        <f>IS47-IT47</f>
        <v/>
      </c>
      <c r="IV47" s="237">
        <f>IU47/IT47</f>
        <v/>
      </c>
      <c r="IW47" s="236" t="n"/>
      <c r="IX47" s="236" t="n"/>
      <c r="IZ47" s="10">
        <f>C47</f>
        <v/>
      </c>
      <c r="JA47" s="225" t="n"/>
      <c r="JB47" s="14">
        <f>JA48</f>
        <v/>
      </c>
      <c r="JC47" s="14">
        <f>JA47-JB47</f>
        <v/>
      </c>
      <c r="JD47" s="237">
        <f>JC47/JB47</f>
        <v/>
      </c>
      <c r="JE47" s="236" t="n"/>
      <c r="JF47" s="236" t="n"/>
      <c r="JH47" s="10">
        <f>C47</f>
        <v/>
      </c>
      <c r="JI47" s="225" t="n"/>
      <c r="JJ47" s="14">
        <f>JI48</f>
        <v/>
      </c>
      <c r="JK47" s="14">
        <f>JI47-JJ47</f>
        <v/>
      </c>
      <c r="JL47" s="237">
        <f>JK47/JJ47</f>
        <v/>
      </c>
      <c r="JM47" s="236" t="n"/>
      <c r="JN47" s="236" t="n"/>
      <c r="JP47" s="10">
        <f>C47</f>
        <v/>
      </c>
      <c r="JQ47" s="229" t="n">
        <v>1031090.4148</v>
      </c>
      <c r="JR47" s="14">
        <f>JQ48</f>
        <v/>
      </c>
      <c r="JS47" s="14">
        <f>JQ47-JR47</f>
        <v/>
      </c>
      <c r="JT47" s="237">
        <f>JS47/JR47</f>
        <v/>
      </c>
      <c r="JU47" s="236" t="n">
        <v>-0.0063</v>
      </c>
      <c r="JV47" s="238" t="n"/>
      <c r="JX47" s="10">
        <f>C47</f>
        <v/>
      </c>
      <c r="JY47" s="225" t="n"/>
      <c r="JZ47" s="14">
        <f>JY48</f>
        <v/>
      </c>
      <c r="KA47" s="14">
        <f>JY47-JZ47</f>
        <v/>
      </c>
      <c r="KB47" s="237">
        <f>KA47/JZ47</f>
        <v/>
      </c>
      <c r="KC47" s="236" t="n"/>
      <c r="KD47" s="238" t="n"/>
      <c r="KF47" s="10">
        <f>C47</f>
        <v/>
      </c>
      <c r="KG47" s="229" t="n">
        <v>570155.9219</v>
      </c>
      <c r="KH47" s="14">
        <f>KG48</f>
        <v/>
      </c>
      <c r="KI47" s="14">
        <f>KG47-KH47</f>
        <v/>
      </c>
      <c r="KJ47" s="237">
        <f>KI47/KH47</f>
        <v/>
      </c>
      <c r="KK47" s="238" t="n">
        <v>-0.006</v>
      </c>
      <c r="KL47" s="238" t="n"/>
      <c r="KN47" s="10">
        <f>C47</f>
        <v/>
      </c>
      <c r="KO47" s="225" t="n"/>
      <c r="KP47" s="14">
        <f>KO48</f>
        <v/>
      </c>
      <c r="KQ47" s="14">
        <f>KO47-KP47</f>
        <v/>
      </c>
      <c r="KR47" s="237">
        <f>KQ47/KP47</f>
        <v/>
      </c>
      <c r="KS47" s="236" t="n"/>
      <c r="KT47" s="236" t="n"/>
      <c r="KV47" s="10">
        <f>C47</f>
        <v/>
      </c>
      <c r="KW47" s="229" t="n">
        <v>1039072.9726</v>
      </c>
      <c r="KX47" s="14">
        <f>KW48</f>
        <v/>
      </c>
      <c r="KY47" s="14">
        <f>KW47-KX47</f>
        <v/>
      </c>
      <c r="KZ47" s="237">
        <f>KY47/KX47</f>
        <v/>
      </c>
      <c r="LA47" s="238" t="n">
        <v>-0.0014</v>
      </c>
      <c r="LB47" s="236" t="n"/>
      <c r="LD47" s="10">
        <f>C47</f>
        <v/>
      </c>
      <c r="LE47" s="225" t="n"/>
      <c r="LF47" s="14">
        <f>LE48</f>
        <v/>
      </c>
      <c r="LG47" s="14">
        <f>LE47-LF47</f>
        <v/>
      </c>
      <c r="LH47" s="237">
        <f>LG47/LF47</f>
        <v/>
      </c>
      <c r="LI47" s="236" t="n"/>
      <c r="LJ47" s="236" t="n"/>
      <c r="LL47" s="10">
        <f>C47</f>
        <v/>
      </c>
      <c r="LM47" s="225" t="n"/>
      <c r="LN47" s="14">
        <f>LM48</f>
        <v/>
      </c>
      <c r="LO47" s="14">
        <f>LM47-LN47</f>
        <v/>
      </c>
      <c r="LP47" s="237">
        <f>LO47/LN47</f>
        <v/>
      </c>
      <c r="LQ47" s="236" t="n"/>
      <c r="LR47" s="236" t="n"/>
      <c r="LT47" s="10">
        <f>C47</f>
        <v/>
      </c>
      <c r="LU47" s="229" t="n">
        <v>2311262.904</v>
      </c>
      <c r="LV47" s="14">
        <f>LU48</f>
        <v/>
      </c>
      <c r="LW47" s="14">
        <f>LU47-LV47</f>
        <v/>
      </c>
      <c r="LX47" s="237">
        <f>LW47/LV47</f>
        <v/>
      </c>
      <c r="LY47" s="236" t="n">
        <v>0</v>
      </c>
      <c r="LZ47" s="236" t="n"/>
      <c r="MB47" s="10">
        <f>C47</f>
        <v/>
      </c>
      <c r="MC47" s="225" t="n"/>
      <c r="MD47" s="14">
        <f>MC48</f>
        <v/>
      </c>
      <c r="ME47" s="14">
        <f>MC47-MD47</f>
        <v/>
      </c>
      <c r="MF47" s="237">
        <f>ME47/MD47</f>
        <v/>
      </c>
      <c r="MG47" s="236" t="n"/>
      <c r="MH47" s="236" t="n"/>
      <c r="MK47" s="10">
        <f>C47</f>
        <v/>
      </c>
      <c r="ML47" s="229" t="n">
        <v>160065.5354</v>
      </c>
      <c r="MM47" s="14">
        <f>ML48</f>
        <v/>
      </c>
      <c r="MN47" s="14">
        <f>ML47-MM47</f>
        <v/>
      </c>
      <c r="MO47" s="237">
        <f>MN47/MM47</f>
        <v/>
      </c>
      <c r="MP47" s="236" t="n">
        <v>-0.0134</v>
      </c>
      <c r="MQ47" s="238" t="n"/>
      <c r="MR47" s="238" t="n"/>
      <c r="MT47" s="10">
        <f>C47</f>
        <v/>
      </c>
      <c r="MU47" s="225" t="n"/>
      <c r="MV47" s="240">
        <f>MU48</f>
        <v/>
      </c>
      <c r="MW47" s="10">
        <f>MU47-MV47</f>
        <v/>
      </c>
      <c r="MX47" s="236">
        <f>MW47/MV47</f>
        <v/>
      </c>
      <c r="MY47" s="236" t="n"/>
      <c r="MZ47" s="236" t="n"/>
      <c r="NA47" s="236" t="n"/>
      <c r="NC47" s="10">
        <f>C47</f>
        <v/>
      </c>
      <c r="ND47" s="225" t="n"/>
      <c r="NE47" s="240">
        <f>ND48</f>
        <v/>
      </c>
      <c r="NF47" s="10">
        <f>ND47-NE47</f>
        <v/>
      </c>
      <c r="NG47" s="236">
        <f>NF47/NE47</f>
        <v/>
      </c>
      <c r="NH47" s="236" t="n"/>
      <c r="NI47" s="236" t="n"/>
      <c r="NJ47" s="236" t="n"/>
      <c r="NK47" s="236" t="n"/>
      <c r="NM47" s="10">
        <f>C47</f>
        <v/>
      </c>
      <c r="NN47" s="225" t="n"/>
      <c r="NO47" s="10">
        <f>NN48</f>
        <v/>
      </c>
      <c r="NP47" s="10">
        <f>NN47-NO47</f>
        <v/>
      </c>
      <c r="NQ47" s="236">
        <f>NP47/NO47</f>
        <v/>
      </c>
      <c r="NR47" s="236" t="n"/>
      <c r="NS47" s="24" t="n"/>
      <c r="NU47" s="10">
        <f>C47</f>
        <v/>
      </c>
      <c r="NV47" s="225" t="n"/>
      <c r="NW47" s="240">
        <f>NV48</f>
        <v/>
      </c>
      <c r="NX47" s="10">
        <f>NV47-NW47</f>
        <v/>
      </c>
      <c r="NY47" s="236">
        <f>NX47/NW47</f>
        <v/>
      </c>
      <c r="NZ47" s="238" t="n"/>
      <c r="OA47" s="241" t="n"/>
      <c r="OC47" s="10">
        <f>C47</f>
        <v/>
      </c>
      <c r="OD47" s="225" t="n"/>
      <c r="OE47" s="14">
        <f>OD48</f>
        <v/>
      </c>
      <c r="OF47" s="14">
        <f>OD47-OE47</f>
        <v/>
      </c>
      <c r="OG47" s="237">
        <f>OF47/OE47</f>
        <v/>
      </c>
      <c r="OH47" s="236" t="n"/>
      <c r="OI47" s="236" t="n"/>
      <c r="OK47" s="10">
        <f>C47</f>
        <v/>
      </c>
      <c r="OL47" s="225" t="n"/>
      <c r="OM47" s="14">
        <f>OL48</f>
        <v/>
      </c>
      <c r="ON47" s="14">
        <f>OL47-OM47</f>
        <v/>
      </c>
      <c r="OO47" s="237">
        <f>ON47/OM47</f>
        <v/>
      </c>
      <c r="OP47" s="236" t="n"/>
      <c r="OQ47" s="236" t="n"/>
      <c r="OT47" s="201">
        <f>OK47</f>
        <v/>
      </c>
      <c r="OU47" s="199" t="n">
        <v>156912.4066</v>
      </c>
      <c r="OV47" s="9">
        <f>OU48</f>
        <v/>
      </c>
      <c r="OW47" s="671">
        <f>OU47-OV47</f>
        <v/>
      </c>
      <c r="OX47" s="182">
        <f>OW47/OV47</f>
        <v/>
      </c>
      <c r="OY47" s="0" t="n">
        <v>0.0116</v>
      </c>
    </row>
    <row r="48" ht="17" customFormat="1" customHeight="1" s="9">
      <c r="A48" s="631" t="n"/>
      <c r="B48" s="631" t="n"/>
      <c r="C48" s="631" t="inlineStr">
        <is>
          <t>2026//9/7</t>
        </is>
      </c>
      <c r="D48" s="20" t="n">
        <v>2364888.77</v>
      </c>
      <c r="E48" s="20">
        <f>D49</f>
        <v/>
      </c>
      <c r="F48" s="20">
        <f>D48-E48</f>
        <v/>
      </c>
      <c r="G48" s="163">
        <f>F48/E48</f>
        <v/>
      </c>
      <c r="H48" s="19" t="n">
        <v>0.0039</v>
      </c>
      <c r="I48" s="163" t="n"/>
      <c r="J48" s="163" t="n"/>
      <c r="K48" s="9">
        <f>C48</f>
        <v/>
      </c>
      <c r="L48" s="20" t="n">
        <v>1146484.4</v>
      </c>
      <c r="M48" s="20">
        <f>L49</f>
        <v/>
      </c>
      <c r="N48" s="20">
        <f>L48-M48</f>
        <v/>
      </c>
      <c r="O48" s="163">
        <f>N48/M48</f>
        <v/>
      </c>
      <c r="P48" s="19" t="n">
        <v>0.0045</v>
      </c>
      <c r="Q48" s="163" t="n"/>
      <c r="R48" s="20" t="n"/>
      <c r="S48" s="9">
        <f>C48</f>
        <v/>
      </c>
      <c r="T48" s="20" t="n">
        <v>701886.6800000001</v>
      </c>
      <c r="U48" s="20">
        <f>T49</f>
        <v/>
      </c>
      <c r="V48" s="20">
        <f>T48-U48</f>
        <v/>
      </c>
      <c r="W48" s="163">
        <f>V48/U48</f>
        <v/>
      </c>
      <c r="X48" s="19" t="n">
        <v>-0.0063</v>
      </c>
      <c r="Y48" s="163" t="n"/>
      <c r="Z48" s="20" t="n"/>
      <c r="AA48" s="9">
        <f>S48</f>
        <v/>
      </c>
      <c r="AB48" s="20" t="n">
        <v>553136.86</v>
      </c>
      <c r="AC48" s="20">
        <f>AB49</f>
        <v/>
      </c>
      <c r="AD48" s="20">
        <f>AB48-AC48</f>
        <v/>
      </c>
      <c r="AE48" s="163">
        <f>AD48/AC48</f>
        <v/>
      </c>
      <c r="AF48" s="19" t="n">
        <v>0.0128</v>
      </c>
      <c r="AG48" s="163" t="n"/>
      <c r="AH48" s="20" t="n"/>
      <c r="AI48" s="9">
        <f>C48</f>
        <v/>
      </c>
      <c r="AJ48" s="20" t="n">
        <v>657521.76</v>
      </c>
      <c r="AK48" s="20">
        <f>AJ49</f>
        <v/>
      </c>
      <c r="AL48" s="20">
        <f>AJ48-AK48</f>
        <v/>
      </c>
      <c r="AM48" s="163">
        <f>AL48/AK48</f>
        <v/>
      </c>
      <c r="AN48" s="19" t="n">
        <v>0.0174</v>
      </c>
      <c r="AO48" s="19" t="n"/>
      <c r="AP48" s="20" t="n"/>
      <c r="AQ48" s="9">
        <f>C48</f>
        <v/>
      </c>
      <c r="AR48" s="634" t="n">
        <v>1929145.4936</v>
      </c>
      <c r="AS48" s="20">
        <f>AR49</f>
        <v/>
      </c>
      <c r="AT48" s="20">
        <f>AR48-AS48</f>
        <v/>
      </c>
      <c r="AU48" s="163">
        <f>AT48/AS48</f>
        <v/>
      </c>
      <c r="AV48" s="19" t="n">
        <v>0.033</v>
      </c>
      <c r="AW48" s="19" t="n"/>
      <c r="AX48" s="5" t="n"/>
      <c r="AY48" s="5" t="n"/>
      <c r="AZ48" s="9">
        <f>C48</f>
        <v/>
      </c>
      <c r="BA48" s="220" t="n">
        <v>628761.6676</v>
      </c>
      <c r="BB48" s="24">
        <f>BA49</f>
        <v/>
      </c>
      <c r="BC48" s="5">
        <f>BA48-BB48</f>
        <v/>
      </c>
      <c r="BD48" s="19">
        <f>BC48/BB48</f>
        <v/>
      </c>
      <c r="BE48" s="19" t="n">
        <v>0.0048</v>
      </c>
      <c r="BF48" s="19" t="n"/>
      <c r="BG48" s="647" t="n"/>
      <c r="BH48" s="9">
        <f>C48</f>
        <v/>
      </c>
      <c r="BI48" s="221" t="n">
        <v>1156326.5525</v>
      </c>
      <c r="BJ48" s="184">
        <f>BI49</f>
        <v/>
      </c>
      <c r="BK48" s="184">
        <f>BI48-BJ48</f>
        <v/>
      </c>
      <c r="BL48" s="190">
        <f>BK48/BJ48</f>
        <v/>
      </c>
      <c r="BM48" s="191" t="n">
        <v>0.0067</v>
      </c>
      <c r="BN48" s="182" t="n"/>
      <c r="BP48" s="9">
        <f>C48</f>
        <v/>
      </c>
      <c r="BQ48" s="672" t="n">
        <v>1401862.3921</v>
      </c>
      <c r="BR48" s="13">
        <f>BQ49</f>
        <v/>
      </c>
      <c r="BS48" s="13">
        <f>BQ48-BR48</f>
        <v/>
      </c>
      <c r="BT48" s="193">
        <f>BS48/BR48</f>
        <v/>
      </c>
      <c r="BU48" s="182" t="n">
        <v>-0.0073</v>
      </c>
      <c r="BV48" s="182" t="n"/>
      <c r="BX48" s="9">
        <f>C48</f>
        <v/>
      </c>
      <c r="BY48" s="222" t="n">
        <v>1697110.7019</v>
      </c>
      <c r="BZ48" s="13">
        <f>BY49</f>
        <v/>
      </c>
      <c r="CA48" s="13">
        <f>BY48-BZ48</f>
        <v/>
      </c>
      <c r="CB48" s="193">
        <f>CA48/BZ48</f>
        <v/>
      </c>
      <c r="CC48" s="182" t="n">
        <v>-0.01</v>
      </c>
      <c r="CD48" s="194" t="n"/>
      <c r="CF48" s="9">
        <f>C48</f>
        <v/>
      </c>
      <c r="CG48" s="215" t="n">
        <v>1435053.9</v>
      </c>
      <c r="CH48" s="13">
        <f>CG49</f>
        <v/>
      </c>
      <c r="CI48" s="13">
        <f>CG48-CH48</f>
        <v/>
      </c>
      <c r="CJ48" s="193">
        <f>CI48/CH48</f>
        <v/>
      </c>
      <c r="CK48" s="182" t="n">
        <v>-0.0064</v>
      </c>
      <c r="CL48" s="194" t="n"/>
      <c r="CN48" s="9">
        <f>C48</f>
        <v/>
      </c>
      <c r="CO48" s="215" t="n">
        <v>523946.48</v>
      </c>
      <c r="CP48" s="13">
        <f>CO49</f>
        <v/>
      </c>
      <c r="CQ48" s="13">
        <f>CO48-CP48</f>
        <v/>
      </c>
      <c r="CR48" s="193">
        <f>CQ48/CP48</f>
        <v/>
      </c>
      <c r="CS48" s="194" t="n">
        <v>-0.0081</v>
      </c>
      <c r="CT48" s="194" t="n"/>
      <c r="CV48" s="9">
        <f>C48</f>
        <v/>
      </c>
      <c r="CW48" s="185" t="n">
        <v>638090.4</v>
      </c>
      <c r="CX48" s="13">
        <f>CW49</f>
        <v/>
      </c>
      <c r="CY48" s="13">
        <f>CW48-CX48</f>
        <v/>
      </c>
      <c r="CZ48" s="193">
        <f>CY48/CX48</f>
        <v/>
      </c>
      <c r="DA48" s="182" t="n">
        <v>-0.0217</v>
      </c>
      <c r="DB48" s="182" t="n"/>
      <c r="DC48" s="256" t="n"/>
      <c r="DD48" s="9">
        <f>C48</f>
        <v/>
      </c>
      <c r="DE48" s="222" t="n">
        <v>6164935.9972</v>
      </c>
      <c r="DF48" s="13">
        <f>DE49</f>
        <v/>
      </c>
      <c r="DG48" s="13">
        <f>DE48-DF48</f>
        <v/>
      </c>
      <c r="DH48" s="193">
        <f>DG48/DF48</f>
        <v/>
      </c>
      <c r="DI48" s="182" t="n">
        <v>0.0381</v>
      </c>
      <c r="DJ48" s="182" t="n"/>
      <c r="DK48" s="0" t="n"/>
      <c r="DL48" s="9">
        <f>C48</f>
        <v/>
      </c>
      <c r="DM48" s="185" t="n">
        <v>2020600.72</v>
      </c>
      <c r="DN48" s="13">
        <f>DM49</f>
        <v/>
      </c>
      <c r="DO48" s="13">
        <f>DM48-DN48</f>
        <v/>
      </c>
      <c r="DP48" s="193">
        <f>DO48/DN48</f>
        <v/>
      </c>
      <c r="DQ48" s="182" t="n">
        <v>0.0266</v>
      </c>
      <c r="DR48" s="182" t="n"/>
      <c r="DT48" s="9">
        <f>C48</f>
        <v/>
      </c>
      <c r="DU48" s="185" t="n">
        <v>4309918.43</v>
      </c>
      <c r="DV48" s="13">
        <f>DU49</f>
        <v/>
      </c>
      <c r="DW48" s="13">
        <f>DU48-DV48</f>
        <v/>
      </c>
      <c r="DX48" s="193">
        <f>DW48/DV48</f>
        <v/>
      </c>
      <c r="DY48" s="182" t="n">
        <v>0.0308</v>
      </c>
      <c r="DZ48" s="182" t="n"/>
      <c r="EB48" s="9">
        <f>C48</f>
        <v/>
      </c>
      <c r="EC48" s="185" t="n">
        <v>5353466.82</v>
      </c>
      <c r="ED48" s="13">
        <f>EC49</f>
        <v/>
      </c>
      <c r="EE48" s="13">
        <f>EC48-ED48</f>
        <v/>
      </c>
      <c r="EF48" s="193">
        <f>EE48/ED48</f>
        <v/>
      </c>
      <c r="EG48" s="182" t="n">
        <v>0.0222</v>
      </c>
      <c r="EH48" s="182" t="n"/>
      <c r="EJ48" s="9">
        <f>C48</f>
        <v/>
      </c>
      <c r="EK48" s="222" t="n">
        <v>1213722.9669</v>
      </c>
      <c r="EL48" s="13">
        <f>EK49</f>
        <v/>
      </c>
      <c r="EM48" s="13">
        <f>EK48-EL48</f>
        <v/>
      </c>
      <c r="EN48" s="193">
        <f>EM48/EL48</f>
        <v/>
      </c>
      <c r="EO48" s="182" t="n">
        <v>0.0264</v>
      </c>
      <c r="EP48" s="182" t="n"/>
      <c r="ER48" s="9">
        <f>C48</f>
        <v/>
      </c>
      <c r="ES48" s="9" t="n">
        <v>755294.04</v>
      </c>
      <c r="ET48" s="13">
        <f>ES49</f>
        <v/>
      </c>
      <c r="EU48" s="13">
        <f>ES48-ET48</f>
        <v/>
      </c>
      <c r="EV48" s="193">
        <f>EU48/ET48</f>
        <v/>
      </c>
      <c r="EW48" s="182" t="n">
        <v>0.0231</v>
      </c>
      <c r="EX48" s="182" t="n"/>
      <c r="EZ48" s="9">
        <f>C48</f>
        <v/>
      </c>
      <c r="FA48" s="185" t="n">
        <v>649608</v>
      </c>
      <c r="FB48" s="13">
        <f>FA49</f>
        <v/>
      </c>
      <c r="FC48" s="13">
        <f>FA48-FB48</f>
        <v/>
      </c>
      <c r="FD48" s="193">
        <f>FC48/FB48</f>
        <v/>
      </c>
      <c r="FE48" s="182" t="n">
        <v>0.0026</v>
      </c>
      <c r="FF48" s="182" t="n"/>
      <c r="FH48" s="9">
        <f>C48</f>
        <v/>
      </c>
      <c r="FI48" s="672" t="n">
        <v>943095.3365</v>
      </c>
      <c r="FJ48" s="13">
        <f>FI49</f>
        <v/>
      </c>
      <c r="FK48" s="13">
        <f>FI48-FJ48</f>
        <v/>
      </c>
      <c r="FL48" s="193">
        <f>FK48/FJ48</f>
        <v/>
      </c>
      <c r="FM48" s="194" t="n">
        <v>0.0074</v>
      </c>
      <c r="FN48" s="194" t="n"/>
      <c r="FP48" s="9">
        <f>C48</f>
        <v/>
      </c>
      <c r="FQ48" s="185" t="n">
        <v>1840768.73</v>
      </c>
      <c r="FR48" s="13">
        <f>FQ49</f>
        <v/>
      </c>
      <c r="FS48" s="13">
        <f>FQ48-FR48</f>
        <v/>
      </c>
      <c r="FT48" s="193">
        <f>FS48/FR48</f>
        <v/>
      </c>
      <c r="FU48" s="182" t="n">
        <v>0.0192</v>
      </c>
      <c r="FV48" s="182" t="n"/>
      <c r="FX48" s="9">
        <f>C48</f>
        <v/>
      </c>
      <c r="FY48" s="185" t="n">
        <v>7175982.05</v>
      </c>
      <c r="FZ48" s="13">
        <f>FY49</f>
        <v/>
      </c>
      <c r="GA48" s="13">
        <f>FY48-FZ48</f>
        <v/>
      </c>
      <c r="GB48" s="193">
        <f>GA48/FZ48</f>
        <v/>
      </c>
      <c r="GC48" s="182" t="n">
        <v>-0.0059</v>
      </c>
      <c r="GD48" s="182" t="n"/>
      <c r="GF48" s="9">
        <f>C48</f>
        <v/>
      </c>
      <c r="GG48" s="185" t="n">
        <v>4008369.49</v>
      </c>
      <c r="GH48" s="13">
        <f>GG49</f>
        <v/>
      </c>
      <c r="GI48" s="13">
        <f>GG48-GH48</f>
        <v/>
      </c>
      <c r="GJ48" s="193">
        <f>GI48/GH48</f>
        <v/>
      </c>
      <c r="GK48" s="182" t="n">
        <v>-0.0053</v>
      </c>
      <c r="GL48" s="182" t="n"/>
      <c r="GN48" s="9">
        <f>C48</f>
        <v/>
      </c>
      <c r="GO48" s="222" t="n">
        <v>2020438.1217</v>
      </c>
      <c r="GP48" s="13">
        <f>GO49</f>
        <v/>
      </c>
      <c r="GQ48" s="13">
        <f>GO48-GP48</f>
        <v/>
      </c>
      <c r="GR48" s="193">
        <f>GQ48/GP48</f>
        <v/>
      </c>
      <c r="GS48" s="182" t="n">
        <v>-0.0047</v>
      </c>
      <c r="GT48" s="182" t="n"/>
      <c r="GV48" s="9">
        <f>C48</f>
        <v/>
      </c>
      <c r="GW48" s="185" t="n">
        <v>600749.4</v>
      </c>
      <c r="GX48" s="13">
        <f>GW49</f>
        <v/>
      </c>
      <c r="GY48" s="13">
        <f>GW48-GX48</f>
        <v/>
      </c>
      <c r="GZ48" s="193">
        <f>GY48/GX48</f>
        <v/>
      </c>
      <c r="HA48" s="182" t="n">
        <v>0.0161</v>
      </c>
      <c r="HB48" s="182" t="n"/>
      <c r="HD48" s="9">
        <f>C48</f>
        <v/>
      </c>
      <c r="HE48" s="222" t="n">
        <v>775764.6746</v>
      </c>
      <c r="HF48" s="13">
        <f>HE49</f>
        <v/>
      </c>
      <c r="HG48" s="13">
        <f>HE48-HF48</f>
        <v/>
      </c>
      <c r="HH48" s="193">
        <f>HG48/HF48</f>
        <v/>
      </c>
      <c r="HI48" s="194" t="n">
        <v>0.0045</v>
      </c>
      <c r="HJ48" s="182" t="n"/>
      <c r="HL48" s="9">
        <f>C48</f>
        <v/>
      </c>
      <c r="HM48" s="185" t="n">
        <v>117254.25</v>
      </c>
      <c r="HN48" s="13">
        <f>HM49</f>
        <v/>
      </c>
      <c r="HO48" s="13">
        <f>HM48-HN48</f>
        <v/>
      </c>
      <c r="HP48" s="193">
        <f>HO48/HN48</f>
        <v/>
      </c>
      <c r="HQ48" s="182" t="n">
        <v>0.0018</v>
      </c>
      <c r="HR48" s="182" t="n"/>
      <c r="HT48" s="9">
        <f>C48</f>
        <v/>
      </c>
      <c r="HU48" s="222" t="n">
        <v>134168.8265</v>
      </c>
      <c r="HV48" s="13">
        <f>HU49</f>
        <v/>
      </c>
      <c r="HW48" s="13">
        <f>HU48-HV48</f>
        <v/>
      </c>
      <c r="HX48" s="193">
        <f>HW48/HV48</f>
        <v/>
      </c>
      <c r="HY48" s="182" t="n">
        <v>-0.0056</v>
      </c>
      <c r="HZ48" s="182" t="n"/>
      <c r="IB48" s="9">
        <f>C48</f>
        <v/>
      </c>
      <c r="IC48" s="185" t="n">
        <v>324334.79</v>
      </c>
      <c r="ID48" s="13">
        <f>IC49</f>
        <v/>
      </c>
      <c r="IE48" s="13">
        <f>IC48-ID48</f>
        <v/>
      </c>
      <c r="IF48" s="193">
        <f>IE48/ID48</f>
        <v/>
      </c>
      <c r="IG48" s="194" t="n">
        <v>-0.0016</v>
      </c>
      <c r="IH48" s="182" t="n"/>
      <c r="IJ48" s="9">
        <f>C48</f>
        <v/>
      </c>
      <c r="IK48" s="222" t="n">
        <v>921516.29</v>
      </c>
      <c r="IL48" s="13">
        <f>IK49</f>
        <v/>
      </c>
      <c r="IM48" s="13">
        <f>IK48-IL48</f>
        <v/>
      </c>
      <c r="IN48" s="193">
        <f>IM48/IL48</f>
        <v/>
      </c>
      <c r="IO48" s="182" t="n">
        <v>-0.0086</v>
      </c>
      <c r="IP48" s="182" t="n"/>
      <c r="IR48" s="9">
        <f>C48</f>
        <v/>
      </c>
      <c r="IS48" s="222" t="n">
        <v>150589</v>
      </c>
      <c r="IT48" s="13">
        <f>IS49</f>
        <v/>
      </c>
      <c r="IU48" s="13">
        <f>IS48-IT48</f>
        <v/>
      </c>
      <c r="IV48" s="193">
        <f>IU48/IT48</f>
        <v/>
      </c>
      <c r="IW48" s="182" t="n">
        <v>0.0054</v>
      </c>
      <c r="IX48" s="182" t="n"/>
      <c r="IZ48" s="9">
        <f>C48</f>
        <v/>
      </c>
      <c r="JA48" s="185" t="n">
        <v>5596029.15</v>
      </c>
      <c r="JB48" s="13">
        <f>JA49</f>
        <v/>
      </c>
      <c r="JC48" s="13">
        <f>JA48-JB48</f>
        <v/>
      </c>
      <c r="JD48" s="193">
        <f>JC48/JB48</f>
        <v/>
      </c>
      <c r="JE48" s="182" t="n">
        <v>-0.0127</v>
      </c>
      <c r="JF48" s="182" t="n"/>
      <c r="JH48" s="9">
        <f>C48</f>
        <v/>
      </c>
      <c r="JI48" s="185" t="n">
        <v>1162407.99</v>
      </c>
      <c r="JJ48" s="13">
        <f>JI49</f>
        <v/>
      </c>
      <c r="JK48" s="13">
        <f>JI48-JJ48</f>
        <v/>
      </c>
      <c r="JL48" s="193">
        <f>JK48/JJ48</f>
        <v/>
      </c>
      <c r="JM48" s="182" t="n">
        <v>-0.0153</v>
      </c>
      <c r="JN48" s="182" t="n"/>
      <c r="JP48" s="9">
        <f>C48</f>
        <v/>
      </c>
      <c r="JQ48" s="222" t="n">
        <v>1028490.4148</v>
      </c>
      <c r="JR48" s="13">
        <f>JQ49</f>
        <v/>
      </c>
      <c r="JS48" s="13">
        <f>JQ48-JR48</f>
        <v/>
      </c>
      <c r="JT48" s="193">
        <f>JS48/JR48</f>
        <v/>
      </c>
      <c r="JU48" s="182" t="n">
        <v>-0.0185</v>
      </c>
      <c r="JV48" s="194" t="n"/>
      <c r="JX48" s="9">
        <f>C48</f>
        <v/>
      </c>
      <c r="JY48" s="222" t="n">
        <v>970998.8</v>
      </c>
      <c r="JZ48" s="13">
        <f>JY49</f>
        <v/>
      </c>
      <c r="KA48" s="13">
        <f>JY48-JZ48</f>
        <v/>
      </c>
      <c r="KB48" s="193">
        <f>KA48/JZ48</f>
        <v/>
      </c>
      <c r="KC48" s="182" t="n">
        <v>-0.0147</v>
      </c>
      <c r="KD48" s="194" t="n"/>
      <c r="KF48" s="9">
        <f>C48</f>
        <v/>
      </c>
      <c r="KG48" s="222" t="n">
        <v>570155.9219</v>
      </c>
      <c r="KH48" s="13">
        <f>KG49</f>
        <v/>
      </c>
      <c r="KI48" s="13">
        <f>KG48-KH48</f>
        <v/>
      </c>
      <c r="KJ48" s="193">
        <f>KI48/KH48</f>
        <v/>
      </c>
      <c r="KK48" s="194" t="n">
        <v>-0.009299999999999999</v>
      </c>
      <c r="KL48" s="194" t="n"/>
      <c r="KN48" s="9">
        <f>C48</f>
        <v/>
      </c>
      <c r="KO48" s="185" t="n">
        <v>6954675.95</v>
      </c>
      <c r="KP48" s="13">
        <f>KO49</f>
        <v/>
      </c>
      <c r="KQ48" s="13">
        <f>KO48-KP48</f>
        <v/>
      </c>
      <c r="KR48" s="193">
        <f>KQ48/KP48</f>
        <v/>
      </c>
      <c r="KS48" s="182" t="n">
        <v>-0.0052</v>
      </c>
      <c r="KT48" s="182" t="n"/>
      <c r="KV48" s="9">
        <f>C48</f>
        <v/>
      </c>
      <c r="KW48" s="222" t="n">
        <v>1039072.9726</v>
      </c>
      <c r="KX48" s="13">
        <f>KW49</f>
        <v/>
      </c>
      <c r="KY48" s="13">
        <f>KW48-KX48</f>
        <v/>
      </c>
      <c r="KZ48" s="193">
        <f>KY48/KX48</f>
        <v/>
      </c>
      <c r="LA48" s="194" t="n">
        <v>-0.0125</v>
      </c>
      <c r="LB48" s="182" t="n"/>
      <c r="LD48" s="9">
        <f>C48</f>
        <v/>
      </c>
      <c r="LE48" s="185" t="n">
        <v>378957.7</v>
      </c>
      <c r="LF48" s="13">
        <f>LE49</f>
        <v/>
      </c>
      <c r="LG48" s="13">
        <f>LE48-LF48</f>
        <v/>
      </c>
      <c r="LH48" s="193">
        <f>LG48/LF48</f>
        <v/>
      </c>
      <c r="LI48" s="182" t="n">
        <v>0.008399999999999999</v>
      </c>
      <c r="LJ48" s="182" t="n"/>
      <c r="LL48" s="9">
        <f>C48</f>
        <v/>
      </c>
      <c r="LM48" s="672" t="n">
        <v>3173335.02</v>
      </c>
      <c r="LN48" s="13">
        <f>LM49</f>
        <v/>
      </c>
      <c r="LO48" s="13">
        <f>LM48-LN48</f>
        <v/>
      </c>
      <c r="LP48" s="193">
        <f>LO48/LN48</f>
        <v/>
      </c>
      <c r="LQ48" s="182" t="n">
        <v>-0.0023</v>
      </c>
      <c r="LR48" s="182" t="n"/>
      <c r="LT48" s="9">
        <f>C48</f>
        <v/>
      </c>
      <c r="LU48" s="222" t="n">
        <v>2310462.904</v>
      </c>
      <c r="LV48" s="13">
        <f>LU49</f>
        <v/>
      </c>
      <c r="LW48" s="13">
        <f>LU48-LV48</f>
        <v/>
      </c>
      <c r="LX48" s="193">
        <f>LW48/LV48</f>
        <v/>
      </c>
      <c r="LY48" s="182" t="n">
        <v>-0.0058</v>
      </c>
      <c r="LZ48" s="182" t="n"/>
      <c r="MB48" s="9">
        <f>C48</f>
        <v/>
      </c>
      <c r="MC48" s="185" t="n">
        <v>841517.6899999999</v>
      </c>
      <c r="MD48" s="13">
        <f>MC49</f>
        <v/>
      </c>
      <c r="ME48" s="13">
        <f>MC48-MD48</f>
        <v/>
      </c>
      <c r="MF48" s="193">
        <f>ME48/MD48</f>
        <v/>
      </c>
      <c r="MG48" s="182" t="n">
        <v>-0.0216</v>
      </c>
      <c r="MH48" s="182" t="n"/>
      <c r="MI48" s="9" t="n"/>
      <c r="MJ48" s="9" t="n"/>
      <c r="MK48" s="9">
        <f>C48</f>
        <v/>
      </c>
      <c r="ML48" s="223" t="n">
        <v>159105.5354</v>
      </c>
      <c r="MM48" s="13">
        <f>ML49</f>
        <v/>
      </c>
      <c r="MN48" s="13">
        <f>ML48-MM48</f>
        <v/>
      </c>
      <c r="MO48" s="193">
        <f>MN48/MM48</f>
        <v/>
      </c>
      <c r="MP48" s="182" t="n">
        <v>0</v>
      </c>
      <c r="MQ48" s="194" t="n"/>
      <c r="MR48" s="194" t="n"/>
      <c r="MT48" s="9">
        <f>C48</f>
        <v/>
      </c>
      <c r="MU48" s="9" t="n">
        <v>135014.8</v>
      </c>
      <c r="MV48" s="188">
        <f>MU49</f>
        <v/>
      </c>
      <c r="MW48" s="9">
        <f>MU48-MV48</f>
        <v/>
      </c>
      <c r="MX48" s="182">
        <f>MW48/MV48</f>
        <v/>
      </c>
      <c r="MY48" s="182" t="n">
        <v>-0.0134</v>
      </c>
      <c r="MZ48" s="182" t="n"/>
      <c r="NA48" s="182" t="n"/>
      <c r="NC48" s="9">
        <f>C48</f>
        <v/>
      </c>
      <c r="ND48" s="9" t="n">
        <v>32891.48</v>
      </c>
      <c r="NE48" s="188">
        <f>ND49</f>
        <v/>
      </c>
      <c r="NF48" s="9">
        <f>ND48-NE48</f>
        <v/>
      </c>
      <c r="NG48" s="182">
        <f>NF48/NE48</f>
        <v/>
      </c>
      <c r="NH48" s="182" t="n">
        <v>-0.0121</v>
      </c>
      <c r="NI48" s="182" t="n"/>
      <c r="NJ48" s="182" t="n"/>
      <c r="NK48" s="182" t="n"/>
      <c r="NM48" s="9">
        <f>C48</f>
        <v/>
      </c>
      <c r="NN48" s="9" t="n">
        <v>2635111.08</v>
      </c>
      <c r="NO48" s="9">
        <f>NN49</f>
        <v/>
      </c>
      <c r="NP48" s="197">
        <f>NN48-NO48</f>
        <v/>
      </c>
      <c r="NQ48" s="198">
        <f>NP48/NO48</f>
        <v/>
      </c>
      <c r="NR48" s="182" t="n">
        <v>-0.009900000000000001</v>
      </c>
      <c r="NS48" s="0" t="n"/>
      <c r="NU48" s="9">
        <f>C48</f>
        <v/>
      </c>
      <c r="NV48" s="9" t="n">
        <v>227876.5</v>
      </c>
      <c r="NW48" s="188">
        <f>NV49</f>
        <v/>
      </c>
      <c r="NX48" s="197">
        <f>NV48-NW48</f>
        <v/>
      </c>
      <c r="NY48" s="198">
        <f>NX48/NW48</f>
        <v/>
      </c>
      <c r="NZ48" s="194" t="n">
        <v>-0.0052</v>
      </c>
      <c r="OA48" s="185" t="n"/>
      <c r="OC48" s="9">
        <f>C48</f>
        <v/>
      </c>
      <c r="OD48" s="185" t="n">
        <v>19820.97</v>
      </c>
      <c r="OE48" s="13">
        <f>OD49</f>
        <v/>
      </c>
      <c r="OF48" s="13">
        <f>OD48-OE48</f>
        <v/>
      </c>
      <c r="OG48" s="193">
        <f>OF48/OE48</f>
        <v/>
      </c>
      <c r="OH48" s="182" t="n">
        <v>-0.0002</v>
      </c>
      <c r="OI48" s="182" t="n"/>
      <c r="OK48" s="9">
        <f>C48</f>
        <v/>
      </c>
      <c r="OL48" s="185" t="n">
        <v>17105.65</v>
      </c>
      <c r="OM48" s="13">
        <f>OL49</f>
        <v/>
      </c>
      <c r="ON48" s="13">
        <f>OL48-OM48</f>
        <v/>
      </c>
      <c r="OO48" s="193">
        <f>ON48/OM48</f>
        <v/>
      </c>
      <c r="OP48" s="182" t="n">
        <v>0.0001</v>
      </c>
      <c r="OQ48" s="182" t="n"/>
      <c r="OT48" s="201">
        <f>OK48</f>
        <v/>
      </c>
      <c r="OU48" s="199" t="n">
        <v>156792.4066</v>
      </c>
      <c r="OV48" s="9">
        <f>OU49</f>
        <v/>
      </c>
      <c r="OW48" s="671">
        <f>OU48-OV48</f>
        <v/>
      </c>
      <c r="OX48" s="182">
        <f>OW48/OV48</f>
        <v/>
      </c>
      <c r="OY48" s="0" t="n">
        <v>-0.0008</v>
      </c>
    </row>
    <row r="49" ht="17" customFormat="1" customHeight="1" s="9">
      <c r="A49" s="631" t="n"/>
      <c r="B49" s="631" t="n"/>
      <c r="C49" s="631" t="inlineStr">
        <is>
          <t>2026//9/4</t>
        </is>
      </c>
      <c r="D49" s="20" t="n">
        <v>2337708.77</v>
      </c>
      <c r="E49" s="20">
        <f>D50</f>
        <v/>
      </c>
      <c r="F49" s="20">
        <f>D49-E49</f>
        <v/>
      </c>
      <c r="G49" s="163">
        <f>F49/E49</f>
        <v/>
      </c>
      <c r="H49" s="19" t="n">
        <v>-0.0011</v>
      </c>
      <c r="I49" s="163" t="n"/>
      <c r="J49" s="163" t="n"/>
      <c r="K49" s="9">
        <f>C49</f>
        <v/>
      </c>
      <c r="L49" s="20" t="n">
        <v>1135324.4</v>
      </c>
      <c r="M49" s="20">
        <f>L50</f>
        <v/>
      </c>
      <c r="N49" s="20">
        <f>L49-M49</f>
        <v/>
      </c>
      <c r="O49" s="163">
        <f>N49/M49</f>
        <v/>
      </c>
      <c r="P49" s="19" t="n">
        <v>-0.0009</v>
      </c>
      <c r="Q49" s="163" t="n"/>
      <c r="R49" s="20" t="n"/>
      <c r="S49" s="9">
        <f>C49</f>
        <v/>
      </c>
      <c r="T49" s="20" t="n">
        <v>681096.6800000001</v>
      </c>
      <c r="U49" s="20">
        <f>T50</f>
        <v/>
      </c>
      <c r="V49" s="20">
        <f>T49-U49</f>
        <v/>
      </c>
      <c r="W49" s="163">
        <f>V49/U49</f>
        <v/>
      </c>
      <c r="X49" s="19" t="n">
        <v>0.002</v>
      </c>
      <c r="Y49" s="163" t="n"/>
      <c r="Z49" s="20" t="n"/>
      <c r="AA49" s="9">
        <f>S49</f>
        <v/>
      </c>
      <c r="AB49" s="20" t="n">
        <v>521936.86</v>
      </c>
      <c r="AC49" s="20">
        <f>AB50</f>
        <v/>
      </c>
      <c r="AD49" s="20">
        <f>AB49-AC49</f>
        <v/>
      </c>
      <c r="AE49" s="163">
        <f>AD49/AC49</f>
        <v/>
      </c>
      <c r="AF49" s="19" t="n">
        <v>-0.0139</v>
      </c>
      <c r="AG49" s="163" t="n"/>
      <c r="AH49" s="20" t="n"/>
      <c r="AI49" s="9">
        <f>C49</f>
        <v/>
      </c>
      <c r="AJ49" s="20" t="n">
        <v>655721.76</v>
      </c>
      <c r="AK49" s="20">
        <f>AJ50</f>
        <v/>
      </c>
      <c r="AL49" s="20">
        <f>AJ49-AK49</f>
        <v/>
      </c>
      <c r="AM49" s="163">
        <f>AL49/AK49</f>
        <v/>
      </c>
      <c r="AN49" s="19" t="n">
        <v>-0.0136</v>
      </c>
      <c r="AO49" s="19" t="n"/>
      <c r="AP49" s="20" t="n"/>
      <c r="AQ49" s="9">
        <f>C49</f>
        <v/>
      </c>
      <c r="AR49" s="634" t="n">
        <v>2008945.4936</v>
      </c>
      <c r="AS49" s="20">
        <f>AR50</f>
        <v/>
      </c>
      <c r="AT49" s="20">
        <f>AR49-AS49</f>
        <v/>
      </c>
      <c r="AU49" s="163">
        <f>AT49/AS49</f>
        <v/>
      </c>
      <c r="AV49" s="19" t="n">
        <v>-0.0075</v>
      </c>
      <c r="AW49" s="19" t="n"/>
      <c r="AX49" s="5" t="n"/>
      <c r="AY49" s="5" t="n"/>
      <c r="AZ49" s="9">
        <f>C49</f>
        <v/>
      </c>
      <c r="BA49" s="220" t="n">
        <v>625341.6676</v>
      </c>
      <c r="BB49" s="24">
        <f>BA50</f>
        <v/>
      </c>
      <c r="BC49" s="5">
        <f>BA49-BB49</f>
        <v/>
      </c>
      <c r="BD49" s="19">
        <f>BC49/BB49</f>
        <v/>
      </c>
      <c r="BE49" s="19" t="n">
        <v>-0.0008</v>
      </c>
      <c r="BF49" s="19" t="n"/>
      <c r="BG49" s="647" t="n"/>
      <c r="BH49" s="9">
        <f>C49</f>
        <v/>
      </c>
      <c r="BI49" s="221" t="n">
        <v>1159126.5525</v>
      </c>
      <c r="BJ49" s="184">
        <f>BI50</f>
        <v/>
      </c>
      <c r="BK49" s="184">
        <f>BI49-BJ49</f>
        <v/>
      </c>
      <c r="BL49" s="190">
        <f>BK49/BJ49</f>
        <v/>
      </c>
      <c r="BM49" s="191" t="n">
        <v>-0.0048</v>
      </c>
      <c r="BN49" s="182" t="n"/>
      <c r="BP49" s="9">
        <f>C49</f>
        <v/>
      </c>
      <c r="BQ49" s="672" t="n">
        <v>1385862.3921</v>
      </c>
      <c r="BR49" s="13">
        <f>BQ50</f>
        <v/>
      </c>
      <c r="BS49" s="13">
        <f>BQ49-BR49</f>
        <v/>
      </c>
      <c r="BT49" s="193">
        <f>BS49/BR49</f>
        <v/>
      </c>
      <c r="BU49" s="182" t="n">
        <v>0.0103</v>
      </c>
      <c r="BV49" s="182" t="n"/>
      <c r="BX49" s="9">
        <f>C49</f>
        <v/>
      </c>
      <c r="BY49" s="222" t="n">
        <v>1697160.7019</v>
      </c>
      <c r="BZ49" s="13">
        <f>BY50</f>
        <v/>
      </c>
      <c r="CA49" s="13">
        <f>BY49-BZ49</f>
        <v/>
      </c>
      <c r="CB49" s="193">
        <f>CA49/BZ49</f>
        <v/>
      </c>
      <c r="CC49" s="182" t="n">
        <v>-0.0086</v>
      </c>
      <c r="CD49" s="194" t="n"/>
      <c r="CF49" s="9">
        <f>C49</f>
        <v/>
      </c>
      <c r="CG49" s="185" t="n">
        <v>1437253.9</v>
      </c>
      <c r="CH49" s="13">
        <f>CG50</f>
        <v/>
      </c>
      <c r="CI49" s="13">
        <f>CG49-CH49</f>
        <v/>
      </c>
      <c r="CJ49" s="193">
        <f>CI49/CH49</f>
        <v/>
      </c>
      <c r="CK49" s="182" t="n">
        <v>-0.0152</v>
      </c>
      <c r="CL49" s="194" t="n"/>
      <c r="CN49" s="9">
        <f>C49</f>
        <v/>
      </c>
      <c r="CO49" s="185" t="n">
        <v>525246.48</v>
      </c>
      <c r="CP49" s="13">
        <f>CO50</f>
        <v/>
      </c>
      <c r="CQ49" s="13">
        <f>CO49-CP49</f>
        <v/>
      </c>
      <c r="CR49" s="193">
        <f>CQ49/CP49</f>
        <v/>
      </c>
      <c r="CS49" s="194" t="n">
        <v>-0.0139</v>
      </c>
      <c r="CT49" s="194" t="n"/>
      <c r="CV49" s="9">
        <f>C49</f>
        <v/>
      </c>
      <c r="CW49" s="185" t="n">
        <v>639690.4</v>
      </c>
      <c r="CX49" s="13">
        <f>CW50</f>
        <v/>
      </c>
      <c r="CY49" s="13">
        <f>CW49-CX49</f>
        <v/>
      </c>
      <c r="CZ49" s="193">
        <f>CY49/CX49</f>
        <v/>
      </c>
      <c r="DA49" s="182" t="n">
        <v>-0.0072</v>
      </c>
      <c r="DB49" s="182" t="n"/>
      <c r="DC49" s="256" t="n"/>
      <c r="DD49" s="9">
        <f>C49</f>
        <v/>
      </c>
      <c r="DE49" s="222" t="n">
        <v>6185935.9972</v>
      </c>
      <c r="DF49" s="13">
        <f>DE50</f>
        <v/>
      </c>
      <c r="DG49" s="13">
        <f>DE49-DF49</f>
        <v/>
      </c>
      <c r="DH49" s="193">
        <f>DG49/DF49</f>
        <v/>
      </c>
      <c r="DI49" s="182" t="n">
        <v>-0.031</v>
      </c>
      <c r="DJ49" s="182" t="n"/>
      <c r="DK49" s="0" t="n"/>
      <c r="DL49" s="9">
        <f>C49</f>
        <v/>
      </c>
      <c r="DM49" s="185" t="n">
        <v>2055000.72</v>
      </c>
      <c r="DN49" s="13">
        <f>DM50</f>
        <v/>
      </c>
      <c r="DO49" s="13">
        <f>DM49-DN49</f>
        <v/>
      </c>
      <c r="DP49" s="193">
        <f>DO49/DN49</f>
        <v/>
      </c>
      <c r="DQ49" s="182" t="n">
        <v>-0.0279</v>
      </c>
      <c r="DR49" s="182" t="n"/>
      <c r="DT49" s="9">
        <f>C49</f>
        <v/>
      </c>
      <c r="DU49" s="185" t="n">
        <v>4338268.43</v>
      </c>
      <c r="DV49" s="13">
        <f>DU50</f>
        <v/>
      </c>
      <c r="DW49" s="13">
        <f>DU49-DV49</f>
        <v/>
      </c>
      <c r="DX49" s="193">
        <f>DW49/DV49</f>
        <v/>
      </c>
      <c r="DY49" s="182" t="n">
        <v>-0.0264</v>
      </c>
      <c r="DZ49" s="182" t="n"/>
      <c r="EB49" s="9">
        <f>C49</f>
        <v/>
      </c>
      <c r="EC49" s="185" t="n">
        <v>5409566.82</v>
      </c>
      <c r="ED49" s="13">
        <f>EC50</f>
        <v/>
      </c>
      <c r="EE49" s="13">
        <f>EC49-ED49</f>
        <v/>
      </c>
      <c r="EF49" s="193">
        <f>EE49/ED49</f>
        <v/>
      </c>
      <c r="EG49" s="182" t="n">
        <v>-0.0206</v>
      </c>
      <c r="EH49" s="182" t="n"/>
      <c r="EJ49" s="9">
        <f>C49</f>
        <v/>
      </c>
      <c r="EK49" s="222" t="n">
        <v>1215522.9669</v>
      </c>
      <c r="EL49" s="13">
        <f>EK50</f>
        <v/>
      </c>
      <c r="EM49" s="13">
        <f>EK49-EL49</f>
        <v/>
      </c>
      <c r="EN49" s="193">
        <f>EM49/EL49</f>
        <v/>
      </c>
      <c r="EO49" s="182" t="n">
        <v>-0.0156</v>
      </c>
      <c r="EP49" s="182" t="n"/>
      <c r="ER49" s="9">
        <f>C49</f>
        <v/>
      </c>
      <c r="ES49" s="9" t="n">
        <v>754694.04</v>
      </c>
      <c r="ET49" s="13">
        <f>ES50</f>
        <v/>
      </c>
      <c r="EU49" s="13">
        <f>ES49-ET49</f>
        <v/>
      </c>
      <c r="EV49" s="193">
        <f>EU49/ET49</f>
        <v/>
      </c>
      <c r="EW49" s="182" t="n">
        <v>-0.0128</v>
      </c>
      <c r="EX49" s="182" t="n"/>
      <c r="EZ49" s="9">
        <f>C49</f>
        <v/>
      </c>
      <c r="FA49" s="185" t="n">
        <v>649108</v>
      </c>
      <c r="FB49" s="13">
        <f>FA50</f>
        <v/>
      </c>
      <c r="FC49" s="13">
        <f>FA49-FB49</f>
        <v/>
      </c>
      <c r="FD49" s="193">
        <f>FC49/FB49</f>
        <v/>
      </c>
      <c r="FE49" s="182" t="n">
        <v>0.007</v>
      </c>
      <c r="FF49" s="182" t="n"/>
      <c r="FH49" s="9">
        <f>C49</f>
        <v/>
      </c>
      <c r="FI49" s="672" t="n">
        <v>944795.3365</v>
      </c>
      <c r="FJ49" s="13">
        <f>FI50</f>
        <v/>
      </c>
      <c r="FK49" s="13">
        <f>FI49-FJ49</f>
        <v/>
      </c>
      <c r="FL49" s="193">
        <f>FK49/FJ49</f>
        <v/>
      </c>
      <c r="FM49" s="194" t="n">
        <v>-0.0118</v>
      </c>
      <c r="FN49" s="194" t="n"/>
      <c r="FP49" s="9">
        <f>C49</f>
        <v/>
      </c>
      <c r="FQ49" s="185" t="n">
        <v>1855468.73</v>
      </c>
      <c r="FR49" s="13">
        <f>FQ50</f>
        <v/>
      </c>
      <c r="FS49" s="13">
        <f>FQ49-FR49</f>
        <v/>
      </c>
      <c r="FT49" s="193">
        <f>FS49/FR49</f>
        <v/>
      </c>
      <c r="FU49" s="182" t="n">
        <v>-0.0168</v>
      </c>
      <c r="FV49" s="182" t="n"/>
      <c r="FX49" s="9">
        <f>C49</f>
        <v/>
      </c>
      <c r="FY49" s="185" t="n">
        <v>7165282.05</v>
      </c>
      <c r="FZ49" s="13">
        <f>FY50</f>
        <v/>
      </c>
      <c r="GA49" s="13">
        <f>FY49-FZ49</f>
        <v/>
      </c>
      <c r="GB49" s="193">
        <f>GA49/FZ49</f>
        <v/>
      </c>
      <c r="GC49" s="182" t="n">
        <v>0</v>
      </c>
      <c r="GD49" s="182" t="n"/>
      <c r="GF49" s="9">
        <f>C49</f>
        <v/>
      </c>
      <c r="GG49" s="185" t="n">
        <v>4002669.49</v>
      </c>
      <c r="GH49" s="13">
        <f>GG50</f>
        <v/>
      </c>
      <c r="GI49" s="13">
        <f>GG49-GH49</f>
        <v/>
      </c>
      <c r="GJ49" s="193">
        <f>GI49/GH49</f>
        <v/>
      </c>
      <c r="GK49" s="182" t="n">
        <v>0.0026</v>
      </c>
      <c r="GL49" s="182" t="n"/>
      <c r="GN49" s="9">
        <f>C49</f>
        <v/>
      </c>
      <c r="GO49" s="222" t="n">
        <v>2016898.1217</v>
      </c>
      <c r="GP49" s="13">
        <f>GO50</f>
        <v/>
      </c>
      <c r="GQ49" s="13">
        <f>GO49-GP49</f>
        <v/>
      </c>
      <c r="GR49" s="193">
        <f>GQ49/GP49</f>
        <v/>
      </c>
      <c r="GS49" s="182" t="n">
        <v>-0.0071</v>
      </c>
      <c r="GT49" s="182" t="n"/>
      <c r="GV49" s="9">
        <f>C49</f>
        <v/>
      </c>
      <c r="GW49" s="185" t="n">
        <v>601349.4</v>
      </c>
      <c r="GX49" s="13">
        <f>GW50</f>
        <v/>
      </c>
      <c r="GY49" s="13">
        <f>GW49-GX49</f>
        <v/>
      </c>
      <c r="GZ49" s="193">
        <f>GY49/GX49</f>
        <v/>
      </c>
      <c r="HA49" s="182" t="n">
        <v>-0.0062</v>
      </c>
      <c r="HB49" s="182" t="n"/>
      <c r="HD49" s="9">
        <f>C49</f>
        <v/>
      </c>
      <c r="HE49" s="222" t="n">
        <v>781264.6746</v>
      </c>
      <c r="HF49" s="13">
        <f>HE50</f>
        <v/>
      </c>
      <c r="HG49" s="13">
        <f>HE49-HF49</f>
        <v/>
      </c>
      <c r="HH49" s="193">
        <f>HG49/HF49</f>
        <v/>
      </c>
      <c r="HI49" s="194" t="n">
        <v>-0.0122</v>
      </c>
      <c r="HJ49" s="182" t="n"/>
      <c r="HL49" s="9">
        <f>C49</f>
        <v/>
      </c>
      <c r="HM49" s="185" t="n">
        <v>117304.25</v>
      </c>
      <c r="HN49" s="13">
        <f>HM50</f>
        <v/>
      </c>
      <c r="HO49" s="13">
        <f>HM49-HN49</f>
        <v/>
      </c>
      <c r="HP49" s="193">
        <f>HO49/HN49</f>
        <v/>
      </c>
      <c r="HQ49" s="182" t="n">
        <v>0.0027</v>
      </c>
      <c r="HR49" s="182" t="n"/>
      <c r="HT49" s="9">
        <f>C49</f>
        <v/>
      </c>
      <c r="HU49" s="222" t="n">
        <v>133568.8265</v>
      </c>
      <c r="HV49" s="13">
        <f>HU50</f>
        <v/>
      </c>
      <c r="HW49" s="13">
        <f>HU49-HV49</f>
        <v/>
      </c>
      <c r="HX49" s="193">
        <f>HW49/HV49</f>
        <v/>
      </c>
      <c r="HY49" s="182" t="n">
        <v>0.0075</v>
      </c>
      <c r="HZ49" s="182" t="n"/>
      <c r="IB49" s="9">
        <f>C49</f>
        <v/>
      </c>
      <c r="IC49" s="185" t="n">
        <v>321709.79</v>
      </c>
      <c r="ID49" s="13">
        <f>IC50</f>
        <v/>
      </c>
      <c r="IE49" s="13">
        <f>IC49-ID49</f>
        <v/>
      </c>
      <c r="IF49" s="193">
        <f>IE49/ID49</f>
        <v/>
      </c>
      <c r="IG49" s="194" t="n">
        <v>0.0148</v>
      </c>
      <c r="IH49" s="182" t="n"/>
      <c r="IJ49" s="9">
        <f>C49</f>
        <v/>
      </c>
      <c r="IK49" s="222" t="n">
        <v>926556.29</v>
      </c>
      <c r="IL49" s="13">
        <f>IK50</f>
        <v/>
      </c>
      <c r="IM49" s="13">
        <f>IK49-IL49</f>
        <v/>
      </c>
      <c r="IN49" s="193">
        <f>IM49/IL49</f>
        <v/>
      </c>
      <c r="IO49" s="182" t="n">
        <v>-0.0029</v>
      </c>
      <c r="IP49" s="182" t="n"/>
      <c r="IR49" s="9">
        <f>C49</f>
        <v/>
      </c>
      <c r="IS49" s="185" t="n">
        <v>150089</v>
      </c>
      <c r="IT49" s="13">
        <f>IS50</f>
        <v/>
      </c>
      <c r="IU49" s="13">
        <f>IS49-IT49</f>
        <v/>
      </c>
      <c r="IV49" s="193">
        <f>IU49/IT49</f>
        <v/>
      </c>
      <c r="IW49" s="182" t="n">
        <v>-0.0113</v>
      </c>
      <c r="IX49" s="182" t="n"/>
      <c r="IZ49" s="9">
        <f>C49</f>
        <v/>
      </c>
      <c r="JA49" s="185" t="n">
        <v>5546729.15</v>
      </c>
      <c r="JB49" s="13">
        <f>JA50</f>
        <v/>
      </c>
      <c r="JC49" s="13">
        <f>JA49-JB49</f>
        <v/>
      </c>
      <c r="JD49" s="193">
        <f>JC49/JB49</f>
        <v/>
      </c>
      <c r="JE49" s="182" t="n">
        <v>0.0064</v>
      </c>
      <c r="JF49" s="182" t="n"/>
      <c r="JH49" s="9">
        <f>C49</f>
        <v/>
      </c>
      <c r="JI49" s="185" t="n">
        <v>1166487.99</v>
      </c>
      <c r="JJ49" s="13">
        <f>JI50</f>
        <v/>
      </c>
      <c r="JK49" s="13">
        <f>JI49-JJ49</f>
        <v/>
      </c>
      <c r="JL49" s="193">
        <f>JK49/JJ49</f>
        <v/>
      </c>
      <c r="JM49" s="182" t="n">
        <v>0.0095</v>
      </c>
      <c r="JN49" s="182" t="n"/>
      <c r="JP49" s="9">
        <f>C49</f>
        <v/>
      </c>
      <c r="JQ49" s="222" t="n">
        <v>1017190.4148</v>
      </c>
      <c r="JR49" s="13">
        <f>JQ50</f>
        <v/>
      </c>
      <c r="JS49" s="13">
        <f>JQ49-JR49</f>
        <v/>
      </c>
      <c r="JT49" s="193">
        <f>JS49/JR49</f>
        <v/>
      </c>
      <c r="JU49" s="182" t="n">
        <v>0.0252</v>
      </c>
      <c r="JV49" s="194" t="n"/>
      <c r="JX49" s="9">
        <f>C49</f>
        <v/>
      </c>
      <c r="JY49" s="185" t="n">
        <v>971248.8</v>
      </c>
      <c r="JZ49" s="13">
        <f>JY50</f>
        <v/>
      </c>
      <c r="KA49" s="13">
        <f>JY49-JZ49</f>
        <v/>
      </c>
      <c r="KB49" s="193">
        <f>KA49/JZ49</f>
        <v/>
      </c>
      <c r="KC49" s="182" t="n">
        <v>0.0192</v>
      </c>
      <c r="KD49" s="194" t="n"/>
      <c r="KF49" s="9">
        <f>C49</f>
        <v/>
      </c>
      <c r="KG49" s="242" t="n">
        <v>570155.9219</v>
      </c>
      <c r="KH49" s="13">
        <f>KG50</f>
        <v/>
      </c>
      <c r="KI49" s="13">
        <f>KG49-KH49</f>
        <v/>
      </c>
      <c r="KJ49" s="193">
        <f>KI49/KH49</f>
        <v/>
      </c>
      <c r="KK49" s="194" t="n">
        <v>0.0189</v>
      </c>
      <c r="KL49" s="194" t="n"/>
      <c r="KN49" s="9">
        <f>C49</f>
        <v/>
      </c>
      <c r="KO49" s="215" t="n">
        <v>6954675.95</v>
      </c>
      <c r="KP49" s="13">
        <f>KO50</f>
        <v/>
      </c>
      <c r="KQ49" s="13">
        <f>KO49-KP49</f>
        <v/>
      </c>
      <c r="KR49" s="193">
        <f>KQ49/KP49</f>
        <v/>
      </c>
      <c r="KS49" s="182" t="n">
        <v>0.0159</v>
      </c>
      <c r="KT49" s="182" t="n"/>
      <c r="KV49" s="9">
        <f>C49</f>
        <v/>
      </c>
      <c r="KW49" s="242" t="n">
        <v>1039072.9726</v>
      </c>
      <c r="KX49" s="13">
        <f>KW50</f>
        <v/>
      </c>
      <c r="KY49" s="13">
        <f>KW49-KX49</f>
        <v/>
      </c>
      <c r="KZ49" s="193">
        <f>KY49/KX49</f>
        <v/>
      </c>
      <c r="LA49" s="194" t="n">
        <v>0.0098</v>
      </c>
      <c r="LB49" s="182" t="n"/>
      <c r="LD49" s="9">
        <f>C49</f>
        <v/>
      </c>
      <c r="LE49" s="215" t="n">
        <v>378707.7</v>
      </c>
      <c r="LF49" s="13">
        <f>LE50</f>
        <v/>
      </c>
      <c r="LG49" s="13">
        <f>LE49-LF49</f>
        <v/>
      </c>
      <c r="LH49" s="193">
        <f>LG49/LF49</f>
        <v/>
      </c>
      <c r="LI49" s="182" t="n">
        <v>-0.0165</v>
      </c>
      <c r="LJ49" s="182" t="n"/>
      <c r="LL49" s="9">
        <f>C49</f>
        <v/>
      </c>
      <c r="LM49" s="215" t="n">
        <v>3153355.02</v>
      </c>
      <c r="LN49" s="13">
        <f>LM50</f>
        <v/>
      </c>
      <c r="LO49" s="13">
        <f>LM49-LN49</f>
        <v/>
      </c>
      <c r="LP49" s="193">
        <f>LO49/LN49</f>
        <v/>
      </c>
      <c r="LQ49" s="182" t="n">
        <v>0.0309</v>
      </c>
      <c r="LR49" s="182" t="n"/>
      <c r="LT49" s="9">
        <f>C49</f>
        <v/>
      </c>
      <c r="LU49" s="242" t="n">
        <v>2300062.904</v>
      </c>
      <c r="LV49" s="13">
        <f>LU50</f>
        <v/>
      </c>
      <c r="LW49" s="13">
        <f>LU49-LV49</f>
        <v/>
      </c>
      <c r="LX49" s="193">
        <f>LW49/LV49</f>
        <v/>
      </c>
      <c r="LY49" s="182" t="n">
        <v>0.0331</v>
      </c>
      <c r="LZ49" s="182" t="n"/>
      <c r="MB49" s="9">
        <f>C49</f>
        <v/>
      </c>
      <c r="MC49" s="215" t="n">
        <v>855267.6899999999</v>
      </c>
      <c r="MD49" s="13">
        <f>MC50</f>
        <v/>
      </c>
      <c r="ME49" s="13">
        <f>MC49-MD49</f>
        <v/>
      </c>
      <c r="MF49" s="193">
        <f>ME49/MD49</f>
        <v/>
      </c>
      <c r="MG49" s="182" t="n">
        <v>-0.0015</v>
      </c>
      <c r="MH49" s="182" t="n"/>
      <c r="MK49" s="9">
        <f>C49</f>
        <v/>
      </c>
      <c r="ML49" s="242" t="n">
        <v>158505.5354</v>
      </c>
      <c r="MM49" s="13">
        <f>ML50</f>
        <v/>
      </c>
      <c r="MN49" s="13">
        <f>ML49-MM49</f>
        <v/>
      </c>
      <c r="MO49" s="193">
        <f>MN49/MM49</f>
        <v/>
      </c>
      <c r="MP49" s="182" t="n">
        <v>-0.0092</v>
      </c>
      <c r="MQ49" s="194" t="n"/>
      <c r="MR49" s="194" t="n"/>
      <c r="MT49" s="9">
        <f>C49</f>
        <v/>
      </c>
      <c r="MU49" s="215" t="n">
        <v>136014.8</v>
      </c>
      <c r="MV49" s="188">
        <f>MU50</f>
        <v/>
      </c>
      <c r="MW49" s="9">
        <f>MU49-MV49</f>
        <v/>
      </c>
      <c r="MX49" s="182">
        <f>MW49/MV49</f>
        <v/>
      </c>
      <c r="MY49" s="182" t="n">
        <v>0</v>
      </c>
      <c r="MZ49" s="182" t="n"/>
      <c r="NA49" s="182" t="n"/>
      <c r="NC49" s="9">
        <f>C49</f>
        <v/>
      </c>
      <c r="ND49" s="215" t="n">
        <v>32891.48</v>
      </c>
      <c r="NE49" s="188">
        <f>ND50</f>
        <v/>
      </c>
      <c r="NF49" s="9">
        <f>ND49-NE49</f>
        <v/>
      </c>
      <c r="NG49" s="182">
        <f>NF49/NE49</f>
        <v/>
      </c>
      <c r="NH49" s="182" t="n">
        <v>-0.0092</v>
      </c>
      <c r="NI49" s="182" t="n"/>
      <c r="NJ49" s="182" t="n"/>
      <c r="NK49" s="182" t="n"/>
      <c r="NM49" s="9">
        <f>C49</f>
        <v/>
      </c>
      <c r="NN49" s="215" t="n">
        <v>2623611.08</v>
      </c>
      <c r="NO49" s="9">
        <f>NN50</f>
        <v/>
      </c>
      <c r="NP49" s="197">
        <f>NN49-NO49</f>
        <v/>
      </c>
      <c r="NQ49" s="198">
        <f>NP49/NO49</f>
        <v/>
      </c>
      <c r="NR49" s="182" t="n">
        <v>0.0058</v>
      </c>
      <c r="NS49" s="0" t="n"/>
      <c r="NU49" s="9">
        <f>C49</f>
        <v/>
      </c>
      <c r="NV49" s="215" t="n">
        <v>227526.5</v>
      </c>
      <c r="NW49" s="188">
        <f>NV50</f>
        <v/>
      </c>
      <c r="NX49" s="197">
        <f>NV49-NW49</f>
        <v/>
      </c>
      <c r="NY49" s="198">
        <f>NX49/NW49</f>
        <v/>
      </c>
      <c r="NZ49" s="194" t="n">
        <v>0.0042</v>
      </c>
      <c r="OA49" s="185" t="n"/>
      <c r="OC49" s="9">
        <f>C49</f>
        <v/>
      </c>
      <c r="OD49" s="215" t="n">
        <v>19639.97</v>
      </c>
      <c r="OE49" s="13">
        <f>OD50</f>
        <v/>
      </c>
      <c r="OF49" s="13">
        <f>OD49-OE49</f>
        <v/>
      </c>
      <c r="OG49" s="193">
        <f>OF49/OE49</f>
        <v/>
      </c>
      <c r="OH49" s="182" t="n">
        <v>0.001</v>
      </c>
      <c r="OI49" s="182" t="n"/>
      <c r="OK49" s="9">
        <f>C49</f>
        <v/>
      </c>
      <c r="OL49" s="215" t="n">
        <v>17093.65</v>
      </c>
      <c r="OM49" s="13">
        <f>OL50</f>
        <v/>
      </c>
      <c r="ON49" s="13">
        <f>OL49-OM49</f>
        <v/>
      </c>
      <c r="OO49" s="193">
        <f>ON49/OM49</f>
        <v/>
      </c>
      <c r="OP49" s="182" t="n">
        <v>0.0001</v>
      </c>
      <c r="OQ49" s="182" t="n"/>
      <c r="OT49" s="201">
        <f>OK49</f>
        <v/>
      </c>
      <c r="OU49" s="199" t="n">
        <v>156672.4066</v>
      </c>
      <c r="OV49" s="9">
        <f>OU50</f>
        <v/>
      </c>
      <c r="OW49" s="671">
        <f>OU49-OV49</f>
        <v/>
      </c>
      <c r="OX49" s="182">
        <f>OW49/OV49</f>
        <v/>
      </c>
      <c r="OY49" s="0" t="n">
        <v>0.0159</v>
      </c>
    </row>
    <row r="50" ht="17" customFormat="1" customHeight="1" s="9">
      <c r="A50" s="631" t="n"/>
      <c r="B50" s="631" t="n"/>
      <c r="C50" s="631" t="inlineStr">
        <is>
          <t>2026//9/3</t>
        </is>
      </c>
      <c r="D50" s="20" t="n">
        <v>2312058.77</v>
      </c>
      <c r="E50" s="20">
        <f>D51</f>
        <v/>
      </c>
      <c r="F50" s="20">
        <f>D50-E50</f>
        <v/>
      </c>
      <c r="G50" s="163">
        <f>F50/E50</f>
        <v/>
      </c>
      <c r="H50" s="19" t="n">
        <v>0.0002</v>
      </c>
      <c r="I50" s="163" t="n"/>
      <c r="J50" s="163" t="n"/>
      <c r="K50" s="9">
        <f>C50</f>
        <v/>
      </c>
      <c r="L50" s="20" t="n">
        <v>1129654.4</v>
      </c>
      <c r="M50" s="20">
        <f>L51</f>
        <v/>
      </c>
      <c r="N50" s="20">
        <f>L50-M50</f>
        <v/>
      </c>
      <c r="O50" s="163">
        <f>N50/M50</f>
        <v/>
      </c>
      <c r="P50" s="19" t="n">
        <v>0.0016</v>
      </c>
      <c r="Q50" s="163" t="n"/>
      <c r="R50" s="20" t="n"/>
      <c r="S50" s="9">
        <f>C50</f>
        <v/>
      </c>
      <c r="T50" s="20" t="n">
        <v>656076.6800000001</v>
      </c>
      <c r="U50" s="20">
        <f>T51</f>
        <v/>
      </c>
      <c r="V50" s="20">
        <f>T50-U50</f>
        <v/>
      </c>
      <c r="W50" s="163">
        <f>V50/U50</f>
        <v/>
      </c>
      <c r="X50" s="19" t="n">
        <v>0.002</v>
      </c>
      <c r="Y50" s="163" t="n"/>
      <c r="Z50" s="20" t="n"/>
      <c r="AA50" s="9">
        <f>S50</f>
        <v/>
      </c>
      <c r="AB50" s="20" t="n">
        <v>505936.86</v>
      </c>
      <c r="AC50" s="20">
        <f>AB51</f>
        <v/>
      </c>
      <c r="AD50" s="20">
        <f>AB50-AC50</f>
        <v/>
      </c>
      <c r="AE50" s="163">
        <f>AD50/AC50</f>
        <v/>
      </c>
      <c r="AF50" s="19" t="n">
        <v>0.0039</v>
      </c>
      <c r="AG50" s="163" t="n"/>
      <c r="AH50" s="20" t="n"/>
      <c r="AI50" s="9">
        <f>C50</f>
        <v/>
      </c>
      <c r="AJ50" s="20" t="n">
        <v>611121.76</v>
      </c>
      <c r="AK50" s="20">
        <f>AJ51</f>
        <v/>
      </c>
      <c r="AL50" s="20">
        <f>AJ50-AK50</f>
        <v/>
      </c>
      <c r="AM50" s="163">
        <f>AL50/AK50</f>
        <v/>
      </c>
      <c r="AN50" s="19" t="n">
        <v>0.0026</v>
      </c>
      <c r="AO50" s="19" t="n"/>
      <c r="AP50" s="20" t="n"/>
      <c r="AQ50" s="9">
        <f>C50</f>
        <v/>
      </c>
      <c r="AR50" s="634" t="n">
        <v>1982845.4936</v>
      </c>
      <c r="AS50" s="20">
        <f>AR51</f>
        <v/>
      </c>
      <c r="AT50" s="20">
        <f>AR50-AS50</f>
        <v/>
      </c>
      <c r="AU50" s="163">
        <f>AT50/AS50</f>
        <v/>
      </c>
      <c r="AV50" s="19" t="n">
        <v>-0.0015</v>
      </c>
      <c r="AW50" s="19" t="n"/>
      <c r="AX50" s="5" t="n"/>
      <c r="AY50" s="5" t="n"/>
      <c r="AZ50" s="9">
        <f>C50</f>
        <v/>
      </c>
      <c r="BA50" s="220" t="n">
        <v>623541.6676</v>
      </c>
      <c r="BB50" s="24">
        <f>BA51</f>
        <v/>
      </c>
      <c r="BC50" s="5">
        <f>BA50-BB50</f>
        <v/>
      </c>
      <c r="BD50" s="19">
        <f>BC50/BB50</f>
        <v/>
      </c>
      <c r="BE50" s="19" t="n">
        <v>0.001</v>
      </c>
      <c r="BF50" s="19" t="n"/>
      <c r="BG50" s="647" t="n"/>
      <c r="BH50" s="9">
        <f>C50</f>
        <v/>
      </c>
      <c r="BI50" s="221" t="n">
        <v>1160926.5525</v>
      </c>
      <c r="BJ50" s="184">
        <f>BI51</f>
        <v/>
      </c>
      <c r="BK50" s="184">
        <f>BI50-BJ50</f>
        <v/>
      </c>
      <c r="BL50" s="190">
        <f>BK50/BJ50</f>
        <v/>
      </c>
      <c r="BM50" s="191" t="n">
        <v>0.0043</v>
      </c>
      <c r="BN50" s="182" t="n"/>
      <c r="BP50" s="9">
        <f>C50</f>
        <v/>
      </c>
      <c r="BQ50" s="672" t="n">
        <v>1387462.3921</v>
      </c>
      <c r="BR50" s="13">
        <f>BQ51</f>
        <v/>
      </c>
      <c r="BS50" s="13">
        <f>BQ50-BR50</f>
        <v/>
      </c>
      <c r="BT50" s="193">
        <f>BS50/BR50</f>
        <v/>
      </c>
      <c r="BU50" s="182" t="n">
        <v>0</v>
      </c>
      <c r="BV50" s="182" t="n"/>
      <c r="BX50" s="9">
        <f>C50</f>
        <v/>
      </c>
      <c r="BY50" s="222" t="n">
        <v>1699260.7019</v>
      </c>
      <c r="BZ50" s="13">
        <f>BY51</f>
        <v/>
      </c>
      <c r="CA50" s="13">
        <f>BY50-BZ50</f>
        <v/>
      </c>
      <c r="CB50" s="193">
        <f>CA50/BZ50</f>
        <v/>
      </c>
      <c r="CC50" s="182" t="n">
        <v>0.01</v>
      </c>
      <c r="CD50" s="194" t="n"/>
      <c r="CF50" s="9">
        <f>C50</f>
        <v/>
      </c>
      <c r="CG50" s="185" t="n">
        <v>1405653.9</v>
      </c>
      <c r="CH50" s="13">
        <f>CG51</f>
        <v/>
      </c>
      <c r="CI50" s="13">
        <f>CG50-CH50</f>
        <v/>
      </c>
      <c r="CJ50" s="193">
        <f>CI50/CH50</f>
        <v/>
      </c>
      <c r="CK50" s="182" t="n">
        <v>0.0143</v>
      </c>
      <c r="CL50" s="194" t="n"/>
      <c r="CN50" s="9">
        <f>C50</f>
        <v/>
      </c>
      <c r="CO50" s="185" t="n">
        <v>524346.48</v>
      </c>
      <c r="CP50" s="13">
        <f>CO51</f>
        <v/>
      </c>
      <c r="CQ50" s="13">
        <f>CO50-CP50</f>
        <v/>
      </c>
      <c r="CR50" s="193">
        <f>CQ50/CP50</f>
        <v/>
      </c>
      <c r="CS50" s="194" t="n">
        <v>0.013</v>
      </c>
      <c r="CT50" s="194" t="n"/>
      <c r="CV50" s="9">
        <f>C50</f>
        <v/>
      </c>
      <c r="CW50" s="185" t="n">
        <v>631790.4</v>
      </c>
      <c r="CX50" s="13">
        <f>CW51</f>
        <v/>
      </c>
      <c r="CY50" s="13">
        <f>CW50-CX50</f>
        <v/>
      </c>
      <c r="CZ50" s="193">
        <f>CY50/CX50</f>
        <v/>
      </c>
      <c r="DA50" s="182" t="n">
        <v>0.0235</v>
      </c>
      <c r="DB50" s="182" t="n"/>
      <c r="DC50" s="256" t="n"/>
      <c r="DD50" s="9">
        <f>C50</f>
        <v/>
      </c>
      <c r="DE50" s="222" t="n">
        <v>6218335.9972</v>
      </c>
      <c r="DF50" s="13">
        <f>DE51</f>
        <v/>
      </c>
      <c r="DG50" s="13">
        <f>DE50-DF50</f>
        <v/>
      </c>
      <c r="DH50" s="193">
        <f>DG50/DF50</f>
        <v/>
      </c>
      <c r="DI50" s="182" t="n">
        <v>-0.008800000000000001</v>
      </c>
      <c r="DJ50" s="182" t="n"/>
      <c r="DK50" s="0" t="n"/>
      <c r="DL50" s="9">
        <f>C50</f>
        <v/>
      </c>
      <c r="DM50" s="185" t="n">
        <v>1978200.72</v>
      </c>
      <c r="DN50" s="13">
        <f>DM51</f>
        <v/>
      </c>
      <c r="DO50" s="13">
        <f>DM50-DN50</f>
        <v/>
      </c>
      <c r="DP50" s="193">
        <f>DO50/DN50</f>
        <v/>
      </c>
      <c r="DQ50" s="182" t="n">
        <v>-0.0059</v>
      </c>
      <c r="DR50" s="182" t="n"/>
      <c r="DT50" s="9">
        <f>C50</f>
        <v/>
      </c>
      <c r="DU50" s="185" t="n">
        <v>4298668.43</v>
      </c>
      <c r="DV50" s="13">
        <f>DU51</f>
        <v/>
      </c>
      <c r="DW50" s="13">
        <f>DU50-DV50</f>
        <v/>
      </c>
      <c r="DX50" s="193">
        <f>DW50/DV50</f>
        <v/>
      </c>
      <c r="DY50" s="182" t="n">
        <v>-0.0044</v>
      </c>
      <c r="DZ50" s="182" t="n"/>
      <c r="EB50" s="9">
        <f>C50</f>
        <v/>
      </c>
      <c r="EC50" s="185" t="n">
        <v>5225666.82</v>
      </c>
      <c r="ED50" s="13">
        <f>EC51</f>
        <v/>
      </c>
      <c r="EE50" s="13">
        <f>EC50-ED50</f>
        <v/>
      </c>
      <c r="EF50" s="193">
        <f>EE50/ED50</f>
        <v/>
      </c>
      <c r="EG50" s="182" t="n">
        <v>-0.0029</v>
      </c>
      <c r="EH50" s="182" t="n"/>
      <c r="EJ50" s="9">
        <f>C50</f>
        <v/>
      </c>
      <c r="EK50" s="222" t="n">
        <v>1211722.9669</v>
      </c>
      <c r="EL50" s="13">
        <f>EK51</f>
        <v/>
      </c>
      <c r="EM50" s="13">
        <f>EK50-EL50</f>
        <v/>
      </c>
      <c r="EN50" s="193">
        <f>EM50/EL50</f>
        <v/>
      </c>
      <c r="EO50" s="182" t="n">
        <v>-0.004</v>
      </c>
      <c r="EP50" s="182" t="n"/>
      <c r="ER50" s="9">
        <f>C50</f>
        <v/>
      </c>
      <c r="ES50" s="9" t="n">
        <v>752094.04</v>
      </c>
      <c r="ET50" s="13">
        <f>ES51</f>
        <v/>
      </c>
      <c r="EU50" s="13">
        <f>ES50-ET50</f>
        <v/>
      </c>
      <c r="EV50" s="193">
        <f>EU50/ET50</f>
        <v/>
      </c>
      <c r="EW50" s="182" t="n">
        <v>-0.0036</v>
      </c>
      <c r="EX50" s="182" t="n"/>
      <c r="EZ50" s="9">
        <f>C50</f>
        <v/>
      </c>
      <c r="FA50" s="185" t="n">
        <v>650108</v>
      </c>
      <c r="FB50" s="13">
        <f>FA51</f>
        <v/>
      </c>
      <c r="FC50" s="13">
        <f>FA50-FB50</f>
        <v/>
      </c>
      <c r="FD50" s="193">
        <f>FC50/FB50</f>
        <v/>
      </c>
      <c r="FE50" s="182" t="n">
        <v>-0.0018</v>
      </c>
      <c r="FF50" s="182" t="n"/>
      <c r="FH50" s="9">
        <f>C50</f>
        <v/>
      </c>
      <c r="FI50" s="672" t="n">
        <v>946695.3365</v>
      </c>
      <c r="FJ50" s="13">
        <f>FI51</f>
        <v/>
      </c>
      <c r="FK50" s="13">
        <f>FI50-FJ50</f>
        <v/>
      </c>
      <c r="FL50" s="193">
        <f>FK50/FJ50</f>
        <v/>
      </c>
      <c r="FM50" s="194" t="n">
        <v>-0.0044</v>
      </c>
      <c r="FN50" s="194" t="n"/>
      <c r="FP50" s="9">
        <f>C50</f>
        <v/>
      </c>
      <c r="FQ50" s="185" t="n">
        <v>1848718.73</v>
      </c>
      <c r="FR50" s="13">
        <f>FQ51</f>
        <v/>
      </c>
      <c r="FS50" s="13">
        <f>FQ50-FR50</f>
        <v/>
      </c>
      <c r="FT50" s="193">
        <f>FS50/FR50</f>
        <v/>
      </c>
      <c r="FU50" s="182" t="n">
        <v>0.0074</v>
      </c>
      <c r="FV50" s="182" t="n"/>
      <c r="FX50" s="9">
        <f>C50</f>
        <v/>
      </c>
      <c r="FY50" s="185" t="n">
        <v>7164982.05</v>
      </c>
      <c r="FZ50" s="13">
        <f>FY51</f>
        <v/>
      </c>
      <c r="GA50" s="13">
        <f>FY50-FZ50</f>
        <v/>
      </c>
      <c r="GB50" s="193">
        <f>GA50/FZ50</f>
        <v/>
      </c>
      <c r="GC50" s="182" t="n">
        <v>0.003</v>
      </c>
      <c r="GD50" s="182" t="n"/>
      <c r="GF50" s="9">
        <f>C50</f>
        <v/>
      </c>
      <c r="GG50" s="185" t="n">
        <v>4007169.49</v>
      </c>
      <c r="GH50" s="13">
        <f>GG51</f>
        <v/>
      </c>
      <c r="GI50" s="13">
        <f>GG50-GH50</f>
        <v/>
      </c>
      <c r="GJ50" s="193">
        <f>GI50/GH50</f>
        <v/>
      </c>
      <c r="GK50" s="182" t="n">
        <v>0.0053</v>
      </c>
      <c r="GL50" s="182" t="n"/>
      <c r="GN50" s="9">
        <f>C50</f>
        <v/>
      </c>
      <c r="GO50" s="222" t="n">
        <v>1996678.1217</v>
      </c>
      <c r="GP50" s="13">
        <f>GO51</f>
        <v/>
      </c>
      <c r="GQ50" s="13">
        <f>GO50-GP50</f>
        <v/>
      </c>
      <c r="GR50" s="193">
        <f>GQ50/GP50</f>
        <v/>
      </c>
      <c r="GS50" s="182" t="n">
        <v>0.0095</v>
      </c>
      <c r="GT50" s="182" t="n"/>
      <c r="GV50" s="9">
        <f>C50</f>
        <v/>
      </c>
      <c r="GW50" s="185" t="n">
        <v>598349.4</v>
      </c>
      <c r="GX50" s="13">
        <f>GW51</f>
        <v/>
      </c>
      <c r="GY50" s="13">
        <f>GW50-GX50</f>
        <v/>
      </c>
      <c r="GZ50" s="193">
        <f>GY50/GX50</f>
        <v/>
      </c>
      <c r="HA50" s="182" t="n">
        <v>-0.0012</v>
      </c>
      <c r="HB50" s="182" t="n"/>
      <c r="HD50" s="9">
        <f>C50</f>
        <v/>
      </c>
      <c r="HE50" s="222" t="n">
        <v>786364.6746</v>
      </c>
      <c r="HF50" s="13">
        <f>HE51</f>
        <v/>
      </c>
      <c r="HG50" s="13">
        <f>HE50-HF50</f>
        <v/>
      </c>
      <c r="HH50" s="193">
        <f>HG50/HF50</f>
        <v/>
      </c>
      <c r="HI50" s="194" t="n">
        <v>0.0067</v>
      </c>
      <c r="HJ50" s="182" t="n"/>
      <c r="HL50" s="9">
        <f>C50</f>
        <v/>
      </c>
      <c r="HM50" s="185" t="n">
        <v>117254.25</v>
      </c>
      <c r="HN50" s="13">
        <f>HM51</f>
        <v/>
      </c>
      <c r="HO50" s="13">
        <f>HM50-HN50</f>
        <v/>
      </c>
      <c r="HP50" s="193">
        <f>HO50/HN50</f>
        <v/>
      </c>
      <c r="HQ50" s="182" t="n">
        <v>0</v>
      </c>
      <c r="HR50" s="182" t="n"/>
      <c r="HT50" s="9">
        <f>C50</f>
        <v/>
      </c>
      <c r="HU50" s="222" t="n">
        <v>133968.8265</v>
      </c>
      <c r="HV50" s="13">
        <f>HU51</f>
        <v/>
      </c>
      <c r="HW50" s="13">
        <f>HU50-HV50</f>
        <v/>
      </c>
      <c r="HX50" s="193">
        <f>HW50/HV50</f>
        <v/>
      </c>
      <c r="HY50" s="182" t="n">
        <v>0.0056</v>
      </c>
      <c r="HZ50" s="182" t="n"/>
      <c r="IB50" s="9">
        <f>C50</f>
        <v/>
      </c>
      <c r="IC50" s="185" t="n">
        <v>303359.79</v>
      </c>
      <c r="ID50" s="13">
        <f>IC51</f>
        <v/>
      </c>
      <c r="IE50" s="13">
        <f>IC50-ID50</f>
        <v/>
      </c>
      <c r="IF50" s="193">
        <f>IE50/ID50</f>
        <v/>
      </c>
      <c r="IG50" s="194" t="n">
        <v>0.0066</v>
      </c>
      <c r="IH50" s="182" t="n"/>
      <c r="IJ50" s="9">
        <f>C50</f>
        <v/>
      </c>
      <c r="IK50" s="222" t="n">
        <v>935276.29</v>
      </c>
      <c r="IL50" s="13">
        <f>IK51</f>
        <v/>
      </c>
      <c r="IM50" s="13">
        <f>IK50-IL50</f>
        <v/>
      </c>
      <c r="IN50" s="193">
        <f>IM50/IL50</f>
        <v/>
      </c>
      <c r="IO50" s="182" t="n">
        <v>0.0019</v>
      </c>
      <c r="IP50" s="182" t="n"/>
      <c r="IR50" s="9">
        <f>C50</f>
        <v/>
      </c>
      <c r="IS50" s="185" t="n">
        <v>149189</v>
      </c>
      <c r="IT50" s="13">
        <f>IS51</f>
        <v/>
      </c>
      <c r="IU50" s="13">
        <f>IS50-IT50</f>
        <v/>
      </c>
      <c r="IV50" s="193">
        <f>IU50/IT50</f>
        <v/>
      </c>
      <c r="IW50" s="182" t="n">
        <v>-0.0018</v>
      </c>
      <c r="IX50" s="182" t="n"/>
      <c r="IZ50" s="9">
        <f>C50</f>
        <v/>
      </c>
      <c r="JA50" s="185" t="n">
        <v>5616229.15</v>
      </c>
      <c r="JB50" s="13">
        <f>JA51</f>
        <v/>
      </c>
      <c r="JC50" s="13">
        <f>JA50-JB50</f>
        <v/>
      </c>
      <c r="JD50" s="193">
        <f>JC50/JB50</f>
        <v/>
      </c>
      <c r="JE50" s="182" t="n">
        <v>0.0073</v>
      </c>
      <c r="JF50" s="182" t="n"/>
      <c r="JH50" s="9">
        <f>C50</f>
        <v/>
      </c>
      <c r="JI50" s="185" t="n">
        <v>1173867.99</v>
      </c>
      <c r="JJ50" s="13">
        <f>JI51</f>
        <v/>
      </c>
      <c r="JK50" s="13">
        <f>JI50-JJ50</f>
        <v/>
      </c>
      <c r="JL50" s="193">
        <f>JK50/JJ50</f>
        <v/>
      </c>
      <c r="JM50" s="182" t="n">
        <v>-0.0047</v>
      </c>
      <c r="JN50" s="182" t="n"/>
      <c r="JP50" s="9">
        <f>C50</f>
        <v/>
      </c>
      <c r="JQ50" s="222" t="n">
        <v>1001090.4148</v>
      </c>
      <c r="JR50" s="13">
        <f>JQ51</f>
        <v/>
      </c>
      <c r="JS50" s="13">
        <f>JQ50-JR50</f>
        <v/>
      </c>
      <c r="JT50" s="193">
        <f>JS50/JR50</f>
        <v/>
      </c>
      <c r="JU50" s="182" t="n">
        <v>-0.0031</v>
      </c>
      <c r="JV50" s="194" t="n"/>
      <c r="JX50" s="9">
        <f>C50</f>
        <v/>
      </c>
      <c r="JY50" s="185" t="n">
        <v>976898.8</v>
      </c>
      <c r="JZ50" s="13">
        <f>JY51</f>
        <v/>
      </c>
      <c r="KA50" s="13">
        <f>JY50-JZ50</f>
        <v/>
      </c>
      <c r="KB50" s="193">
        <f>KA50/JZ50</f>
        <v/>
      </c>
      <c r="KC50" s="182" t="n">
        <v>0.0103</v>
      </c>
      <c r="KD50" s="194" t="n"/>
      <c r="KF50" s="9">
        <f>C50</f>
        <v/>
      </c>
      <c r="KG50" s="222" t="n">
        <v>570155.9219</v>
      </c>
      <c r="KH50" s="13">
        <f>KG51</f>
        <v/>
      </c>
      <c r="KI50" s="13">
        <f>KG50-KH50</f>
        <v/>
      </c>
      <c r="KJ50" s="193">
        <f>KI50/KH50</f>
        <v/>
      </c>
      <c r="KK50" s="194" t="n">
        <v>-0.0013</v>
      </c>
      <c r="KL50" s="194" t="n"/>
      <c r="KN50" s="9">
        <f>C50</f>
        <v/>
      </c>
      <c r="KO50" s="185" t="n">
        <v>6954675.95</v>
      </c>
      <c r="KP50" s="13">
        <f>KO51</f>
        <v/>
      </c>
      <c r="KQ50" s="13">
        <f>KO50-KP50</f>
        <v/>
      </c>
      <c r="KR50" s="193">
        <f>KQ50/KP50</f>
        <v/>
      </c>
      <c r="KS50" s="182" t="n">
        <v>-0.007</v>
      </c>
      <c r="KT50" s="182" t="n"/>
      <c r="KV50" s="9">
        <f>C50</f>
        <v/>
      </c>
      <c r="KW50" s="222" t="n">
        <v>1039072.9726</v>
      </c>
      <c r="KX50" s="13">
        <f>KW51</f>
        <v/>
      </c>
      <c r="KY50" s="13">
        <f>KW50-KX50</f>
        <v/>
      </c>
      <c r="KZ50" s="193">
        <f>KY50/KX50</f>
        <v/>
      </c>
      <c r="LA50" s="194" t="n">
        <v>0.0288</v>
      </c>
      <c r="LB50" s="182" t="n"/>
      <c r="LD50" s="9">
        <f>C50</f>
        <v/>
      </c>
      <c r="LE50" s="185" t="n">
        <v>381007.7</v>
      </c>
      <c r="LF50" s="13">
        <f>LE51</f>
        <v/>
      </c>
      <c r="LG50" s="13">
        <f>LE50-LF50</f>
        <v/>
      </c>
      <c r="LH50" s="193">
        <f>LG50/LF50</f>
        <v/>
      </c>
      <c r="LI50" s="182" t="n">
        <v>0.0053</v>
      </c>
      <c r="LJ50" s="182" t="n"/>
      <c r="LL50" s="9">
        <f>C50</f>
        <v/>
      </c>
      <c r="LM50" s="672" t="n">
        <v>3168115.02</v>
      </c>
      <c r="LN50" s="13">
        <f>LM51</f>
        <v/>
      </c>
      <c r="LO50" s="13">
        <f>LM50-LN50</f>
        <v/>
      </c>
      <c r="LP50" s="193">
        <f>LO50/LN50</f>
        <v/>
      </c>
      <c r="LQ50" s="182" t="n">
        <v>-0.0047</v>
      </c>
      <c r="LR50" s="182" t="n"/>
      <c r="LT50" s="9">
        <f>C50</f>
        <v/>
      </c>
      <c r="LU50" s="222" t="n">
        <v>2308662.904</v>
      </c>
      <c r="LV50" s="13">
        <f>LU51</f>
        <v/>
      </c>
      <c r="LW50" s="13">
        <f>LU50-LV50</f>
        <v/>
      </c>
      <c r="LX50" s="193">
        <f>LW50/LV50</f>
        <v/>
      </c>
      <c r="LY50" s="182" t="n">
        <v>-0.0045</v>
      </c>
      <c r="LZ50" s="182" t="n"/>
      <c r="MB50" s="9">
        <f>C50</f>
        <v/>
      </c>
      <c r="MC50" s="185" t="n">
        <v>897017.6899999999</v>
      </c>
      <c r="MD50" s="13">
        <f>MC51</f>
        <v/>
      </c>
      <c r="ME50" s="13">
        <f>MC50-MD50</f>
        <v/>
      </c>
      <c r="MF50" s="193">
        <f>ME50/MD50</f>
        <v/>
      </c>
      <c r="MG50" s="182" t="n">
        <v>-0.0023</v>
      </c>
      <c r="MH50" s="182" t="n"/>
      <c r="MK50" s="9">
        <f>C50</f>
        <v/>
      </c>
      <c r="ML50" s="223" t="n">
        <v>158505.5354</v>
      </c>
      <c r="MM50" s="13">
        <f>ML51</f>
        <v/>
      </c>
      <c r="MN50" s="13">
        <f>ML50-MM50</f>
        <v/>
      </c>
      <c r="MO50" s="193">
        <f>MN50/MM50</f>
        <v/>
      </c>
      <c r="MP50" s="182" t="n">
        <v>-0.002</v>
      </c>
      <c r="MQ50" s="194" t="n"/>
      <c r="MR50" s="194" t="n"/>
      <c r="MT50" s="9">
        <f>C50</f>
        <v/>
      </c>
      <c r="MU50" s="9" t="n">
        <v>134214.8</v>
      </c>
      <c r="MV50" s="188">
        <f>MU51</f>
        <v/>
      </c>
      <c r="MW50" s="9">
        <f>MU50-MV50</f>
        <v/>
      </c>
      <c r="MX50" s="182">
        <f>MW50/MV50</f>
        <v/>
      </c>
      <c r="MY50" s="182" t="n">
        <v>0.0163</v>
      </c>
      <c r="MZ50" s="182" t="n"/>
      <c r="NA50" s="182" t="n"/>
      <c r="NC50" s="9">
        <f>C50</f>
        <v/>
      </c>
      <c r="ND50" s="9" t="n">
        <v>33491.48</v>
      </c>
      <c r="NE50" s="188">
        <f>ND51</f>
        <v/>
      </c>
      <c r="NF50" s="9">
        <f>ND50-NE50</f>
        <v/>
      </c>
      <c r="NG50" s="182">
        <f>NF50/NE50</f>
        <v/>
      </c>
      <c r="NH50" s="182" t="n">
        <v>0.0107</v>
      </c>
      <c r="NI50" s="182" t="n"/>
      <c r="NJ50" s="182" t="n"/>
      <c r="NK50" s="182" t="n"/>
      <c r="NM50" s="9">
        <f>C50</f>
        <v/>
      </c>
      <c r="NN50" s="9" t="n">
        <v>2644911.08</v>
      </c>
      <c r="NO50" s="9">
        <f>NN51</f>
        <v/>
      </c>
      <c r="NP50" s="197">
        <f>NN50-NO50</f>
        <v/>
      </c>
      <c r="NQ50" s="198">
        <f>NP50/NO50</f>
        <v/>
      </c>
      <c r="NR50" s="182" t="n">
        <v>-0.0008</v>
      </c>
      <c r="NS50" s="0" t="n"/>
      <c r="NU50" s="9">
        <f>C50</f>
        <v/>
      </c>
      <c r="NV50" s="9" t="n">
        <v>228176.5</v>
      </c>
      <c r="NW50" s="188">
        <f>NV51</f>
        <v/>
      </c>
      <c r="NX50" s="197">
        <f>NV50-NW50</f>
        <v/>
      </c>
      <c r="NY50" s="198">
        <f>NX50/NW50</f>
        <v/>
      </c>
      <c r="NZ50" s="194" t="n">
        <v>0.001</v>
      </c>
      <c r="OA50" s="185" t="n"/>
      <c r="OC50" s="9">
        <f>C50</f>
        <v/>
      </c>
      <c r="OD50" s="185" t="n">
        <v>19583.97</v>
      </c>
      <c r="OE50" s="13">
        <f>OD51</f>
        <v/>
      </c>
      <c r="OF50" s="13">
        <f>OD50-OE50</f>
        <v/>
      </c>
      <c r="OG50" s="193">
        <f>OF50/OE50</f>
        <v/>
      </c>
      <c r="OH50" s="182" t="n">
        <v>0.0031</v>
      </c>
      <c r="OI50" s="182" t="n"/>
      <c r="OK50" s="9">
        <f>C50</f>
        <v/>
      </c>
      <c r="OL50" s="185" t="n">
        <v>16938.65</v>
      </c>
      <c r="OM50" s="13">
        <f>OL51</f>
        <v/>
      </c>
      <c r="ON50" s="13">
        <f>OL50-OM50</f>
        <v/>
      </c>
      <c r="OO50" s="193">
        <f>ON50/OM50</f>
        <v/>
      </c>
      <c r="OP50" s="182" t="n">
        <v>0.0005</v>
      </c>
      <c r="OQ50" s="182" t="n"/>
      <c r="OT50" s="201">
        <f>OK50</f>
        <v/>
      </c>
      <c r="OU50" s="199" t="n">
        <v>156552.4066</v>
      </c>
      <c r="OV50" s="9">
        <f>OU51</f>
        <v/>
      </c>
      <c r="OW50" s="671">
        <f>OU50-OV50</f>
        <v/>
      </c>
      <c r="OX50" s="182">
        <f>OW50/OV50</f>
        <v/>
      </c>
      <c r="OY50" s="0" t="n">
        <v>0.0183</v>
      </c>
    </row>
    <row r="51" ht="17" customFormat="1" customHeight="1" s="9">
      <c r="A51" s="631" t="n"/>
      <c r="B51" s="631" t="n"/>
      <c r="C51" s="631" t="inlineStr">
        <is>
          <t>2026//9/2</t>
        </is>
      </c>
      <c r="D51" s="20" t="n">
        <v>2295678.77</v>
      </c>
      <c r="E51" s="20">
        <f>D52</f>
        <v/>
      </c>
      <c r="F51" s="20">
        <f>D51-E51</f>
        <v/>
      </c>
      <c r="G51" s="163">
        <f>F51/E51</f>
        <v/>
      </c>
      <c r="H51" s="19" t="n">
        <v>-0.0137</v>
      </c>
      <c r="I51" s="163" t="n"/>
      <c r="J51" s="163" t="n"/>
      <c r="K51" s="9">
        <f>C51</f>
        <v/>
      </c>
      <c r="L51" s="20" t="n">
        <v>1129024.4</v>
      </c>
      <c r="M51" s="20">
        <f>L52</f>
        <v/>
      </c>
      <c r="N51" s="20">
        <f>L51-M51</f>
        <v/>
      </c>
      <c r="O51" s="163">
        <f>N51/M51</f>
        <v/>
      </c>
      <c r="P51" s="19" t="n">
        <v>-0.0143</v>
      </c>
      <c r="Q51" s="163" t="n"/>
      <c r="R51" s="20" t="n"/>
      <c r="S51" s="9">
        <f>C51</f>
        <v/>
      </c>
      <c r="T51" s="20" t="n">
        <v>647256.6800000001</v>
      </c>
      <c r="U51" s="20">
        <f>T52</f>
        <v/>
      </c>
      <c r="V51" s="20">
        <f>T51-U51</f>
        <v/>
      </c>
      <c r="W51" s="163">
        <f>V51/U51</f>
        <v/>
      </c>
      <c r="X51" s="19" t="n">
        <v>-0.0098</v>
      </c>
      <c r="Y51" s="163" t="n"/>
      <c r="Z51" s="20" t="n"/>
      <c r="AA51" s="9">
        <f>S51</f>
        <v/>
      </c>
      <c r="AB51" s="20" t="n">
        <v>506336.86</v>
      </c>
      <c r="AC51" s="20">
        <f>AB52</f>
        <v/>
      </c>
      <c r="AD51" s="20">
        <f>AB51-AC51</f>
        <v/>
      </c>
      <c r="AE51" s="163">
        <f>AD51/AC51</f>
        <v/>
      </c>
      <c r="AF51" s="19" t="n">
        <v>-0.0165</v>
      </c>
      <c r="AG51" s="163" t="n"/>
      <c r="AH51" s="20" t="n"/>
      <c r="AI51" s="9">
        <f>C51</f>
        <v/>
      </c>
      <c r="AJ51" s="20" t="n">
        <v>606521.76</v>
      </c>
      <c r="AK51" s="20">
        <f>AJ52</f>
        <v/>
      </c>
      <c r="AL51" s="20">
        <f>AJ51-AK51</f>
        <v/>
      </c>
      <c r="AM51" s="163">
        <f>AL51/AK51</f>
        <v/>
      </c>
      <c r="AN51" s="19" t="n">
        <v>-0.0141</v>
      </c>
      <c r="AO51" s="19" t="n"/>
      <c r="AP51" s="20" t="n"/>
      <c r="AQ51" s="9">
        <f>C51</f>
        <v/>
      </c>
      <c r="AR51" s="262" t="n">
        <v>1948045.4936</v>
      </c>
      <c r="AS51" s="20">
        <f>AR52</f>
        <v/>
      </c>
      <c r="AT51" s="20">
        <f>AR51-AS51</f>
        <v/>
      </c>
      <c r="AU51" s="163">
        <f>AT51/AS51</f>
        <v/>
      </c>
      <c r="AV51" s="19" t="n">
        <v>-0.0226</v>
      </c>
      <c r="AW51" s="19" t="n"/>
      <c r="AX51" s="5" t="n"/>
      <c r="AY51" s="5" t="n"/>
      <c r="AZ51" s="9">
        <f>C51</f>
        <v/>
      </c>
      <c r="BA51" s="242" t="n">
        <v>622641.6676</v>
      </c>
      <c r="BB51" s="24">
        <f>BA52</f>
        <v/>
      </c>
      <c r="BC51" s="5">
        <f>BA51-BB51</f>
        <v/>
      </c>
      <c r="BD51" s="19">
        <f>BC51/BB51</f>
        <v/>
      </c>
      <c r="BE51" s="19" t="n">
        <v>-0.0143</v>
      </c>
      <c r="BF51" s="19" t="n"/>
      <c r="BG51" s="647" t="n"/>
      <c r="BH51" s="9">
        <f>C51</f>
        <v/>
      </c>
      <c r="BI51" s="221" t="n">
        <v>1170526.5525</v>
      </c>
      <c r="BJ51" s="184">
        <f>BI52</f>
        <v/>
      </c>
      <c r="BK51" s="184">
        <f>BI51-BJ51</f>
        <v/>
      </c>
      <c r="BL51" s="190">
        <f>BK51/BJ51</f>
        <v/>
      </c>
      <c r="BM51" s="191" t="n">
        <v>-0.0066</v>
      </c>
      <c r="BN51" s="182" t="n"/>
      <c r="BP51" s="9">
        <f>C51</f>
        <v/>
      </c>
      <c r="BQ51" s="672" t="n">
        <v>1389862.3921</v>
      </c>
      <c r="BR51" s="13">
        <f>BQ52</f>
        <v/>
      </c>
      <c r="BS51" s="13">
        <f>BQ51-BR51</f>
        <v/>
      </c>
      <c r="BT51" s="193">
        <f>BS51/BR51</f>
        <v/>
      </c>
      <c r="BU51" s="182" t="n">
        <v>-0.0259</v>
      </c>
      <c r="BV51" s="182" t="n"/>
      <c r="BX51" s="9">
        <f>C51</f>
        <v/>
      </c>
      <c r="BY51" s="222" t="n">
        <v>1696160.7019</v>
      </c>
      <c r="BZ51" s="13">
        <f>BY52</f>
        <v/>
      </c>
      <c r="CA51" s="13">
        <f>BY51-BZ51</f>
        <v/>
      </c>
      <c r="CB51" s="193">
        <f>CA51/BZ51</f>
        <v/>
      </c>
      <c r="CC51" s="182" t="n">
        <v>-0.0279</v>
      </c>
      <c r="CD51" s="194" t="n"/>
      <c r="CF51" s="9">
        <f>C51</f>
        <v/>
      </c>
      <c r="CG51" s="215" t="n">
        <v>1412003.9</v>
      </c>
      <c r="CH51" s="13">
        <f>CG52</f>
        <v/>
      </c>
      <c r="CI51" s="13">
        <f>CG51-CH51</f>
        <v/>
      </c>
      <c r="CJ51" s="193">
        <f>CI51/CH51</f>
        <v/>
      </c>
      <c r="CK51" s="182" t="n">
        <v>-0.0253</v>
      </c>
      <c r="CL51" s="194" t="n"/>
      <c r="CN51" s="9">
        <f>C51</f>
        <v/>
      </c>
      <c r="CO51" s="215" t="n">
        <v>524646.48</v>
      </c>
      <c r="CP51" s="13">
        <f>CO52</f>
        <v/>
      </c>
      <c r="CQ51" s="13">
        <f>CO51-CP51</f>
        <v/>
      </c>
      <c r="CR51" s="193">
        <f>CQ51/CP51</f>
        <v/>
      </c>
      <c r="CS51" s="194" t="n">
        <v>-0.0228</v>
      </c>
      <c r="CT51" s="194" t="n"/>
      <c r="CV51" s="9">
        <f>C51</f>
        <v/>
      </c>
      <c r="CW51" s="215" t="n">
        <v>631990.4</v>
      </c>
      <c r="CX51" s="13">
        <f>CW52</f>
        <v/>
      </c>
      <c r="CY51" s="13">
        <f>CW51-CX51</f>
        <v/>
      </c>
      <c r="CZ51" s="193">
        <f>CY51/CX51</f>
        <v/>
      </c>
      <c r="DA51" s="182" t="n">
        <v>-0.0118</v>
      </c>
      <c r="DB51" s="182" t="n"/>
      <c r="DC51" s="256" t="n"/>
      <c r="DD51" s="9">
        <f>C51</f>
        <v/>
      </c>
      <c r="DE51" s="242" t="n">
        <v>6185935.9972</v>
      </c>
      <c r="DF51" s="13">
        <f>DE52</f>
        <v/>
      </c>
      <c r="DG51" s="13">
        <f>DE51-DF51</f>
        <v/>
      </c>
      <c r="DH51" s="193">
        <f>DG51/DF51</f>
        <v/>
      </c>
      <c r="DI51" s="182" t="n">
        <v>-0.0172</v>
      </c>
      <c r="DJ51" s="182" t="n"/>
      <c r="DK51" s="0" t="n"/>
      <c r="DL51" s="9">
        <f>C51</f>
        <v/>
      </c>
      <c r="DM51" s="215" t="n">
        <v>1951800.72</v>
      </c>
      <c r="DN51" s="13">
        <f>DM52</f>
        <v/>
      </c>
      <c r="DO51" s="13">
        <f>DM51-DN51</f>
        <v/>
      </c>
      <c r="DP51" s="193">
        <f>DO51/DN51</f>
        <v/>
      </c>
      <c r="DQ51" s="182" t="n">
        <v>-0.0194</v>
      </c>
      <c r="DR51" s="182" t="n"/>
      <c r="DT51" s="9">
        <f>C51</f>
        <v/>
      </c>
      <c r="DU51" s="215" t="n">
        <v>4257268.43</v>
      </c>
      <c r="DV51" s="13">
        <f>DU52</f>
        <v/>
      </c>
      <c r="DW51" s="13">
        <f>DU51-DV51</f>
        <v/>
      </c>
      <c r="DX51" s="193">
        <f>DW51/DV51</f>
        <v/>
      </c>
      <c r="DY51" s="182" t="n">
        <v>-0.0172</v>
      </c>
      <c r="DZ51" s="182" t="n"/>
      <c r="EB51" s="9">
        <f>C51</f>
        <v/>
      </c>
      <c r="EC51" s="215" t="n">
        <v>5141966.82</v>
      </c>
      <c r="ED51" s="13">
        <f>EC52</f>
        <v/>
      </c>
      <c r="EE51" s="13">
        <f>EC51-ED51</f>
        <v/>
      </c>
      <c r="EF51" s="193">
        <f>EE51/ED51</f>
        <v/>
      </c>
      <c r="EG51" s="182" t="n">
        <v>-0.0184</v>
      </c>
      <c r="EH51" s="182" t="n"/>
      <c r="EJ51" s="9">
        <f>C51</f>
        <v/>
      </c>
      <c r="EK51" s="242" t="n">
        <v>1208322.9669</v>
      </c>
      <c r="EL51" s="13">
        <f>EK52</f>
        <v/>
      </c>
      <c r="EM51" s="13">
        <f>EK51-EL51</f>
        <v/>
      </c>
      <c r="EN51" s="193">
        <f>EM51/EL51</f>
        <v/>
      </c>
      <c r="EO51" s="182" t="n">
        <v>-0.0181</v>
      </c>
      <c r="EP51" s="182" t="n"/>
      <c r="ER51" s="9">
        <f>C51</f>
        <v/>
      </c>
      <c r="ES51" s="215" t="n">
        <v>752094.04</v>
      </c>
      <c r="ET51" s="13">
        <f>ES52</f>
        <v/>
      </c>
      <c r="EU51" s="13">
        <f>ES51-ET51</f>
        <v/>
      </c>
      <c r="EV51" s="193">
        <f>EU51/ET51</f>
        <v/>
      </c>
      <c r="EW51" s="182" t="n">
        <v>-0.0187</v>
      </c>
      <c r="EX51" s="182" t="n"/>
      <c r="EZ51" s="9">
        <f>C51</f>
        <v/>
      </c>
      <c r="FA51" s="215" t="n">
        <v>645608</v>
      </c>
      <c r="FB51" s="13">
        <f>FA52</f>
        <v/>
      </c>
      <c r="FC51" s="13">
        <f>FA51-FB51</f>
        <v/>
      </c>
      <c r="FD51" s="193">
        <f>FC51/FB51</f>
        <v/>
      </c>
      <c r="FE51" s="182" t="n">
        <v>0.0009</v>
      </c>
      <c r="FF51" s="182" t="n"/>
      <c r="FH51" s="9">
        <f>C51</f>
        <v/>
      </c>
      <c r="FI51" s="242" t="n">
        <v>948595.3365</v>
      </c>
      <c r="FJ51" s="13">
        <f>FI52</f>
        <v/>
      </c>
      <c r="FK51" s="13">
        <f>FI51-FJ51</f>
        <v/>
      </c>
      <c r="FL51" s="193">
        <f>FK51/FJ51</f>
        <v/>
      </c>
      <c r="FM51" s="194" t="n">
        <v>-0.0073</v>
      </c>
      <c r="FN51" s="194" t="n"/>
      <c r="FP51" s="9">
        <f>C51</f>
        <v/>
      </c>
      <c r="FQ51" s="215" t="n">
        <v>1849768.73</v>
      </c>
      <c r="FR51" s="13">
        <f>FQ52</f>
        <v/>
      </c>
      <c r="FS51" s="13">
        <f>FQ51-FR51</f>
        <v/>
      </c>
      <c r="FT51" s="193">
        <f>FS51/FR51</f>
        <v/>
      </c>
      <c r="FU51" s="182" t="n">
        <v>-0.0176</v>
      </c>
      <c r="FV51" s="182" t="n"/>
      <c r="FX51" s="9">
        <f>C51</f>
        <v/>
      </c>
      <c r="FY51" s="215" t="n">
        <v>7169182.05</v>
      </c>
      <c r="FZ51" s="13">
        <f>FY52</f>
        <v/>
      </c>
      <c r="GA51" s="13">
        <f>FY51-FZ51</f>
        <v/>
      </c>
      <c r="GB51" s="193">
        <f>GA51/FZ51</f>
        <v/>
      </c>
      <c r="GC51" s="182" t="n">
        <v>-0.008800000000000001</v>
      </c>
      <c r="GD51" s="182" t="n"/>
      <c r="GF51" s="9">
        <f>C51</f>
        <v/>
      </c>
      <c r="GG51" s="215" t="n">
        <v>4008269.49</v>
      </c>
      <c r="GH51" s="13">
        <f>GG52</f>
        <v/>
      </c>
      <c r="GI51" s="13">
        <f>GG51-GH51</f>
        <v/>
      </c>
      <c r="GJ51" s="193">
        <f>GI51/GH51</f>
        <v/>
      </c>
      <c r="GK51" s="182" t="n">
        <v>-0.0026</v>
      </c>
      <c r="GL51" s="182" t="n"/>
      <c r="GN51" s="9">
        <f>C51</f>
        <v/>
      </c>
      <c r="GO51" s="242" t="n">
        <v>1990258.1217</v>
      </c>
      <c r="GP51" s="13">
        <f>GO52</f>
        <v/>
      </c>
      <c r="GQ51" s="13">
        <f>GO51-GP51</f>
        <v/>
      </c>
      <c r="GR51" s="193">
        <f>GQ51/GP51</f>
        <v/>
      </c>
      <c r="GS51" s="182" t="n">
        <v>-0.0071</v>
      </c>
      <c r="GT51" s="182" t="n"/>
      <c r="GV51" s="9">
        <f>C51</f>
        <v/>
      </c>
      <c r="GW51" s="215" t="n">
        <v>596749.4</v>
      </c>
      <c r="GX51" s="13">
        <f>GW52</f>
        <v/>
      </c>
      <c r="GY51" s="13">
        <f>GW51-GX51</f>
        <v/>
      </c>
      <c r="GZ51" s="193">
        <f>GY51/GX51</f>
        <v/>
      </c>
      <c r="HA51" s="182" t="n">
        <v>-0.0182</v>
      </c>
      <c r="HB51" s="182" t="n"/>
      <c r="HD51" s="9">
        <f>C51</f>
        <v/>
      </c>
      <c r="HE51" s="242" t="n">
        <v>789264.6746</v>
      </c>
      <c r="HF51" s="13">
        <f>HE52</f>
        <v/>
      </c>
      <c r="HG51" s="13">
        <f>HE51-HF51</f>
        <v/>
      </c>
      <c r="HH51" s="193">
        <f>HG51/HF51</f>
        <v/>
      </c>
      <c r="HI51" s="194" t="n">
        <v>-0.0249</v>
      </c>
      <c r="HJ51" s="182" t="n"/>
      <c r="HL51" s="9">
        <f>C51</f>
        <v/>
      </c>
      <c r="HM51" s="215" t="n">
        <v>117504.25</v>
      </c>
      <c r="HN51" s="13">
        <f>HM52</f>
        <v/>
      </c>
      <c r="HO51" s="13">
        <f>HM51-HN51</f>
        <v/>
      </c>
      <c r="HP51" s="193">
        <f>HO51/HN51</f>
        <v/>
      </c>
      <c r="HQ51" s="182" t="n">
        <v>-0.0126</v>
      </c>
      <c r="HR51" s="182" t="n"/>
      <c r="HT51" s="9">
        <f>C51</f>
        <v/>
      </c>
      <c r="HU51" s="242" t="n">
        <v>136868.8265</v>
      </c>
      <c r="HV51" s="13">
        <f>HU52</f>
        <v/>
      </c>
      <c r="HW51" s="13">
        <f>HU51-HV51</f>
        <v/>
      </c>
      <c r="HX51" s="193">
        <f>HW51/HV51</f>
        <v/>
      </c>
      <c r="HY51" s="182" t="n">
        <v>-0.0166</v>
      </c>
      <c r="HZ51" s="182" t="n"/>
      <c r="IB51" s="9">
        <f>C51</f>
        <v/>
      </c>
      <c r="IC51" s="215" t="n">
        <v>302584.79</v>
      </c>
      <c r="ID51" s="13">
        <f>IC52</f>
        <v/>
      </c>
      <c r="IE51" s="13">
        <f>IC51-ID51</f>
        <v/>
      </c>
      <c r="IF51" s="193">
        <f>IE51/ID51</f>
        <v/>
      </c>
      <c r="IG51" s="194" t="n">
        <v>-0.008999999999999999</v>
      </c>
      <c r="IH51" s="182" t="n"/>
      <c r="IJ51" s="9">
        <f>C51</f>
        <v/>
      </c>
      <c r="IK51" s="242" t="n">
        <v>936316.29</v>
      </c>
      <c r="IL51" s="13">
        <f>IK52</f>
        <v/>
      </c>
      <c r="IM51" s="13">
        <f>IK51-IL51</f>
        <v/>
      </c>
      <c r="IN51" s="193">
        <f>IM51/IL51</f>
        <v/>
      </c>
      <c r="IO51" s="182" t="n">
        <v>-0.0038</v>
      </c>
      <c r="IP51" s="182" t="n"/>
      <c r="IR51" s="9">
        <f>C51</f>
        <v/>
      </c>
      <c r="IS51" s="215" t="n">
        <v>150389</v>
      </c>
      <c r="IT51" s="13">
        <f>IS52</f>
        <v/>
      </c>
      <c r="IU51" s="13">
        <f>IS51-IT51</f>
        <v/>
      </c>
      <c r="IV51" s="193">
        <f>IU51/IT51</f>
        <v/>
      </c>
      <c r="IW51" s="182" t="n">
        <v>-0.0186</v>
      </c>
      <c r="IX51" s="182" t="n"/>
      <c r="IZ51" s="9">
        <f>C51</f>
        <v/>
      </c>
      <c r="JA51" s="215" t="n">
        <v>5643529.15</v>
      </c>
      <c r="JB51" s="13">
        <f>JA52</f>
        <v/>
      </c>
      <c r="JC51" s="13">
        <f>JA51-JB51</f>
        <v/>
      </c>
      <c r="JD51" s="193">
        <f>JC51/JB51</f>
        <v/>
      </c>
      <c r="JE51" s="182" t="n">
        <v>-0.0207</v>
      </c>
      <c r="JF51" s="182" t="n"/>
      <c r="JH51" s="9">
        <f>C51</f>
        <v/>
      </c>
      <c r="JI51" s="215" t="n">
        <v>1186047.99</v>
      </c>
      <c r="JJ51" s="13">
        <f>JI52</f>
        <v/>
      </c>
      <c r="JK51" s="13">
        <f>JI51-JJ51</f>
        <v/>
      </c>
      <c r="JL51" s="193">
        <f>JK51/JJ51</f>
        <v/>
      </c>
      <c r="JM51" s="182" t="n">
        <v>-0.0024</v>
      </c>
      <c r="JN51" s="182" t="n"/>
      <c r="JP51" s="9">
        <f>C51</f>
        <v/>
      </c>
      <c r="JQ51" s="242" t="n">
        <v>998390.4148</v>
      </c>
      <c r="JR51" s="13">
        <f>JQ52</f>
        <v/>
      </c>
      <c r="JS51" s="13">
        <f>JQ51-JR51</f>
        <v/>
      </c>
      <c r="JT51" s="193">
        <f>JS51/JR51</f>
        <v/>
      </c>
      <c r="JU51" s="182" t="n">
        <v>-0.0185</v>
      </c>
      <c r="JV51" s="194" t="n"/>
      <c r="JX51" s="9">
        <f>C51</f>
        <v/>
      </c>
      <c r="JY51" s="215" t="n">
        <v>978198.8</v>
      </c>
      <c r="JZ51" s="13">
        <f>JY52</f>
        <v/>
      </c>
      <c r="KA51" s="13">
        <f>JY51-JZ51</f>
        <v/>
      </c>
      <c r="KB51" s="193">
        <f>KA51/JZ51</f>
        <v/>
      </c>
      <c r="KC51" s="182" t="n">
        <v>-0.0268</v>
      </c>
      <c r="KD51" s="194" t="n"/>
      <c r="KF51" s="9">
        <f>C51</f>
        <v/>
      </c>
      <c r="KG51" s="242" t="n">
        <v>570155.9219</v>
      </c>
      <c r="KH51" s="13">
        <f>KG52</f>
        <v/>
      </c>
      <c r="KI51" s="13">
        <f>KG51-KH51</f>
        <v/>
      </c>
      <c r="KJ51" s="193">
        <f>KI51/KH51</f>
        <v/>
      </c>
      <c r="KK51" s="194" t="n">
        <v>-0.004</v>
      </c>
      <c r="KL51" s="194" t="n"/>
      <c r="KN51" s="9">
        <f>C51</f>
        <v/>
      </c>
      <c r="KO51" s="215" t="n">
        <v>6954675.95</v>
      </c>
      <c r="KP51" s="13">
        <f>KO52</f>
        <v/>
      </c>
      <c r="KQ51" s="13">
        <f>KO51-KP51</f>
        <v/>
      </c>
      <c r="KR51" s="193">
        <f>KQ51/KP51</f>
        <v/>
      </c>
      <c r="KS51" s="182" t="n">
        <v>-0.0139</v>
      </c>
      <c r="KT51" s="182" t="n"/>
      <c r="KV51" s="9">
        <f>C51</f>
        <v/>
      </c>
      <c r="KW51" s="242" t="n">
        <v>1039072.9726</v>
      </c>
      <c r="KX51" s="13">
        <f>KW52</f>
        <v/>
      </c>
      <c r="KY51" s="13">
        <f>KW51-KX51</f>
        <v/>
      </c>
      <c r="KZ51" s="193">
        <f>KY51/KX51</f>
        <v/>
      </c>
      <c r="LA51" s="194" t="n">
        <v>0.0043</v>
      </c>
      <c r="LB51" s="182" t="n"/>
      <c r="LD51" s="9">
        <f>C51</f>
        <v/>
      </c>
      <c r="LE51" s="215" t="n">
        <v>380857.7</v>
      </c>
      <c r="LF51" s="13">
        <f>LE52</f>
        <v/>
      </c>
      <c r="LG51" s="13">
        <f>LE51-LF51</f>
        <v/>
      </c>
      <c r="LH51" s="193">
        <f>LG51/LF51</f>
        <v/>
      </c>
      <c r="LI51" s="182" t="n">
        <v>-0.0208</v>
      </c>
      <c r="LJ51" s="182" t="n"/>
      <c r="LL51" s="9">
        <f>C51</f>
        <v/>
      </c>
      <c r="LM51" s="215" t="n">
        <v>3161095.02</v>
      </c>
      <c r="LN51" s="13">
        <f>LM52</f>
        <v/>
      </c>
      <c r="LO51" s="13">
        <f>LM51-LN51</f>
        <v/>
      </c>
      <c r="LP51" s="193">
        <f>LO51/LN51</f>
        <v/>
      </c>
      <c r="LQ51" s="182" t="n">
        <v>-0.014</v>
      </c>
      <c r="LR51" s="182" t="n"/>
      <c r="LT51" s="9">
        <f>C51</f>
        <v/>
      </c>
      <c r="LU51" s="242" t="n">
        <v>2306062.904</v>
      </c>
      <c r="LV51" s="13">
        <f>LU52</f>
        <v/>
      </c>
      <c r="LW51" s="13">
        <f>LU51-LV51</f>
        <v/>
      </c>
      <c r="LX51" s="193">
        <f>LW51/LV51</f>
        <v/>
      </c>
      <c r="LY51" s="182" t="n">
        <v>-0.0089</v>
      </c>
      <c r="LZ51" s="182" t="n"/>
      <c r="MB51" s="9">
        <f>C51</f>
        <v/>
      </c>
      <c r="MC51" s="215" t="n">
        <v>918867.6899999999</v>
      </c>
      <c r="MD51" s="13">
        <f>MC52</f>
        <v/>
      </c>
      <c r="ME51" s="13">
        <f>MC51-MD51</f>
        <v/>
      </c>
      <c r="MF51" s="193">
        <f>ME51/MD51</f>
        <v/>
      </c>
      <c r="MG51" s="182" t="n">
        <v>-0.0291</v>
      </c>
      <c r="MH51" s="182" t="n"/>
      <c r="MI51" s="9" t="n"/>
      <c r="MJ51" s="9" t="n"/>
      <c r="MK51" s="9">
        <f>C51</f>
        <v/>
      </c>
      <c r="ML51" s="242" t="n">
        <v>160665.5354</v>
      </c>
      <c r="MM51" s="13">
        <f>ML52</f>
        <v/>
      </c>
      <c r="MN51" s="13">
        <f>ML51-MM51</f>
        <v/>
      </c>
      <c r="MO51" s="193">
        <f>MN51/MM51</f>
        <v/>
      </c>
      <c r="MP51" s="182" t="n">
        <v>-0.0181</v>
      </c>
      <c r="MQ51" s="194" t="n"/>
      <c r="MR51" s="194" t="n"/>
      <c r="MT51" s="9">
        <f>C51</f>
        <v/>
      </c>
      <c r="MU51" s="215" t="n">
        <v>135514.8</v>
      </c>
      <c r="MV51" s="188">
        <f>MU52</f>
        <v/>
      </c>
      <c r="MW51" s="9">
        <f>MU51-MV51</f>
        <v/>
      </c>
      <c r="MX51" s="182">
        <f>MW51/MV51</f>
        <v/>
      </c>
      <c r="MY51" s="182" t="n">
        <v>-0.022</v>
      </c>
      <c r="MZ51" s="182" t="n"/>
      <c r="NA51" s="182" t="n"/>
      <c r="NC51" s="9">
        <f>C51</f>
        <v/>
      </c>
      <c r="ND51" s="215" t="n">
        <v>33491.48</v>
      </c>
      <c r="NE51" s="188">
        <f>ND52</f>
        <v/>
      </c>
      <c r="NF51" s="9">
        <f>ND51-NE51</f>
        <v/>
      </c>
      <c r="NG51" s="182">
        <f>NF51/NE51</f>
        <v/>
      </c>
      <c r="NH51" s="182" t="n">
        <v>-0.023</v>
      </c>
      <c r="NI51" s="182" t="n"/>
      <c r="NJ51" s="182" t="n"/>
      <c r="NK51" s="182" t="n"/>
      <c r="NM51" s="9">
        <f>C51</f>
        <v/>
      </c>
      <c r="NN51" s="215" t="n">
        <v>2692011.08</v>
      </c>
      <c r="NO51" s="9">
        <f>NN52</f>
        <v/>
      </c>
      <c r="NP51" s="197">
        <f>NN51-NO51</f>
        <v/>
      </c>
      <c r="NQ51" s="198">
        <f>NP51/NO51</f>
        <v/>
      </c>
      <c r="NR51" s="182" t="n">
        <v>-0.0058</v>
      </c>
      <c r="NS51" s="0" t="n"/>
      <c r="NU51" s="9">
        <f>C51</f>
        <v/>
      </c>
      <c r="NV51" s="215" t="n">
        <v>228026.5</v>
      </c>
      <c r="NW51" s="188">
        <f>NV52</f>
        <v/>
      </c>
      <c r="NX51" s="197">
        <f>NV51-NW51</f>
        <v/>
      </c>
      <c r="NY51" s="198">
        <f>NX51/NW51</f>
        <v/>
      </c>
      <c r="NZ51" s="194" t="n">
        <v>-0.0135</v>
      </c>
      <c r="OA51" s="185" t="n"/>
      <c r="OC51" s="9">
        <f>C51</f>
        <v/>
      </c>
      <c r="OD51" s="215" t="n">
        <v>19442.97</v>
      </c>
      <c r="OE51" s="13">
        <f>OD52</f>
        <v/>
      </c>
      <c r="OF51" s="13">
        <f>OD51-OE51</f>
        <v/>
      </c>
      <c r="OG51" s="193">
        <f>OF51/OE51</f>
        <v/>
      </c>
      <c r="OH51" s="182" t="n">
        <v>-0.0011</v>
      </c>
      <c r="OI51" s="182" t="n"/>
      <c r="OK51" s="9">
        <f>C51</f>
        <v/>
      </c>
      <c r="OL51" s="215" t="n">
        <v>16884.65</v>
      </c>
      <c r="OM51" s="13">
        <f>OL52</f>
        <v/>
      </c>
      <c r="ON51" s="13">
        <f>OL51-OM51</f>
        <v/>
      </c>
      <c r="OO51" s="193">
        <f>ON51/OM51</f>
        <v/>
      </c>
      <c r="OP51" s="182" t="n">
        <v>0</v>
      </c>
      <c r="OQ51" s="182" t="n"/>
      <c r="OT51" s="201">
        <f>OK51</f>
        <v/>
      </c>
      <c r="OU51" s="199" t="n">
        <v>156432.4066</v>
      </c>
      <c r="OV51" s="9">
        <f>OU52</f>
        <v/>
      </c>
      <c r="OW51" s="671">
        <f>OU51-OV51</f>
        <v/>
      </c>
      <c r="OX51" s="182">
        <f>OW51/OV51</f>
        <v/>
      </c>
      <c r="OY51" s="0" t="n">
        <v>-0.0097</v>
      </c>
    </row>
    <row r="52" ht="17" customFormat="1" customHeight="1" s="10">
      <c r="A52" s="674" t="n"/>
      <c r="B52" s="674" t="n"/>
      <c r="C52" s="678" t="inlineStr">
        <is>
          <t>2026//9/1</t>
        </is>
      </c>
      <c r="D52" s="226" t="n">
        <v>2299998.77</v>
      </c>
      <c r="E52" s="226">
        <f>D53</f>
        <v/>
      </c>
      <c r="F52" s="226">
        <f>D52-E52</f>
        <v/>
      </c>
      <c r="G52" s="227">
        <f>F52/E52</f>
        <v/>
      </c>
      <c r="H52" s="228" t="n">
        <v>-0.0002</v>
      </c>
      <c r="I52" s="227" t="n"/>
      <c r="J52" s="227" t="n"/>
      <c r="K52" s="226">
        <f>C52</f>
        <v/>
      </c>
      <c r="L52" s="226" t="n">
        <v>1129474.4</v>
      </c>
      <c r="M52" s="226">
        <f>L53</f>
        <v/>
      </c>
      <c r="N52" s="226">
        <f>L52-M52</f>
        <v/>
      </c>
      <c r="O52" s="227">
        <f>N52/M52</f>
        <v/>
      </c>
      <c r="P52" s="228" t="n">
        <v>0.0002</v>
      </c>
      <c r="Q52" s="227" t="n"/>
      <c r="R52" s="226" t="n"/>
      <c r="S52" s="226">
        <f>C52</f>
        <v/>
      </c>
      <c r="T52" s="226" t="n">
        <v>653376.6800000001</v>
      </c>
      <c r="U52" s="226">
        <f>T53</f>
        <v/>
      </c>
      <c r="V52" s="226">
        <f>T52-U52</f>
        <v/>
      </c>
      <c r="W52" s="227">
        <f>V52/U52</f>
        <v/>
      </c>
      <c r="X52" s="228" t="n">
        <v>0.0046</v>
      </c>
      <c r="Y52" s="227" t="n"/>
      <c r="Z52" s="226" t="n"/>
      <c r="AA52" s="226">
        <f>S52</f>
        <v/>
      </c>
      <c r="AB52" s="226" t="n">
        <v>518936.86</v>
      </c>
      <c r="AC52" s="226">
        <f>AB53</f>
        <v/>
      </c>
      <c r="AD52" s="226">
        <f>AB52-AC52</f>
        <v/>
      </c>
      <c r="AE52" s="227">
        <f>AD52/AC52</f>
        <v/>
      </c>
      <c r="AF52" s="228" t="n">
        <v>-0.0108</v>
      </c>
      <c r="AG52" s="227" t="n"/>
      <c r="AH52" s="226" t="n"/>
      <c r="AI52" s="226">
        <f>C52</f>
        <v/>
      </c>
      <c r="AJ52" s="226" t="n">
        <v>623721.76</v>
      </c>
      <c r="AK52" s="226">
        <f>AJ53</f>
        <v/>
      </c>
      <c r="AL52" s="226">
        <f>AJ52-AK52</f>
        <v/>
      </c>
      <c r="AM52" s="227">
        <f>AL52/AK52</f>
        <v/>
      </c>
      <c r="AN52" s="228" t="n">
        <v>-0.0086</v>
      </c>
      <c r="AO52" s="228" t="n"/>
      <c r="AP52" s="226" t="n"/>
      <c r="AQ52" s="226">
        <f>C52</f>
        <v/>
      </c>
      <c r="AR52" s="679" t="n">
        <v>1904445.4936</v>
      </c>
      <c r="AS52" s="226">
        <f>AR53</f>
        <v/>
      </c>
      <c r="AT52" s="226">
        <f>AR52-AS52</f>
        <v/>
      </c>
      <c r="AU52" s="227">
        <f>AT52/AS52</f>
        <v/>
      </c>
      <c r="AV52" s="228" t="n">
        <v>-0.0127</v>
      </c>
      <c r="AW52" s="228" t="n"/>
      <c r="AX52" s="230" t="n"/>
      <c r="AY52" s="230" t="n"/>
      <c r="AZ52" s="226">
        <f>C52</f>
        <v/>
      </c>
      <c r="BA52" s="265" t="n">
        <v>623001.6676</v>
      </c>
      <c r="BB52" s="240">
        <f>BA53</f>
        <v/>
      </c>
      <c r="BC52" s="230">
        <f>BA52-BB52</f>
        <v/>
      </c>
      <c r="BD52" s="228">
        <f>BC52/BB52</f>
        <v/>
      </c>
      <c r="BE52" s="228" t="n">
        <v>0</v>
      </c>
      <c r="BF52" s="228" t="n"/>
      <c r="BG52" s="675" t="n"/>
      <c r="BH52" s="10">
        <f>C52</f>
        <v/>
      </c>
      <c r="BI52" s="251" t="n">
        <v>1176426.5525</v>
      </c>
      <c r="BJ52" s="233">
        <f>BI53</f>
        <v/>
      </c>
      <c r="BK52" s="233">
        <f>BI52-BJ52</f>
        <v/>
      </c>
      <c r="BL52" s="234">
        <f>BK52/BJ52</f>
        <v/>
      </c>
      <c r="BM52" s="235" t="n">
        <v>-0.008999999999999999</v>
      </c>
      <c r="BN52" s="236" t="n"/>
      <c r="BP52" s="10">
        <f>C52</f>
        <v/>
      </c>
      <c r="BQ52" s="677" t="n">
        <v>1388562.3921</v>
      </c>
      <c r="BR52" s="14">
        <f>BQ53</f>
        <v/>
      </c>
      <c r="BS52" s="14">
        <f>BQ52-BR52</f>
        <v/>
      </c>
      <c r="BT52" s="237">
        <f>BS52/BR52</f>
        <v/>
      </c>
      <c r="BU52" s="236" t="n">
        <v>0.0014</v>
      </c>
      <c r="BV52" s="236" t="n"/>
      <c r="BX52" s="10">
        <f>C52</f>
        <v/>
      </c>
      <c r="BY52" s="253" t="n">
        <v>1692060.7019</v>
      </c>
      <c r="BZ52" s="14">
        <f>BY53</f>
        <v/>
      </c>
      <c r="CA52" s="14">
        <f>BY52-BZ52</f>
        <v/>
      </c>
      <c r="CB52" s="237">
        <f>CA52/BZ52</f>
        <v/>
      </c>
      <c r="CC52" s="236" t="n">
        <v>-0.0072</v>
      </c>
      <c r="CD52" s="238" t="n"/>
      <c r="CF52" s="10">
        <f>C52</f>
        <v/>
      </c>
      <c r="CG52" s="241" t="n">
        <v>1422253.9</v>
      </c>
      <c r="CH52" s="14">
        <f>CG53</f>
        <v/>
      </c>
      <c r="CI52" s="14">
        <f>CG52-CH52</f>
        <v/>
      </c>
      <c r="CJ52" s="237">
        <f>CI52/CH52</f>
        <v/>
      </c>
      <c r="CK52" s="236" t="n">
        <v>-0.0092</v>
      </c>
      <c r="CL52" s="238" t="n"/>
      <c r="CN52" s="10">
        <f>C52</f>
        <v/>
      </c>
      <c r="CO52" s="241" t="n">
        <v>523346.48</v>
      </c>
      <c r="CP52" s="14">
        <f>CO53</f>
        <v/>
      </c>
      <c r="CQ52" s="14">
        <f>CO52-CP52</f>
        <v/>
      </c>
      <c r="CR52" s="237">
        <f>CQ52/CP52</f>
        <v/>
      </c>
      <c r="CS52" s="238" t="n">
        <v>-0.008399999999999999</v>
      </c>
      <c r="CT52" s="238" t="n"/>
      <c r="CV52" s="10">
        <f>C52</f>
        <v/>
      </c>
      <c r="CW52" s="241" t="n">
        <v>627140.4</v>
      </c>
      <c r="CX52" s="14">
        <f>CW53</f>
        <v/>
      </c>
      <c r="CY52" s="14">
        <f>CW52-CX52</f>
        <v/>
      </c>
      <c r="CZ52" s="237">
        <f>CY52/CX52</f>
        <v/>
      </c>
      <c r="DA52" s="236" t="n">
        <v>-0.0063</v>
      </c>
      <c r="DB52" s="236" t="n"/>
      <c r="DC52" s="255" t="n"/>
      <c r="DD52" s="10">
        <f>C52</f>
        <v/>
      </c>
      <c r="DE52" s="253" t="n">
        <v>6249235.9972</v>
      </c>
      <c r="DF52" s="14">
        <f>DE53</f>
        <v/>
      </c>
      <c r="DG52" s="14">
        <f>DE52-DF52</f>
        <v/>
      </c>
      <c r="DH52" s="237">
        <f>DG52/DF52</f>
        <v/>
      </c>
      <c r="DI52" s="236" t="n">
        <v>-0.0373</v>
      </c>
      <c r="DJ52" s="236" t="n"/>
      <c r="DK52" s="0" t="n"/>
      <c r="DL52" s="10">
        <f>C52</f>
        <v/>
      </c>
      <c r="DM52" s="241" t="n">
        <v>1955400.72</v>
      </c>
      <c r="DN52" s="14">
        <f>DM53</f>
        <v/>
      </c>
      <c r="DO52" s="14">
        <f>DM52-DN52</f>
        <v/>
      </c>
      <c r="DP52" s="237">
        <f>DO52/DN52</f>
        <v/>
      </c>
      <c r="DQ52" s="236" t="n">
        <v>-0.0265</v>
      </c>
      <c r="DR52" s="236" t="n"/>
      <c r="DT52" s="10">
        <f>C52</f>
        <v/>
      </c>
      <c r="DU52" s="241" t="n">
        <v>4256368.43</v>
      </c>
      <c r="DV52" s="14">
        <f>DU53</f>
        <v/>
      </c>
      <c r="DW52" s="14">
        <f>DU52-DV52</f>
        <v/>
      </c>
      <c r="DX52" s="237">
        <f>DW52/DV52</f>
        <v/>
      </c>
      <c r="DY52" s="236" t="n">
        <v>-0.0285</v>
      </c>
      <c r="DZ52" s="236" t="n"/>
      <c r="EB52" s="10">
        <f>C52</f>
        <v/>
      </c>
      <c r="EC52" s="241" t="n">
        <v>5114666.82</v>
      </c>
      <c r="ED52" s="14">
        <f>EC53</f>
        <v/>
      </c>
      <c r="EE52" s="14">
        <f>EC52-ED52</f>
        <v/>
      </c>
      <c r="EF52" s="237">
        <f>EE52/ED52</f>
        <v/>
      </c>
      <c r="EG52" s="236" t="n">
        <v>-0.0208</v>
      </c>
      <c r="EH52" s="236" t="n"/>
      <c r="EJ52" s="10">
        <f>C52</f>
        <v/>
      </c>
      <c r="EK52" s="253" t="n">
        <v>1205722.9669</v>
      </c>
      <c r="EL52" s="14">
        <f>EK53</f>
        <v/>
      </c>
      <c r="EM52" s="14">
        <f>EK52-EL52</f>
        <v/>
      </c>
      <c r="EN52" s="237">
        <f>EM52/EL52</f>
        <v/>
      </c>
      <c r="EO52" s="236" t="n">
        <v>-0.0051</v>
      </c>
      <c r="EP52" s="236" t="n"/>
      <c r="ER52" s="10">
        <f>C52</f>
        <v/>
      </c>
      <c r="ES52" s="10" t="n">
        <v>750694.04</v>
      </c>
      <c r="ET52" s="14">
        <f>ES53</f>
        <v/>
      </c>
      <c r="EU52" s="14">
        <f>ES52-ET52</f>
        <v/>
      </c>
      <c r="EV52" s="237">
        <f>EU52/ET52</f>
        <v/>
      </c>
      <c r="EW52" s="236" t="n">
        <v>-0.0044</v>
      </c>
      <c r="EX52" s="236" t="n"/>
      <c r="EZ52" s="10">
        <f>C52</f>
        <v/>
      </c>
      <c r="FA52" s="241" t="n">
        <v>622508</v>
      </c>
      <c r="FB52" s="14">
        <f>FA53</f>
        <v/>
      </c>
      <c r="FC52" s="14">
        <f>FA52-FB52</f>
        <v/>
      </c>
      <c r="FD52" s="237">
        <f>FC52/FB52</f>
        <v/>
      </c>
      <c r="FE52" s="236" t="n">
        <v>-0.0009</v>
      </c>
      <c r="FF52" s="236" t="n"/>
      <c r="FH52" s="10">
        <f>C52</f>
        <v/>
      </c>
      <c r="FI52" s="677" t="n">
        <v>944295.3365</v>
      </c>
      <c r="FJ52" s="14">
        <f>FI53</f>
        <v/>
      </c>
      <c r="FK52" s="14">
        <f>FI52-FJ52</f>
        <v/>
      </c>
      <c r="FL52" s="237">
        <f>FK52/FJ52</f>
        <v/>
      </c>
      <c r="FM52" s="238" t="n">
        <v>-0.0136</v>
      </c>
      <c r="FN52" s="238" t="n"/>
      <c r="FP52" s="10">
        <f>C52</f>
        <v/>
      </c>
      <c r="FQ52" s="241" t="n">
        <v>1847368.73</v>
      </c>
      <c r="FR52" s="14">
        <f>FQ53</f>
        <v/>
      </c>
      <c r="FS52" s="14">
        <f>FQ52-FR52</f>
        <v/>
      </c>
      <c r="FT52" s="237">
        <f>FS52/FR52</f>
        <v/>
      </c>
      <c r="FU52" s="236" t="n">
        <v>-0.0092</v>
      </c>
      <c r="FV52" s="236" t="n"/>
      <c r="FX52" s="10">
        <f>C52</f>
        <v/>
      </c>
      <c r="FY52" s="241" t="n">
        <v>7164382.05</v>
      </c>
      <c r="FZ52" s="14">
        <f>FY53</f>
        <v/>
      </c>
      <c r="GA52" s="14">
        <f>FY52-FZ52</f>
        <v/>
      </c>
      <c r="GB52" s="237">
        <f>GA52/FZ52</f>
        <v/>
      </c>
      <c r="GC52" s="236" t="n">
        <v>0.0059</v>
      </c>
      <c r="GD52" s="236" t="n"/>
      <c r="GF52" s="10">
        <f>C52</f>
        <v/>
      </c>
      <c r="GG52" s="241" t="n">
        <v>4027769.49</v>
      </c>
      <c r="GH52" s="14">
        <f>GG53</f>
        <v/>
      </c>
      <c r="GI52" s="14">
        <f>GG52-GH52</f>
        <v/>
      </c>
      <c r="GJ52" s="237">
        <f>GI52/GH52</f>
        <v/>
      </c>
      <c r="GK52" s="236" t="n">
        <v>0.0053</v>
      </c>
      <c r="GL52" s="236" t="n"/>
      <c r="GN52" s="10">
        <f>C52</f>
        <v/>
      </c>
      <c r="GO52" s="253" t="n">
        <v>1978618.1217</v>
      </c>
      <c r="GP52" s="14">
        <f>GO53</f>
        <v/>
      </c>
      <c r="GQ52" s="14">
        <f>GO52-GP52</f>
        <v/>
      </c>
      <c r="GR52" s="237">
        <f>GQ52/GP52</f>
        <v/>
      </c>
      <c r="GS52" s="236" t="n">
        <v>0.0012</v>
      </c>
      <c r="GT52" s="236" t="n"/>
      <c r="GV52" s="10">
        <f>C52</f>
        <v/>
      </c>
      <c r="GW52" s="241" t="n">
        <v>596149.4</v>
      </c>
      <c r="GX52" s="14">
        <f>GW53</f>
        <v/>
      </c>
      <c r="GY52" s="14">
        <f>GW52-GX52</f>
        <v/>
      </c>
      <c r="GZ52" s="237">
        <f>GY52/GX52</f>
        <v/>
      </c>
      <c r="HA52" s="236" t="n">
        <v>-0.009599999999999999</v>
      </c>
      <c r="HB52" s="236" t="n"/>
      <c r="HD52" s="10">
        <f>C52</f>
        <v/>
      </c>
      <c r="HE52" s="253" t="n">
        <v>785364.6746</v>
      </c>
      <c r="HF52" s="14">
        <f>HE53</f>
        <v/>
      </c>
      <c r="HG52" s="14">
        <f>HE52-HF52</f>
        <v/>
      </c>
      <c r="HH52" s="237">
        <f>HG52/HF52</f>
        <v/>
      </c>
      <c r="HI52" s="238" t="n">
        <v>-0.0139</v>
      </c>
      <c r="HJ52" s="236" t="n"/>
      <c r="HL52" s="10">
        <f>C52</f>
        <v/>
      </c>
      <c r="HM52" s="241" t="n">
        <v>117454.25</v>
      </c>
      <c r="HN52" s="14">
        <f>HM53</f>
        <v/>
      </c>
      <c r="HO52" s="14">
        <f>HM52-HN52</f>
        <v/>
      </c>
      <c r="HP52" s="237">
        <f>HO52/HN52</f>
        <v/>
      </c>
      <c r="HQ52" s="236" t="n">
        <v>0</v>
      </c>
      <c r="HR52" s="236" t="n"/>
      <c r="HT52" s="10">
        <f>C52</f>
        <v/>
      </c>
      <c r="HU52" s="253" t="n">
        <v>140568.8265</v>
      </c>
      <c r="HV52" s="14">
        <f>HU53</f>
        <v/>
      </c>
      <c r="HW52" s="14">
        <f>HU52-HV52</f>
        <v/>
      </c>
      <c r="HX52" s="237">
        <f>HW52/HV52</f>
        <v/>
      </c>
      <c r="HY52" s="236" t="n">
        <v>0.0074</v>
      </c>
      <c r="HZ52" s="236" t="n"/>
      <c r="IB52" s="10">
        <f>C52</f>
        <v/>
      </c>
      <c r="IC52" s="241" t="n">
        <v>305084.79</v>
      </c>
      <c r="ID52" s="14">
        <f>IC53</f>
        <v/>
      </c>
      <c r="IE52" s="14">
        <f>IC52-ID52</f>
        <v/>
      </c>
      <c r="IF52" s="237">
        <f>IE52/ID52</f>
        <v/>
      </c>
      <c r="IG52" s="238" t="n">
        <v>-0.0016</v>
      </c>
      <c r="IH52" s="236" t="n"/>
      <c r="IJ52" s="10">
        <f>C52</f>
        <v/>
      </c>
      <c r="IK52" s="253" t="n">
        <v>936636.29</v>
      </c>
      <c r="IL52" s="14">
        <f>IK53</f>
        <v/>
      </c>
      <c r="IM52" s="14">
        <f>IK52-IL52</f>
        <v/>
      </c>
      <c r="IN52" s="237">
        <f>IM52/IL52</f>
        <v/>
      </c>
      <c r="IO52" s="236" t="n">
        <v>0.0135</v>
      </c>
      <c r="IP52" s="236" t="n"/>
      <c r="IR52" s="10">
        <f>C52</f>
        <v/>
      </c>
      <c r="IS52" s="241" t="n">
        <v>150589</v>
      </c>
      <c r="IT52" s="14">
        <f>IS53</f>
        <v/>
      </c>
      <c r="IU52" s="14">
        <f>IS52-IT52</f>
        <v/>
      </c>
      <c r="IV52" s="237">
        <f>IU52/IT52</f>
        <v/>
      </c>
      <c r="IW52" s="236" t="n">
        <v>-0.0035</v>
      </c>
      <c r="IX52" s="236" t="n"/>
      <c r="IZ52" s="10">
        <f>C52</f>
        <v/>
      </c>
      <c r="JA52" s="241" t="n">
        <v>5632429.15</v>
      </c>
      <c r="JB52" s="14">
        <f>JA53</f>
        <v/>
      </c>
      <c r="JC52" s="14">
        <f>JA52-JB52</f>
        <v/>
      </c>
      <c r="JD52" s="237">
        <f>JC52/JB52</f>
        <v/>
      </c>
      <c r="JE52" s="236" t="n">
        <v>0.0072</v>
      </c>
      <c r="JF52" s="236" t="n"/>
      <c r="JH52" s="10">
        <f>C52</f>
        <v/>
      </c>
      <c r="JI52" s="241" t="n">
        <v>1189947.99</v>
      </c>
      <c r="JJ52" s="14">
        <f>JI53</f>
        <v/>
      </c>
      <c r="JK52" s="14">
        <f>JI52-JJ52</f>
        <v/>
      </c>
      <c r="JL52" s="237">
        <f>JK52/JJ52</f>
        <v/>
      </c>
      <c r="JM52" s="236" t="n">
        <v>0.0205</v>
      </c>
      <c r="JN52" s="236" t="n"/>
      <c r="JP52" s="10">
        <f>C52</f>
        <v/>
      </c>
      <c r="JQ52" s="253" t="n">
        <v>994390.4148</v>
      </c>
      <c r="JR52" s="14">
        <f>JQ53</f>
        <v/>
      </c>
      <c r="JS52" s="14">
        <f>JQ52-JR52</f>
        <v/>
      </c>
      <c r="JT52" s="237">
        <f>JS52/JR52</f>
        <v/>
      </c>
      <c r="JU52" s="236" t="n">
        <v>0.0157</v>
      </c>
      <c r="JV52" s="238" t="n"/>
      <c r="JX52" s="10">
        <f>C52</f>
        <v/>
      </c>
      <c r="JY52" s="241" t="n">
        <v>978448.8</v>
      </c>
      <c r="JZ52" s="14">
        <f>JY53</f>
        <v/>
      </c>
      <c r="KA52" s="14">
        <f>JY52-JZ52</f>
        <v/>
      </c>
      <c r="KB52" s="237">
        <f>KA52/JZ52</f>
        <v/>
      </c>
      <c r="KC52" s="236" t="n">
        <v>0.0048</v>
      </c>
      <c r="KD52" s="238" t="n"/>
      <c r="KF52" s="10">
        <f>C52</f>
        <v/>
      </c>
      <c r="KG52" s="253" t="n">
        <v>570155.9219</v>
      </c>
      <c r="KH52" s="14">
        <f>KG53</f>
        <v/>
      </c>
      <c r="KI52" s="14">
        <f>KG52-KH52</f>
        <v/>
      </c>
      <c r="KJ52" s="237">
        <f>KI52/KH52</f>
        <v/>
      </c>
      <c r="KK52" s="238" t="n">
        <v>-0.0047</v>
      </c>
      <c r="KL52" s="238" t="n"/>
      <c r="KN52" s="10">
        <f>C52</f>
        <v/>
      </c>
      <c r="KO52" s="241" t="n">
        <v>6954675.95</v>
      </c>
      <c r="KP52" s="14">
        <f>KO53</f>
        <v/>
      </c>
      <c r="KQ52" s="14">
        <f>KO52-KP52</f>
        <v/>
      </c>
      <c r="KR52" s="237">
        <f>KQ52/KP52</f>
        <v/>
      </c>
      <c r="KS52" s="236" t="n">
        <v>-0.0086</v>
      </c>
      <c r="KT52" s="236" t="n"/>
      <c r="KV52" s="10">
        <f>C52</f>
        <v/>
      </c>
      <c r="KW52" s="253" t="n">
        <v>1039072.9726</v>
      </c>
      <c r="KX52" s="14">
        <f>KW53</f>
        <v/>
      </c>
      <c r="KY52" s="14">
        <f>KW52-KX52</f>
        <v/>
      </c>
      <c r="KZ52" s="237">
        <f>KY52/KX52</f>
        <v/>
      </c>
      <c r="LA52" s="238" t="n">
        <v>-0.0114</v>
      </c>
      <c r="LB52" s="236" t="n"/>
      <c r="LD52" s="10">
        <f>C52</f>
        <v/>
      </c>
      <c r="LE52" s="241" t="n">
        <v>382007.7</v>
      </c>
      <c r="LF52" s="14">
        <f>LE53</f>
        <v/>
      </c>
      <c r="LG52" s="14">
        <f>LE52-LF52</f>
        <v/>
      </c>
      <c r="LH52" s="237">
        <f>LG52/LF52</f>
        <v/>
      </c>
      <c r="LI52" s="236" t="n">
        <v>-0.0176</v>
      </c>
      <c r="LJ52" s="236" t="n"/>
      <c r="LL52" s="10">
        <f>C52</f>
        <v/>
      </c>
      <c r="LM52" s="677" t="n">
        <v>3154435.02</v>
      </c>
      <c r="LN52" s="14">
        <f>LM53</f>
        <v/>
      </c>
      <c r="LO52" s="14">
        <f>LM52-LN52</f>
        <v/>
      </c>
      <c r="LP52" s="237">
        <f>LO52/LN52</f>
        <v/>
      </c>
      <c r="LQ52" s="236" t="n">
        <v>0.0239</v>
      </c>
      <c r="LR52" s="236" t="n"/>
      <c r="LT52" s="10">
        <f>C52</f>
        <v/>
      </c>
      <c r="LU52" s="253" t="n">
        <v>2305062.904</v>
      </c>
      <c r="LV52" s="14">
        <f>LU53</f>
        <v/>
      </c>
      <c r="LW52" s="14">
        <f>LU52-LV52</f>
        <v/>
      </c>
      <c r="LX52" s="237">
        <f>LW52/LV52</f>
        <v/>
      </c>
      <c r="LY52" s="236" t="n">
        <v>0.012</v>
      </c>
      <c r="LZ52" s="236" t="n"/>
      <c r="MB52" s="10">
        <f>C52</f>
        <v/>
      </c>
      <c r="MC52" s="241" t="n">
        <v>989567.6899999999</v>
      </c>
      <c r="MD52" s="14">
        <f>MC53</f>
        <v/>
      </c>
      <c r="ME52" s="14">
        <f>MC52-MD52</f>
        <v/>
      </c>
      <c r="MF52" s="237">
        <f>ME52/MD52</f>
        <v/>
      </c>
      <c r="MG52" s="236" t="n">
        <v>-0.0261</v>
      </c>
      <c r="MH52" s="236" t="n"/>
      <c r="MI52" s="10" t="n"/>
      <c r="MJ52" s="10" t="n"/>
      <c r="MK52" s="10">
        <f>C52</f>
        <v/>
      </c>
      <c r="ML52" s="254" t="n">
        <v>159945.5354</v>
      </c>
      <c r="MM52" s="14">
        <f>ML53</f>
        <v/>
      </c>
      <c r="MN52" s="14">
        <f>ML52-MM52</f>
        <v/>
      </c>
      <c r="MO52" s="237">
        <f>MN52/MM52</f>
        <v/>
      </c>
      <c r="MP52" s="236" t="n">
        <v>-0.005</v>
      </c>
      <c r="MQ52" s="238" t="n"/>
      <c r="MR52" s="238" t="n"/>
      <c r="MT52" s="266">
        <f>C52</f>
        <v/>
      </c>
      <c r="MU52" s="10" t="n">
        <v>136714.8</v>
      </c>
      <c r="MV52" s="240">
        <f>MU53</f>
        <v/>
      </c>
      <c r="MW52" s="10">
        <f>MU52-MV52</f>
        <v/>
      </c>
      <c r="MX52" s="236">
        <f>MW52/MV52</f>
        <v/>
      </c>
      <c r="MY52" s="236" t="n">
        <v>-0.004</v>
      </c>
      <c r="MZ52" s="236" t="n"/>
      <c r="NA52" s="236" t="n"/>
      <c r="NC52" s="266">
        <f>C52</f>
        <v/>
      </c>
      <c r="ND52" s="10" t="n">
        <v>33491.48</v>
      </c>
      <c r="NE52" s="240">
        <f>ND53</f>
        <v/>
      </c>
      <c r="NF52" s="10">
        <f>ND52-NE52</f>
        <v/>
      </c>
      <c r="NG52" s="236">
        <f>NF52/NE52</f>
        <v/>
      </c>
      <c r="NH52" s="236" t="n">
        <v>-0.0076</v>
      </c>
      <c r="NI52" s="236" t="n"/>
      <c r="NJ52" s="236" t="n"/>
      <c r="NK52" s="236" t="n"/>
      <c r="NM52" s="266">
        <f>C52</f>
        <v/>
      </c>
      <c r="NN52" s="10" t="n">
        <v>2702711.08</v>
      </c>
      <c r="NO52" s="10">
        <f>NN53</f>
        <v/>
      </c>
      <c r="NP52" s="10">
        <f>NN52-NO52</f>
        <v/>
      </c>
      <c r="NQ52" s="236">
        <f>NP52/NO52</f>
        <v/>
      </c>
      <c r="NR52" s="236" t="n">
        <v>0.0134</v>
      </c>
      <c r="NS52" s="0" t="n"/>
      <c r="NU52" s="10">
        <f>C52</f>
        <v/>
      </c>
      <c r="NV52" s="10" t="n">
        <v>225726.5</v>
      </c>
      <c r="NW52" s="240">
        <f>NV53</f>
        <v/>
      </c>
      <c r="NX52" s="10">
        <f>NV52-NW52</f>
        <v/>
      </c>
      <c r="NY52" s="236">
        <f>NX52/NW52</f>
        <v/>
      </c>
      <c r="NZ52" s="236" t="n">
        <v>0.0094</v>
      </c>
      <c r="OA52" s="0" t="n"/>
      <c r="OC52" s="10">
        <f>C52</f>
        <v/>
      </c>
      <c r="OD52" s="241" t="n">
        <v>19297.97</v>
      </c>
      <c r="OE52" s="14">
        <f>OD53</f>
        <v/>
      </c>
      <c r="OF52" s="14">
        <f>OD52-OE52</f>
        <v/>
      </c>
      <c r="OG52" s="237">
        <f>OF52/OE52</f>
        <v/>
      </c>
      <c r="OH52" s="236" t="n">
        <v>0.0033</v>
      </c>
      <c r="OI52" s="236" t="n"/>
      <c r="OK52" s="10">
        <f>C52</f>
        <v/>
      </c>
      <c r="OL52" s="241" t="n">
        <v>16880.65</v>
      </c>
      <c r="OM52" s="14">
        <f>OL53</f>
        <v/>
      </c>
      <c r="ON52" s="14">
        <f>OL52-OM52</f>
        <v/>
      </c>
      <c r="OO52" s="237">
        <f>ON52/OM52</f>
        <v/>
      </c>
      <c r="OP52" s="236" t="n">
        <v>0.0007</v>
      </c>
      <c r="OQ52" s="236" t="n"/>
      <c r="OT52" s="201">
        <f>OK52</f>
        <v/>
      </c>
      <c r="OU52" s="199" t="n">
        <v>156312.4066</v>
      </c>
      <c r="OV52" s="9">
        <f>OU53</f>
        <v/>
      </c>
      <c r="OW52" s="671">
        <f>OU52-OV52</f>
        <v/>
      </c>
      <c r="OX52" s="182">
        <f>OW52/OV52</f>
        <v/>
      </c>
      <c r="OY52" s="0" t="n">
        <v>0.0265</v>
      </c>
    </row>
    <row r="53" ht="17" customFormat="1" customHeight="1" s="9">
      <c r="A53" s="631" t="n"/>
      <c r="B53" s="631" t="n"/>
      <c r="C53" s="680" t="inlineStr">
        <is>
          <t>2026//8/31</t>
        </is>
      </c>
      <c r="D53" s="20" t="n">
        <v>2350398.77</v>
      </c>
      <c r="E53" s="20">
        <f>D54</f>
        <v/>
      </c>
      <c r="F53" s="20">
        <f>D53-E53</f>
        <v/>
      </c>
      <c r="G53" s="163">
        <f>F53/E53</f>
        <v/>
      </c>
      <c r="H53" s="19" t="n">
        <v>0.0013</v>
      </c>
      <c r="I53" s="163" t="n"/>
      <c r="J53" s="163" t="n"/>
      <c r="K53" s="20">
        <f>C53</f>
        <v/>
      </c>
      <c r="L53" s="20" t="n">
        <v>1146934.4</v>
      </c>
      <c r="M53" s="20">
        <f>L54</f>
        <v/>
      </c>
      <c r="N53" s="20">
        <f>L53-M53</f>
        <v/>
      </c>
      <c r="O53" s="163">
        <f>N53/M53</f>
        <v/>
      </c>
      <c r="P53" s="19" t="n">
        <v>0.0007</v>
      </c>
      <c r="Q53" s="163" t="n"/>
      <c r="R53" s="20" t="n"/>
      <c r="S53" s="20">
        <f>C53</f>
        <v/>
      </c>
      <c r="T53" s="20" t="n">
        <v>679386.6800000001</v>
      </c>
      <c r="U53" s="20">
        <f>T54</f>
        <v/>
      </c>
      <c r="V53" s="20">
        <f>T53-U53</f>
        <v/>
      </c>
      <c r="W53" s="163">
        <f>V53/U53</f>
        <v/>
      </c>
      <c r="X53" s="19" t="n">
        <v>0.0013</v>
      </c>
      <c r="Y53" s="163" t="n"/>
      <c r="Z53" s="20" t="n"/>
      <c r="AA53" s="20">
        <f>S53</f>
        <v/>
      </c>
      <c r="AB53" s="20" t="n">
        <v>540256.86</v>
      </c>
      <c r="AC53" s="20">
        <f>AB54</f>
        <v/>
      </c>
      <c r="AD53" s="20">
        <f>AB53-AC53</f>
        <v/>
      </c>
      <c r="AE53" s="163">
        <f>AD53/AC53</f>
        <v/>
      </c>
      <c r="AF53" s="19" t="n">
        <v>0.0056</v>
      </c>
      <c r="AG53" s="163" t="n"/>
      <c r="AH53" s="20" t="n"/>
      <c r="AI53" s="20">
        <f>C53</f>
        <v/>
      </c>
      <c r="AJ53" s="20" t="n">
        <v>654721.76</v>
      </c>
      <c r="AK53" s="20">
        <f>AJ54</f>
        <v/>
      </c>
      <c r="AL53" s="20">
        <f>AJ53-AK53</f>
        <v/>
      </c>
      <c r="AM53" s="163">
        <f>AL53/AK53</f>
        <v/>
      </c>
      <c r="AN53" s="19" t="n">
        <v>0.007</v>
      </c>
      <c r="AO53" s="19" t="n"/>
      <c r="AP53" s="20" t="n"/>
      <c r="AQ53" s="20">
        <f>C53</f>
        <v/>
      </c>
      <c r="AR53" s="634" t="n">
        <v>1891645.4936</v>
      </c>
      <c r="AS53" s="20">
        <f>AR54</f>
        <v/>
      </c>
      <c r="AT53" s="20">
        <f>AR53-AS53</f>
        <v/>
      </c>
      <c r="AU53" s="163">
        <f>AT53/AS53</f>
        <v/>
      </c>
      <c r="AV53" s="19" t="n">
        <v>0.0038</v>
      </c>
      <c r="AW53" s="19" t="n"/>
      <c r="AX53" s="5" t="n"/>
      <c r="AY53" s="5" t="n"/>
      <c r="AZ53" s="20">
        <f>C53</f>
        <v/>
      </c>
      <c r="BA53" s="220" t="n">
        <v>629841.6676</v>
      </c>
      <c r="BB53" s="188">
        <f>BA54</f>
        <v/>
      </c>
      <c r="BC53" s="5">
        <f>BA53-BB53</f>
        <v/>
      </c>
      <c r="BD53" s="19">
        <f>BC53/BB53</f>
        <v/>
      </c>
      <c r="BE53" s="19" t="n">
        <v>0.0005999999999999999</v>
      </c>
      <c r="BF53" s="19" t="n"/>
      <c r="BG53" s="647" t="n"/>
      <c r="BH53" s="9">
        <f>C53</f>
        <v/>
      </c>
      <c r="BI53" s="221" t="n">
        <v>1182526.5525</v>
      </c>
      <c r="BJ53" s="184">
        <f>BI54</f>
        <v/>
      </c>
      <c r="BK53" s="184">
        <f>BI53-BJ53</f>
        <v/>
      </c>
      <c r="BL53" s="190">
        <f>BK53/BJ53</f>
        <v/>
      </c>
      <c r="BM53" s="191" t="n">
        <v>-0.0048</v>
      </c>
      <c r="BN53" s="182" t="n"/>
      <c r="BP53" s="9">
        <f>C53</f>
        <v/>
      </c>
      <c r="BQ53" s="672" t="n">
        <v>1404562.3921</v>
      </c>
      <c r="BR53" s="13">
        <f>BQ54</f>
        <v/>
      </c>
      <c r="BS53" s="13">
        <f>BQ53-BR53</f>
        <v/>
      </c>
      <c r="BT53" s="193">
        <f>BS53/BR53</f>
        <v/>
      </c>
      <c r="BU53" s="182" t="n">
        <v>0.0131</v>
      </c>
      <c r="BV53" s="182" t="n"/>
      <c r="BX53" s="9">
        <f>C53</f>
        <v/>
      </c>
      <c r="BY53" s="222" t="n">
        <v>1678960.7019</v>
      </c>
      <c r="BZ53" s="13">
        <f>BY54</f>
        <v/>
      </c>
      <c r="CA53" s="13">
        <f>BY53-BZ53</f>
        <v/>
      </c>
      <c r="CB53" s="193">
        <f>CA53/BZ53</f>
        <v/>
      </c>
      <c r="CC53" s="182" t="n">
        <v>-0.0048</v>
      </c>
      <c r="CD53" s="194" t="n"/>
      <c r="CF53" s="9">
        <f>C53</f>
        <v/>
      </c>
      <c r="CG53" s="185" t="n">
        <v>1415303.9</v>
      </c>
      <c r="CH53" s="13">
        <f>CG54</f>
        <v/>
      </c>
      <c r="CI53" s="13">
        <f>CG53-CH53</f>
        <v/>
      </c>
      <c r="CJ53" s="193">
        <f>CI53/CH53</f>
        <v/>
      </c>
      <c r="CK53" s="182" t="n">
        <v>-0.0146</v>
      </c>
      <c r="CL53" s="194" t="n"/>
      <c r="CN53" s="9">
        <f>C53</f>
        <v/>
      </c>
      <c r="CO53" s="185" t="n">
        <v>523546.48</v>
      </c>
      <c r="CP53" s="13">
        <f>CO54</f>
        <v/>
      </c>
      <c r="CQ53" s="13">
        <f>CO53-CP53</f>
        <v/>
      </c>
      <c r="CR53" s="193">
        <f>CQ53/CP53</f>
        <v/>
      </c>
      <c r="CS53" s="194" t="n">
        <v>-0.0155</v>
      </c>
      <c r="CT53" s="194" t="n"/>
      <c r="CV53" s="9">
        <f>C53</f>
        <v/>
      </c>
      <c r="CW53" s="185" t="n">
        <v>635040.4</v>
      </c>
      <c r="CX53" s="13">
        <f>CW54</f>
        <v/>
      </c>
      <c r="CY53" s="13">
        <f>CW53-CX53</f>
        <v/>
      </c>
      <c r="CZ53" s="193">
        <f>CY53/CX53</f>
        <v/>
      </c>
      <c r="DA53" s="182" t="n">
        <v>-0.0319</v>
      </c>
      <c r="DB53" s="182" t="n"/>
      <c r="DC53" s="256" t="n"/>
      <c r="DD53" s="9">
        <f>C53</f>
        <v/>
      </c>
      <c r="DE53" s="222" t="n">
        <v>6119035.9972</v>
      </c>
      <c r="DF53" s="13">
        <f>DE54</f>
        <v/>
      </c>
      <c r="DG53" s="13">
        <f>DE53-DF53</f>
        <v/>
      </c>
      <c r="DH53" s="193">
        <f>DG53/DF53</f>
        <v/>
      </c>
      <c r="DI53" s="182" t="n">
        <v>0.0028</v>
      </c>
      <c r="DJ53" s="182" t="n"/>
      <c r="DK53" s="0" t="n"/>
      <c r="DL53" s="9">
        <f>C53</f>
        <v/>
      </c>
      <c r="DM53" s="185" t="n">
        <v>1911800.72</v>
      </c>
      <c r="DN53" s="13">
        <f>DM54</f>
        <v/>
      </c>
      <c r="DO53" s="13">
        <f>DM53-DN53</f>
        <v/>
      </c>
      <c r="DP53" s="193">
        <f>DO53/DN53</f>
        <v/>
      </c>
      <c r="DQ53" s="182" t="n">
        <v>0.0183</v>
      </c>
      <c r="DR53" s="182" t="n"/>
      <c r="DT53" s="9">
        <f>C53</f>
        <v/>
      </c>
      <c r="DU53" s="185" t="n">
        <v>4242418.43</v>
      </c>
      <c r="DV53" s="13">
        <f>DU54</f>
        <v/>
      </c>
      <c r="DW53" s="13">
        <f>DU53-DV53</f>
        <v/>
      </c>
      <c r="DX53" s="193">
        <f>DW53/DV53</f>
        <v/>
      </c>
      <c r="DY53" s="182" t="n">
        <v>0.017</v>
      </c>
      <c r="DZ53" s="182" t="n"/>
      <c r="EB53" s="9">
        <f>C53</f>
        <v/>
      </c>
      <c r="EC53" s="185" t="n">
        <v>5054066.82</v>
      </c>
      <c r="ED53" s="13">
        <f>EC54</f>
        <v/>
      </c>
      <c r="EE53" s="13">
        <f>EC53-ED53</f>
        <v/>
      </c>
      <c r="EF53" s="193">
        <f>EE53/ED53</f>
        <v/>
      </c>
      <c r="EG53" s="182" t="n">
        <v>0.012</v>
      </c>
      <c r="EH53" s="182" t="n"/>
      <c r="EJ53" s="9">
        <f>C53</f>
        <v/>
      </c>
      <c r="EK53" s="222" t="n">
        <v>1207922.9669</v>
      </c>
      <c r="EL53" s="13">
        <f>EK54</f>
        <v/>
      </c>
      <c r="EM53" s="13">
        <f>EK53-EL53</f>
        <v/>
      </c>
      <c r="EN53" s="193">
        <f>EM53/EL53</f>
        <v/>
      </c>
      <c r="EO53" s="182" t="n">
        <v>0.0253</v>
      </c>
      <c r="EP53" s="182" t="n"/>
      <c r="ER53" s="9">
        <f>C53</f>
        <v/>
      </c>
      <c r="ES53" s="9" t="n">
        <v>753294.04</v>
      </c>
      <c r="ET53" s="13">
        <f>ES54</f>
        <v/>
      </c>
      <c r="EU53" s="13">
        <f>ES53-ET53</f>
        <v/>
      </c>
      <c r="EV53" s="193">
        <f>EU53/ET53</f>
        <v/>
      </c>
      <c r="EW53" s="182" t="n">
        <v>0.0264</v>
      </c>
      <c r="EX53" s="182" t="n"/>
      <c r="EZ53" s="9">
        <f>C53</f>
        <v/>
      </c>
      <c r="FA53" s="185" t="n">
        <v>624208</v>
      </c>
      <c r="FB53" s="13">
        <f>FA54</f>
        <v/>
      </c>
      <c r="FC53" s="13">
        <f>FA53-FB53</f>
        <v/>
      </c>
      <c r="FD53" s="193">
        <f>FC53/FB53</f>
        <v/>
      </c>
      <c r="FE53" s="182" t="n">
        <v>0.0169</v>
      </c>
      <c r="FF53" s="182" t="n"/>
      <c r="FH53" s="9">
        <f>C53</f>
        <v/>
      </c>
      <c r="FI53" s="672" t="n">
        <v>944295.3365</v>
      </c>
      <c r="FJ53" s="13">
        <f>FI54</f>
        <v/>
      </c>
      <c r="FK53" s="13">
        <f>FI53-FJ53</f>
        <v/>
      </c>
      <c r="FL53" s="193">
        <f>FK53/FJ53</f>
        <v/>
      </c>
      <c r="FM53" s="194" t="n">
        <v>0.0426</v>
      </c>
      <c r="FN53" s="194" t="n"/>
      <c r="FP53" s="9">
        <f>C53</f>
        <v/>
      </c>
      <c r="FQ53" s="185" t="n">
        <v>1845868.73</v>
      </c>
      <c r="FR53" s="13">
        <f>FQ54</f>
        <v/>
      </c>
      <c r="FS53" s="13">
        <f>FQ53-FR53</f>
        <v/>
      </c>
      <c r="FT53" s="193">
        <f>FS53/FR53</f>
        <v/>
      </c>
      <c r="FU53" s="182" t="n">
        <v>0.0199</v>
      </c>
      <c r="FV53" s="182" t="n"/>
      <c r="FX53" s="9">
        <f>C53</f>
        <v/>
      </c>
      <c r="FY53" s="185" t="n">
        <v>7169782.05</v>
      </c>
      <c r="FZ53" s="13">
        <f>FY54</f>
        <v/>
      </c>
      <c r="GA53" s="13">
        <f>FY53-FZ53</f>
        <v/>
      </c>
      <c r="GB53" s="193">
        <f>GA53/FZ53</f>
        <v/>
      </c>
      <c r="GC53" s="182" t="n">
        <v>-0.008800000000000001</v>
      </c>
      <c r="GD53" s="182" t="n"/>
      <c r="GF53" s="9">
        <f>C53</f>
        <v/>
      </c>
      <c r="GG53" s="185" t="n">
        <v>4034369.49</v>
      </c>
      <c r="GH53" s="13">
        <f>GG54</f>
        <v/>
      </c>
      <c r="GI53" s="13">
        <f>GG53-GH53</f>
        <v/>
      </c>
      <c r="GJ53" s="193">
        <f>GI53/GH53</f>
        <v/>
      </c>
      <c r="GK53" s="182" t="n">
        <v>-0.0183</v>
      </c>
      <c r="GL53" s="182" t="n"/>
      <c r="GN53" s="9">
        <f>C53</f>
        <v/>
      </c>
      <c r="GO53" s="222" t="n">
        <v>1963438.1217</v>
      </c>
      <c r="GP53" s="13">
        <f>GO54</f>
        <v/>
      </c>
      <c r="GQ53" s="13">
        <f>GO53-GP53</f>
        <v/>
      </c>
      <c r="GR53" s="193">
        <f>GQ53/GP53</f>
        <v/>
      </c>
      <c r="GS53" s="182" t="n">
        <v>-0.0162</v>
      </c>
      <c r="GT53" s="182" t="n"/>
      <c r="GV53" s="9">
        <f>C53</f>
        <v/>
      </c>
      <c r="GW53" s="185" t="n">
        <v>599949.4</v>
      </c>
      <c r="GX53" s="13">
        <f>GW54</f>
        <v/>
      </c>
      <c r="GY53" s="13">
        <f>GW53-GX53</f>
        <v/>
      </c>
      <c r="GZ53" s="193">
        <f>GY53/GX53</f>
        <v/>
      </c>
      <c r="HA53" s="182" t="n">
        <v>-0.0142</v>
      </c>
      <c r="HB53" s="182" t="n"/>
      <c r="HD53" s="9">
        <f>C53</f>
        <v/>
      </c>
      <c r="HE53" s="222" t="n">
        <v>793464.6746</v>
      </c>
      <c r="HF53" s="13">
        <f>HE54</f>
        <v/>
      </c>
      <c r="HG53" s="13">
        <f>HE53-HF53</f>
        <v/>
      </c>
      <c r="HH53" s="193">
        <f>HG53/HF53</f>
        <v/>
      </c>
      <c r="HI53" s="194" t="n">
        <v>-0.0158</v>
      </c>
      <c r="HJ53" s="182" t="n"/>
      <c r="HL53" s="9">
        <f>C53</f>
        <v/>
      </c>
      <c r="HM53" s="185" t="n">
        <v>118154.25</v>
      </c>
      <c r="HN53" s="13">
        <f>HM54</f>
        <v/>
      </c>
      <c r="HO53" s="13">
        <f>HM53-HN53</f>
        <v/>
      </c>
      <c r="HP53" s="193">
        <f>HO53/HN53</f>
        <v/>
      </c>
      <c r="HQ53" s="182" t="n">
        <v>-0.0036</v>
      </c>
      <c r="HR53" s="182" t="n"/>
      <c r="HT53" s="9">
        <f>C53</f>
        <v/>
      </c>
      <c r="HU53" s="222" t="n">
        <v>139868.8265</v>
      </c>
      <c r="HV53" s="13">
        <f>HU54</f>
        <v/>
      </c>
      <c r="HW53" s="13">
        <f>HU53-HV53</f>
        <v/>
      </c>
      <c r="HX53" s="193">
        <f>HW53/HV53</f>
        <v/>
      </c>
      <c r="HY53" s="182" t="n">
        <v>-0.0218</v>
      </c>
      <c r="HZ53" s="182" t="n"/>
      <c r="IB53" s="9">
        <f>C53</f>
        <v/>
      </c>
      <c r="IC53" s="185" t="n">
        <v>305734.79</v>
      </c>
      <c r="ID53" s="13">
        <f>IC54</f>
        <v/>
      </c>
      <c r="IE53" s="13">
        <f>IC53-ID53</f>
        <v/>
      </c>
      <c r="IF53" s="193">
        <f>IE53/ID53</f>
        <v/>
      </c>
      <c r="IG53" s="194" t="n">
        <v>-0.0161</v>
      </c>
      <c r="IH53" s="182" t="n"/>
      <c r="IJ53" s="9">
        <f>C53</f>
        <v/>
      </c>
      <c r="IK53" s="222" t="n">
        <v>942236.29</v>
      </c>
      <c r="IL53" s="13">
        <f>IK54</f>
        <v/>
      </c>
      <c r="IM53" s="13">
        <f>IK53-IL53</f>
        <v/>
      </c>
      <c r="IN53" s="193">
        <f>IM53/IL53</f>
        <v/>
      </c>
      <c r="IO53" s="182" t="n">
        <v>-0.0058</v>
      </c>
      <c r="IP53" s="182" t="n"/>
      <c r="IR53" s="9">
        <f>C53</f>
        <v/>
      </c>
      <c r="IS53" s="185" t="n">
        <v>151589</v>
      </c>
      <c r="IT53" s="13">
        <f>IS54</f>
        <v/>
      </c>
      <c r="IU53" s="13">
        <f>IS53-IT53</f>
        <v/>
      </c>
      <c r="IV53" s="193">
        <f>IU53/IT53</f>
        <v/>
      </c>
      <c r="IW53" s="182" t="n">
        <v>0.0324</v>
      </c>
      <c r="IX53" s="182" t="n"/>
      <c r="IZ53" s="9">
        <f>C53</f>
        <v/>
      </c>
      <c r="JA53" s="185" t="n">
        <v>5671429.15</v>
      </c>
      <c r="JB53" s="13">
        <f>JA54</f>
        <v/>
      </c>
      <c r="JC53" s="13">
        <f>JA53-JB53</f>
        <v/>
      </c>
      <c r="JD53" s="193">
        <f>JC53/JB53</f>
        <v/>
      </c>
      <c r="JE53" s="182" t="n">
        <v>0.0009</v>
      </c>
      <c r="JF53" s="182" t="n"/>
      <c r="JH53" s="9">
        <f>C53</f>
        <v/>
      </c>
      <c r="JI53" s="185" t="n">
        <v>1197747.99</v>
      </c>
      <c r="JJ53" s="13">
        <f>JI54</f>
        <v/>
      </c>
      <c r="JK53" s="13">
        <f>JI53-JJ53</f>
        <v/>
      </c>
      <c r="JL53" s="193">
        <f>JK53/JJ53</f>
        <v/>
      </c>
      <c r="JM53" s="182" t="n">
        <v>0.0147</v>
      </c>
      <c r="JN53" s="182" t="n"/>
      <c r="JP53" s="9">
        <f>C53</f>
        <v/>
      </c>
      <c r="JQ53" s="222" t="n">
        <v>1000490.4148</v>
      </c>
      <c r="JR53" s="13">
        <f>JQ54</f>
        <v/>
      </c>
      <c r="JS53" s="13">
        <f>JQ53-JR53</f>
        <v/>
      </c>
      <c r="JT53" s="193">
        <f>JS53/JR53</f>
        <v/>
      </c>
      <c r="JU53" s="182" t="n">
        <v>0.0016</v>
      </c>
      <c r="JV53" s="194" t="n"/>
      <c r="JX53" s="9">
        <f>C53</f>
        <v/>
      </c>
      <c r="JY53" s="185" t="n">
        <v>979048.8</v>
      </c>
      <c r="JZ53" s="13">
        <f>JY54</f>
        <v/>
      </c>
      <c r="KA53" s="13">
        <f>JY53-JZ53</f>
        <v/>
      </c>
      <c r="KB53" s="193">
        <f>KA53/JZ53</f>
        <v/>
      </c>
      <c r="KC53" s="182" t="n">
        <v>-0.008399999999999999</v>
      </c>
      <c r="KD53" s="194" t="n"/>
      <c r="KF53" s="9">
        <f>C53</f>
        <v/>
      </c>
      <c r="KG53" s="222" t="n">
        <v>572155.9219</v>
      </c>
      <c r="KH53" s="13">
        <f>KG54</f>
        <v/>
      </c>
      <c r="KI53" s="13">
        <f>KG53-KH53</f>
        <v/>
      </c>
      <c r="KJ53" s="193">
        <f>KI53/KH53</f>
        <v/>
      </c>
      <c r="KK53" s="194" t="n">
        <v>-0.0047</v>
      </c>
      <c r="KL53" s="194" t="n"/>
      <c r="KN53" s="9">
        <f>C53</f>
        <v/>
      </c>
      <c r="KO53" s="185" t="n">
        <v>6954675.95</v>
      </c>
      <c r="KP53" s="13">
        <f>KO54</f>
        <v/>
      </c>
      <c r="KQ53" s="13">
        <f>KO53-KP53</f>
        <v/>
      </c>
      <c r="KR53" s="193">
        <f>KQ53/KP53</f>
        <v/>
      </c>
      <c r="KS53" s="182" t="n">
        <v>0.0017</v>
      </c>
      <c r="KT53" s="182" t="n"/>
      <c r="KV53" s="9">
        <f>C53</f>
        <v/>
      </c>
      <c r="KW53" s="222" t="n">
        <v>1039072.9726</v>
      </c>
      <c r="KX53" s="13">
        <f>KW54</f>
        <v/>
      </c>
      <c r="KY53" s="13">
        <f>KW53-KX53</f>
        <v/>
      </c>
      <c r="KZ53" s="193">
        <f>KY53/KX53</f>
        <v/>
      </c>
      <c r="LA53" s="194" t="n">
        <v>-0.0345</v>
      </c>
      <c r="LB53" s="182" t="n"/>
      <c r="LD53" s="9">
        <f>C53</f>
        <v/>
      </c>
      <c r="LE53" s="185" t="n">
        <v>383507.7</v>
      </c>
      <c r="LF53" s="13">
        <f>LE54</f>
        <v/>
      </c>
      <c r="LG53" s="13">
        <f>LE53-LF53</f>
        <v/>
      </c>
      <c r="LH53" s="193">
        <f>LG53/LF53</f>
        <v/>
      </c>
      <c r="LI53" s="182" t="n">
        <v>0.004</v>
      </c>
      <c r="LJ53" s="182" t="n"/>
      <c r="LL53" s="9">
        <f>C53</f>
        <v/>
      </c>
      <c r="LM53" s="672" t="n">
        <v>3194935.02</v>
      </c>
      <c r="LN53" s="13">
        <f>LM54</f>
        <v/>
      </c>
      <c r="LO53" s="13">
        <f>LM53-LN53</f>
        <v/>
      </c>
      <c r="LP53" s="193">
        <f>LO53/LN53</f>
        <v/>
      </c>
      <c r="LQ53" s="182" t="n">
        <v>-0.0095</v>
      </c>
      <c r="LR53" s="182" t="n"/>
      <c r="LT53" s="9">
        <f>C53</f>
        <v/>
      </c>
      <c r="LU53" s="222" t="n">
        <v>2306662.904</v>
      </c>
      <c r="LV53" s="13">
        <f>LU54</f>
        <v/>
      </c>
      <c r="LW53" s="13">
        <f>LU53-LV53</f>
        <v/>
      </c>
      <c r="LX53" s="193">
        <f>LW53/LV53</f>
        <v/>
      </c>
      <c r="LY53" s="182" t="n">
        <v>-0.0075</v>
      </c>
      <c r="LZ53" s="182" t="n"/>
      <c r="MB53" s="9">
        <f>C53</f>
        <v/>
      </c>
      <c r="MC53" s="185" t="n">
        <v>1047617.69</v>
      </c>
      <c r="MD53" s="13">
        <f>MC54</f>
        <v/>
      </c>
      <c r="ME53" s="13">
        <f>MC53-MD53</f>
        <v/>
      </c>
      <c r="MF53" s="193">
        <f>ME53/MD53</f>
        <v/>
      </c>
      <c r="MG53" s="182" t="n">
        <v>0.0207</v>
      </c>
      <c r="MH53" s="182" t="n"/>
      <c r="MI53" s="9" t="n"/>
      <c r="MJ53" s="9" t="n"/>
      <c r="MK53" s="9">
        <f>C53</f>
        <v/>
      </c>
      <c r="ML53" s="223" t="n">
        <v>159945.5354</v>
      </c>
      <c r="MM53" s="13">
        <f>ML54</f>
        <v/>
      </c>
      <c r="MN53" s="13">
        <f>ML53-MM53</f>
        <v/>
      </c>
      <c r="MO53" s="193">
        <f>MN53/MM53</f>
        <v/>
      </c>
      <c r="MP53" s="182" t="n">
        <v>0.0256</v>
      </c>
      <c r="MQ53" s="194" t="n"/>
      <c r="MR53" s="194" t="n"/>
      <c r="MT53" s="25">
        <f>C53</f>
        <v/>
      </c>
      <c r="MU53" s="9" t="n">
        <v>135214.8</v>
      </c>
      <c r="MV53" s="188">
        <f>MU54</f>
        <v/>
      </c>
      <c r="MW53" s="9">
        <f>MU53-MV53</f>
        <v/>
      </c>
      <c r="MX53" s="182">
        <f>MW53/MV53</f>
        <v/>
      </c>
      <c r="MY53" s="182" t="n">
        <v>0.0033</v>
      </c>
      <c r="MZ53" s="182" t="n"/>
      <c r="NA53" s="182" t="n"/>
      <c r="NC53" s="25">
        <f>C53</f>
        <v/>
      </c>
      <c r="ND53" s="9" t="n">
        <v>33491.48</v>
      </c>
      <c r="NE53" s="188">
        <f>ND54</f>
        <v/>
      </c>
      <c r="NF53" s="9">
        <f>ND53-NE53</f>
        <v/>
      </c>
      <c r="NG53" s="182">
        <f>NF53/NE53</f>
        <v/>
      </c>
      <c r="NH53" s="182" t="n">
        <v>-0.0035</v>
      </c>
      <c r="NI53" s="182" t="n"/>
      <c r="NJ53" s="182" t="n"/>
      <c r="NK53" s="182" t="n"/>
      <c r="NM53" s="25">
        <f>C53</f>
        <v/>
      </c>
      <c r="NN53" s="9" t="n">
        <v>2778011.08</v>
      </c>
      <c r="NO53" s="9">
        <f>NN54</f>
        <v/>
      </c>
      <c r="NP53" s="197">
        <f>NN53-NO53</f>
        <v/>
      </c>
      <c r="NQ53" s="198">
        <f>NP53/NO53</f>
        <v/>
      </c>
      <c r="NR53" s="182" t="n">
        <v>0.0068</v>
      </c>
      <c r="NS53" s="0" t="n"/>
      <c r="NU53" s="9">
        <f>C53</f>
        <v/>
      </c>
      <c r="NV53" s="9" t="n">
        <v>225976.5</v>
      </c>
      <c r="NW53" s="188">
        <f>NV54</f>
        <v/>
      </c>
      <c r="NX53" s="197">
        <f>NV53-NW53</f>
        <v/>
      </c>
      <c r="NY53" s="198">
        <f>NX53/NW53</f>
        <v/>
      </c>
      <c r="NZ53" s="182" t="n">
        <v>-0.0154</v>
      </c>
      <c r="OA53" s="0" t="n"/>
      <c r="OC53" s="9">
        <f>C53</f>
        <v/>
      </c>
      <c r="OD53" s="185" t="n">
        <v>19398.97</v>
      </c>
      <c r="OE53" s="13">
        <f>OD54</f>
        <v/>
      </c>
      <c r="OF53" s="13">
        <f>OD53-OE53</f>
        <v/>
      </c>
      <c r="OG53" s="193">
        <f>OF53/OE53</f>
        <v/>
      </c>
      <c r="OH53" s="182" t="n">
        <v>0.0009</v>
      </c>
      <c r="OI53" s="182" t="n"/>
      <c r="OK53" s="9">
        <f>C53</f>
        <v/>
      </c>
      <c r="OL53" s="185" t="n">
        <v>16883.65</v>
      </c>
      <c r="OM53" s="13">
        <f>OL54</f>
        <v/>
      </c>
      <c r="ON53" s="13">
        <f>OL53-OM53</f>
        <v/>
      </c>
      <c r="OO53" s="193">
        <f>ON53/OM53</f>
        <v/>
      </c>
      <c r="OP53" s="182" t="n">
        <v>0.0003</v>
      </c>
      <c r="OQ53" s="182" t="n"/>
      <c r="OT53" s="201">
        <f>OK53</f>
        <v/>
      </c>
      <c r="OU53" s="199" t="n">
        <v>156192.4066</v>
      </c>
      <c r="OV53" s="9">
        <f>OU54</f>
        <v/>
      </c>
      <c r="OW53" s="671">
        <f>OU53-OV53</f>
        <v/>
      </c>
      <c r="OX53" s="182">
        <f>OW53/OV53</f>
        <v/>
      </c>
      <c r="OY53" s="0" t="n">
        <v>0.0199</v>
      </c>
    </row>
    <row r="54" ht="17" customFormat="1" customHeight="1" s="9">
      <c r="A54" s="631" t="n"/>
      <c r="B54" s="631" t="n"/>
      <c r="C54" s="680" t="inlineStr">
        <is>
          <t>2026//8/28</t>
        </is>
      </c>
      <c r="D54" s="20" t="n">
        <v>2329518.77</v>
      </c>
      <c r="E54" s="20">
        <f>D55</f>
        <v/>
      </c>
      <c r="F54" s="20">
        <f>D54-E54</f>
        <v/>
      </c>
      <c r="G54" s="163">
        <f>F54/E54</f>
        <v/>
      </c>
      <c r="H54" s="19" t="n">
        <v>-0.0026</v>
      </c>
      <c r="I54" s="163" t="n"/>
      <c r="J54" s="163" t="n"/>
      <c r="K54" s="20">
        <f>C54</f>
        <v/>
      </c>
      <c r="L54" s="20" t="n">
        <v>1143064.4</v>
      </c>
      <c r="M54" s="20">
        <f>L55</f>
        <v/>
      </c>
      <c r="N54" s="20">
        <f>L54-M54</f>
        <v/>
      </c>
      <c r="O54" s="163">
        <f>N54/M54</f>
        <v/>
      </c>
      <c r="P54" s="19" t="n">
        <v>-0.0026</v>
      </c>
      <c r="Q54" s="163" t="n"/>
      <c r="R54" s="20" t="n"/>
      <c r="S54" s="20">
        <f>C54</f>
        <v/>
      </c>
      <c r="T54" s="20" t="n">
        <v>682626.6800000001</v>
      </c>
      <c r="U54" s="20">
        <f>T55</f>
        <v/>
      </c>
      <c r="V54" s="20">
        <f>T54-U54</f>
        <v/>
      </c>
      <c r="W54" s="163">
        <f>V54/U54</f>
        <v/>
      </c>
      <c r="X54" s="19" t="n">
        <v>-0.001</v>
      </c>
      <c r="Y54" s="163" t="n"/>
      <c r="Z54" s="20" t="n"/>
      <c r="AA54" s="20">
        <f>S54</f>
        <v/>
      </c>
      <c r="AB54" s="20" t="n">
        <v>533416.86</v>
      </c>
      <c r="AC54" s="20">
        <f>AB55</f>
        <v/>
      </c>
      <c r="AD54" s="20">
        <f>AB54-AC54</f>
        <v/>
      </c>
      <c r="AE54" s="163">
        <f>AD54/AC54</f>
        <v/>
      </c>
      <c r="AF54" s="19" t="n">
        <v>-0.0063</v>
      </c>
      <c r="AG54" s="163" t="n"/>
      <c r="AH54" s="20" t="n"/>
      <c r="AI54" s="20">
        <f>C54</f>
        <v/>
      </c>
      <c r="AJ54" s="20" t="n">
        <v>667721.76</v>
      </c>
      <c r="AK54" s="20">
        <f>AJ55</f>
        <v/>
      </c>
      <c r="AL54" s="20">
        <f>AJ54-AK54</f>
        <v/>
      </c>
      <c r="AM54" s="163">
        <f>AL54/AK54</f>
        <v/>
      </c>
      <c r="AN54" s="19" t="n">
        <v>-0.0032</v>
      </c>
      <c r="AO54" s="19" t="n"/>
      <c r="AP54" s="20" t="n"/>
      <c r="AQ54" s="20">
        <f>C54</f>
        <v/>
      </c>
      <c r="AR54" s="634" t="n">
        <v>1876245.4936</v>
      </c>
      <c r="AS54" s="20">
        <f>AR55</f>
        <v/>
      </c>
      <c r="AT54" s="20">
        <f>AR54-AS54</f>
        <v/>
      </c>
      <c r="AU54" s="163">
        <f>AT54/AS54</f>
        <v/>
      </c>
      <c r="AV54" s="19" t="n">
        <v>-0.0146</v>
      </c>
      <c r="AW54" s="19" t="n"/>
      <c r="AX54" s="5" t="n"/>
      <c r="AY54" s="5" t="n"/>
      <c r="AZ54" s="20">
        <f>C54</f>
        <v/>
      </c>
      <c r="BA54" s="220" t="n">
        <v>626241.6676</v>
      </c>
      <c r="BB54" s="188">
        <f>BA55</f>
        <v/>
      </c>
      <c r="BC54" s="5">
        <f>BA54-BB54</f>
        <v/>
      </c>
      <c r="BD54" s="19">
        <f>BC54/BB54</f>
        <v/>
      </c>
      <c r="BE54" s="19" t="n">
        <v>-0.0029</v>
      </c>
      <c r="BF54" s="19" t="n"/>
      <c r="BG54" s="647" t="n"/>
      <c r="BH54" s="9">
        <f>C54</f>
        <v/>
      </c>
      <c r="BI54" s="221" t="n">
        <v>1193326.5525</v>
      </c>
      <c r="BJ54" s="184">
        <f>BI55</f>
        <v/>
      </c>
      <c r="BK54" s="184">
        <f>BI54-BJ54</f>
        <v/>
      </c>
      <c r="BL54" s="190">
        <f>BK54/BJ54</f>
        <v/>
      </c>
      <c r="BM54" s="191" t="n">
        <v>-0.0094</v>
      </c>
      <c r="BN54" s="182" t="n"/>
      <c r="BP54" s="9">
        <f>C54</f>
        <v/>
      </c>
      <c r="BQ54" s="672" t="n">
        <v>1402562.3921</v>
      </c>
      <c r="BR54" s="13">
        <f>BQ55</f>
        <v/>
      </c>
      <c r="BS54" s="13">
        <f>BQ54-BR54</f>
        <v/>
      </c>
      <c r="BT54" s="193">
        <f>BS54/BR54</f>
        <v/>
      </c>
      <c r="BU54" s="182" t="n">
        <v>0.008800000000000001</v>
      </c>
      <c r="BV54" s="182" t="n"/>
      <c r="BX54" s="9">
        <f>C54</f>
        <v/>
      </c>
      <c r="BY54" s="222" t="n">
        <v>1677610.7019</v>
      </c>
      <c r="BZ54" s="13">
        <f>BY55</f>
        <v/>
      </c>
      <c r="CA54" s="13">
        <f>BY54-BZ54</f>
        <v/>
      </c>
      <c r="CB54" s="193">
        <f>CA54/BZ54</f>
        <v/>
      </c>
      <c r="CC54" s="182" t="n">
        <v>0.0183</v>
      </c>
      <c r="CD54" s="194" t="n"/>
      <c r="CF54" s="9">
        <f>C54</f>
        <v/>
      </c>
      <c r="CG54" s="185" t="n">
        <v>1375953.9</v>
      </c>
      <c r="CH54" s="13">
        <f>CG55</f>
        <v/>
      </c>
      <c r="CI54" s="13">
        <f>CG54-CH54</f>
        <v/>
      </c>
      <c r="CJ54" s="193">
        <f>CI54/CH54</f>
        <v/>
      </c>
      <c r="CK54" s="182" t="n">
        <v>0.0076</v>
      </c>
      <c r="CL54" s="194" t="n"/>
      <c r="CN54" s="9">
        <f>C54</f>
        <v/>
      </c>
      <c r="CO54" s="185" t="n">
        <v>524446.48</v>
      </c>
      <c r="CP54" s="13">
        <f>CO55</f>
        <v/>
      </c>
      <c r="CQ54" s="13">
        <f>CO54-CP54</f>
        <v/>
      </c>
      <c r="CR54" s="193">
        <f>CQ54/CP54</f>
        <v/>
      </c>
      <c r="CS54" s="194" t="n">
        <v>0.0057</v>
      </c>
      <c r="CT54" s="194" t="n"/>
      <c r="CV54" s="9">
        <f>C54</f>
        <v/>
      </c>
      <c r="CW54" s="185" t="n">
        <v>664540.4</v>
      </c>
      <c r="CX54" s="13">
        <f>CW55</f>
        <v/>
      </c>
      <c r="CY54" s="13">
        <f>CW54-CX54</f>
        <v/>
      </c>
      <c r="CZ54" s="193">
        <f>CY54/CX54</f>
        <v/>
      </c>
      <c r="DA54" s="182" t="n">
        <v>0.0174</v>
      </c>
      <c r="DB54" s="182" t="n"/>
      <c r="DC54" s="256" t="n"/>
      <c r="DD54" s="9">
        <f>C54</f>
        <v/>
      </c>
      <c r="DE54" s="222" t="n">
        <v>6190135.9972</v>
      </c>
      <c r="DF54" s="13">
        <f>DE55</f>
        <v/>
      </c>
      <c r="DG54" s="13">
        <f>DE54-DF54</f>
        <v/>
      </c>
      <c r="DH54" s="193">
        <f>DG54/DF54</f>
        <v/>
      </c>
      <c r="DI54" s="182" t="n">
        <v>-0.0296</v>
      </c>
      <c r="DJ54" s="182" t="n"/>
      <c r="DK54" s="0" t="n"/>
      <c r="DL54" s="9">
        <f>C54</f>
        <v/>
      </c>
      <c r="DM54" s="185" t="n">
        <v>1919800.72</v>
      </c>
      <c r="DN54" s="13">
        <f>DM55</f>
        <v/>
      </c>
      <c r="DO54" s="13">
        <f>DM54-DN54</f>
        <v/>
      </c>
      <c r="DP54" s="193">
        <f>DO54/DN54</f>
        <v/>
      </c>
      <c r="DQ54" s="182" t="n">
        <v>-0.0226</v>
      </c>
      <c r="DR54" s="182" t="n"/>
      <c r="DT54" s="9">
        <f>C54</f>
        <v/>
      </c>
      <c r="DU54" s="185" t="n">
        <v>4231168.43</v>
      </c>
      <c r="DV54" s="13">
        <f>DU55</f>
        <v/>
      </c>
      <c r="DW54" s="13">
        <f>DU54-DV54</f>
        <v/>
      </c>
      <c r="DX54" s="193">
        <f>DW54/DV54</f>
        <v/>
      </c>
      <c r="DY54" s="182" t="n">
        <v>-0.0241</v>
      </c>
      <c r="DZ54" s="182" t="n"/>
      <c r="EB54" s="9">
        <f>C54</f>
        <v/>
      </c>
      <c r="EC54" s="185" t="n">
        <v>5033666.82</v>
      </c>
      <c r="ED54" s="13">
        <f>EC55</f>
        <v/>
      </c>
      <c r="EE54" s="13">
        <f>EC54-ED54</f>
        <v/>
      </c>
      <c r="EF54" s="193">
        <f>EE54/ED54</f>
        <v/>
      </c>
      <c r="EG54" s="182" t="n">
        <v>-0.0179</v>
      </c>
      <c r="EH54" s="182" t="n"/>
      <c r="EJ54" s="9">
        <f>C54</f>
        <v/>
      </c>
      <c r="EK54" s="222" t="n">
        <v>1209322.9669</v>
      </c>
      <c r="EL54" s="13">
        <f>EK55</f>
        <v/>
      </c>
      <c r="EM54" s="13">
        <f>EK54-EL54</f>
        <v/>
      </c>
      <c r="EN54" s="193">
        <f>EM54/EL54</f>
        <v/>
      </c>
      <c r="EO54" s="182" t="n">
        <v>-0.0097</v>
      </c>
      <c r="EP54" s="182" t="n"/>
      <c r="ER54" s="9">
        <f>C54</f>
        <v/>
      </c>
      <c r="ES54" s="9" t="n">
        <v>753294.04</v>
      </c>
      <c r="ET54" s="13">
        <f>ES55</f>
        <v/>
      </c>
      <c r="EU54" s="13">
        <f>ES54-ET54</f>
        <v/>
      </c>
      <c r="EV54" s="193">
        <f>EU54/ET54</f>
        <v/>
      </c>
      <c r="EW54" s="182" t="n">
        <v>-0.009900000000000001</v>
      </c>
      <c r="EX54" s="182" t="n"/>
      <c r="EZ54" s="9">
        <f>C54</f>
        <v/>
      </c>
      <c r="FA54" s="185" t="n">
        <v>607308</v>
      </c>
      <c r="FB54" s="13">
        <f>FA55</f>
        <v/>
      </c>
      <c r="FC54" s="13">
        <f>FA54-FB54</f>
        <v/>
      </c>
      <c r="FD54" s="193">
        <f>FC54/FB54</f>
        <v/>
      </c>
      <c r="FE54" s="182" t="n">
        <v>0.0018</v>
      </c>
      <c r="FF54" s="182" t="n"/>
      <c r="FH54" s="9">
        <f>C54</f>
        <v/>
      </c>
      <c r="FI54" s="672" t="n">
        <v>950395.3365</v>
      </c>
      <c r="FJ54" s="13">
        <f>FI55</f>
        <v/>
      </c>
      <c r="FK54" s="13">
        <f>FI54-FJ54</f>
        <v/>
      </c>
      <c r="FL54" s="193">
        <f>FK54/FJ54</f>
        <v/>
      </c>
      <c r="FM54" s="194" t="n">
        <v>-0.0104</v>
      </c>
      <c r="FN54" s="194" t="n"/>
      <c r="FP54" s="9">
        <f>C54</f>
        <v/>
      </c>
      <c r="FQ54" s="185" t="n">
        <v>1859368.73</v>
      </c>
      <c r="FR54" s="13">
        <f>FQ55</f>
        <v/>
      </c>
      <c r="FS54" s="13">
        <f>FQ54-FR54</f>
        <v/>
      </c>
      <c r="FT54" s="193">
        <f>FS54/FR54</f>
        <v/>
      </c>
      <c r="FU54" s="182" t="n">
        <v>-0.0114</v>
      </c>
      <c r="FV54" s="182" t="n"/>
      <c r="FX54" s="9">
        <f>C54</f>
        <v/>
      </c>
      <c r="FY54" s="185" t="n">
        <v>7158482.05</v>
      </c>
      <c r="FZ54" s="13">
        <f>FY55</f>
        <v/>
      </c>
      <c r="GA54" s="13">
        <f>FY54-FZ54</f>
        <v/>
      </c>
      <c r="GB54" s="193">
        <f>GA54/FZ54</f>
        <v/>
      </c>
      <c r="GC54" s="182" t="n">
        <v>-0.0116</v>
      </c>
      <c r="GD54" s="182" t="n"/>
      <c r="GF54" s="9">
        <f>C54</f>
        <v/>
      </c>
      <c r="GG54" s="185" t="n">
        <v>4020269.49</v>
      </c>
      <c r="GH54" s="13">
        <f>GG55</f>
        <v/>
      </c>
      <c r="GI54" s="13">
        <f>GG54-GH54</f>
        <v/>
      </c>
      <c r="GJ54" s="193">
        <f>GI54/GH54</f>
        <v/>
      </c>
      <c r="GK54" s="182" t="n">
        <v>-0.0078</v>
      </c>
      <c r="GL54" s="182" t="n"/>
      <c r="GN54" s="9">
        <f>C54</f>
        <v/>
      </c>
      <c r="GO54" s="222" t="n">
        <v>1922578.1217</v>
      </c>
      <c r="GP54" s="13">
        <f>GO55</f>
        <v/>
      </c>
      <c r="GQ54" s="13">
        <f>GO54-GP54</f>
        <v/>
      </c>
      <c r="GR54" s="193">
        <f>GQ54/GP54</f>
        <v/>
      </c>
      <c r="GS54" s="182" t="n">
        <v>-0.0149</v>
      </c>
      <c r="GT54" s="182" t="n"/>
      <c r="GV54" s="9">
        <f>C54</f>
        <v/>
      </c>
      <c r="GW54" s="185" t="n">
        <v>601149.4</v>
      </c>
      <c r="GX54" s="13">
        <f>GW55</f>
        <v/>
      </c>
      <c r="GY54" s="13">
        <f>GW54-GX54</f>
        <v/>
      </c>
      <c r="GZ54" s="193">
        <f>GY54/GX54</f>
        <v/>
      </c>
      <c r="HA54" s="182" t="n">
        <v>0</v>
      </c>
      <c r="HB54" s="182" t="n"/>
      <c r="HD54" s="9">
        <f>C54</f>
        <v/>
      </c>
      <c r="HE54" s="222" t="n">
        <v>797864.6746</v>
      </c>
      <c r="HF54" s="13">
        <f>HE55</f>
        <v/>
      </c>
      <c r="HG54" s="13">
        <f>HE54-HF54</f>
        <v/>
      </c>
      <c r="HH54" s="193">
        <f>HG54/HF54</f>
        <v/>
      </c>
      <c r="HI54" s="194" t="n">
        <v>-0.0031</v>
      </c>
      <c r="HJ54" s="182" t="n"/>
      <c r="HL54" s="9">
        <f>C54</f>
        <v/>
      </c>
      <c r="HM54" s="185" t="n">
        <v>118204.25</v>
      </c>
      <c r="HN54" s="13">
        <f>HM55</f>
        <v/>
      </c>
      <c r="HO54" s="13">
        <f>HM54-HN54</f>
        <v/>
      </c>
      <c r="HP54" s="193">
        <f>HO54/HN54</f>
        <v/>
      </c>
      <c r="HQ54" s="182" t="n">
        <v>0.0036</v>
      </c>
      <c r="HR54" s="182" t="n"/>
      <c r="HT54" s="9">
        <f>C54</f>
        <v/>
      </c>
      <c r="HU54" s="222" t="n">
        <v>140268.8265</v>
      </c>
      <c r="HV54" s="13">
        <f>HU55</f>
        <v/>
      </c>
      <c r="HW54" s="13">
        <f>HU54-HV54</f>
        <v/>
      </c>
      <c r="HX54" s="193">
        <f>HW54/HV54</f>
        <v/>
      </c>
      <c r="HY54" s="182" t="n">
        <v>0.0092</v>
      </c>
      <c r="HZ54" s="182" t="n"/>
      <c r="IB54" s="9">
        <f>C54</f>
        <v/>
      </c>
      <c r="IC54" s="185" t="n">
        <v>286384.79</v>
      </c>
      <c r="ID54" s="13">
        <f>IC55</f>
        <v/>
      </c>
      <c r="IE54" s="13">
        <f>IC54-ID54</f>
        <v/>
      </c>
      <c r="IF54" s="193">
        <f>IE54/ID54</f>
        <v/>
      </c>
      <c r="IG54" s="194" t="n">
        <v>0.0057</v>
      </c>
      <c r="IH54" s="182" t="n"/>
      <c r="IJ54" s="9">
        <f>C54</f>
        <v/>
      </c>
      <c r="IK54" s="222" t="n">
        <v>947836.29</v>
      </c>
      <c r="IL54" s="13">
        <f>IK55</f>
        <v/>
      </c>
      <c r="IM54" s="13">
        <f>IK54-IL54</f>
        <v/>
      </c>
      <c r="IN54" s="193">
        <f>IM54/IL54</f>
        <v/>
      </c>
      <c r="IO54" s="182" t="n">
        <v>-0.0029</v>
      </c>
      <c r="IP54" s="182" t="n"/>
      <c r="IR54" s="9">
        <f>C54</f>
        <v/>
      </c>
      <c r="IS54" s="185" t="n">
        <v>152189</v>
      </c>
      <c r="IT54" s="13">
        <f>IS55</f>
        <v/>
      </c>
      <c r="IU54" s="13">
        <f>IS54-IT54</f>
        <v/>
      </c>
      <c r="IV54" s="193">
        <f>IU54/IT54</f>
        <v/>
      </c>
      <c r="IW54" s="182" t="n">
        <v>0.0036</v>
      </c>
      <c r="IX54" s="182" t="n"/>
      <c r="IZ54" s="9">
        <f>C54</f>
        <v/>
      </c>
      <c r="JA54" s="185" t="n">
        <v>5696429.15</v>
      </c>
      <c r="JB54" s="13">
        <f>JA55</f>
        <v/>
      </c>
      <c r="JC54" s="13">
        <f>JA54-JB54</f>
        <v/>
      </c>
      <c r="JD54" s="193">
        <f>JC54/JB54</f>
        <v/>
      </c>
      <c r="JE54" s="182" t="n">
        <v>-0.0018</v>
      </c>
      <c r="JF54" s="182" t="n"/>
      <c r="JH54" s="9">
        <f>C54</f>
        <v/>
      </c>
      <c r="JI54" s="185" t="n">
        <v>1198707.99</v>
      </c>
      <c r="JJ54" s="13">
        <f>JI55</f>
        <v/>
      </c>
      <c r="JK54" s="13">
        <f>JI54-JJ54</f>
        <v/>
      </c>
      <c r="JL54" s="193">
        <f>JK54/JJ54</f>
        <v/>
      </c>
      <c r="JM54" s="182" t="n">
        <v>-0.0024</v>
      </c>
      <c r="JN54" s="182" t="n"/>
      <c r="JP54" s="9">
        <f>C54</f>
        <v/>
      </c>
      <c r="JQ54" s="222" t="n">
        <v>1009990.4148</v>
      </c>
      <c r="JR54" s="13">
        <f>JQ55</f>
        <v/>
      </c>
      <c r="JS54" s="13">
        <f>JQ54-JR54</f>
        <v/>
      </c>
      <c r="JT54" s="193">
        <f>JS54/JR54</f>
        <v/>
      </c>
      <c r="JU54" s="182" t="n">
        <v>-0.0078</v>
      </c>
      <c r="JV54" s="194" t="n"/>
      <c r="JX54" s="9">
        <f>C54</f>
        <v/>
      </c>
      <c r="JY54" s="185" t="n">
        <v>980998.8</v>
      </c>
      <c r="JZ54" s="13">
        <f>JY55</f>
        <v/>
      </c>
      <c r="KA54" s="13">
        <f>JY54-JZ54</f>
        <v/>
      </c>
      <c r="KB54" s="193">
        <f>KA54/JZ54</f>
        <v/>
      </c>
      <c r="KC54" s="182" t="n">
        <v>0.0032</v>
      </c>
      <c r="KD54" s="194" t="n"/>
      <c r="KF54" s="9">
        <f>C54</f>
        <v/>
      </c>
      <c r="KG54" s="222" t="n">
        <v>577955.9219</v>
      </c>
      <c r="KH54" s="13">
        <f>KG55</f>
        <v/>
      </c>
      <c r="KI54" s="13">
        <f>KG54-KH54</f>
        <v/>
      </c>
      <c r="KJ54" s="193">
        <f>KI54/KH54</f>
        <v/>
      </c>
      <c r="KK54" s="194" t="n">
        <v>0</v>
      </c>
      <c r="KL54" s="194" t="n"/>
      <c r="KN54" s="9">
        <f>C54</f>
        <v/>
      </c>
      <c r="KO54" s="185" t="n">
        <v>6954675.95</v>
      </c>
      <c r="KP54" s="13">
        <f>KO55</f>
        <v/>
      </c>
      <c r="KQ54" s="13">
        <f>KO54-KP54</f>
        <v/>
      </c>
      <c r="KR54" s="193">
        <f>KQ54/KP54</f>
        <v/>
      </c>
      <c r="KS54" s="182" t="n">
        <v>-0.0034</v>
      </c>
      <c r="KT54" s="182" t="n"/>
      <c r="KV54" s="9">
        <f>C54</f>
        <v/>
      </c>
      <c r="KW54" s="222" t="n">
        <v>1039072.9726</v>
      </c>
      <c r="KX54" s="13">
        <f>KW55</f>
        <v/>
      </c>
      <c r="KY54" s="13">
        <f>KW54-KX54</f>
        <v/>
      </c>
      <c r="KZ54" s="193">
        <f>KY54/KX54</f>
        <v/>
      </c>
      <c r="LA54" s="194" t="n">
        <v>-0.0176</v>
      </c>
      <c r="LB54" s="182" t="n"/>
      <c r="LD54" s="9">
        <f>C54</f>
        <v/>
      </c>
      <c r="LE54" s="185" t="n">
        <v>385007.7</v>
      </c>
      <c r="LF54" s="13">
        <f>LE55</f>
        <v/>
      </c>
      <c r="LG54" s="13">
        <f>LE54-LF54</f>
        <v/>
      </c>
      <c r="LH54" s="193">
        <f>LG54/LF54</f>
        <v/>
      </c>
      <c r="LI54" s="182" t="n">
        <v>-0.0068</v>
      </c>
      <c r="LJ54" s="182" t="n"/>
      <c r="LL54" s="9">
        <f>C54</f>
        <v/>
      </c>
      <c r="LM54" s="672" t="n">
        <v>3200695.02</v>
      </c>
      <c r="LN54" s="13">
        <f>LM55</f>
        <v/>
      </c>
      <c r="LO54" s="13">
        <f>LM54-LN54</f>
        <v/>
      </c>
      <c r="LP54" s="193">
        <f>LO54/LN54</f>
        <v/>
      </c>
      <c r="LQ54" s="182" t="n">
        <v>0.0048</v>
      </c>
      <c r="LR54" s="182" t="n"/>
      <c r="LT54" s="9">
        <f>C54</f>
        <v/>
      </c>
      <c r="LU54" s="222" t="n">
        <v>2305262.904</v>
      </c>
      <c r="LV54" s="13">
        <f>LU55</f>
        <v/>
      </c>
      <c r="LW54" s="13">
        <f>LU54-LV54</f>
        <v/>
      </c>
      <c r="LX54" s="193">
        <f>LW54/LV54</f>
        <v/>
      </c>
      <c r="LY54" s="182" t="n">
        <v>0.008999999999999999</v>
      </c>
      <c r="LZ54" s="182" t="n"/>
      <c r="MB54" s="9">
        <f>C54</f>
        <v/>
      </c>
      <c r="MC54" s="185" t="n">
        <v>1046617.69</v>
      </c>
      <c r="MD54" s="13">
        <f>MC55</f>
        <v/>
      </c>
      <c r="ME54" s="13">
        <f>MC54-MD54</f>
        <v/>
      </c>
      <c r="MF54" s="193">
        <f>ME54/MD54</f>
        <v/>
      </c>
      <c r="MG54" s="182" t="n">
        <v>0.0067</v>
      </c>
      <c r="MH54" s="182" t="n"/>
      <c r="MK54" s="9">
        <f>C54</f>
        <v/>
      </c>
      <c r="ML54" s="223" t="n">
        <v>158385.5354</v>
      </c>
      <c r="MM54" s="13">
        <f>ML55</f>
        <v/>
      </c>
      <c r="MN54" s="13">
        <f>ML54-MM54</f>
        <v/>
      </c>
      <c r="MO54" s="193">
        <f>MN54/MM54</f>
        <v/>
      </c>
      <c r="MP54" s="182" t="n">
        <v>-0.0031</v>
      </c>
      <c r="MQ54" s="194" t="n"/>
      <c r="MR54" s="194" t="n"/>
      <c r="MT54" s="25">
        <f>C54</f>
        <v/>
      </c>
      <c r="MU54" s="9" t="n">
        <v>133914.8</v>
      </c>
      <c r="MV54" s="188">
        <f>MU55</f>
        <v/>
      </c>
      <c r="MW54" s="9">
        <f>MU54-MV54</f>
        <v/>
      </c>
      <c r="MX54" s="182">
        <f>MW54/MV54</f>
        <v/>
      </c>
      <c r="MY54" s="182" t="n">
        <v>0.0135</v>
      </c>
      <c r="MZ54" s="182" t="n"/>
      <c r="NA54" s="182" t="n"/>
      <c r="NC54" s="25">
        <f>C54</f>
        <v/>
      </c>
      <c r="ND54" s="9" t="n">
        <v>33691.48</v>
      </c>
      <c r="NE54" s="188">
        <f>ND55</f>
        <v/>
      </c>
      <c r="NF54" s="9">
        <f>ND54-NE54</f>
        <v/>
      </c>
      <c r="NG54" s="182">
        <f>NF54/NE54</f>
        <v/>
      </c>
      <c r="NH54" s="182" t="n">
        <v>0.007</v>
      </c>
      <c r="NI54" s="182" t="n"/>
      <c r="NJ54" s="182" t="n"/>
      <c r="NK54" s="182" t="n"/>
      <c r="NM54" s="25">
        <f>C54</f>
        <v/>
      </c>
      <c r="NN54" s="9" t="n">
        <v>2795011.08</v>
      </c>
      <c r="NO54" s="9">
        <f>NN55</f>
        <v/>
      </c>
      <c r="NP54" s="197">
        <f>NN54-NO54</f>
        <v/>
      </c>
      <c r="NQ54" s="198">
        <f>NP54/NO54</f>
        <v/>
      </c>
      <c r="NR54" s="182" t="n">
        <v>0.0008</v>
      </c>
      <c r="NS54" s="0" t="n"/>
      <c r="NU54" s="9">
        <f>C54</f>
        <v/>
      </c>
      <c r="NV54" s="9" t="n">
        <v>225826.5</v>
      </c>
      <c r="NW54" s="188">
        <f>NV55</f>
        <v/>
      </c>
      <c r="NX54" s="197">
        <f>NV54-NW54</f>
        <v/>
      </c>
      <c r="NY54" s="198">
        <f>NX54/NW54</f>
        <v/>
      </c>
      <c r="NZ54" s="182" t="n">
        <v>-0.001</v>
      </c>
      <c r="OA54" s="0" t="n"/>
      <c r="OC54" s="9">
        <f>C54</f>
        <v/>
      </c>
      <c r="OD54" s="185" t="n">
        <v>19497.97</v>
      </c>
      <c r="OE54" s="13">
        <f>OD55</f>
        <v/>
      </c>
      <c r="OF54" s="13">
        <f>OD54-OE54</f>
        <v/>
      </c>
      <c r="OG54" s="193">
        <f>OF54/OE54</f>
        <v/>
      </c>
      <c r="OH54" s="182" t="n">
        <v>0.0001</v>
      </c>
      <c r="OI54" s="182" t="n"/>
      <c r="OK54" s="9">
        <f>C54</f>
        <v/>
      </c>
      <c r="OL54" s="185" t="n">
        <v>16855.65</v>
      </c>
      <c r="OM54" s="13">
        <f>OL55</f>
        <v/>
      </c>
      <c r="ON54" s="13">
        <f>OL54-OM54</f>
        <v/>
      </c>
      <c r="OO54" s="193">
        <f>ON54/OM54</f>
        <v/>
      </c>
      <c r="OP54" s="182" t="n">
        <v>0.0004</v>
      </c>
      <c r="OQ54" s="182" t="n"/>
      <c r="OT54" s="201">
        <f>OK54</f>
        <v/>
      </c>
      <c r="OU54" s="199" t="n">
        <v>156072.4066</v>
      </c>
      <c r="OV54" s="9">
        <f>OU55</f>
        <v/>
      </c>
      <c r="OW54" s="671">
        <f>OU54-OV54</f>
        <v/>
      </c>
      <c r="OX54" s="182">
        <f>OW54/OV54</f>
        <v/>
      </c>
      <c r="OY54" s="0" t="n">
        <v>-0.0075</v>
      </c>
    </row>
    <row r="55" ht="17" customFormat="1" customHeight="1" s="9">
      <c r="A55" s="631" t="n"/>
      <c r="B55" s="631" t="n"/>
      <c r="C55" s="680" t="inlineStr">
        <is>
          <t>2026//8/27</t>
        </is>
      </c>
      <c r="D55" s="20" t="n">
        <v>2357868.77</v>
      </c>
      <c r="E55" s="20">
        <f>D56</f>
        <v/>
      </c>
      <c r="F55" s="20">
        <f>D55-E55</f>
        <v/>
      </c>
      <c r="G55" s="163">
        <f>F55/E55</f>
        <v/>
      </c>
      <c r="H55" s="19" t="n">
        <v>0.008399999999999999</v>
      </c>
      <c r="I55" s="163" t="n"/>
      <c r="J55" s="163" t="n"/>
      <c r="K55" s="20">
        <f>C55</f>
        <v/>
      </c>
      <c r="L55" s="20" t="n">
        <v>1146574.4</v>
      </c>
      <c r="M55" s="20">
        <f>L56</f>
        <v/>
      </c>
      <c r="N55" s="20">
        <f>L55-M55</f>
        <v/>
      </c>
      <c r="O55" s="163">
        <f>N55/M55</f>
        <v/>
      </c>
      <c r="P55" s="19" t="n">
        <v>0.0077</v>
      </c>
      <c r="Q55" s="163" t="n"/>
      <c r="R55" s="20" t="n"/>
      <c r="S55" s="20">
        <f>C55</f>
        <v/>
      </c>
      <c r="T55" s="20" t="n">
        <v>690996.6800000001</v>
      </c>
      <c r="U55" s="20">
        <f>T56</f>
        <v/>
      </c>
      <c r="V55" s="20">
        <f>T55-U55</f>
        <v/>
      </c>
      <c r="W55" s="163">
        <f>V55/U55</f>
        <v/>
      </c>
      <c r="X55" s="19" t="n">
        <v>0.008999999999999999</v>
      </c>
      <c r="Y55" s="163" t="n"/>
      <c r="Z55" s="20" t="n"/>
      <c r="AA55" s="20">
        <f>S55</f>
        <v/>
      </c>
      <c r="AB55" s="20" t="n">
        <v>540696.86</v>
      </c>
      <c r="AC55" s="20">
        <f>AB56</f>
        <v/>
      </c>
      <c r="AD55" s="20">
        <f>AB55-AC55</f>
        <v/>
      </c>
      <c r="AE55" s="163">
        <f>AD55/AC55</f>
        <v/>
      </c>
      <c r="AF55" s="19" t="n">
        <v>0.0236</v>
      </c>
      <c r="AG55" s="163" t="n"/>
      <c r="AH55" s="20" t="n"/>
      <c r="AI55" s="20">
        <f>C55</f>
        <v/>
      </c>
      <c r="AJ55" s="20" t="n">
        <v>679321.76</v>
      </c>
      <c r="AK55" s="20">
        <f>AJ56</f>
        <v/>
      </c>
      <c r="AL55" s="20">
        <f>AJ55-AK55</f>
        <v/>
      </c>
      <c r="AM55" s="163">
        <f>AL55/AK55</f>
        <v/>
      </c>
      <c r="AN55" s="19" t="n">
        <v>0.0255</v>
      </c>
      <c r="AO55" s="19" t="n"/>
      <c r="AP55" s="20" t="n"/>
      <c r="AQ55" s="20">
        <f>C55</f>
        <v/>
      </c>
      <c r="AR55" s="634" t="n">
        <v>1879145.4936</v>
      </c>
      <c r="AS55" s="20">
        <f>AR56</f>
        <v/>
      </c>
      <c r="AT55" s="20">
        <f>AR55-AS55</f>
        <v/>
      </c>
      <c r="AU55" s="163">
        <f>AT55/AS55</f>
        <v/>
      </c>
      <c r="AV55" s="19" t="n">
        <v>0.0181</v>
      </c>
      <c r="AW55" s="19" t="n"/>
      <c r="AX55" s="5" t="n"/>
      <c r="AY55" s="5" t="n"/>
      <c r="AZ55" s="20">
        <f>C55</f>
        <v/>
      </c>
      <c r="BA55" s="220" t="n">
        <v>628491.6676</v>
      </c>
      <c r="BB55" s="188">
        <f>BA56</f>
        <v/>
      </c>
      <c r="BC55" s="5">
        <f>BA55-BB55</f>
        <v/>
      </c>
      <c r="BD55" s="19">
        <f>BC55/BB55</f>
        <v/>
      </c>
      <c r="BE55" s="19" t="n">
        <v>0.0086</v>
      </c>
      <c r="BF55" s="19" t="n"/>
      <c r="BG55" s="647" t="n"/>
      <c r="BH55" s="9">
        <f>C55</f>
        <v/>
      </c>
      <c r="BI55" s="221" t="n">
        <v>1201626.5525</v>
      </c>
      <c r="BJ55" s="184">
        <f>BI56</f>
        <v/>
      </c>
      <c r="BK55" s="184">
        <f>BI55-BJ55</f>
        <v/>
      </c>
      <c r="BL55" s="190">
        <f>BK55/BJ55</f>
        <v/>
      </c>
      <c r="BM55" s="191" t="n">
        <v>0.0065</v>
      </c>
      <c r="BN55" s="182" t="n"/>
      <c r="BP55" s="9">
        <f>C55</f>
        <v/>
      </c>
      <c r="BQ55" s="672" t="n">
        <v>1401262.3921</v>
      </c>
      <c r="BR55" s="13">
        <f>BQ56</f>
        <v/>
      </c>
      <c r="BS55" s="13">
        <f>BQ55-BR55</f>
        <v/>
      </c>
      <c r="BT55" s="193">
        <f>BS55/BR55</f>
        <v/>
      </c>
      <c r="BU55" s="182" t="n">
        <v>0.0195</v>
      </c>
      <c r="BV55" s="182" t="n"/>
      <c r="BX55" s="9">
        <f>C55</f>
        <v/>
      </c>
      <c r="BY55" s="222" t="n">
        <v>1656910.7019</v>
      </c>
      <c r="BZ55" s="13">
        <f>BY56</f>
        <v/>
      </c>
      <c r="CA55" s="13">
        <f>BY55-BZ55</f>
        <v/>
      </c>
      <c r="CB55" s="193">
        <f>CA55/BZ55</f>
        <v/>
      </c>
      <c r="CC55" s="182" t="n">
        <v>0.0263</v>
      </c>
      <c r="CD55" s="194" t="n"/>
      <c r="CF55" s="9">
        <f>C55</f>
        <v/>
      </c>
      <c r="CG55" s="185" t="n">
        <v>1375003.9</v>
      </c>
      <c r="CH55" s="13">
        <f>CG56</f>
        <v/>
      </c>
      <c r="CI55" s="13">
        <f>CG55-CH55</f>
        <v/>
      </c>
      <c r="CJ55" s="193">
        <f>CI55/CH55</f>
        <v/>
      </c>
      <c r="CK55" s="182" t="n">
        <v>0.0118</v>
      </c>
      <c r="CL55" s="194" t="n"/>
      <c r="CN55" s="9">
        <f>C55</f>
        <v/>
      </c>
      <c r="CO55" s="185" t="n">
        <v>527046.48</v>
      </c>
      <c r="CP55" s="13">
        <f>CO56</f>
        <v/>
      </c>
      <c r="CQ55" s="13">
        <f>CO55-CP55</f>
        <v/>
      </c>
      <c r="CR55" s="193">
        <f>CQ55/CP55</f>
        <v/>
      </c>
      <c r="CS55" s="194" t="n">
        <v>0.0126</v>
      </c>
      <c r="CT55" s="194" t="n"/>
      <c r="CV55" s="9">
        <f>C55</f>
        <v/>
      </c>
      <c r="CW55" s="185" t="n">
        <v>680940.4</v>
      </c>
      <c r="CX55" s="13">
        <f>CW56</f>
        <v/>
      </c>
      <c r="CY55" s="13">
        <f>CW55-CX55</f>
        <v/>
      </c>
      <c r="CZ55" s="193">
        <f>CY55/CX55</f>
        <v/>
      </c>
      <c r="DA55" s="182" t="n">
        <v>0.0122</v>
      </c>
      <c r="DB55" s="182" t="n"/>
      <c r="DC55" s="256" t="n"/>
      <c r="DD55" s="9">
        <f>C55</f>
        <v/>
      </c>
      <c r="DE55" s="222" t="n">
        <v>6049135.9972</v>
      </c>
      <c r="DF55" s="13">
        <f>DE56</f>
        <v/>
      </c>
      <c r="DG55" s="13">
        <f>DE55-DF55</f>
        <v/>
      </c>
      <c r="DH55" s="193">
        <f>DG55/DF55</f>
        <v/>
      </c>
      <c r="DI55" s="182" t="n">
        <v>0.0363</v>
      </c>
      <c r="DJ55" s="182" t="n"/>
      <c r="DK55" s="0" t="n"/>
      <c r="DL55" s="9">
        <f>C55</f>
        <v/>
      </c>
      <c r="DM55" s="185" t="n">
        <v>1915800.72</v>
      </c>
      <c r="DN55" s="13">
        <f>DM56</f>
        <v/>
      </c>
      <c r="DO55" s="13">
        <f>DM55-DN55</f>
        <v/>
      </c>
      <c r="DP55" s="193">
        <f>DO55/DN55</f>
        <v/>
      </c>
      <c r="DQ55" s="182" t="n">
        <v>0.0452</v>
      </c>
      <c r="DR55" s="182" t="n"/>
      <c r="DT55" s="9">
        <f>C55</f>
        <v/>
      </c>
      <c r="DU55" s="185" t="n">
        <v>4225768.43</v>
      </c>
      <c r="DV55" s="13">
        <f>DU56</f>
        <v/>
      </c>
      <c r="DW55" s="13">
        <f>DU55-DV55</f>
        <v/>
      </c>
      <c r="DX55" s="193">
        <f>DW55/DV55</f>
        <v/>
      </c>
      <c r="DY55" s="182" t="n">
        <v>0.0479</v>
      </c>
      <c r="DZ55" s="182" t="n"/>
      <c r="EB55" s="9">
        <f>C55</f>
        <v/>
      </c>
      <c r="EC55" s="185" t="n">
        <v>5004566.82</v>
      </c>
      <c r="ED55" s="13">
        <f>EC56</f>
        <v/>
      </c>
      <c r="EE55" s="13">
        <f>EC55-ED55</f>
        <v/>
      </c>
      <c r="EF55" s="193">
        <f>EE55/ED55</f>
        <v/>
      </c>
      <c r="EG55" s="182" t="n">
        <v>0.0389</v>
      </c>
      <c r="EH55" s="182" t="n"/>
      <c r="EJ55" s="9">
        <f>C55</f>
        <v/>
      </c>
      <c r="EK55" s="222" t="n">
        <v>1213122.9669</v>
      </c>
      <c r="EL55" s="13">
        <f>EK56</f>
        <v/>
      </c>
      <c r="EM55" s="13">
        <f>EK55-EL55</f>
        <v/>
      </c>
      <c r="EN55" s="193">
        <f>EM55/EL55</f>
        <v/>
      </c>
      <c r="EO55" s="182" t="n">
        <v>0.0361</v>
      </c>
      <c r="EP55" s="182" t="n"/>
      <c r="ER55" s="9">
        <f>C55</f>
        <v/>
      </c>
      <c r="ES55" s="9" t="n">
        <v>754894.04</v>
      </c>
      <c r="ET55" s="13">
        <f>ES56</f>
        <v/>
      </c>
      <c r="EU55" s="13">
        <f>ES55-ET55</f>
        <v/>
      </c>
      <c r="EV55" s="193">
        <f>EU55/ET55</f>
        <v/>
      </c>
      <c r="EW55" s="182" t="n">
        <v>0.0345</v>
      </c>
      <c r="EX55" s="182" t="n"/>
      <c r="EZ55" s="9">
        <f>C55</f>
        <v/>
      </c>
      <c r="FA55" s="185" t="n">
        <v>586408</v>
      </c>
      <c r="FB55" s="13">
        <f>FA56</f>
        <v/>
      </c>
      <c r="FC55" s="13">
        <f>FA55-FB55</f>
        <v/>
      </c>
      <c r="FD55" s="193">
        <f>FC55/FB55</f>
        <v/>
      </c>
      <c r="FE55" s="182" t="n">
        <v>0.0182</v>
      </c>
      <c r="FF55" s="182" t="n"/>
      <c r="FH55" s="9">
        <f>C55</f>
        <v/>
      </c>
      <c r="FI55" s="672" t="n">
        <v>953995.3365</v>
      </c>
      <c r="FJ55" s="13">
        <f>FI56</f>
        <v/>
      </c>
      <c r="FK55" s="13">
        <f>FI55-FJ55</f>
        <v/>
      </c>
      <c r="FL55" s="193">
        <f>FK55/FJ55</f>
        <v/>
      </c>
      <c r="FM55" s="194" t="n">
        <v>0.0274</v>
      </c>
      <c r="FN55" s="194" t="n"/>
      <c r="FP55" s="9">
        <f>C55</f>
        <v/>
      </c>
      <c r="FQ55" s="185" t="n">
        <v>1853818.73</v>
      </c>
      <c r="FR55" s="13">
        <f>FQ56</f>
        <v/>
      </c>
      <c r="FS55" s="13">
        <f>FQ55-FR55</f>
        <v/>
      </c>
      <c r="FT55" s="193">
        <f>FS55/FR55</f>
        <v/>
      </c>
      <c r="FU55" s="182" t="n">
        <v>0.019</v>
      </c>
      <c r="FV55" s="182" t="n"/>
      <c r="FX55" s="9">
        <f>C55</f>
        <v/>
      </c>
      <c r="FY55" s="185" t="n">
        <v>7153582.05</v>
      </c>
      <c r="FZ55" s="13">
        <f>FY56</f>
        <v/>
      </c>
      <c r="GA55" s="13">
        <f>FY55-FZ55</f>
        <v/>
      </c>
      <c r="GB55" s="193">
        <f>GA55/FZ55</f>
        <v/>
      </c>
      <c r="GC55" s="182" t="n">
        <v>0.0029</v>
      </c>
      <c r="GD55" s="182" t="n"/>
      <c r="GF55" s="9">
        <f>C55</f>
        <v/>
      </c>
      <c r="GG55" s="185" t="n">
        <v>4019569.49</v>
      </c>
      <c r="GH55" s="13">
        <f>GG56</f>
        <v/>
      </c>
      <c r="GI55" s="13">
        <f>GG55-GH55</f>
        <v/>
      </c>
      <c r="GJ55" s="193">
        <f>GI55/GH55</f>
        <v/>
      </c>
      <c r="GK55" s="182" t="n">
        <v>0.0052</v>
      </c>
      <c r="GL55" s="182" t="n"/>
      <c r="GN55" s="9">
        <f>C55</f>
        <v/>
      </c>
      <c r="GO55" s="222" t="n">
        <v>1904998.1217</v>
      </c>
      <c r="GP55" s="13">
        <f>GO56</f>
        <v/>
      </c>
      <c r="GQ55" s="13">
        <f>GO55-GP55</f>
        <v/>
      </c>
      <c r="GR55" s="193">
        <f>GQ55/GP55</f>
        <v/>
      </c>
      <c r="GS55" s="182" t="n">
        <v>0.0081</v>
      </c>
      <c r="GT55" s="182" t="n"/>
      <c r="GV55" s="9">
        <f>C55</f>
        <v/>
      </c>
      <c r="GW55" s="185" t="n">
        <v>603549.4</v>
      </c>
      <c r="GX55" s="13">
        <f>GW56</f>
        <v/>
      </c>
      <c r="GY55" s="13">
        <f>GW55-GX55</f>
        <v/>
      </c>
      <c r="GZ55" s="193">
        <f>GY55/GX55</f>
        <v/>
      </c>
      <c r="HA55" s="182" t="n">
        <v>-0.0059</v>
      </c>
      <c r="HB55" s="182" t="n"/>
      <c r="HD55" s="9">
        <f>C55</f>
        <v/>
      </c>
      <c r="HE55" s="222" t="n">
        <v>802864.6746</v>
      </c>
      <c r="HF55" s="13">
        <f>HE56</f>
        <v/>
      </c>
      <c r="HG55" s="13">
        <f>HE55-HF55</f>
        <v/>
      </c>
      <c r="HH55" s="193">
        <f>HG55/HF55</f>
        <v/>
      </c>
      <c r="HI55" s="194" t="n">
        <v>0.0042</v>
      </c>
      <c r="HJ55" s="182" t="n"/>
      <c r="HL55" s="9">
        <f>C55</f>
        <v/>
      </c>
      <c r="HM55" s="185" t="n">
        <v>118304.25</v>
      </c>
      <c r="HN55" s="13">
        <f>HM56</f>
        <v/>
      </c>
      <c r="HO55" s="13">
        <f>HM55-HN55</f>
        <v/>
      </c>
      <c r="HP55" s="193">
        <f>HO55/HN55</f>
        <v/>
      </c>
      <c r="HQ55" s="182" t="n">
        <v>-0.0009</v>
      </c>
      <c r="HR55" s="182" t="n"/>
      <c r="HT55" s="9">
        <f>C55</f>
        <v/>
      </c>
      <c r="HU55" s="222" t="n">
        <v>139268.8265</v>
      </c>
      <c r="HV55" s="13">
        <f>HU56</f>
        <v/>
      </c>
      <c r="HW55" s="13">
        <f>HU55-HV55</f>
        <v/>
      </c>
      <c r="HX55" s="193">
        <f>HW55/HV55</f>
        <v/>
      </c>
      <c r="HY55" s="182" t="n">
        <v>0.009299999999999999</v>
      </c>
      <c r="HZ55" s="182" t="n"/>
      <c r="IB55" s="9">
        <f>C55</f>
        <v/>
      </c>
      <c r="IC55" s="185" t="n">
        <v>283759.79</v>
      </c>
      <c r="ID55" s="13">
        <f>IC56</f>
        <v/>
      </c>
      <c r="IE55" s="13">
        <f>IC55-ID55</f>
        <v/>
      </c>
      <c r="IF55" s="193">
        <f>IE55/ID55</f>
        <v/>
      </c>
      <c r="IG55" s="194" t="n">
        <v>0.0065</v>
      </c>
      <c r="IH55" s="182" t="n"/>
      <c r="IJ55" s="9">
        <f>C55</f>
        <v/>
      </c>
      <c r="IK55" s="222" t="n">
        <v>955276.29</v>
      </c>
      <c r="IL55" s="13">
        <f>IK56</f>
        <v/>
      </c>
      <c r="IM55" s="13">
        <f>IK55-IL55</f>
        <v/>
      </c>
      <c r="IN55" s="193">
        <f>IM55/IL55</f>
        <v/>
      </c>
      <c r="IO55" s="182" t="n">
        <v>-0.0038</v>
      </c>
      <c r="IP55" s="182" t="n"/>
      <c r="IR55" s="9">
        <f>C55</f>
        <v/>
      </c>
      <c r="IS55" s="185" t="n">
        <v>152689</v>
      </c>
      <c r="IT55" s="13">
        <f>IS56</f>
        <v/>
      </c>
      <c r="IU55" s="13">
        <f>IS55-IT55</f>
        <v/>
      </c>
      <c r="IV55" s="193">
        <f>IU55/IT55</f>
        <v/>
      </c>
      <c r="IW55" s="182" t="n">
        <v>0.024</v>
      </c>
      <c r="IX55" s="182" t="n"/>
      <c r="IZ55" s="9">
        <f>C55</f>
        <v/>
      </c>
      <c r="JA55" s="185" t="n">
        <v>5736929.15</v>
      </c>
      <c r="JB55" s="13">
        <f>JA56</f>
        <v/>
      </c>
      <c r="JC55" s="13">
        <f>JA55-JB55</f>
        <v/>
      </c>
      <c r="JD55" s="193">
        <f>JC55/JB55</f>
        <v/>
      </c>
      <c r="JE55" s="182" t="n">
        <v>0.0091</v>
      </c>
      <c r="JF55" s="182" t="n"/>
      <c r="JH55" s="9">
        <f>C55</f>
        <v/>
      </c>
      <c r="JI55" s="185" t="n">
        <v>1205187.99</v>
      </c>
      <c r="JJ55" s="13">
        <f>JI56</f>
        <v/>
      </c>
      <c r="JK55" s="13">
        <f>JI55-JJ55</f>
        <v/>
      </c>
      <c r="JL55" s="193">
        <f>JK55/JJ55</f>
        <v/>
      </c>
      <c r="JM55" s="182" t="n">
        <v>-0.0121</v>
      </c>
      <c r="JN55" s="182" t="n"/>
      <c r="JP55" s="9">
        <f>C55</f>
        <v/>
      </c>
      <c r="JQ55" s="222" t="n">
        <v>1014190.4148</v>
      </c>
      <c r="JR55" s="13">
        <f>JQ56</f>
        <v/>
      </c>
      <c r="JS55" s="13">
        <f>JQ55-JR55</f>
        <v/>
      </c>
      <c r="JT55" s="193">
        <f>JS55/JR55</f>
        <v/>
      </c>
      <c r="JU55" s="182" t="n">
        <v>0.0239</v>
      </c>
      <c r="JV55" s="194" t="n"/>
      <c r="JX55" s="9">
        <f>C55</f>
        <v/>
      </c>
      <c r="JY55" s="185" t="n">
        <v>990198.8</v>
      </c>
      <c r="JZ55" s="13">
        <f>JY56</f>
        <v/>
      </c>
      <c r="KA55" s="13">
        <f>JY55-JZ55</f>
        <v/>
      </c>
      <c r="KB55" s="193">
        <f>KA55/JZ55</f>
        <v/>
      </c>
      <c r="KC55" s="182" t="n">
        <v>0.0053</v>
      </c>
      <c r="KD55" s="194" t="n"/>
      <c r="KF55" s="9">
        <f>C55</f>
        <v/>
      </c>
      <c r="KG55" s="222" t="n">
        <v>577955.9219</v>
      </c>
      <c r="KH55" s="13">
        <f>KG56</f>
        <v/>
      </c>
      <c r="KI55" s="13">
        <f>KG55-KH55</f>
        <v/>
      </c>
      <c r="KJ55" s="193">
        <f>KI55/KH55</f>
        <v/>
      </c>
      <c r="KK55" s="194" t="n">
        <v>-0.0046</v>
      </c>
      <c r="KL55" s="194" t="n"/>
      <c r="KN55" s="9">
        <f>C55</f>
        <v/>
      </c>
      <c r="KO55" s="185" t="n">
        <v>6954675.95</v>
      </c>
      <c r="KP55" s="13">
        <f>KO56</f>
        <v/>
      </c>
      <c r="KQ55" s="13">
        <f>KO55-KP55</f>
        <v/>
      </c>
      <c r="KR55" s="193">
        <f>KQ55/KP55</f>
        <v/>
      </c>
      <c r="KS55" s="182" t="n">
        <v>-0.0051</v>
      </c>
      <c r="KT55" s="182" t="n"/>
      <c r="KV55" s="9">
        <f>C55</f>
        <v/>
      </c>
      <c r="KW55" s="222" t="n">
        <v>1043372.9726</v>
      </c>
      <c r="KX55" s="13">
        <f>KW56</f>
        <v/>
      </c>
      <c r="KY55" s="13">
        <f>KW55-KX55</f>
        <v/>
      </c>
      <c r="KZ55" s="193">
        <f>KY55/KX55</f>
        <v/>
      </c>
      <c r="LA55" s="194" t="n">
        <v>0.011</v>
      </c>
      <c r="LB55" s="182" t="n"/>
      <c r="LD55" s="9">
        <f>C55</f>
        <v/>
      </c>
      <c r="LE55" s="185" t="n">
        <v>385607.7</v>
      </c>
      <c r="LF55" s="13">
        <f>LE56</f>
        <v/>
      </c>
      <c r="LG55" s="13">
        <f>LE55-LF55</f>
        <v/>
      </c>
      <c r="LH55" s="193">
        <f>LG55/LF55</f>
        <v/>
      </c>
      <c r="LI55" s="182" t="n">
        <v>0.0232</v>
      </c>
      <c r="LJ55" s="182" t="n"/>
      <c r="LL55" s="9">
        <f>C55</f>
        <v/>
      </c>
      <c r="LM55" s="672" t="n">
        <v>3214555.02</v>
      </c>
      <c r="LN55" s="13">
        <f>LM56</f>
        <v/>
      </c>
      <c r="LO55" s="13">
        <f>LM55-LN55</f>
        <v/>
      </c>
      <c r="LP55" s="193">
        <f>LO55/LN55</f>
        <v/>
      </c>
      <c r="LQ55" s="182" t="n">
        <v>-0.0047</v>
      </c>
      <c r="LR55" s="182" t="n"/>
      <c r="LT55" s="9">
        <f>C55</f>
        <v/>
      </c>
      <c r="LU55" s="222" t="n">
        <v>2307262.904</v>
      </c>
      <c r="LV55" s="13">
        <f>LU56</f>
        <v/>
      </c>
      <c r="LW55" s="13">
        <f>LU55-LV55</f>
        <v/>
      </c>
      <c r="LX55" s="193">
        <f>LW55/LV55</f>
        <v/>
      </c>
      <c r="LY55" s="182" t="n">
        <v>0</v>
      </c>
      <c r="LZ55" s="182" t="n"/>
      <c r="MB55" s="9">
        <f>C55</f>
        <v/>
      </c>
      <c r="MC55" s="185" t="n">
        <v>1054867.69</v>
      </c>
      <c r="MD55" s="13">
        <f>MC56</f>
        <v/>
      </c>
      <c r="ME55" s="13">
        <f>MC55-MD55</f>
        <v/>
      </c>
      <c r="MF55" s="193">
        <f>ME55/MD55</f>
        <v/>
      </c>
      <c r="MG55" s="182" t="n">
        <v>0.0252</v>
      </c>
      <c r="MH55" s="182" t="n"/>
      <c r="MK55" s="9">
        <f>C55</f>
        <v/>
      </c>
      <c r="ML55" s="223" t="n">
        <v>159585.5354</v>
      </c>
      <c r="MM55" s="13">
        <f>ML56</f>
        <v/>
      </c>
      <c r="MN55" s="13">
        <f>ML55-MM55</f>
        <v/>
      </c>
      <c r="MO55" s="193">
        <f>MN55/MM55</f>
        <v/>
      </c>
      <c r="MP55" s="182" t="n">
        <v>0.0305</v>
      </c>
      <c r="MQ55" s="194" t="n"/>
      <c r="MR55" s="194" t="n"/>
      <c r="MT55" s="25">
        <f>C55</f>
        <v/>
      </c>
      <c r="MU55" s="9" t="n">
        <v>133914.8</v>
      </c>
      <c r="MV55" s="188">
        <f>MU56</f>
        <v/>
      </c>
      <c r="MW55" s="9">
        <f>MU55-MV55</f>
        <v/>
      </c>
      <c r="MX55" s="182">
        <f>MW55/MV55</f>
        <v/>
      </c>
      <c r="MY55" s="182" t="n">
        <v>0.0137</v>
      </c>
      <c r="MZ55" s="182" t="n"/>
      <c r="NA55" s="182" t="n"/>
      <c r="NC55" s="25">
        <f>C55</f>
        <v/>
      </c>
      <c r="ND55" s="9" t="n">
        <v>33691.48</v>
      </c>
      <c r="NE55" s="188">
        <f>ND56</f>
        <v/>
      </c>
      <c r="NF55" s="9">
        <f>ND55-NE55</f>
        <v/>
      </c>
      <c r="NG55" s="182">
        <f>NF55/NE55</f>
        <v/>
      </c>
      <c r="NH55" s="182" t="n">
        <v>0.0206</v>
      </c>
      <c r="NI55" s="182" t="n"/>
      <c r="NJ55" s="182" t="n"/>
      <c r="NK55" s="182" t="n"/>
      <c r="NM55" s="25">
        <f>C55</f>
        <v/>
      </c>
      <c r="NN55" s="9" t="n">
        <v>2810511.08</v>
      </c>
      <c r="NO55" s="9">
        <f>NN56</f>
        <v/>
      </c>
      <c r="NP55" s="197">
        <f>NN55-NO55</f>
        <v/>
      </c>
      <c r="NQ55" s="198">
        <f>NP55/NO55</f>
        <v/>
      </c>
      <c r="NR55" s="182" t="n">
        <v>-0.0067</v>
      </c>
      <c r="NS55" s="0" t="n"/>
      <c r="NU55" s="9">
        <f>C55</f>
        <v/>
      </c>
      <c r="NV55" s="9" t="n">
        <v>225326.5</v>
      </c>
      <c r="NW55" s="188">
        <f>NV56</f>
        <v/>
      </c>
      <c r="NX55" s="197">
        <f>NV55-NW55</f>
        <v/>
      </c>
      <c r="NY55" s="198">
        <f>NX55/NW55</f>
        <v/>
      </c>
      <c r="NZ55" s="182" t="n">
        <v>0.0083</v>
      </c>
      <c r="OA55" s="9" t="n"/>
      <c r="OC55" s="9">
        <f>C55</f>
        <v/>
      </c>
      <c r="OD55" s="185" t="n">
        <v>19534.97</v>
      </c>
      <c r="OE55" s="13">
        <f>OD56</f>
        <v/>
      </c>
      <c r="OF55" s="13">
        <f>OD55-OE55</f>
        <v/>
      </c>
      <c r="OG55" s="193">
        <f>OF55/OE55</f>
        <v/>
      </c>
      <c r="OH55" s="182" t="n">
        <v>-0.0058</v>
      </c>
      <c r="OI55" s="182" t="n"/>
      <c r="OK55" s="9">
        <f>C55</f>
        <v/>
      </c>
      <c r="OL55" s="185" t="n">
        <v>16876.65</v>
      </c>
      <c r="OM55" s="13">
        <f>OL56</f>
        <v/>
      </c>
      <c r="ON55" s="13">
        <f>OL55-OM55</f>
        <v/>
      </c>
      <c r="OO55" s="193">
        <f>ON55/OM55</f>
        <v/>
      </c>
      <c r="OP55" s="182" t="n">
        <v>-0.0013</v>
      </c>
      <c r="OQ55" s="182" t="n"/>
      <c r="OT55" s="201">
        <f>OK55</f>
        <v/>
      </c>
      <c r="OU55" s="199" t="n">
        <v>155952.4066</v>
      </c>
      <c r="OV55" s="9">
        <f>OU56</f>
        <v/>
      </c>
      <c r="OW55" s="671">
        <f>OU55-OV55</f>
        <v/>
      </c>
      <c r="OX55" s="182">
        <f>OW55/OV55</f>
        <v/>
      </c>
      <c r="OY55" s="0" t="n">
        <v>0.0202</v>
      </c>
    </row>
    <row r="56" ht="17" customFormat="1" customHeight="1" s="9">
      <c r="A56" s="631" t="n"/>
      <c r="B56" s="631" t="n"/>
      <c r="C56" s="680" t="inlineStr">
        <is>
          <t>2026//8/26</t>
        </is>
      </c>
      <c r="D56" s="20" t="n">
        <v>2385318.77</v>
      </c>
      <c r="E56" s="20">
        <f>D57</f>
        <v/>
      </c>
      <c r="F56" s="20">
        <f>D56-E56</f>
        <v/>
      </c>
      <c r="G56" s="163">
        <f>F56/E56</f>
        <v/>
      </c>
      <c r="H56" s="19" t="n">
        <v>0.0078</v>
      </c>
      <c r="I56" s="163" t="n"/>
      <c r="J56" s="163" t="n"/>
      <c r="K56" s="20">
        <f>C56</f>
        <v/>
      </c>
      <c r="L56" s="20" t="n">
        <v>1157284.4</v>
      </c>
      <c r="M56" s="20">
        <f>L57</f>
        <v/>
      </c>
      <c r="N56" s="20">
        <f>L56-M56</f>
        <v/>
      </c>
      <c r="O56" s="163">
        <f>N56/M56</f>
        <v/>
      </c>
      <c r="P56" s="19" t="n">
        <v>0.0083</v>
      </c>
      <c r="Q56" s="163" t="n"/>
      <c r="R56" s="20" t="n"/>
      <c r="S56" s="20">
        <f>C56</f>
        <v/>
      </c>
      <c r="T56" s="20" t="n">
        <v>724656.6800000001</v>
      </c>
      <c r="U56" s="20">
        <f>T57</f>
        <v/>
      </c>
      <c r="V56" s="20">
        <f>T56-U56</f>
        <v/>
      </c>
      <c r="W56" s="163">
        <f>V56/U56</f>
        <v/>
      </c>
      <c r="X56" s="19" t="n">
        <v>0.0104</v>
      </c>
      <c r="Y56" s="163" t="n"/>
      <c r="Z56" s="20" t="n"/>
      <c r="AA56" s="20">
        <f>S56</f>
        <v/>
      </c>
      <c r="AB56" s="20" t="n">
        <v>517336.86</v>
      </c>
      <c r="AC56" s="20">
        <f>AB57</f>
        <v/>
      </c>
      <c r="AD56" s="20">
        <f>AB56-AC56</f>
        <v/>
      </c>
      <c r="AE56" s="163">
        <f>AD56/AC56</f>
        <v/>
      </c>
      <c r="AF56" s="19" t="n">
        <v>0.008200000000000001</v>
      </c>
      <c r="AG56" s="163" t="n"/>
      <c r="AH56" s="20" t="n"/>
      <c r="AI56" s="20">
        <f>C56</f>
        <v/>
      </c>
      <c r="AJ56" s="20" t="n">
        <v>662321.76</v>
      </c>
      <c r="AK56" s="20">
        <f>AJ57</f>
        <v/>
      </c>
      <c r="AL56" s="20">
        <f>AJ56-AK56</f>
        <v/>
      </c>
      <c r="AM56" s="163">
        <f>AL56/AK56</f>
        <v/>
      </c>
      <c r="AN56" s="19" t="n">
        <v>0.0036</v>
      </c>
      <c r="AO56" s="19" t="n"/>
      <c r="AP56" s="20" t="n"/>
      <c r="AQ56" s="20">
        <f>C56</f>
        <v/>
      </c>
      <c r="AR56" s="634" t="n">
        <v>1872245.4936</v>
      </c>
      <c r="AS56" s="20">
        <f>AR57</f>
        <v/>
      </c>
      <c r="AT56" s="20">
        <f>AR56-AS56</f>
        <v/>
      </c>
      <c r="AU56" s="163">
        <f>AT56/AS56</f>
        <v/>
      </c>
      <c r="AV56" s="19" t="n">
        <v>0.0038</v>
      </c>
      <c r="AW56" s="19" t="n"/>
      <c r="AX56" s="5" t="n"/>
      <c r="AY56" s="5" t="n"/>
      <c r="AZ56" s="20">
        <f>C56</f>
        <v/>
      </c>
      <c r="BA56" s="220" t="n">
        <v>630381.6676</v>
      </c>
      <c r="BB56" s="188">
        <f>BA57</f>
        <v/>
      </c>
      <c r="BC56" s="5">
        <f>BA56-BB56</f>
        <v/>
      </c>
      <c r="BD56" s="19">
        <f>BC56/BB56</f>
        <v/>
      </c>
      <c r="BE56" s="19" t="n">
        <v>0.0081</v>
      </c>
      <c r="BF56" s="19" t="n"/>
      <c r="BG56" s="647" t="n"/>
      <c r="BH56" s="9">
        <f>C56</f>
        <v/>
      </c>
      <c r="BI56" s="221" t="n">
        <v>1224926.5525</v>
      </c>
      <c r="BJ56" s="184">
        <f>BI57</f>
        <v/>
      </c>
      <c r="BK56" s="184">
        <f>BI56-BJ56</f>
        <v/>
      </c>
      <c r="BL56" s="190">
        <f>BK56/BJ56</f>
        <v/>
      </c>
      <c r="BM56" s="191" t="n">
        <v>0.0072</v>
      </c>
      <c r="BN56" s="182" t="n"/>
      <c r="BP56" s="9">
        <f>C56</f>
        <v/>
      </c>
      <c r="BQ56" s="672" t="n">
        <v>1411662.3921</v>
      </c>
      <c r="BR56" s="13">
        <f>BQ57</f>
        <v/>
      </c>
      <c r="BS56" s="13">
        <f>BQ56-BR56</f>
        <v/>
      </c>
      <c r="BT56" s="193">
        <f>BS56/BR56</f>
        <v/>
      </c>
      <c r="BU56" s="182" t="n">
        <v>0.0045</v>
      </c>
      <c r="BV56" s="182" t="n"/>
      <c r="BX56" s="9">
        <f>C56</f>
        <v/>
      </c>
      <c r="BY56" s="222" t="n">
        <v>1644760.7019</v>
      </c>
      <c r="BZ56" s="13">
        <f>BY57</f>
        <v/>
      </c>
      <c r="CA56" s="13">
        <f>BY56-BZ56</f>
        <v/>
      </c>
      <c r="CB56" s="193">
        <f>CA56/BZ56</f>
        <v/>
      </c>
      <c r="CC56" s="182" t="n">
        <v>0.0178</v>
      </c>
      <c r="CD56" s="194" t="n"/>
      <c r="CF56" s="9">
        <f>C56</f>
        <v/>
      </c>
      <c r="CG56" s="185" t="n">
        <v>1356203.9</v>
      </c>
      <c r="CH56" s="13">
        <f>CG57</f>
        <v/>
      </c>
      <c r="CI56" s="13">
        <f>CG56-CH56</f>
        <v/>
      </c>
      <c r="CJ56" s="193">
        <f>CI56/CH56</f>
        <v/>
      </c>
      <c r="CK56" s="182" t="n">
        <v>0.0253</v>
      </c>
      <c r="CL56" s="194" t="n"/>
      <c r="CN56" s="9">
        <f>C56</f>
        <v/>
      </c>
      <c r="CO56" s="185" t="n">
        <v>524546.48</v>
      </c>
      <c r="CP56" s="13">
        <f>CO57</f>
        <v/>
      </c>
      <c r="CQ56" s="13">
        <f>CO56-CP56</f>
        <v/>
      </c>
      <c r="CR56" s="193">
        <f>CQ56/CP56</f>
        <v/>
      </c>
      <c r="CS56" s="194" t="n">
        <v>0.0226</v>
      </c>
      <c r="CT56" s="194" t="n"/>
      <c r="CV56" s="9">
        <f>C56</f>
        <v/>
      </c>
      <c r="CW56" s="185" t="n">
        <v>692540.4</v>
      </c>
      <c r="CX56" s="13">
        <f>CW57</f>
        <v/>
      </c>
      <c r="CY56" s="13">
        <f>CW56-CX56</f>
        <v/>
      </c>
      <c r="CZ56" s="193">
        <f>CY56/CX56</f>
        <v/>
      </c>
      <c r="DA56" s="182" t="n">
        <v>0.0014</v>
      </c>
      <c r="DB56" s="182" t="n"/>
      <c r="DC56" s="256" t="n"/>
      <c r="DD56" s="9">
        <f>C56</f>
        <v/>
      </c>
      <c r="DE56" s="222" t="n">
        <v>6012535.9972</v>
      </c>
      <c r="DF56" s="13">
        <f>DE57</f>
        <v/>
      </c>
      <c r="DG56" s="13">
        <f>DE56-DF56</f>
        <v/>
      </c>
      <c r="DH56" s="193">
        <f>DG56/DF56</f>
        <v/>
      </c>
      <c r="DI56" s="182" t="n">
        <v>0.017</v>
      </c>
      <c r="DJ56" s="182" t="n"/>
      <c r="DK56" s="0" t="n"/>
      <c r="DL56" s="9">
        <f>C56</f>
        <v/>
      </c>
      <c r="DM56" s="185" t="n">
        <v>1943400.72</v>
      </c>
      <c r="DN56" s="13">
        <f>DM57</f>
        <v/>
      </c>
      <c r="DO56" s="13">
        <f>DM56-DN56</f>
        <v/>
      </c>
      <c r="DP56" s="193">
        <f>DO56/DN56</f>
        <v/>
      </c>
      <c r="DQ56" s="182" t="n">
        <v>0.0089</v>
      </c>
      <c r="DR56" s="182" t="n"/>
      <c r="DT56" s="9">
        <f>C56</f>
        <v/>
      </c>
      <c r="DU56" s="185" t="n">
        <v>4250968.43</v>
      </c>
      <c r="DV56" s="13">
        <f>DU57</f>
        <v/>
      </c>
      <c r="DW56" s="13">
        <f>DU56-DV56</f>
        <v/>
      </c>
      <c r="DX56" s="193">
        <f>DW56/DV56</f>
        <v/>
      </c>
      <c r="DY56" s="182" t="n">
        <v>0.0159</v>
      </c>
      <c r="DZ56" s="182" t="n"/>
      <c r="EB56" s="9">
        <f>C56</f>
        <v/>
      </c>
      <c r="EC56" s="185" t="n">
        <v>5100266.82</v>
      </c>
      <c r="ED56" s="13">
        <f>EC57</f>
        <v/>
      </c>
      <c r="EE56" s="13">
        <f>EC56-ED56</f>
        <v/>
      </c>
      <c r="EF56" s="193">
        <f>EE56/ED56</f>
        <v/>
      </c>
      <c r="EG56" s="182" t="n">
        <v>0.0165</v>
      </c>
      <c r="EH56" s="182" t="n"/>
      <c r="EJ56" s="9">
        <f>C56</f>
        <v/>
      </c>
      <c r="EK56" s="222" t="n">
        <v>1218322.9669</v>
      </c>
      <c r="EL56" s="13">
        <f>EK57</f>
        <v/>
      </c>
      <c r="EM56" s="13">
        <f>EK56-EL56</f>
        <v/>
      </c>
      <c r="EN56" s="193">
        <f>EM56/EL56</f>
        <v/>
      </c>
      <c r="EO56" s="182" t="n">
        <v>0.0042</v>
      </c>
      <c r="EP56" s="182" t="n"/>
      <c r="ER56" s="9">
        <f>C56</f>
        <v/>
      </c>
      <c r="ES56" s="9" t="n">
        <v>758694.04</v>
      </c>
      <c r="ET56" s="13">
        <f>ES57</f>
        <v/>
      </c>
      <c r="EU56" s="13">
        <f>ES56-ET56</f>
        <v/>
      </c>
      <c r="EV56" s="193">
        <f>EU56/ET56</f>
        <v/>
      </c>
      <c r="EW56" s="182" t="n">
        <v>0.0047</v>
      </c>
      <c r="EX56" s="182" t="n"/>
      <c r="EZ56" s="9">
        <f>C56</f>
        <v/>
      </c>
      <c r="FA56" s="185" t="n">
        <v>586008</v>
      </c>
      <c r="FB56" s="13">
        <f>FA57</f>
        <v/>
      </c>
      <c r="FC56" s="13">
        <f>FA56-FB56</f>
        <v/>
      </c>
      <c r="FD56" s="193">
        <f>FC56/FB56</f>
        <v/>
      </c>
      <c r="FE56" s="182" t="n">
        <v>0.0055</v>
      </c>
      <c r="FF56" s="182" t="n"/>
      <c r="FH56" s="9">
        <f>C56</f>
        <v/>
      </c>
      <c r="FI56" s="672" t="n">
        <v>962095.3365</v>
      </c>
      <c r="FJ56" s="13">
        <f>FI57</f>
        <v/>
      </c>
      <c r="FK56" s="13">
        <f>FI56-FJ56</f>
        <v/>
      </c>
      <c r="FL56" s="193">
        <f>FK56/FJ56</f>
        <v/>
      </c>
      <c r="FM56" s="194" t="n">
        <v>-0.0045</v>
      </c>
      <c r="FN56" s="194" t="n"/>
      <c r="FP56" s="9">
        <f>C56</f>
        <v/>
      </c>
      <c r="FQ56" s="185" t="n">
        <v>1866118.73</v>
      </c>
      <c r="FR56" s="13">
        <f>FQ57</f>
        <v/>
      </c>
      <c r="FS56" s="13">
        <f>FQ56-FR56</f>
        <v/>
      </c>
      <c r="FT56" s="193">
        <f>FS56/FR56</f>
        <v/>
      </c>
      <c r="FU56" s="182" t="n">
        <v>-0.0021</v>
      </c>
      <c r="FV56" s="182" t="n"/>
      <c r="FX56" s="9">
        <f>C56</f>
        <v/>
      </c>
      <c r="FY56" s="185" t="n">
        <v>7150982.05</v>
      </c>
      <c r="FZ56" s="13">
        <f>FY57</f>
        <v/>
      </c>
      <c r="GA56" s="13">
        <f>FY56-FZ56</f>
        <v/>
      </c>
      <c r="GB56" s="193">
        <f>GA56/FZ56</f>
        <v/>
      </c>
      <c r="GC56" s="182" t="n">
        <v>-0.0058</v>
      </c>
      <c r="GD56" s="182" t="n"/>
      <c r="GF56" s="9">
        <f>C56</f>
        <v/>
      </c>
      <c r="GG56" s="185" t="n">
        <v>4026369.49</v>
      </c>
      <c r="GH56" s="13">
        <f>GG57</f>
        <v/>
      </c>
      <c r="GI56" s="13">
        <f>GG56-GH56</f>
        <v/>
      </c>
      <c r="GJ56" s="193">
        <f>GI56/GH56</f>
        <v/>
      </c>
      <c r="GK56" s="182" t="n">
        <v>0.0026</v>
      </c>
      <c r="GL56" s="182" t="n"/>
      <c r="GN56" s="9">
        <f>C56</f>
        <v/>
      </c>
      <c r="GO56" s="222" t="n">
        <v>1907998.1217</v>
      </c>
      <c r="GP56" s="13">
        <f>GO57</f>
        <v/>
      </c>
      <c r="GQ56" s="13">
        <f>GO56-GP56</f>
        <v/>
      </c>
      <c r="GR56" s="193">
        <f>GQ56/GP56</f>
        <v/>
      </c>
      <c r="GS56" s="182" t="n">
        <v>0</v>
      </c>
      <c r="GT56" s="182" t="n"/>
      <c r="GV56" s="9">
        <f>C56</f>
        <v/>
      </c>
      <c r="GW56" s="185" t="n">
        <v>599349.4</v>
      </c>
      <c r="GX56" s="13">
        <f>GW57</f>
        <v/>
      </c>
      <c r="GY56" s="13">
        <f>GW56-GX56</f>
        <v/>
      </c>
      <c r="GZ56" s="193">
        <f>GY56/GX56</f>
        <v/>
      </c>
      <c r="HA56" s="182" t="n">
        <v>0.0155</v>
      </c>
      <c r="HB56" s="182" t="n"/>
      <c r="HD56" s="9">
        <f>C56</f>
        <v/>
      </c>
      <c r="HE56" s="222" t="n">
        <v>808164.6746</v>
      </c>
      <c r="HF56" s="13">
        <f>HE57</f>
        <v/>
      </c>
      <c r="HG56" s="13">
        <f>HE56-HF56</f>
        <v/>
      </c>
      <c r="HH56" s="193">
        <f>HG56/HF56</f>
        <v/>
      </c>
      <c r="HI56" s="194" t="n">
        <v>0.009599999999999999</v>
      </c>
      <c r="HJ56" s="182" t="n"/>
      <c r="HL56" s="9">
        <f>C56</f>
        <v/>
      </c>
      <c r="HM56" s="185" t="n">
        <v>117754.25</v>
      </c>
      <c r="HN56" s="13">
        <f>HM57</f>
        <v/>
      </c>
      <c r="HO56" s="13">
        <f>HM56-HN56</f>
        <v/>
      </c>
      <c r="HP56" s="193">
        <f>HO56/HN56</f>
        <v/>
      </c>
      <c r="HQ56" s="182" t="n">
        <v>0.01</v>
      </c>
      <c r="HR56" s="182" t="n"/>
      <c r="HT56" s="9">
        <f>C56</f>
        <v/>
      </c>
      <c r="HU56" s="222" t="n">
        <v>135968.8265</v>
      </c>
      <c r="HV56" s="13">
        <f>HU57</f>
        <v/>
      </c>
      <c r="HW56" s="13">
        <f>HU56-HV56</f>
        <v/>
      </c>
      <c r="HX56" s="193">
        <f>HW56/HV56</f>
        <v/>
      </c>
      <c r="HY56" s="182" t="n">
        <v>0.0208</v>
      </c>
      <c r="HZ56" s="182" t="n"/>
      <c r="IB56" s="9">
        <f>C56</f>
        <v/>
      </c>
      <c r="IC56" s="185" t="n">
        <v>283659.79</v>
      </c>
      <c r="ID56" s="13">
        <f>IC57</f>
        <v/>
      </c>
      <c r="IE56" s="13">
        <f>IC56-ID56</f>
        <v/>
      </c>
      <c r="IF56" s="193">
        <f>IE56/ID56</f>
        <v/>
      </c>
      <c r="IG56" s="194" t="n">
        <v>0.0132</v>
      </c>
      <c r="IH56" s="182" t="n"/>
      <c r="IJ56" s="9">
        <f>C56</f>
        <v/>
      </c>
      <c r="IK56" s="222" t="n">
        <v>953596.29</v>
      </c>
      <c r="IL56" s="13">
        <f>IK57</f>
        <v/>
      </c>
      <c r="IM56" s="13">
        <f>IK56-IL56</f>
        <v/>
      </c>
      <c r="IN56" s="193">
        <f>IM56/IL56</f>
        <v/>
      </c>
      <c r="IO56" s="182" t="n">
        <v>0.0126</v>
      </c>
      <c r="IP56" s="182" t="n"/>
      <c r="IR56" s="9">
        <f>C56</f>
        <v/>
      </c>
      <c r="IS56" s="185" t="n">
        <v>152989</v>
      </c>
      <c r="IT56" s="13">
        <f>IS57</f>
        <v/>
      </c>
      <c r="IU56" s="13">
        <f>IS56-IT56</f>
        <v/>
      </c>
      <c r="IV56" s="193">
        <f>IU56/IT56</f>
        <v/>
      </c>
      <c r="IW56" s="182" t="n">
        <v>-0.0025</v>
      </c>
      <c r="IX56" s="182" t="n"/>
      <c r="IZ56" s="9">
        <f>C56</f>
        <v/>
      </c>
      <c r="JA56" s="185" t="n">
        <v>5769429.15</v>
      </c>
      <c r="JB56" s="13">
        <f>JA57</f>
        <v/>
      </c>
      <c r="JC56" s="13">
        <f>JA56-JB56</f>
        <v/>
      </c>
      <c r="JD56" s="193">
        <f>JC56/JB56</f>
        <v/>
      </c>
      <c r="JE56" s="182" t="n">
        <v>0.0272</v>
      </c>
      <c r="JF56" s="182" t="n"/>
      <c r="JH56" s="9">
        <f>C56</f>
        <v/>
      </c>
      <c r="JI56" s="185" t="n">
        <v>1237167.99</v>
      </c>
      <c r="JJ56" s="13">
        <f>JI57</f>
        <v/>
      </c>
      <c r="JK56" s="13">
        <f>JI56-JJ56</f>
        <v/>
      </c>
      <c r="JL56" s="193">
        <f>JK56/JJ56</f>
        <v/>
      </c>
      <c r="JM56" s="182" t="n">
        <v>0.0097</v>
      </c>
      <c r="JN56" s="182" t="n"/>
      <c r="JP56" s="9">
        <f>C56</f>
        <v/>
      </c>
      <c r="JQ56" s="222" t="n">
        <v>999490.4148</v>
      </c>
      <c r="JR56" s="13">
        <f>JQ57</f>
        <v/>
      </c>
      <c r="JS56" s="13">
        <f>JQ56-JR56</f>
        <v/>
      </c>
      <c r="JT56" s="193">
        <f>JS56/JR56</f>
        <v/>
      </c>
      <c r="JU56" s="182" t="n">
        <v>0.0228</v>
      </c>
      <c r="JV56" s="194" t="n"/>
      <c r="JX56" s="9">
        <f>C56</f>
        <v/>
      </c>
      <c r="JY56" s="185" t="n">
        <v>993748.8</v>
      </c>
      <c r="JZ56" s="13">
        <f>JY57</f>
        <v/>
      </c>
      <c r="KA56" s="13">
        <f>JY56-JZ56</f>
        <v/>
      </c>
      <c r="KB56" s="193">
        <f>KA56/JZ56</f>
        <v/>
      </c>
      <c r="KC56" s="182" t="n">
        <v>0.0372</v>
      </c>
      <c r="KD56" s="194" t="n"/>
      <c r="KF56" s="9">
        <f>C56</f>
        <v/>
      </c>
      <c r="KG56" s="222" t="n">
        <v>577955.9219</v>
      </c>
      <c r="KH56" s="13">
        <f>KG57</f>
        <v/>
      </c>
      <c r="KI56" s="13">
        <f>KG56-KH56</f>
        <v/>
      </c>
      <c r="KJ56" s="193">
        <f>KI56/KH56</f>
        <v/>
      </c>
      <c r="KK56" s="194" t="n">
        <v>0.008</v>
      </c>
      <c r="KL56" s="194" t="n"/>
      <c r="KN56" s="9">
        <f>C56</f>
        <v/>
      </c>
      <c r="KO56" s="185" t="n">
        <v>6954975.95</v>
      </c>
      <c r="KP56" s="13">
        <f>KO57</f>
        <v/>
      </c>
      <c r="KQ56" s="13">
        <f>KO56-KP56</f>
        <v/>
      </c>
      <c r="KR56" s="193">
        <f>KQ56/KP56</f>
        <v/>
      </c>
      <c r="KS56" s="182" t="n">
        <v>0.0121</v>
      </c>
      <c r="KT56" s="182" t="n"/>
      <c r="KV56" s="9">
        <f>C56</f>
        <v/>
      </c>
      <c r="KW56" s="222" t="n">
        <v>1050372.9726</v>
      </c>
      <c r="KX56" s="13">
        <f>KW57</f>
        <v/>
      </c>
      <c r="KY56" s="13">
        <f>KW56-KX56</f>
        <v/>
      </c>
      <c r="KZ56" s="193">
        <f>KY56/KX56</f>
        <v/>
      </c>
      <c r="LA56" s="194" t="n">
        <v>0.0282</v>
      </c>
      <c r="LB56" s="182" t="n"/>
      <c r="LD56" s="9">
        <f>C56</f>
        <v/>
      </c>
      <c r="LE56" s="185" t="n">
        <v>383557.7</v>
      </c>
      <c r="LF56" s="13">
        <f>LE57</f>
        <v/>
      </c>
      <c r="LG56" s="13">
        <f>LE56-LF56</f>
        <v/>
      </c>
      <c r="LH56" s="193">
        <f>LG56/LF56</f>
        <v/>
      </c>
      <c r="LI56" s="182" t="n">
        <v>0.0035</v>
      </c>
      <c r="LJ56" s="182" t="n"/>
      <c r="LL56" s="9">
        <f>C56</f>
        <v/>
      </c>
      <c r="LM56" s="672" t="n">
        <v>3209335.02</v>
      </c>
      <c r="LN56" s="13">
        <f>LM57</f>
        <v/>
      </c>
      <c r="LO56" s="13">
        <f>LM56-LN56</f>
        <v/>
      </c>
      <c r="LP56" s="193">
        <f>LO56/LN56</f>
        <v/>
      </c>
      <c r="LQ56" s="182" t="n">
        <v>0.0024</v>
      </c>
      <c r="LR56" s="182" t="n"/>
      <c r="LT56" s="9">
        <f>C56</f>
        <v/>
      </c>
      <c r="LU56" s="222" t="n">
        <v>2303662.904</v>
      </c>
      <c r="LV56" s="13">
        <f>LU57</f>
        <v/>
      </c>
      <c r="LW56" s="13">
        <f>LU56-LV56</f>
        <v/>
      </c>
      <c r="LX56" s="193">
        <f>LW56/LV56</f>
        <v/>
      </c>
      <c r="LY56" s="182" t="n">
        <v>0.0015</v>
      </c>
      <c r="LZ56" s="182" t="n"/>
      <c r="MB56" s="9">
        <f>C56</f>
        <v/>
      </c>
      <c r="MC56" s="185" t="n">
        <v>1063017.69</v>
      </c>
      <c r="MD56" s="13">
        <f>MC57</f>
        <v/>
      </c>
      <c r="ME56" s="13">
        <f>MC56-MD56</f>
        <v/>
      </c>
      <c r="MF56" s="193">
        <f>ME56/MD56</f>
        <v/>
      </c>
      <c r="MG56" s="182" t="n">
        <v>0.0038</v>
      </c>
      <c r="MH56" s="182" t="n"/>
      <c r="MK56" s="9">
        <f>C56</f>
        <v/>
      </c>
      <c r="ML56" s="223" t="n">
        <v>158985.5354</v>
      </c>
      <c r="MM56" s="13">
        <f>ML57</f>
        <v/>
      </c>
      <c r="MN56" s="13">
        <f>ML56-MM56</f>
        <v/>
      </c>
      <c r="MO56" s="193">
        <f>MN56/MM56</f>
        <v/>
      </c>
      <c r="MP56" s="182" t="n">
        <v>0.0032</v>
      </c>
      <c r="MQ56" s="194" t="n"/>
      <c r="MR56" s="194" t="n"/>
      <c r="MT56" s="25">
        <f>C56</f>
        <v/>
      </c>
      <c r="MU56" s="9" t="n">
        <v>133914.8</v>
      </c>
      <c r="MV56" s="188">
        <f>MU57</f>
        <v/>
      </c>
      <c r="MW56" s="9">
        <f>MU56-MV56</f>
        <v/>
      </c>
      <c r="MX56" s="182">
        <f>MW56/MV56</f>
        <v/>
      </c>
      <c r="MY56" s="182" t="n">
        <v>-0.0061</v>
      </c>
      <c r="MZ56" s="182" t="n"/>
      <c r="NA56" s="182" t="n"/>
      <c r="NC56" s="25">
        <f>C56</f>
        <v/>
      </c>
      <c r="ND56" s="9" t="n">
        <v>33891.48</v>
      </c>
      <c r="NE56" s="188">
        <f>ND57</f>
        <v/>
      </c>
      <c r="NF56" s="9">
        <f>ND56-NE56</f>
        <v/>
      </c>
      <c r="NG56" s="182">
        <f>NF56/NE56</f>
        <v/>
      </c>
      <c r="NH56" s="182" t="n">
        <v>0.0144</v>
      </c>
      <c r="NI56" s="182" t="n"/>
      <c r="NJ56" s="182" t="n"/>
      <c r="NK56" s="182" t="n"/>
      <c r="NM56" s="25">
        <f>C56</f>
        <v/>
      </c>
      <c r="NN56" s="9" t="n">
        <v>2794111.08</v>
      </c>
      <c r="NO56" s="9">
        <f>NN57</f>
        <v/>
      </c>
      <c r="NP56" s="197">
        <f>NN56-NO56</f>
        <v/>
      </c>
      <c r="NQ56" s="198">
        <f>NP56/NO56</f>
        <v/>
      </c>
      <c r="NR56" s="182" t="n">
        <v>0.0051</v>
      </c>
      <c r="NS56" s="0" t="n"/>
      <c r="NU56" s="9">
        <f>C56</f>
        <v/>
      </c>
      <c r="NV56" s="9" t="n">
        <v>224976.5</v>
      </c>
      <c r="NW56" s="188">
        <f>NV57</f>
        <v/>
      </c>
      <c r="NX56" s="197">
        <f>NV56-NW56</f>
        <v/>
      </c>
      <c r="NY56" s="198">
        <f>NX56/NW56</f>
        <v/>
      </c>
      <c r="NZ56" s="182" t="n">
        <v>0.0063</v>
      </c>
      <c r="OA56" s="0" t="n"/>
      <c r="OC56" s="9">
        <f>C56</f>
        <v/>
      </c>
      <c r="OD56" s="185" t="n">
        <v>19777.97</v>
      </c>
      <c r="OE56" s="13">
        <f>OD57</f>
        <v/>
      </c>
      <c r="OF56" s="13">
        <f>OD56-OE56</f>
        <v/>
      </c>
      <c r="OG56" s="193">
        <f>OF56/OE56</f>
        <v/>
      </c>
      <c r="OH56" s="182" t="n">
        <v>-0.0019</v>
      </c>
      <c r="OI56" s="182" t="n"/>
      <c r="OK56" s="9">
        <f>C56</f>
        <v/>
      </c>
      <c r="OL56" s="185" t="n">
        <v>16905.65</v>
      </c>
      <c r="OM56" s="13">
        <f>OL57</f>
        <v/>
      </c>
      <c r="ON56" s="13">
        <f>OL56-OM56</f>
        <v/>
      </c>
      <c r="OO56" s="193">
        <f>ON56/OM56</f>
        <v/>
      </c>
      <c r="OP56" s="182" t="n">
        <v>-0.0005</v>
      </c>
      <c r="OQ56" s="182" t="n"/>
      <c r="OT56" s="201">
        <f>OK56</f>
        <v/>
      </c>
      <c r="OU56" s="199" t="n">
        <v>155832.4066</v>
      </c>
      <c r="OV56" s="9">
        <f>OU57</f>
        <v/>
      </c>
      <c r="OW56" s="671">
        <f>OU56-OV56</f>
        <v/>
      </c>
      <c r="OX56" s="182">
        <f>OW56/OV56</f>
        <v/>
      </c>
      <c r="OY56" s="0" t="n">
        <v>0.0201</v>
      </c>
    </row>
    <row r="57" ht="17" customFormat="1" customHeight="1" s="10">
      <c r="A57" s="674" t="n"/>
      <c r="B57" s="674" t="n"/>
      <c r="C57" s="678" t="inlineStr">
        <is>
          <t>2026//8/25</t>
        </is>
      </c>
      <c r="D57" s="226" t="n">
        <v>2405298.77</v>
      </c>
      <c r="E57" s="226">
        <f>D58</f>
        <v/>
      </c>
      <c r="F57" s="226">
        <f>D57-E57</f>
        <v/>
      </c>
      <c r="G57" s="227">
        <f>F57/E57</f>
        <v/>
      </c>
      <c r="H57" s="228" t="n">
        <v>-0.0024</v>
      </c>
      <c r="I57" s="227" t="n"/>
      <c r="J57" s="227" t="n"/>
      <c r="K57" s="226">
        <f>C57</f>
        <v/>
      </c>
      <c r="L57" s="226" t="n">
        <v>1156384.4</v>
      </c>
      <c r="M57" s="226">
        <f>L58</f>
        <v/>
      </c>
      <c r="N57" s="226">
        <f>L57-M57</f>
        <v/>
      </c>
      <c r="O57" s="227">
        <f>N57/M57</f>
        <v/>
      </c>
      <c r="P57" s="228" t="n">
        <v>-0.0022</v>
      </c>
      <c r="Q57" s="227" t="n"/>
      <c r="R57" s="226" t="n"/>
      <c r="S57" s="226">
        <f>C57</f>
        <v/>
      </c>
      <c r="T57" s="226" t="n">
        <v>763356.6800000001</v>
      </c>
      <c r="U57" s="226">
        <f>T58</f>
        <v/>
      </c>
      <c r="V57" s="226">
        <f>T57-U57</f>
        <v/>
      </c>
      <c r="W57" s="227">
        <f>V57/U57</f>
        <v/>
      </c>
      <c r="X57" s="228" t="n">
        <v>0.001</v>
      </c>
      <c r="Y57" s="227" t="n"/>
      <c r="Z57" s="226" t="n"/>
      <c r="AA57" s="226">
        <f>S57</f>
        <v/>
      </c>
      <c r="AB57" s="226" t="n">
        <v>517616.86</v>
      </c>
      <c r="AC57" s="226">
        <f>AB58</f>
        <v/>
      </c>
      <c r="AD57" s="226">
        <f>AB57-AC57</f>
        <v/>
      </c>
      <c r="AE57" s="227">
        <f>AD57/AC57</f>
        <v/>
      </c>
      <c r="AF57" s="228" t="n">
        <v>-0.0018</v>
      </c>
      <c r="AG57" s="227" t="n"/>
      <c r="AH57" s="226" t="n"/>
      <c r="AI57" s="226">
        <f>C57</f>
        <v/>
      </c>
      <c r="AJ57" s="226" t="n">
        <v>688121.76</v>
      </c>
      <c r="AK57" s="226">
        <f>AJ58</f>
        <v/>
      </c>
      <c r="AL57" s="226">
        <f>AJ57-AK57</f>
        <v/>
      </c>
      <c r="AM57" s="227">
        <f>AL57/AK57</f>
        <v/>
      </c>
      <c r="AN57" s="228" t="n">
        <v>0.0026</v>
      </c>
      <c r="AO57" s="228" t="n"/>
      <c r="AP57" s="226" t="n"/>
      <c r="AQ57" s="226">
        <f>C57</f>
        <v/>
      </c>
      <c r="AR57" s="679" t="n">
        <v>1900445.4936</v>
      </c>
      <c r="AS57" s="226">
        <f>AR58</f>
        <v/>
      </c>
      <c r="AT57" s="226">
        <f>AR57-AS57</f>
        <v/>
      </c>
      <c r="AU57" s="227">
        <f>AT57/AS57</f>
        <v/>
      </c>
      <c r="AV57" s="228" t="n">
        <v>-0.011</v>
      </c>
      <c r="AW57" s="228" t="n"/>
      <c r="AX57" s="230" t="n"/>
      <c r="AY57" s="230" t="n"/>
      <c r="AZ57" s="226">
        <f>C57</f>
        <v/>
      </c>
      <c r="BA57" s="265" t="n">
        <v>630021.6676</v>
      </c>
      <c r="BB57" s="240">
        <f>BA58</f>
        <v/>
      </c>
      <c r="BC57" s="230">
        <f>BA57-BB57</f>
        <v/>
      </c>
      <c r="BD57" s="228">
        <f>BC57/BB57</f>
        <v/>
      </c>
      <c r="BE57" s="228" t="n">
        <v>-0.0023</v>
      </c>
      <c r="BF57" s="228" t="n"/>
      <c r="BG57" s="675" t="n"/>
      <c r="BH57" s="10">
        <f>C57</f>
        <v/>
      </c>
      <c r="BI57" s="251" t="n">
        <v>1227326.5525</v>
      </c>
      <c r="BJ57" s="233">
        <f>BI58</f>
        <v/>
      </c>
      <c r="BK57" s="233">
        <f>BI57-BJ57</f>
        <v/>
      </c>
      <c r="BL57" s="234">
        <f>BK57/BJ57</f>
        <v/>
      </c>
      <c r="BM57" s="235" t="n">
        <v>0.0091</v>
      </c>
      <c r="BN57" s="236" t="n"/>
      <c r="BP57" s="10">
        <f>C57</f>
        <v/>
      </c>
      <c r="BQ57" s="677" t="n">
        <v>1407462.3921</v>
      </c>
      <c r="BR57" s="14">
        <f>BQ58</f>
        <v/>
      </c>
      <c r="BS57" s="14">
        <f>BQ57-BR57</f>
        <v/>
      </c>
      <c r="BT57" s="237">
        <f>BS57/BR57</f>
        <v/>
      </c>
      <c r="BU57" s="236" t="n">
        <v>0.0061</v>
      </c>
      <c r="BV57" s="236" t="n"/>
      <c r="BX57" s="10">
        <f>C57</f>
        <v/>
      </c>
      <c r="BY57" s="253" t="n">
        <v>1668810.7019</v>
      </c>
      <c r="BZ57" s="14">
        <f>BY58</f>
        <v/>
      </c>
      <c r="CA57" s="14">
        <f>BY57-BZ57</f>
        <v/>
      </c>
      <c r="CB57" s="237">
        <f>CA57/BZ57</f>
        <v/>
      </c>
      <c r="CC57" s="236" t="n">
        <v>-0.0138</v>
      </c>
      <c r="CD57" s="238" t="n"/>
      <c r="CF57" s="10">
        <f>C57</f>
        <v/>
      </c>
      <c r="CG57" s="241" t="n">
        <v>1329953.9</v>
      </c>
      <c r="CH57" s="14">
        <f>CG58</f>
        <v/>
      </c>
      <c r="CI57" s="14">
        <f>CG57-CH57</f>
        <v/>
      </c>
      <c r="CJ57" s="237">
        <f>CI57/CH57</f>
        <v/>
      </c>
      <c r="CK57" s="236" t="n">
        <v>-0.0272</v>
      </c>
      <c r="CL57" s="238" t="n"/>
      <c r="CN57" s="10">
        <f>C57</f>
        <v/>
      </c>
      <c r="CO57" s="241" t="n">
        <v>523446.48</v>
      </c>
      <c r="CP57" s="14">
        <f>CO58</f>
        <v/>
      </c>
      <c r="CQ57" s="14">
        <f>CO57-CP57</f>
        <v/>
      </c>
      <c r="CR57" s="237">
        <f>CQ57/CP57</f>
        <v/>
      </c>
      <c r="CS57" s="238" t="n">
        <v>-0.0277</v>
      </c>
      <c r="CT57" s="238" t="n"/>
      <c r="CV57" s="10">
        <f>C57</f>
        <v/>
      </c>
      <c r="CW57" s="241" t="n">
        <v>734590.4</v>
      </c>
      <c r="CX57" s="14">
        <f>CW58</f>
        <v/>
      </c>
      <c r="CY57" s="14">
        <f>CW57-CX57</f>
        <v/>
      </c>
      <c r="CZ57" s="237">
        <f>CY57/CX57</f>
        <v/>
      </c>
      <c r="DA57" s="236" t="n">
        <v>-0.0331</v>
      </c>
      <c r="DB57" s="236" t="n"/>
      <c r="DC57" s="255" t="n"/>
      <c r="DD57" s="10">
        <f>C57</f>
        <v/>
      </c>
      <c r="DE57" s="253" t="n">
        <v>6072235.9972</v>
      </c>
      <c r="DF57" s="14">
        <f>DE58</f>
        <v/>
      </c>
      <c r="DG57" s="14">
        <f>DE57-DF57</f>
        <v/>
      </c>
      <c r="DH57" s="237">
        <f>DG57/DF57</f>
        <v/>
      </c>
      <c r="DI57" s="236" t="n">
        <v>-0.0249</v>
      </c>
      <c r="DJ57" s="236" t="n"/>
      <c r="DK57" s="0" t="n"/>
      <c r="DL57" s="10">
        <f>C57</f>
        <v/>
      </c>
      <c r="DM57" s="241" t="n">
        <v>1956600.72</v>
      </c>
      <c r="DN57" s="14">
        <f>DM58</f>
        <v/>
      </c>
      <c r="DO57" s="14">
        <f>DM57-DN57</f>
        <v/>
      </c>
      <c r="DP57" s="237">
        <f>DO57/DN57</f>
        <v/>
      </c>
      <c r="DQ57" s="236" t="n">
        <v>-0.002</v>
      </c>
      <c r="DR57" s="236" t="n"/>
      <c r="DT57" s="10">
        <f>C57</f>
        <v/>
      </c>
      <c r="DU57" s="241" t="n">
        <v>4288318.43</v>
      </c>
      <c r="DV57" s="14">
        <f>DU58</f>
        <v/>
      </c>
      <c r="DW57" s="14">
        <f>DU57-DV57</f>
        <v/>
      </c>
      <c r="DX57" s="237">
        <f>DW57/DV57</f>
        <v/>
      </c>
      <c r="DY57" s="236" t="n">
        <v>-0.0035</v>
      </c>
      <c r="DZ57" s="236" t="n"/>
      <c r="EB57" s="10">
        <f>C57</f>
        <v/>
      </c>
      <c r="EC57" s="241" t="n">
        <v>5177366.82</v>
      </c>
      <c r="ED57" s="14">
        <f>EC58</f>
        <v/>
      </c>
      <c r="EE57" s="14">
        <f>EC57-ED57</f>
        <v/>
      </c>
      <c r="EF57" s="237">
        <f>EE57/ED57</f>
        <v/>
      </c>
      <c r="EG57" s="236" t="n">
        <v>0.0012</v>
      </c>
      <c r="EH57" s="236" t="n"/>
      <c r="EJ57" s="10">
        <f>C57</f>
        <v/>
      </c>
      <c r="EK57" s="253" t="n">
        <v>1219522.9669</v>
      </c>
      <c r="EL57" s="14">
        <f>EK58</f>
        <v/>
      </c>
      <c r="EM57" s="14">
        <f>EK57-EL57</f>
        <v/>
      </c>
      <c r="EN57" s="237">
        <f>EM57/EL57</f>
        <v/>
      </c>
      <c r="EO57" s="236" t="n">
        <v>0.0054</v>
      </c>
      <c r="EP57" s="236" t="n"/>
      <c r="ER57" s="10">
        <f>C57</f>
        <v/>
      </c>
      <c r="ES57" s="10" t="n">
        <v>758294.04</v>
      </c>
      <c r="ET57" s="14">
        <f>ES58</f>
        <v/>
      </c>
      <c r="EU57" s="14">
        <f>ES57-ET57</f>
        <v/>
      </c>
      <c r="EV57" s="237">
        <f>EU57/ET57</f>
        <v/>
      </c>
      <c r="EW57" s="236" t="n">
        <v>0.0047</v>
      </c>
      <c r="EX57" s="236" t="n"/>
      <c r="EZ57" s="10">
        <f>C57</f>
        <v/>
      </c>
      <c r="FA57" s="241" t="n">
        <v>586708</v>
      </c>
      <c r="FB57" s="14">
        <f>FA58</f>
        <v/>
      </c>
      <c r="FC57" s="14">
        <f>FA57-FB57</f>
        <v/>
      </c>
      <c r="FD57" s="237">
        <f>FC57/FB57</f>
        <v/>
      </c>
      <c r="FE57" s="236" t="n">
        <v>0.0046</v>
      </c>
      <c r="FF57" s="236" t="n"/>
      <c r="FH57" s="10">
        <f>C57</f>
        <v/>
      </c>
      <c r="FI57" s="677" t="n">
        <v>964995.3365</v>
      </c>
      <c r="FJ57" s="14">
        <f>FI58</f>
        <v/>
      </c>
      <c r="FK57" s="14">
        <f>FI57-FJ57</f>
        <v/>
      </c>
      <c r="FL57" s="237">
        <f>FK57/FJ57</f>
        <v/>
      </c>
      <c r="FM57" s="238" t="n">
        <v>0.0076</v>
      </c>
      <c r="FN57" s="238" t="n"/>
      <c r="FP57" s="10">
        <f>C57</f>
        <v/>
      </c>
      <c r="FQ57" s="241" t="n">
        <v>1865368.73</v>
      </c>
      <c r="FR57" s="14">
        <f>FQ58</f>
        <v/>
      </c>
      <c r="FS57" s="14">
        <f>FQ57-FR57</f>
        <v/>
      </c>
      <c r="FT57" s="237">
        <f>FS57/FR57</f>
        <v/>
      </c>
      <c r="FU57" s="236" t="n">
        <v>0.0182</v>
      </c>
      <c r="FV57" s="236" t="n"/>
      <c r="FX57" s="10">
        <f>C57</f>
        <v/>
      </c>
      <c r="FY57" s="241" t="n">
        <v>7152482.05</v>
      </c>
      <c r="FZ57" s="14">
        <f>FY58</f>
        <v/>
      </c>
      <c r="GA57" s="14">
        <f>FY57-FZ57</f>
        <v/>
      </c>
      <c r="GB57" s="237">
        <f>GA57/FZ57</f>
        <v/>
      </c>
      <c r="GC57" s="236" t="n">
        <v>0.0236</v>
      </c>
      <c r="GD57" s="236" t="n"/>
      <c r="GF57" s="10">
        <f>C57</f>
        <v/>
      </c>
      <c r="GG57" s="241" t="n">
        <v>4044369.49</v>
      </c>
      <c r="GH57" s="14">
        <f>GG58</f>
        <v/>
      </c>
      <c r="GI57" s="14">
        <f>GG57-GH57</f>
        <v/>
      </c>
      <c r="GJ57" s="237">
        <f>GI57/GH57</f>
        <v/>
      </c>
      <c r="GK57" s="236" t="n">
        <v>0.0186</v>
      </c>
      <c r="GL57" s="236" t="n"/>
      <c r="GN57" s="10">
        <f>C57</f>
        <v/>
      </c>
      <c r="GO57" s="253" t="n">
        <v>1930558.1217</v>
      </c>
      <c r="GP57" s="14">
        <f>GO58</f>
        <v/>
      </c>
      <c r="GQ57" s="14">
        <f>GO57-GP57</f>
        <v/>
      </c>
      <c r="GR57" s="237">
        <f>GQ57/GP57</f>
        <v/>
      </c>
      <c r="GS57" s="236" t="n">
        <v>0.0212</v>
      </c>
      <c r="GT57" s="236" t="n"/>
      <c r="GV57" s="10">
        <f>C57</f>
        <v/>
      </c>
      <c r="GW57" s="241" t="n">
        <v>600949.4</v>
      </c>
      <c r="GX57" s="14">
        <f>GW58</f>
        <v/>
      </c>
      <c r="GY57" s="14">
        <f>GW57-GX57</f>
        <v/>
      </c>
      <c r="GZ57" s="237">
        <f>GY57/GX57</f>
        <v/>
      </c>
      <c r="HA57" s="236" t="n">
        <v>-0.0048</v>
      </c>
      <c r="HB57" s="236" t="n"/>
      <c r="HD57" s="10">
        <f>C57</f>
        <v/>
      </c>
      <c r="HE57" s="253" t="n">
        <v>809464.6746</v>
      </c>
      <c r="HF57" s="14">
        <f>HE58</f>
        <v/>
      </c>
      <c r="HG57" s="14">
        <f>HE57-HF57</f>
        <v/>
      </c>
      <c r="HH57" s="237">
        <f>HG57/HF57</f>
        <v/>
      </c>
      <c r="HI57" s="238" t="n">
        <v>-0.0167</v>
      </c>
      <c r="HJ57" s="236" t="n"/>
      <c r="HL57" s="10">
        <f>C57</f>
        <v/>
      </c>
      <c r="HM57" s="241" t="n">
        <v>115354.25</v>
      </c>
      <c r="HN57" s="14">
        <f>HM58</f>
        <v/>
      </c>
      <c r="HO57" s="14">
        <f>HM57-HN57</f>
        <v/>
      </c>
      <c r="HP57" s="237">
        <f>HO57/HN57</f>
        <v/>
      </c>
      <c r="HQ57" s="236" t="n">
        <v>0.0091</v>
      </c>
      <c r="HR57" s="236" t="n"/>
      <c r="HT57" s="10">
        <f>C57</f>
        <v/>
      </c>
      <c r="HU57" s="253" t="n">
        <v>133468.8265</v>
      </c>
      <c r="HV57" s="14">
        <f>HU58</f>
        <v/>
      </c>
      <c r="HW57" s="14">
        <f>HU57-HV57</f>
        <v/>
      </c>
      <c r="HX57" s="237">
        <f>HW57/HV57</f>
        <v/>
      </c>
      <c r="HY57" s="236" t="n">
        <v>0.0057</v>
      </c>
      <c r="HZ57" s="236" t="n"/>
      <c r="IB57" s="10">
        <f>C57</f>
        <v/>
      </c>
      <c r="IC57" s="241" t="n">
        <v>280084.79</v>
      </c>
      <c r="ID57" s="14">
        <f>IC58</f>
        <v/>
      </c>
      <c r="IE57" s="14">
        <f>IC57-ID57</f>
        <v/>
      </c>
      <c r="IF57" s="237">
        <f>IE57/ID57</f>
        <v/>
      </c>
      <c r="IG57" s="238" t="n">
        <v>0.0185</v>
      </c>
      <c r="IH57" s="236" t="n"/>
      <c r="IJ57" s="10">
        <f>C57</f>
        <v/>
      </c>
      <c r="IK57" s="253" t="n">
        <v>953596.29</v>
      </c>
      <c r="IL57" s="14">
        <f>IK58</f>
        <v/>
      </c>
      <c r="IM57" s="14">
        <f>IK57-IL57</f>
        <v/>
      </c>
      <c r="IN57" s="237">
        <f>IM57/IL57</f>
        <v/>
      </c>
      <c r="IO57" s="236" t="n">
        <v>0.0019</v>
      </c>
      <c r="IP57" s="236" t="n"/>
      <c r="IR57" s="10">
        <f>C57</f>
        <v/>
      </c>
      <c r="IS57" s="241" t="n">
        <v>152889</v>
      </c>
      <c r="IT57" s="14">
        <f>IS58</f>
        <v/>
      </c>
      <c r="IU57" s="14">
        <f>IS57-IT57</f>
        <v/>
      </c>
      <c r="IV57" s="237">
        <f>IU57/IT57</f>
        <v/>
      </c>
      <c r="IW57" s="236" t="n">
        <v>0.0037</v>
      </c>
      <c r="IX57" s="236" t="n"/>
      <c r="IZ57" s="10">
        <f>C57</f>
        <v/>
      </c>
      <c r="JA57" s="241" t="n">
        <v>5863929.15</v>
      </c>
      <c r="JB57" s="14">
        <f>JA58</f>
        <v/>
      </c>
      <c r="JC57" s="14">
        <f>JA57-JB57</f>
        <v/>
      </c>
      <c r="JD57" s="237">
        <f>JC57/JB57</f>
        <v/>
      </c>
      <c r="JE57" s="236" t="n">
        <v>0</v>
      </c>
      <c r="JF57" s="236" t="n"/>
      <c r="JH57" s="10">
        <f>C57</f>
        <v/>
      </c>
      <c r="JI57" s="225" t="n">
        <v>1249527.99</v>
      </c>
      <c r="JJ57" s="14">
        <f>JI58</f>
        <v/>
      </c>
      <c r="JK57" s="14">
        <f>JI57-JJ57</f>
        <v/>
      </c>
      <c r="JL57" s="237">
        <f>JK57/JJ57</f>
        <v/>
      </c>
      <c r="JM57" s="236" t="n">
        <v>-0.0073</v>
      </c>
      <c r="JN57" s="236" t="n"/>
      <c r="JP57" s="10">
        <f>C57</f>
        <v/>
      </c>
      <c r="JQ57" s="253" t="n">
        <v>990090.4148</v>
      </c>
      <c r="JR57" s="14">
        <f>JQ58</f>
        <v/>
      </c>
      <c r="JS57" s="14">
        <f>JQ57-JR57</f>
        <v/>
      </c>
      <c r="JT57" s="237">
        <f>JS57/JR57</f>
        <v/>
      </c>
      <c r="JU57" s="236" t="n">
        <v>0.0166</v>
      </c>
      <c r="JV57" s="238" t="n"/>
      <c r="JX57" s="10">
        <f>C57</f>
        <v/>
      </c>
      <c r="JY57" s="241" t="n">
        <v>1020498.8</v>
      </c>
      <c r="JZ57" s="14">
        <f>JY58</f>
        <v/>
      </c>
      <c r="KA57" s="14">
        <f>JY57-JZ57</f>
        <v/>
      </c>
      <c r="KB57" s="237">
        <f>KA57/JZ57</f>
        <v/>
      </c>
      <c r="KC57" s="236" t="n">
        <v>-0.0011</v>
      </c>
      <c r="KD57" s="238" t="n"/>
      <c r="KF57" s="10">
        <f>C57</f>
        <v/>
      </c>
      <c r="KG57" s="253" t="n">
        <v>577955.9219</v>
      </c>
      <c r="KH57" s="14">
        <f>KG58</f>
        <v/>
      </c>
      <c r="KI57" s="14">
        <f>KG57-KH57</f>
        <v/>
      </c>
      <c r="KJ57" s="237">
        <f>KI57/KH57</f>
        <v/>
      </c>
      <c r="KK57" s="238" t="n">
        <v>-0.0007</v>
      </c>
      <c r="KL57" s="238" t="n"/>
      <c r="KN57" s="10">
        <f>C57</f>
        <v/>
      </c>
      <c r="KO57" s="241" t="n">
        <v>6955275.95</v>
      </c>
      <c r="KP57" s="14">
        <f>KO58</f>
        <v/>
      </c>
      <c r="KQ57" s="14">
        <f>KO57-KP57</f>
        <v/>
      </c>
      <c r="KR57" s="237">
        <f>KQ57/KP57</f>
        <v/>
      </c>
      <c r="KS57" s="236" t="n">
        <v>-0.0017</v>
      </c>
      <c r="KT57" s="236" t="n"/>
      <c r="KV57" s="10">
        <f>C57</f>
        <v/>
      </c>
      <c r="KW57" s="253" t="n">
        <v>1059572.9726</v>
      </c>
      <c r="KX57" s="14">
        <f>KW58</f>
        <v/>
      </c>
      <c r="KY57" s="14">
        <f>KW57-KX57</f>
        <v/>
      </c>
      <c r="KZ57" s="237">
        <f>KY57/KX57</f>
        <v/>
      </c>
      <c r="LA57" s="238" t="n">
        <v>0.0114</v>
      </c>
      <c r="LB57" s="236" t="n"/>
      <c r="LD57" s="10">
        <f>C57</f>
        <v/>
      </c>
      <c r="LE57" s="241" t="n">
        <v>382657.7</v>
      </c>
      <c r="LF57" s="14">
        <f>LE58</f>
        <v/>
      </c>
      <c r="LG57" s="14">
        <f>LE57-LF57</f>
        <v/>
      </c>
      <c r="LH57" s="237">
        <f>LG57/LF57</f>
        <v/>
      </c>
      <c r="LI57" s="236" t="n">
        <v>-0.0098</v>
      </c>
      <c r="LJ57" s="236" t="n"/>
      <c r="LL57" s="10">
        <f>C57</f>
        <v/>
      </c>
      <c r="LM57" s="677" t="n">
        <v>3207715.02</v>
      </c>
      <c r="LN57" s="14">
        <f>LM58</f>
        <v/>
      </c>
      <c r="LO57" s="14">
        <f>LM57-LN57</f>
        <v/>
      </c>
      <c r="LP57" s="237">
        <f>LO57/LN57</f>
        <v/>
      </c>
      <c r="LQ57" s="236" t="n">
        <v>0.0024</v>
      </c>
      <c r="LR57" s="236" t="n"/>
      <c r="LT57" s="10">
        <f>C57</f>
        <v/>
      </c>
      <c r="LU57" s="253" t="n">
        <v>2302662.904</v>
      </c>
      <c r="LV57" s="14">
        <f>LU58</f>
        <v/>
      </c>
      <c r="LW57" s="14">
        <f>LU57-LV57</f>
        <v/>
      </c>
      <c r="LX57" s="237">
        <f>LW57/LV57</f>
        <v/>
      </c>
      <c r="LY57" s="236" t="n">
        <v>0.0061</v>
      </c>
      <c r="LZ57" s="236" t="n"/>
      <c r="MB57" s="10">
        <f>C57</f>
        <v/>
      </c>
      <c r="MC57" s="241" t="n">
        <v>1077717.69</v>
      </c>
      <c r="MD57" s="14">
        <f>MC58</f>
        <v/>
      </c>
      <c r="ME57" s="14">
        <f>MC57-MD57</f>
        <v/>
      </c>
      <c r="MF57" s="237">
        <f>ME57/MD57</f>
        <v/>
      </c>
      <c r="MG57" s="236" t="n">
        <v>-0.0038</v>
      </c>
      <c r="MH57" s="236" t="n"/>
      <c r="MI57" s="10" t="n"/>
      <c r="MJ57" s="10" t="n"/>
      <c r="MK57" s="10">
        <f>C57</f>
        <v/>
      </c>
      <c r="ML57" s="254" t="n">
        <v>159465.5354</v>
      </c>
      <c r="MM57" s="14">
        <f>ML58</f>
        <v/>
      </c>
      <c r="MN57" s="14">
        <f>ML57-MM57</f>
        <v/>
      </c>
      <c r="MO57" s="237">
        <f>MN57/MM57</f>
        <v/>
      </c>
      <c r="MP57" s="236" t="n">
        <v>0.0053</v>
      </c>
      <c r="MQ57" s="238" t="n"/>
      <c r="MR57" s="238" t="n"/>
      <c r="MT57" s="266">
        <f>C57</f>
        <v/>
      </c>
      <c r="MU57" s="10" t="n">
        <v>133914.8</v>
      </c>
      <c r="MV57" s="240">
        <f>MU58</f>
        <v/>
      </c>
      <c r="MW57" s="10">
        <f>MU57-MV57</f>
        <v/>
      </c>
      <c r="MX57" s="236">
        <f>MW57/MV57</f>
        <v/>
      </c>
      <c r="MY57" s="236" t="n">
        <v>-0.0014</v>
      </c>
      <c r="MZ57" s="236" t="n"/>
      <c r="NA57" s="236" t="n"/>
      <c r="NC57" s="266">
        <f>C57</f>
        <v/>
      </c>
      <c r="ND57" s="10" t="n">
        <v>33891.48</v>
      </c>
      <c r="NE57" s="240">
        <f>ND58</f>
        <v/>
      </c>
      <c r="NF57" s="10">
        <f>ND57-NE57</f>
        <v/>
      </c>
      <c r="NG57" s="236">
        <f>NF57/NE57</f>
        <v/>
      </c>
      <c r="NH57" s="236" t="n">
        <v>-0.017</v>
      </c>
      <c r="NI57" s="236" t="n"/>
      <c r="NJ57" s="236" t="n"/>
      <c r="NK57" s="236" t="n"/>
      <c r="NM57" s="266">
        <f>C57</f>
        <v/>
      </c>
      <c r="NN57" s="10" t="n">
        <v>2808711.08</v>
      </c>
      <c r="NO57" s="10">
        <f>NN58</f>
        <v/>
      </c>
      <c r="NP57" s="10">
        <f>NN57-NO57</f>
        <v/>
      </c>
      <c r="NQ57" s="236">
        <f>NP57/NO57</f>
        <v/>
      </c>
      <c r="NR57" s="236" t="n">
        <v>-0.0034</v>
      </c>
      <c r="NS57" s="0" t="n"/>
      <c r="NU57" s="10">
        <f>C57</f>
        <v/>
      </c>
      <c r="NV57" s="10" t="n">
        <v>225726.5</v>
      </c>
      <c r="NW57" s="240">
        <f>NV58</f>
        <v/>
      </c>
      <c r="NX57" s="10">
        <f>NV57-NW57</f>
        <v/>
      </c>
      <c r="NY57" s="236">
        <f>NX57/NW57</f>
        <v/>
      </c>
      <c r="NZ57" s="236" t="n">
        <v>0.018</v>
      </c>
      <c r="OA57" s="0" t="n"/>
      <c r="OC57" s="10">
        <f>C57</f>
        <v/>
      </c>
      <c r="OD57" s="241" t="n">
        <v>19518.97</v>
      </c>
      <c r="OE57" s="14">
        <f>OD58</f>
        <v/>
      </c>
      <c r="OF57" s="14">
        <f>OD57-OE57</f>
        <v/>
      </c>
      <c r="OG57" s="237">
        <f>OF57/OE57</f>
        <v/>
      </c>
      <c r="OH57" s="236" t="n">
        <v>0.0001</v>
      </c>
      <c r="OI57" s="236" t="n"/>
      <c r="OK57" s="10">
        <f>C57</f>
        <v/>
      </c>
      <c r="OL57" s="241" t="n">
        <v>16734.65</v>
      </c>
      <c r="OM57" s="14">
        <f>OL58</f>
        <v/>
      </c>
      <c r="ON57" s="14">
        <f>OL57-OM57</f>
        <v/>
      </c>
      <c r="OO57" s="237">
        <f>ON57/OM57</f>
        <v/>
      </c>
      <c r="OP57" s="236" t="n">
        <v>0</v>
      </c>
      <c r="OQ57" s="236" t="n"/>
      <c r="OT57" s="201">
        <f>OK57</f>
        <v/>
      </c>
      <c r="OU57" s="199" t="n">
        <v>155712.4066</v>
      </c>
      <c r="OV57" s="9">
        <f>OU58</f>
        <v/>
      </c>
      <c r="OW57" s="671">
        <f>OU57-OV57</f>
        <v/>
      </c>
      <c r="OX57" s="182">
        <f>OW57/OV57</f>
        <v/>
      </c>
      <c r="OY57" s="0" t="n">
        <v>0.0023</v>
      </c>
    </row>
    <row r="58" ht="17" customFormat="1" customHeight="1" s="9">
      <c r="A58" s="631" t="n"/>
      <c r="B58" s="631" t="n"/>
      <c r="C58" s="680" t="inlineStr">
        <is>
          <t>2026//8/24</t>
        </is>
      </c>
      <c r="D58" s="20" t="n">
        <v>2380908.77</v>
      </c>
      <c r="E58" s="20">
        <f>D59</f>
        <v/>
      </c>
      <c r="F58" s="20">
        <f>D58-E58</f>
        <v/>
      </c>
      <c r="G58" s="163">
        <f>F58/E58</f>
        <v/>
      </c>
      <c r="H58" s="19" t="n">
        <v>-0.0113</v>
      </c>
      <c r="I58" s="163" t="n"/>
      <c r="J58" s="163" t="n"/>
      <c r="K58" s="20">
        <f>C58</f>
        <v/>
      </c>
      <c r="L58" s="20" t="n">
        <v>1150534.4</v>
      </c>
      <c r="M58" s="20">
        <f>L59</f>
        <v/>
      </c>
      <c r="N58" s="20">
        <f>L58-M58</f>
        <v/>
      </c>
      <c r="O58" s="163">
        <f>N58/M58</f>
        <v/>
      </c>
      <c r="P58" s="19" t="n">
        <v>-0.0125</v>
      </c>
      <c r="Q58" s="163" t="n"/>
      <c r="R58" s="20" t="n"/>
      <c r="S58" s="20">
        <f>C58</f>
        <v/>
      </c>
      <c r="T58" s="20" t="n">
        <v>752106.6800000001</v>
      </c>
      <c r="U58" s="20">
        <f>T59</f>
        <v/>
      </c>
      <c r="V58" s="20">
        <f>T58-U58</f>
        <v/>
      </c>
      <c r="W58" s="163">
        <f>V58/U58</f>
        <v/>
      </c>
      <c r="X58" s="19" t="n">
        <v>-0.0047</v>
      </c>
      <c r="Y58" s="163" t="n"/>
      <c r="Z58" s="20" t="n"/>
      <c r="AA58" s="20">
        <f>S58</f>
        <v/>
      </c>
      <c r="AB58" s="20" t="n">
        <v>492656.86</v>
      </c>
      <c r="AC58" s="20">
        <f>AB59</f>
        <v/>
      </c>
      <c r="AD58" s="20">
        <f>AB58-AC58</f>
        <v/>
      </c>
      <c r="AE58" s="163">
        <f>AD58/AC58</f>
        <v/>
      </c>
      <c r="AF58" s="19" t="n">
        <v>-0.016</v>
      </c>
      <c r="AG58" s="163" t="n"/>
      <c r="AH58" s="20" t="n"/>
      <c r="AI58" s="20">
        <f>C58</f>
        <v/>
      </c>
      <c r="AJ58" s="20" t="n">
        <v>643721.76</v>
      </c>
      <c r="AK58" s="20">
        <f>AJ59</f>
        <v/>
      </c>
      <c r="AL58" s="20">
        <f>AJ58-AK58</f>
        <v/>
      </c>
      <c r="AM58" s="163">
        <f>AL58/AK58</f>
        <v/>
      </c>
      <c r="AN58" s="19" t="n">
        <v>-0.013</v>
      </c>
      <c r="AO58" s="19" t="n"/>
      <c r="AP58" s="20" t="n"/>
      <c r="AQ58" s="20">
        <f>C58</f>
        <v/>
      </c>
      <c r="AR58" s="634" t="n">
        <v>1831645.4936</v>
      </c>
      <c r="AS58" s="20">
        <f>AR59</f>
        <v/>
      </c>
      <c r="AT58" s="20">
        <f>AR58-AS58</f>
        <v/>
      </c>
      <c r="AU58" s="163">
        <f>AT58/AS58</f>
        <v/>
      </c>
      <c r="AV58" s="19" t="n">
        <v>-0.0289</v>
      </c>
      <c r="AW58" s="19" t="n"/>
      <c r="AX58" s="5" t="n"/>
      <c r="AY58" s="5" t="n"/>
      <c r="AZ58" s="20">
        <f>C58</f>
        <v/>
      </c>
      <c r="BA58" s="220" t="n">
        <v>627861.6676</v>
      </c>
      <c r="BB58" s="188">
        <f>BA59</f>
        <v/>
      </c>
      <c r="BC58" s="5">
        <f>BA58-BB58</f>
        <v/>
      </c>
      <c r="BD58" s="19">
        <f>BC58/BB58</f>
        <v/>
      </c>
      <c r="BE58" s="19" t="n">
        <v>-0.0119</v>
      </c>
      <c r="BF58" s="19" t="n"/>
      <c r="BG58" s="647" t="n"/>
      <c r="BH58" s="9">
        <f>C58</f>
        <v/>
      </c>
      <c r="BI58" s="221" t="n">
        <v>1229926.5525</v>
      </c>
      <c r="BJ58" s="184">
        <f>BI59</f>
        <v/>
      </c>
      <c r="BK58" s="184">
        <f>BI58-BJ58</f>
        <v/>
      </c>
      <c r="BL58" s="190">
        <f>BK58/BJ58</f>
        <v/>
      </c>
      <c r="BM58" s="191" t="n">
        <v>-0.0184</v>
      </c>
      <c r="BN58" s="182" t="n"/>
      <c r="BP58" s="9">
        <f>C58</f>
        <v/>
      </c>
      <c r="BQ58" s="672" t="n">
        <v>1405062.3921</v>
      </c>
      <c r="BR58" s="13">
        <f>BQ59</f>
        <v/>
      </c>
      <c r="BS58" s="13">
        <f>BQ58-BR58</f>
        <v/>
      </c>
      <c r="BT58" s="193">
        <f>BS58/BR58</f>
        <v/>
      </c>
      <c r="BU58" s="182" t="n">
        <v>-0.0237</v>
      </c>
      <c r="BV58" s="182" t="n"/>
      <c r="BX58" s="9">
        <f>C58</f>
        <v/>
      </c>
      <c r="BY58" s="222" t="n">
        <v>1675760.7019</v>
      </c>
      <c r="BZ58" s="13">
        <f>BY59</f>
        <v/>
      </c>
      <c r="CA58" s="13">
        <f>BY58-BZ58</f>
        <v/>
      </c>
      <c r="CB58" s="193">
        <f>CA58/BZ58</f>
        <v/>
      </c>
      <c r="CC58" s="182" t="n">
        <v>-0.0185</v>
      </c>
      <c r="CD58" s="194" t="n"/>
      <c r="CF58" s="9">
        <f>C58</f>
        <v/>
      </c>
      <c r="CG58" s="185" t="n">
        <v>1337703.9</v>
      </c>
      <c r="CH58" s="13">
        <f>CG59</f>
        <v/>
      </c>
      <c r="CI58" s="13">
        <f>CG58-CH58</f>
        <v/>
      </c>
      <c r="CJ58" s="193">
        <f>CI58/CH58</f>
        <v/>
      </c>
      <c r="CK58" s="182" t="n">
        <v>0.0015</v>
      </c>
      <c r="CL58" s="194" t="n"/>
      <c r="CN58" s="9">
        <f>C58</f>
        <v/>
      </c>
      <c r="CO58" s="185" t="n">
        <v>522146.48</v>
      </c>
      <c r="CP58" s="13">
        <f>CO59</f>
        <v/>
      </c>
      <c r="CQ58" s="13">
        <f>CO58-CP58</f>
        <v/>
      </c>
      <c r="CR58" s="193">
        <f>CQ58/CP58</f>
        <v/>
      </c>
      <c r="CS58" s="194" t="n">
        <v>0.0042</v>
      </c>
      <c r="CT58" s="194" t="n"/>
      <c r="CV58" s="9">
        <f>C58</f>
        <v/>
      </c>
      <c r="CW58" s="185" t="n">
        <v>735040.4</v>
      </c>
      <c r="CX58" s="13">
        <f>CW59</f>
        <v/>
      </c>
      <c r="CY58" s="13">
        <f>CW58-CX58</f>
        <v/>
      </c>
      <c r="CZ58" s="193">
        <f>CY58/CX58</f>
        <v/>
      </c>
      <c r="DA58" s="182" t="n">
        <v>0.008800000000000001</v>
      </c>
      <c r="DB58" s="182" t="n"/>
      <c r="DC58" s="256" t="n"/>
      <c r="DD58" s="9">
        <f>C58</f>
        <v/>
      </c>
      <c r="DE58" s="222" t="n">
        <v>5999035.9972</v>
      </c>
      <c r="DF58" s="13">
        <f>DE59</f>
        <v/>
      </c>
      <c r="DG58" s="13">
        <f>DE58-DF58</f>
        <v/>
      </c>
      <c r="DH58" s="193">
        <f>DG58/DF58</f>
        <v/>
      </c>
      <c r="DI58" s="182" t="n">
        <v>-0.008200000000000001</v>
      </c>
      <c r="DJ58" s="182" t="n"/>
      <c r="DK58" s="0" t="n"/>
      <c r="DL58" s="9">
        <f>C58</f>
        <v/>
      </c>
      <c r="DM58" s="185" t="n">
        <v>1937800.72</v>
      </c>
      <c r="DN58" s="13">
        <f>DM59</f>
        <v/>
      </c>
      <c r="DO58" s="13">
        <f>DM58-DN58</f>
        <v/>
      </c>
      <c r="DP58" s="193">
        <f>DO58/DN58</f>
        <v/>
      </c>
      <c r="DQ58" s="182" t="n">
        <v>-0.0307</v>
      </c>
      <c r="DR58" s="182" t="n"/>
      <c r="DT58" s="9">
        <f>C58</f>
        <v/>
      </c>
      <c r="DU58" s="185" t="n">
        <v>4266718.43</v>
      </c>
      <c r="DV58" s="13">
        <f>DU59</f>
        <v/>
      </c>
      <c r="DW58" s="13">
        <f>DU58-DV58</f>
        <v/>
      </c>
      <c r="DX58" s="193">
        <f>DW58/DV58</f>
        <v/>
      </c>
      <c r="DY58" s="182" t="n">
        <v>-0.0332</v>
      </c>
      <c r="DZ58" s="182" t="n"/>
      <c r="EB58" s="9">
        <f>C58</f>
        <v/>
      </c>
      <c r="EC58" s="185" t="n">
        <v>5103566.82</v>
      </c>
      <c r="ED58" s="13">
        <f>EC59</f>
        <v/>
      </c>
      <c r="EE58" s="13">
        <f>EC58-ED58</f>
        <v/>
      </c>
      <c r="EF58" s="193">
        <f>EE58/ED58</f>
        <v/>
      </c>
      <c r="EG58" s="182" t="n">
        <v>-0.0309</v>
      </c>
      <c r="EH58" s="182" t="n"/>
      <c r="EJ58" s="9">
        <f>C58</f>
        <v/>
      </c>
      <c r="EK58" s="222" t="n">
        <v>1220122.9669</v>
      </c>
      <c r="EL58" s="13">
        <f>EK59</f>
        <v/>
      </c>
      <c r="EM58" s="13">
        <f>EK58-EL58</f>
        <v/>
      </c>
      <c r="EN58" s="193">
        <f>EM58/EL58</f>
        <v/>
      </c>
      <c r="EO58" s="182" t="n">
        <v>-0.0417</v>
      </c>
      <c r="EP58" s="182" t="n"/>
      <c r="ER58" s="9">
        <f>C58</f>
        <v/>
      </c>
      <c r="ES58" s="215" t="n">
        <v>753894.04</v>
      </c>
      <c r="ET58" s="13">
        <f>ES59</f>
        <v/>
      </c>
      <c r="EU58" s="13">
        <f>ES58-ET58</f>
        <v/>
      </c>
      <c r="EV58" s="193">
        <f>EU58/ET58</f>
        <v/>
      </c>
      <c r="EW58" s="182" t="n">
        <v>-0.0424</v>
      </c>
      <c r="EX58" s="182" t="n"/>
      <c r="EZ58" s="9">
        <f>C58</f>
        <v/>
      </c>
      <c r="FA58" s="185" t="n">
        <v>588708</v>
      </c>
      <c r="FB58" s="13">
        <f>FA59</f>
        <v/>
      </c>
      <c r="FC58" s="13">
        <f>FA58-FB58</f>
        <v/>
      </c>
      <c r="FD58" s="193">
        <f>FC58/FB58</f>
        <v/>
      </c>
      <c r="FE58" s="182" t="n">
        <v>-0.0154</v>
      </c>
      <c r="FF58" s="182" t="n"/>
      <c r="FH58" s="9">
        <f>C58</f>
        <v/>
      </c>
      <c r="FI58" s="672" t="n">
        <v>970795.3365</v>
      </c>
      <c r="FJ58" s="13">
        <f>FI59</f>
        <v/>
      </c>
      <c r="FK58" s="13">
        <f>FI58-FJ58</f>
        <v/>
      </c>
      <c r="FL58" s="193">
        <f>FK58/FJ58</f>
        <v/>
      </c>
      <c r="FM58" s="194" t="n">
        <v>-0.031</v>
      </c>
      <c r="FN58" s="194" t="n"/>
      <c r="FP58" s="9">
        <f>C58</f>
        <v/>
      </c>
      <c r="FQ58" s="185" t="n">
        <v>1880518.73</v>
      </c>
      <c r="FR58" s="13">
        <f>FQ59</f>
        <v/>
      </c>
      <c r="FS58" s="13">
        <f>FQ58-FR58</f>
        <v/>
      </c>
      <c r="FT58" s="193">
        <f>FS58/FR58</f>
        <v/>
      </c>
      <c r="FU58" s="182" t="n">
        <v>-0.0271</v>
      </c>
      <c r="FV58" s="182" t="n"/>
      <c r="FX58" s="9">
        <f>C58</f>
        <v/>
      </c>
      <c r="FY58" s="185" t="n">
        <v>7164682.05</v>
      </c>
      <c r="FZ58" s="13">
        <f>FY59</f>
        <v/>
      </c>
      <c r="GA58" s="13">
        <f>FY58-FZ58</f>
        <v/>
      </c>
      <c r="GB58" s="193">
        <f>GA58/FZ58</f>
        <v/>
      </c>
      <c r="GC58" s="182" t="n">
        <v>-0.0287</v>
      </c>
      <c r="GD58" s="182" t="n"/>
      <c r="GF58" s="9">
        <f>C58</f>
        <v/>
      </c>
      <c r="GG58" s="185" t="n">
        <v>4064869.49</v>
      </c>
      <c r="GH58" s="13">
        <f>GG59</f>
        <v/>
      </c>
      <c r="GI58" s="13">
        <f>GG58-GH58</f>
        <v/>
      </c>
      <c r="GJ58" s="193">
        <f>GI58/GH58</f>
        <v/>
      </c>
      <c r="GK58" s="182" t="n">
        <v>-0.0309</v>
      </c>
      <c r="GL58" s="182" t="n"/>
      <c r="GN58" s="9">
        <f>C58</f>
        <v/>
      </c>
      <c r="GO58" s="222" t="n">
        <v>1951618.1217</v>
      </c>
      <c r="GP58" s="13">
        <f>GO59</f>
        <v/>
      </c>
      <c r="GQ58" s="13">
        <f>GO58-GP58</f>
        <v/>
      </c>
      <c r="GR58" s="193">
        <f>GQ58/GP58</f>
        <v/>
      </c>
      <c r="GS58" s="182" t="n">
        <v>-0.0482</v>
      </c>
      <c r="GT58" s="182" t="n"/>
      <c r="GV58" s="9">
        <f>C58</f>
        <v/>
      </c>
      <c r="GW58" s="185" t="n">
        <v>602349.4</v>
      </c>
      <c r="GX58" s="13">
        <f>GW59</f>
        <v/>
      </c>
      <c r="GY58" s="13">
        <f>GW58-GX58</f>
        <v/>
      </c>
      <c r="GZ58" s="193">
        <f>GY58/GX58</f>
        <v/>
      </c>
      <c r="HA58" s="182" t="n">
        <v>-0.0117</v>
      </c>
      <c r="HB58" s="182" t="n"/>
      <c r="HD58" s="9">
        <f>C58</f>
        <v/>
      </c>
      <c r="HE58" s="222" t="n">
        <v>815364.6746</v>
      </c>
      <c r="HF58" s="13">
        <f>HE59</f>
        <v/>
      </c>
      <c r="HG58" s="13">
        <f>HE58-HF58</f>
        <v/>
      </c>
      <c r="HH58" s="193">
        <f>HG58/HF58</f>
        <v/>
      </c>
      <c r="HI58" s="194" t="n">
        <v>-0.0062</v>
      </c>
      <c r="HJ58" s="182" t="n"/>
      <c r="HL58" s="9">
        <f>C58</f>
        <v/>
      </c>
      <c r="HM58" s="185" t="n">
        <v>114004.25</v>
      </c>
      <c r="HN58" s="13">
        <f>HM59</f>
        <v/>
      </c>
      <c r="HO58" s="13">
        <f>HM58-HN58</f>
        <v/>
      </c>
      <c r="HP58" s="193">
        <f>HO58/HN58</f>
        <v/>
      </c>
      <c r="HQ58" s="182" t="n">
        <v>-0.0009</v>
      </c>
      <c r="HR58" s="182" t="n"/>
      <c r="HT58" s="9">
        <f>C58</f>
        <v/>
      </c>
      <c r="HU58" s="222" t="n">
        <v>130768.8265</v>
      </c>
      <c r="HV58" s="13">
        <f>HU59</f>
        <v/>
      </c>
      <c r="HW58" s="13">
        <f>HU58-HV58</f>
        <v/>
      </c>
      <c r="HX58" s="193">
        <f>HW58/HV58</f>
        <v/>
      </c>
      <c r="HY58" s="182" t="n">
        <v>-0.0038</v>
      </c>
      <c r="HZ58" s="182" t="n"/>
      <c r="IB58" s="9">
        <f>C58</f>
        <v/>
      </c>
      <c r="IC58" s="185" t="n">
        <v>281434.79</v>
      </c>
      <c r="ID58" s="13">
        <f>IC59</f>
        <v/>
      </c>
      <c r="IE58" s="13">
        <f>IC58-ID58</f>
        <v/>
      </c>
      <c r="IF58" s="193">
        <f>IE58/ID58</f>
        <v/>
      </c>
      <c r="IG58" s="194" t="n">
        <v>-0.0166</v>
      </c>
      <c r="IH58" s="182" t="n"/>
      <c r="IJ58" s="9">
        <f>C58</f>
        <v/>
      </c>
      <c r="IK58" s="222" t="n">
        <v>953596.29</v>
      </c>
      <c r="IL58" s="13">
        <f>IK59</f>
        <v/>
      </c>
      <c r="IM58" s="13">
        <f>IK58-IL58</f>
        <v/>
      </c>
      <c r="IN58" s="193">
        <f>IM58/IL58</f>
        <v/>
      </c>
      <c r="IO58" s="182" t="n">
        <v>0.008800000000000001</v>
      </c>
      <c r="IP58" s="182" t="n"/>
      <c r="IR58" s="9">
        <f>C58</f>
        <v/>
      </c>
      <c r="IS58" s="185" t="n">
        <v>153189</v>
      </c>
      <c r="IT58" s="13">
        <f>IS59</f>
        <v/>
      </c>
      <c r="IU58" s="13">
        <f>IS58-IT58</f>
        <v/>
      </c>
      <c r="IV58" s="193">
        <f>IU58/IT58</f>
        <v/>
      </c>
      <c r="IW58" s="182" t="n">
        <v>-0.0311</v>
      </c>
      <c r="IX58" s="182" t="n"/>
      <c r="IZ58" s="9">
        <f>C58</f>
        <v/>
      </c>
      <c r="JA58" s="185" t="n">
        <v>5866829.15</v>
      </c>
      <c r="JB58" s="13">
        <f>JA59</f>
        <v/>
      </c>
      <c r="JC58" s="13">
        <f>JA58-JB58</f>
        <v/>
      </c>
      <c r="JD58" s="193">
        <f>JC58/JB58</f>
        <v/>
      </c>
      <c r="JE58" s="182" t="n">
        <v>0.0038</v>
      </c>
      <c r="JF58" s="182" t="n"/>
      <c r="JH58" s="9">
        <f>C58</f>
        <v/>
      </c>
      <c r="JI58" s="185" t="n">
        <v>1256007.99</v>
      </c>
      <c r="JJ58" s="13">
        <f>JI59</f>
        <v/>
      </c>
      <c r="JK58" s="13">
        <f>JI58-JJ58</f>
        <v/>
      </c>
      <c r="JL58" s="193">
        <f>JK58/JJ58</f>
        <v/>
      </c>
      <c r="JM58" s="182" t="n">
        <v>0.0147</v>
      </c>
      <c r="JN58" s="182" t="n"/>
      <c r="JP58" s="9">
        <f>C58</f>
        <v/>
      </c>
      <c r="JQ58" s="222" t="n">
        <v>989690.4148</v>
      </c>
      <c r="JR58" s="13">
        <f>JQ59</f>
        <v/>
      </c>
      <c r="JS58" s="13">
        <f>JQ58-JR58</f>
        <v/>
      </c>
      <c r="JT58" s="193">
        <f>JS58/JR58</f>
        <v/>
      </c>
      <c r="JU58" s="182" t="n">
        <v>-0.0115</v>
      </c>
      <c r="JV58" s="194" t="n"/>
      <c r="JX58" s="9">
        <f>C58</f>
        <v/>
      </c>
      <c r="JY58" s="185" t="n">
        <v>1021748.8</v>
      </c>
      <c r="JZ58" s="13">
        <f>JY59</f>
        <v/>
      </c>
      <c r="KA58" s="13">
        <f>JY58-JZ58</f>
        <v/>
      </c>
      <c r="KB58" s="193">
        <f>KA58/JZ58</f>
        <v/>
      </c>
      <c r="KC58" s="182" t="n">
        <v>0.0005</v>
      </c>
      <c r="KD58" s="194" t="n"/>
      <c r="KF58" s="9">
        <f>C58</f>
        <v/>
      </c>
      <c r="KG58" s="222" t="n">
        <v>577955.9219</v>
      </c>
      <c r="KH58" s="13">
        <f>KG59</f>
        <v/>
      </c>
      <c r="KI58" s="13">
        <f>KG58-KH58</f>
        <v/>
      </c>
      <c r="KJ58" s="193">
        <f>KI58/KH58</f>
        <v/>
      </c>
      <c r="KK58" s="194" t="n">
        <v>-0.0164</v>
      </c>
      <c r="KL58" s="194" t="n"/>
      <c r="KN58" s="9">
        <f>C58</f>
        <v/>
      </c>
      <c r="KO58" s="185" t="n">
        <v>6955275.95</v>
      </c>
      <c r="KP58" s="13">
        <f>KO59</f>
        <v/>
      </c>
      <c r="KQ58" s="13">
        <f>KO58-KP58</f>
        <v/>
      </c>
      <c r="KR58" s="193">
        <f>KQ58/KP58</f>
        <v/>
      </c>
      <c r="KS58" s="182" t="n">
        <v>-0.0301</v>
      </c>
      <c r="KT58" s="182" t="n"/>
      <c r="KV58" s="9">
        <f>C58</f>
        <v/>
      </c>
      <c r="KW58" s="222" t="n">
        <v>1062872.9726</v>
      </c>
      <c r="KX58" s="13">
        <f>KW59</f>
        <v/>
      </c>
      <c r="KY58" s="13">
        <f>KW58-KX58</f>
        <v/>
      </c>
      <c r="KZ58" s="193">
        <f>KY58/KX58</f>
        <v/>
      </c>
      <c r="LA58" s="194" t="n">
        <v>-0.0196</v>
      </c>
      <c r="LB58" s="182" t="n"/>
      <c r="LD58" s="9">
        <f>C58</f>
        <v/>
      </c>
      <c r="LE58" s="215" t="n">
        <v>383857.7</v>
      </c>
      <c r="LF58" s="13">
        <f>LE59</f>
        <v/>
      </c>
      <c r="LG58" s="13">
        <f>LE58-LF58</f>
        <v/>
      </c>
      <c r="LH58" s="193">
        <f>LG58/LF58</f>
        <v/>
      </c>
      <c r="LI58" s="182" t="n">
        <v>-0.0091</v>
      </c>
      <c r="LJ58" s="182" t="n"/>
      <c r="LL58" s="9">
        <f>C58</f>
        <v/>
      </c>
      <c r="LM58" s="215" t="n">
        <v>3210415.02</v>
      </c>
      <c r="LN58" s="13">
        <f>LM59</f>
        <v/>
      </c>
      <c r="LO58" s="13">
        <f>LM58-LN58</f>
        <v/>
      </c>
      <c r="LP58" s="193">
        <f>LO58/LN58</f>
        <v/>
      </c>
      <c r="LQ58" s="182" t="n">
        <v>0.0048</v>
      </c>
      <c r="LR58" s="182" t="n"/>
      <c r="LT58" s="9">
        <f>C58</f>
        <v/>
      </c>
      <c r="LU58" s="222" t="n">
        <v>2308462.904</v>
      </c>
      <c r="LV58" s="13">
        <f>LU59</f>
        <v/>
      </c>
      <c r="LW58" s="13">
        <f>LU58-LV58</f>
        <v/>
      </c>
      <c r="LX58" s="193">
        <f>LW58/LV58</f>
        <v/>
      </c>
      <c r="LY58" s="182" t="n">
        <v>0.0015</v>
      </c>
      <c r="LZ58" s="182" t="n"/>
      <c r="MB58" s="9">
        <f>C58</f>
        <v/>
      </c>
      <c r="MC58" s="185" t="n">
        <v>1092467.69</v>
      </c>
      <c r="MD58" s="13">
        <f>MC59</f>
        <v/>
      </c>
      <c r="ME58" s="13">
        <f>MC58-MD58</f>
        <v/>
      </c>
      <c r="MF58" s="193">
        <f>ME58/MD58</f>
        <v/>
      </c>
      <c r="MG58" s="182" t="n">
        <v>0.0243</v>
      </c>
      <c r="MH58" s="182" t="n"/>
      <c r="MK58" s="9">
        <f>C58</f>
        <v/>
      </c>
      <c r="ML58" s="223" t="n">
        <v>159705.5354</v>
      </c>
      <c r="MM58" s="13">
        <f>ML59</f>
        <v/>
      </c>
      <c r="MN58" s="13">
        <f>ML58-MM58</f>
        <v/>
      </c>
      <c r="MO58" s="193">
        <f>MN58/MM58</f>
        <v/>
      </c>
      <c r="MP58" s="182" t="n">
        <v>-0.0259</v>
      </c>
      <c r="MQ58" s="194" t="n"/>
      <c r="MR58" s="194" t="n"/>
      <c r="MT58" s="25">
        <f>C58</f>
        <v/>
      </c>
      <c r="MU58" s="9" t="n">
        <v>132114.8</v>
      </c>
      <c r="MV58" s="188">
        <f>MU59</f>
        <v/>
      </c>
      <c r="MW58" s="9">
        <f>MU58-MV58</f>
        <v/>
      </c>
      <c r="MX58" s="182">
        <f>MW58/MV58</f>
        <v/>
      </c>
      <c r="MY58" s="182" t="n">
        <v>-0.0154</v>
      </c>
      <c r="MZ58" s="182" t="n"/>
      <c r="NA58" s="182" t="n"/>
      <c r="NC58" s="25">
        <f>C58</f>
        <v/>
      </c>
      <c r="ND58" s="9" t="n">
        <v>33891.48</v>
      </c>
      <c r="NE58" s="188">
        <f>ND59</f>
        <v/>
      </c>
      <c r="NF58" s="9">
        <f>ND58-NE58</f>
        <v/>
      </c>
      <c r="NG58" s="182">
        <f>NF58/NE58</f>
        <v/>
      </c>
      <c r="NH58" s="182" t="n">
        <v>0.0036</v>
      </c>
      <c r="NI58" s="182" t="n"/>
      <c r="NJ58" s="182" t="n"/>
      <c r="NK58" s="182" t="n"/>
      <c r="NM58" s="25">
        <f>C58</f>
        <v/>
      </c>
      <c r="NN58" s="9" t="n">
        <v>2806611.08</v>
      </c>
      <c r="NO58" s="9">
        <f>NN59</f>
        <v/>
      </c>
      <c r="NP58" s="197">
        <f>NN58-NO58</f>
        <v/>
      </c>
      <c r="NQ58" s="198">
        <f>NP58/NO58</f>
        <v/>
      </c>
      <c r="NR58" s="182" t="n">
        <v>0.0111</v>
      </c>
      <c r="NS58" s="0" t="n"/>
      <c r="NU58" s="9">
        <f>C58</f>
        <v/>
      </c>
      <c r="NV58" s="9" t="n">
        <v>226826.5</v>
      </c>
      <c r="NW58" s="188">
        <f>NV59</f>
        <v/>
      </c>
      <c r="NX58" s="197">
        <f>NV58-NW58</f>
        <v/>
      </c>
      <c r="NY58" s="198">
        <f>NX58/NW58</f>
        <v/>
      </c>
      <c r="NZ58" s="182" t="n">
        <v>-0.0167</v>
      </c>
      <c r="OA58" s="0" t="n"/>
      <c r="OC58" s="9">
        <f>C58</f>
        <v/>
      </c>
      <c r="OD58" s="185" t="n">
        <v>19046.97</v>
      </c>
      <c r="OE58" s="13">
        <f>OD59</f>
        <v/>
      </c>
      <c r="OF58" s="13">
        <f>OD58-OE58</f>
        <v/>
      </c>
      <c r="OG58" s="193">
        <f>OF58/OE58</f>
        <v/>
      </c>
      <c r="OH58" s="182" t="n">
        <v>0.0029</v>
      </c>
      <c r="OI58" s="182" t="n"/>
      <c r="OK58" s="9">
        <f>C58</f>
        <v/>
      </c>
      <c r="OL58" s="185" t="n">
        <v>16598.65</v>
      </c>
      <c r="OM58" s="13">
        <f>OL59</f>
        <v/>
      </c>
      <c r="ON58" s="13">
        <f>OL58-OM58</f>
        <v/>
      </c>
      <c r="OO58" s="193">
        <f>ON58/OM58</f>
        <v/>
      </c>
      <c r="OP58" s="182" t="n">
        <v>0.0005999999999999999</v>
      </c>
      <c r="OQ58" s="182" t="n"/>
      <c r="OT58" s="201">
        <f>OK58</f>
        <v/>
      </c>
      <c r="OU58" s="199" t="n">
        <v>155592.4066</v>
      </c>
      <c r="OV58" s="9">
        <f>OU59</f>
        <v/>
      </c>
      <c r="OW58" s="671">
        <f>OU58-OV58</f>
        <v/>
      </c>
      <c r="OX58" s="182">
        <f>OW58/OV58</f>
        <v/>
      </c>
      <c r="OY58" s="0" t="n">
        <v>0.0097</v>
      </c>
    </row>
    <row r="59" ht="17" customFormat="1" customHeight="1" s="9">
      <c r="A59" s="631" t="n"/>
      <c r="B59" s="631" t="n"/>
      <c r="C59" s="680" t="inlineStr">
        <is>
          <t>2026//8/21</t>
        </is>
      </c>
      <c r="D59" s="20" t="n">
        <v>2348148.77</v>
      </c>
      <c r="E59" s="20">
        <f>D60</f>
        <v/>
      </c>
      <c r="F59" s="20">
        <f>D59-E59</f>
        <v/>
      </c>
      <c r="G59" s="163">
        <f>F59/E59</f>
        <v/>
      </c>
      <c r="H59" s="19" t="n">
        <v>0.0058</v>
      </c>
      <c r="I59" s="163" t="n"/>
      <c r="J59" s="163" t="n"/>
      <c r="K59" s="20">
        <f>C59</f>
        <v/>
      </c>
      <c r="L59" s="20" t="n">
        <v>1145854.4</v>
      </c>
      <c r="M59" s="20">
        <f>L60</f>
        <v/>
      </c>
      <c r="N59" s="20">
        <f>L59-M59</f>
        <v/>
      </c>
      <c r="O59" s="163">
        <f>N59/M59</f>
        <v/>
      </c>
      <c r="P59" s="19" t="n">
        <v>0.0066</v>
      </c>
      <c r="Q59" s="163" t="n"/>
      <c r="R59" s="20" t="n"/>
      <c r="S59" s="20">
        <f>C59</f>
        <v/>
      </c>
      <c r="T59" s="20" t="n">
        <v>732576.6800000001</v>
      </c>
      <c r="U59" s="20">
        <f>T60</f>
        <v/>
      </c>
      <c r="V59" s="20">
        <f>T59-U59</f>
        <v/>
      </c>
      <c r="W59" s="163">
        <f>V59/U59</f>
        <v/>
      </c>
      <c r="X59" s="19" t="n">
        <v>0.0017</v>
      </c>
      <c r="Y59" s="163" t="n"/>
      <c r="Z59" s="20" t="n"/>
      <c r="AA59" s="20">
        <f>S59</f>
        <v/>
      </c>
      <c r="AB59" s="20" t="n">
        <v>505096.86</v>
      </c>
      <c r="AC59" s="20">
        <f>AB60</f>
        <v/>
      </c>
      <c r="AD59" s="20">
        <f>AB59-AC59</f>
        <v/>
      </c>
      <c r="AE59" s="163">
        <f>AD59/AC59</f>
        <v/>
      </c>
      <c r="AF59" s="19" t="n">
        <v>0.0004</v>
      </c>
      <c r="AG59" s="163" t="n"/>
      <c r="AH59" s="20" t="n"/>
      <c r="AI59" s="20">
        <f>C59</f>
        <v/>
      </c>
      <c r="AJ59" s="20" t="n">
        <v>657121.76</v>
      </c>
      <c r="AK59" s="20">
        <f>AJ60</f>
        <v/>
      </c>
      <c r="AL59" s="20">
        <f>AJ59-AK59</f>
        <v/>
      </c>
      <c r="AM59" s="163">
        <f>AL59/AK59</f>
        <v/>
      </c>
      <c r="AN59" s="19" t="n">
        <v>0.002</v>
      </c>
      <c r="AO59" s="19" t="n"/>
      <c r="AP59" s="20" t="n"/>
      <c r="AQ59" s="20">
        <f>C59</f>
        <v/>
      </c>
      <c r="AR59" s="634" t="n">
        <v>1774545.4936</v>
      </c>
      <c r="AS59" s="20">
        <f>AR60</f>
        <v/>
      </c>
      <c r="AT59" s="20">
        <f>AR59-AS59</f>
        <v/>
      </c>
      <c r="AU59" s="163">
        <f>AT59/AS59</f>
        <v/>
      </c>
      <c r="AV59" s="19" t="n">
        <v>0.0137</v>
      </c>
      <c r="AW59" s="19" t="n"/>
      <c r="AX59" s="5" t="n"/>
      <c r="AY59" s="5" t="n"/>
      <c r="AZ59" s="20">
        <f>C59</f>
        <v/>
      </c>
      <c r="BA59" s="220" t="n">
        <v>622101.6676</v>
      </c>
      <c r="BB59" s="188">
        <f>BA60</f>
        <v/>
      </c>
      <c r="BC59" s="5">
        <f>BA59-BB59</f>
        <v/>
      </c>
      <c r="BD59" s="19">
        <f>BC59/BB59</f>
        <v/>
      </c>
      <c r="BE59" s="19" t="n">
        <v>0.0064</v>
      </c>
      <c r="BF59" s="19" t="n"/>
      <c r="BG59" s="647" t="n"/>
      <c r="BH59" s="9">
        <f>C59</f>
        <v/>
      </c>
      <c r="BI59" s="221" t="n">
        <v>1234326.5525</v>
      </c>
      <c r="BJ59" s="184">
        <f>BI60</f>
        <v/>
      </c>
      <c r="BK59" s="184">
        <f>BI59-BJ59</f>
        <v/>
      </c>
      <c r="BL59" s="190">
        <f>BK59/BJ59</f>
        <v/>
      </c>
      <c r="BM59" s="191" t="n">
        <v>0.008999999999999999</v>
      </c>
      <c r="BN59" s="182" t="n"/>
      <c r="BP59" s="9">
        <f>C59</f>
        <v/>
      </c>
      <c r="BQ59" s="242" t="n">
        <v>1394262.3921</v>
      </c>
      <c r="BR59" s="13">
        <f>BQ60</f>
        <v/>
      </c>
      <c r="BS59" s="13">
        <f>BQ59-BR59</f>
        <v/>
      </c>
      <c r="BT59" s="193">
        <f>BS59/BR59</f>
        <v/>
      </c>
      <c r="BU59" s="182" t="n">
        <v>-0.0059</v>
      </c>
      <c r="BV59" s="182" t="n"/>
      <c r="BX59" s="9">
        <f>C59</f>
        <v/>
      </c>
      <c r="BY59" s="222" t="n">
        <v>1669110.7019</v>
      </c>
      <c r="BZ59" s="13">
        <f>BY60</f>
        <v/>
      </c>
      <c r="CA59" s="13">
        <f>BY59-BZ59</f>
        <v/>
      </c>
      <c r="CB59" s="193">
        <f>CA59/BZ59</f>
        <v/>
      </c>
      <c r="CC59" s="182" t="n">
        <v>0.005</v>
      </c>
      <c r="CD59" s="194" t="n"/>
      <c r="CF59" s="9">
        <f>C59</f>
        <v/>
      </c>
      <c r="CG59" s="185" t="n">
        <v>1328203.9</v>
      </c>
      <c r="CH59" s="13">
        <f>CG60</f>
        <v/>
      </c>
      <c r="CI59" s="13">
        <f>CG59-CH59</f>
        <v/>
      </c>
      <c r="CJ59" s="193">
        <f>CI59/CH59</f>
        <v/>
      </c>
      <c r="CK59" s="182" t="n">
        <v>0.0329</v>
      </c>
      <c r="CL59" s="194" t="n"/>
      <c r="CN59" s="9">
        <f>C59</f>
        <v/>
      </c>
      <c r="CO59" s="185" t="n">
        <v>524446.48</v>
      </c>
      <c r="CP59" s="13">
        <f>CO60</f>
        <v/>
      </c>
      <c r="CQ59" s="13">
        <f>CO59-CP59</f>
        <v/>
      </c>
      <c r="CR59" s="193">
        <f>CQ59/CP59</f>
        <v/>
      </c>
      <c r="CS59" s="194" t="n">
        <v>0.0281</v>
      </c>
      <c r="CT59" s="194" t="n"/>
      <c r="CV59" s="9">
        <f>C59</f>
        <v/>
      </c>
      <c r="CW59" s="185" t="n">
        <v>736490.4</v>
      </c>
      <c r="CX59" s="13">
        <f>CW60</f>
        <v/>
      </c>
      <c r="CY59" s="13">
        <f>CW59-CX59</f>
        <v/>
      </c>
      <c r="CZ59" s="193">
        <f>CY59/CX59</f>
        <v/>
      </c>
      <c r="DA59" s="182" t="n">
        <v>0.046</v>
      </c>
      <c r="DB59" s="182" t="n"/>
      <c r="DC59" s="256" t="n"/>
      <c r="DD59" s="9">
        <f>C59</f>
        <v/>
      </c>
      <c r="DE59" s="222" t="n">
        <v>5996035.9972</v>
      </c>
      <c r="DF59" s="13">
        <f>DE60</f>
        <v/>
      </c>
      <c r="DG59" s="13">
        <f>DE59-DF59</f>
        <v/>
      </c>
      <c r="DH59" s="193">
        <f>DG59/DF59</f>
        <v/>
      </c>
      <c r="DI59" s="182" t="n">
        <v>-0.0055</v>
      </c>
      <c r="DJ59" s="182" t="n"/>
      <c r="DK59" s="0" t="n"/>
      <c r="DL59" s="9">
        <f>C59</f>
        <v/>
      </c>
      <c r="DM59" s="185" t="n">
        <v>1920200.72</v>
      </c>
      <c r="DN59" s="13">
        <f>DM60</f>
        <v/>
      </c>
      <c r="DO59" s="13">
        <f>DM59-DN59</f>
        <v/>
      </c>
      <c r="DP59" s="193">
        <f>DO59/DN59</f>
        <v/>
      </c>
      <c r="DQ59" s="182" t="n">
        <v>0.0029</v>
      </c>
      <c r="DR59" s="182" t="n"/>
      <c r="DT59" s="9">
        <f>C59</f>
        <v/>
      </c>
      <c r="DU59" s="185" t="n">
        <v>4268518.43</v>
      </c>
      <c r="DV59" s="13">
        <f>DU60</f>
        <v/>
      </c>
      <c r="DW59" s="13">
        <f>DU59-DV59</f>
        <v/>
      </c>
      <c r="DX59" s="193">
        <f>DW59/DV59</f>
        <v/>
      </c>
      <c r="DY59" s="182" t="n">
        <v>0.0009</v>
      </c>
      <c r="DZ59" s="182" t="n"/>
      <c r="EB59" s="9">
        <f>C59</f>
        <v/>
      </c>
      <c r="EC59" s="185" t="n">
        <v>4976666.82</v>
      </c>
      <c r="ED59" s="13">
        <f>EC60</f>
        <v/>
      </c>
      <c r="EE59" s="13">
        <f>EC59-ED59</f>
        <v/>
      </c>
      <c r="EF59" s="193">
        <f>EE59/ED59</f>
        <v/>
      </c>
      <c r="EG59" s="182" t="n">
        <v>0.0005999999999999999</v>
      </c>
      <c r="EH59" s="182" t="n"/>
      <c r="EJ59" s="9">
        <f>C59</f>
        <v/>
      </c>
      <c r="EK59" s="222" t="n">
        <v>1207322.9669</v>
      </c>
      <c r="EL59" s="13">
        <f>EK60</f>
        <v/>
      </c>
      <c r="EM59" s="13">
        <f>EK59-EL59</f>
        <v/>
      </c>
      <c r="EN59" s="193">
        <f>EM59/EL59</f>
        <v/>
      </c>
      <c r="EO59" s="182" t="n">
        <v>0.011</v>
      </c>
      <c r="EP59" s="182" t="n"/>
      <c r="ER59" s="9">
        <f>C59</f>
        <v/>
      </c>
      <c r="ES59" s="9" t="n">
        <v>748694.04</v>
      </c>
      <c r="ET59" s="13">
        <f>ES60</f>
        <v/>
      </c>
      <c r="EU59" s="13">
        <f>ES59-ET59</f>
        <v/>
      </c>
      <c r="EV59" s="193">
        <f>EU59/ET59</f>
        <v/>
      </c>
      <c r="EW59" s="182" t="n">
        <v>0.0128</v>
      </c>
      <c r="EX59" s="182" t="n"/>
      <c r="EZ59" s="9">
        <f>C59</f>
        <v/>
      </c>
      <c r="FA59" s="185" t="n">
        <v>589208</v>
      </c>
      <c r="FB59" s="13">
        <f>FA60</f>
        <v/>
      </c>
      <c r="FC59" s="13">
        <f>FA59-FB59</f>
        <v/>
      </c>
      <c r="FD59" s="193">
        <f>FC59/FB59</f>
        <v/>
      </c>
      <c r="FE59" s="182" t="n">
        <v>0.0091</v>
      </c>
      <c r="FF59" s="182" t="n"/>
      <c r="FH59" s="9">
        <f>C59</f>
        <v/>
      </c>
      <c r="FI59" s="672" t="n">
        <v>998595.3365</v>
      </c>
      <c r="FJ59" s="13">
        <f>FI60</f>
        <v/>
      </c>
      <c r="FK59" s="13">
        <f>FI59-FJ59</f>
        <v/>
      </c>
      <c r="FL59" s="193">
        <f>FK59/FJ59</f>
        <v/>
      </c>
      <c r="FM59" s="194" t="n">
        <v>0.0112</v>
      </c>
      <c r="FN59" s="194" t="n"/>
      <c r="FP59" s="9">
        <f>C59</f>
        <v/>
      </c>
      <c r="FQ59" s="185" t="n">
        <v>1876468.73</v>
      </c>
      <c r="FR59" s="13">
        <f>FQ60</f>
        <v/>
      </c>
      <c r="FS59" s="13">
        <f>FQ59-FR59</f>
        <v/>
      </c>
      <c r="FT59" s="193">
        <f>FS59/FR59</f>
        <v/>
      </c>
      <c r="FU59" s="182" t="n">
        <v>0.0063</v>
      </c>
      <c r="FV59" s="182" t="n"/>
      <c r="FX59" s="9">
        <f>C59</f>
        <v/>
      </c>
      <c r="FY59" s="185" t="n">
        <v>7125282.05</v>
      </c>
      <c r="FZ59" s="13">
        <f>FY60</f>
        <v/>
      </c>
      <c r="GA59" s="13">
        <f>FY59-FZ59</f>
        <v/>
      </c>
      <c r="GB59" s="193">
        <f>GA59/FZ59</f>
        <v/>
      </c>
      <c r="GC59" s="182" t="n">
        <v>-0.0279</v>
      </c>
      <c r="GD59" s="182" t="n"/>
      <c r="GF59" s="9">
        <f>C59</f>
        <v/>
      </c>
      <c r="GG59" s="185" t="n">
        <v>4053869.49</v>
      </c>
      <c r="GH59" s="13">
        <f>GG60</f>
        <v/>
      </c>
      <c r="GI59" s="13">
        <f>GG59-GH59</f>
        <v/>
      </c>
      <c r="GJ59" s="193">
        <f>GI59/GH59</f>
        <v/>
      </c>
      <c r="GK59" s="182" t="n">
        <v>-0.03</v>
      </c>
      <c r="GL59" s="182" t="n"/>
      <c r="GN59" s="9">
        <f>C59</f>
        <v/>
      </c>
      <c r="GO59" s="222" t="n">
        <v>1915978.1217</v>
      </c>
      <c r="GP59" s="13">
        <f>GO60</f>
        <v/>
      </c>
      <c r="GQ59" s="13">
        <f>GO59-GP59</f>
        <v/>
      </c>
      <c r="GR59" s="193">
        <f>GQ59/GP59</f>
        <v/>
      </c>
      <c r="GS59" s="182" t="n">
        <v>-0.0449</v>
      </c>
      <c r="GT59" s="182" t="n"/>
      <c r="GV59" s="9">
        <f>C59</f>
        <v/>
      </c>
      <c r="GW59" s="185" t="n">
        <v>603749.4</v>
      </c>
      <c r="GX59" s="13">
        <f>GW60</f>
        <v/>
      </c>
      <c r="GY59" s="13">
        <f>GW59-GX59</f>
        <v/>
      </c>
      <c r="GZ59" s="193">
        <f>GY59/GX59</f>
        <v/>
      </c>
      <c r="HA59" s="182" t="n">
        <v>0.0035</v>
      </c>
      <c r="HB59" s="182" t="n"/>
      <c r="HD59" s="9">
        <f>C59</f>
        <v/>
      </c>
      <c r="HE59" s="222" t="n">
        <v>825064.6746</v>
      </c>
      <c r="HF59" s="13">
        <f>HE60</f>
        <v/>
      </c>
      <c r="HG59" s="13">
        <f>HE59-HF59</f>
        <v/>
      </c>
      <c r="HH59" s="193">
        <f>HG59/HF59</f>
        <v/>
      </c>
      <c r="HI59" s="194" t="n">
        <v>0.0158</v>
      </c>
      <c r="HJ59" s="182" t="n"/>
      <c r="HL59" s="9">
        <f>C59</f>
        <v/>
      </c>
      <c r="HM59" s="185" t="n">
        <v>114004.25</v>
      </c>
      <c r="HN59" s="13">
        <f>HM60</f>
        <v/>
      </c>
      <c r="HO59" s="13">
        <f>HM59-HN59</f>
        <v/>
      </c>
      <c r="HP59" s="193">
        <f>HO59/HN59</f>
        <v/>
      </c>
      <c r="HQ59" s="182" t="n">
        <v>-0.0054</v>
      </c>
      <c r="HR59" s="182" t="n"/>
      <c r="HT59" s="9">
        <f>C59</f>
        <v/>
      </c>
      <c r="HU59" s="222" t="n">
        <v>131568.8265</v>
      </c>
      <c r="HV59" s="13">
        <f>HU60</f>
        <v/>
      </c>
      <c r="HW59" s="13">
        <f>HU59-HV59</f>
        <v/>
      </c>
      <c r="HX59" s="193">
        <f>HW59/HV59</f>
        <v/>
      </c>
      <c r="HY59" s="182" t="n">
        <v>-0.0112</v>
      </c>
      <c r="HZ59" s="182" t="n"/>
      <c r="IB59" s="9">
        <f>C59</f>
        <v/>
      </c>
      <c r="IC59" s="185" t="n">
        <v>283484.79</v>
      </c>
      <c r="ID59" s="13">
        <f>IC60</f>
        <v/>
      </c>
      <c r="IE59" s="13">
        <f>IC59-ID59</f>
        <v/>
      </c>
      <c r="IF59" s="193">
        <f>IE59/ID59</f>
        <v/>
      </c>
      <c r="IG59" s="194" t="n">
        <v>-0.008999999999999999</v>
      </c>
      <c r="IH59" s="182" t="n"/>
      <c r="IJ59" s="9">
        <f>C59</f>
        <v/>
      </c>
      <c r="IK59" s="222" t="n">
        <v>952556.29</v>
      </c>
      <c r="IL59" s="13">
        <f>IK60</f>
        <v/>
      </c>
      <c r="IM59" s="13">
        <f>IK59-IL59</f>
        <v/>
      </c>
      <c r="IN59" s="193">
        <f>IM59/IL59</f>
        <v/>
      </c>
      <c r="IO59" s="182" t="n">
        <v>-0.0049</v>
      </c>
      <c r="IP59" s="182" t="n"/>
      <c r="IR59" s="9">
        <f>C59</f>
        <v/>
      </c>
      <c r="IS59" s="185" t="n">
        <v>153289</v>
      </c>
      <c r="IT59" s="13">
        <f>IS60</f>
        <v/>
      </c>
      <c r="IU59" s="13">
        <f>IS59-IT59</f>
        <v/>
      </c>
      <c r="IV59" s="193">
        <f>IU59/IT59</f>
        <v/>
      </c>
      <c r="IW59" s="182" t="n">
        <v>0.0012</v>
      </c>
      <c r="IX59" s="182" t="n"/>
      <c r="IZ59" s="9">
        <f>C59</f>
        <v/>
      </c>
      <c r="JA59" s="185" t="n">
        <v>5891329.15</v>
      </c>
      <c r="JB59" s="13">
        <f>JA60</f>
        <v/>
      </c>
      <c r="JC59" s="13">
        <f>JA59-JB59</f>
        <v/>
      </c>
      <c r="JD59" s="193">
        <f>JC59/JB59</f>
        <v/>
      </c>
      <c r="JE59" s="182" t="n">
        <v>0</v>
      </c>
      <c r="JF59" s="182" t="n"/>
      <c r="JH59" s="9">
        <f>C59</f>
        <v/>
      </c>
      <c r="JI59" s="185" t="n">
        <v>1258347.99</v>
      </c>
      <c r="JJ59" s="13">
        <f>JI60</f>
        <v/>
      </c>
      <c r="JK59" s="13">
        <f>JI59-JJ59</f>
        <v/>
      </c>
      <c r="JL59" s="193">
        <f>JK59/JJ59</f>
        <v/>
      </c>
      <c r="JM59" s="182" t="n">
        <v>-0.0037</v>
      </c>
      <c r="JN59" s="182" t="n"/>
      <c r="JP59" s="9">
        <f>C59</f>
        <v/>
      </c>
      <c r="JQ59" s="222" t="n">
        <v>986290.4148</v>
      </c>
      <c r="JR59" s="13">
        <f>JQ60</f>
        <v/>
      </c>
      <c r="JS59" s="13">
        <f>JQ59-JR59</f>
        <v/>
      </c>
      <c r="JT59" s="193">
        <f>JS59/JR59</f>
        <v/>
      </c>
      <c r="JU59" s="182" t="n">
        <v>0.0133</v>
      </c>
      <c r="JV59" s="194" t="n"/>
      <c r="JX59" s="9">
        <f>C59</f>
        <v/>
      </c>
      <c r="JY59" s="185" t="n">
        <v>1022048.8</v>
      </c>
      <c r="JZ59" s="13">
        <f>JY60</f>
        <v/>
      </c>
      <c r="KA59" s="13">
        <f>JY59-JZ59</f>
        <v/>
      </c>
      <c r="KB59" s="193">
        <f>KA59/JZ59</f>
        <v/>
      </c>
      <c r="KC59" s="182" t="n">
        <v>0.0072</v>
      </c>
      <c r="KD59" s="194" t="n"/>
      <c r="KF59" s="9">
        <f>C59</f>
        <v/>
      </c>
      <c r="KG59" s="222" t="n">
        <v>577955.9219</v>
      </c>
      <c r="KH59" s="13">
        <f>KG60</f>
        <v/>
      </c>
      <c r="KI59" s="13">
        <f>KG59-KH59</f>
        <v/>
      </c>
      <c r="KJ59" s="193">
        <f>KI59/KH59</f>
        <v/>
      </c>
      <c r="KK59" s="194" t="n">
        <v>0.0053</v>
      </c>
      <c r="KL59" s="194" t="n"/>
      <c r="KN59" s="9">
        <f>C59</f>
        <v/>
      </c>
      <c r="KO59" s="185" t="n">
        <v>6955275.95</v>
      </c>
      <c r="KP59" s="13">
        <f>KO60</f>
        <v/>
      </c>
      <c r="KQ59" s="13">
        <f>KO59-KP59</f>
        <v/>
      </c>
      <c r="KR59" s="193">
        <f>KQ59/KP59</f>
        <v/>
      </c>
      <c r="KS59" s="182" t="n">
        <v>0.0017</v>
      </c>
      <c r="KT59" s="182" t="n"/>
      <c r="KV59" s="9">
        <f>C59</f>
        <v/>
      </c>
      <c r="KW59" s="222" t="n">
        <v>1062872.9726</v>
      </c>
      <c r="KX59" s="13">
        <f>KW60</f>
        <v/>
      </c>
      <c r="KY59" s="13">
        <f>KW59-KX59</f>
        <v/>
      </c>
      <c r="KZ59" s="193">
        <f>KY59/KX59</f>
        <v/>
      </c>
      <c r="LA59" s="194" t="n">
        <v>-0.0192</v>
      </c>
      <c r="LB59" s="182" t="n"/>
      <c r="LD59" s="9">
        <f>C59</f>
        <v/>
      </c>
      <c r="LE59" s="185" t="n">
        <v>383107.7</v>
      </c>
      <c r="LF59" s="13">
        <f>LE60</f>
        <v/>
      </c>
      <c r="LG59" s="13">
        <f>LE59-LF59</f>
        <v/>
      </c>
      <c r="LH59" s="193">
        <f>LG59/LF59</f>
        <v/>
      </c>
      <c r="LI59" s="182" t="n">
        <v>0.0092</v>
      </c>
      <c r="LJ59" s="182" t="n"/>
      <c r="LL59" s="9">
        <f>C59</f>
        <v/>
      </c>
      <c r="LM59" s="672" t="n">
        <v>3230755.02</v>
      </c>
      <c r="LN59" s="13">
        <f>LM60</f>
        <v/>
      </c>
      <c r="LO59" s="13">
        <f>LM59-LN59</f>
        <v/>
      </c>
      <c r="LP59" s="193">
        <f>LO59/LN59</f>
        <v/>
      </c>
      <c r="LQ59" s="182" t="n">
        <v>-0.0164</v>
      </c>
      <c r="LR59" s="182" t="n"/>
      <c r="LT59" s="9">
        <f>C59</f>
        <v/>
      </c>
      <c r="LU59" s="222" t="n">
        <v>2306062.904</v>
      </c>
      <c r="LV59" s="13">
        <f>LU60</f>
        <v/>
      </c>
      <c r="LW59" s="13">
        <f>LU59-LV59</f>
        <v/>
      </c>
      <c r="LX59" s="193">
        <f>LW59/LV59</f>
        <v/>
      </c>
      <c r="LY59" s="182" t="n">
        <v>-0.0149</v>
      </c>
      <c r="LZ59" s="182" t="n"/>
      <c r="MB59" s="9">
        <f>C59</f>
        <v/>
      </c>
      <c r="MC59" s="185" t="n">
        <v>1103667.69</v>
      </c>
      <c r="MD59" s="13">
        <f>MC60</f>
        <v/>
      </c>
      <c r="ME59" s="13">
        <f>MC59-MD59</f>
        <v/>
      </c>
      <c r="MF59" s="193">
        <f>ME59/MD59</f>
        <v/>
      </c>
      <c r="MG59" s="182" t="n">
        <v>0.0071</v>
      </c>
      <c r="MH59" s="182" t="n"/>
      <c r="MK59" s="9">
        <f>C59</f>
        <v/>
      </c>
      <c r="ML59" s="223" t="n">
        <v>160545.5354</v>
      </c>
      <c r="MM59" s="13">
        <f>ML60</f>
        <v/>
      </c>
      <c r="MN59" s="13">
        <f>ML59-MM59</f>
        <v/>
      </c>
      <c r="MO59" s="193">
        <f>MN59/MM59</f>
        <v/>
      </c>
      <c r="MP59" s="182" t="n">
        <v>-0.0021</v>
      </c>
      <c r="MQ59" s="194" t="n"/>
      <c r="MR59" s="194" t="n"/>
      <c r="MT59" s="25">
        <f>C59</f>
        <v/>
      </c>
      <c r="MU59" s="9" t="n">
        <v>132114.8</v>
      </c>
      <c r="MV59" s="188">
        <f>MU60</f>
        <v/>
      </c>
      <c r="MW59" s="9">
        <f>MU59-MV59</f>
        <v/>
      </c>
      <c r="MX59" s="182">
        <f>MW59/MV59</f>
        <v/>
      </c>
      <c r="MY59" s="182" t="n">
        <v>0.0184</v>
      </c>
      <c r="MZ59" s="182" t="n"/>
      <c r="NA59" s="182" t="n"/>
      <c r="NC59" s="25">
        <f>C59</f>
        <v/>
      </c>
      <c r="ND59" s="9" t="n">
        <v>33891.48</v>
      </c>
      <c r="NE59" s="188">
        <f>ND60</f>
        <v/>
      </c>
      <c r="NF59" s="9">
        <f>ND59-NE59</f>
        <v/>
      </c>
      <c r="NG59" s="182">
        <f>NF59/NE59</f>
        <v/>
      </c>
      <c r="NH59" s="182" t="n">
        <v>0.0159</v>
      </c>
      <c r="NI59" s="182" t="n"/>
      <c r="NJ59" s="182" t="n"/>
      <c r="NK59" s="182" t="n"/>
      <c r="NM59" s="25">
        <f>C59</f>
        <v/>
      </c>
      <c r="NN59" s="9" t="n">
        <v>2806611.08</v>
      </c>
      <c r="NO59" s="9">
        <f>NN60</f>
        <v/>
      </c>
      <c r="NP59" s="197">
        <f>NN59-NO59</f>
        <v/>
      </c>
      <c r="NQ59" s="198">
        <f>NP59/NO59</f>
        <v/>
      </c>
      <c r="NR59" s="182" t="n">
        <v>-0.0059</v>
      </c>
      <c r="NS59" s="0" t="n"/>
      <c r="NU59" s="9">
        <f>C59</f>
        <v/>
      </c>
      <c r="NV59" s="9" t="n">
        <v>221776.5</v>
      </c>
      <c r="NW59" s="188">
        <f>NV60</f>
        <v/>
      </c>
      <c r="NX59" s="197">
        <f>NV59-NW59</f>
        <v/>
      </c>
      <c r="NY59" s="198">
        <f>NX59/NW59</f>
        <v/>
      </c>
      <c r="NZ59" s="182" t="n">
        <v>-0.0382</v>
      </c>
      <c r="OA59" s="0" t="n"/>
      <c r="OC59" s="9">
        <f>C59</f>
        <v/>
      </c>
      <c r="OD59" s="185" t="n">
        <v>18387.97</v>
      </c>
      <c r="OE59" s="13">
        <f>OD60</f>
        <v/>
      </c>
      <c r="OF59" s="13">
        <f>OD59-OE59</f>
        <v/>
      </c>
      <c r="OG59" s="193">
        <f>OF59/OE59</f>
        <v/>
      </c>
      <c r="OH59" s="182" t="n">
        <v>0.0004</v>
      </c>
      <c r="OI59" s="182" t="n"/>
      <c r="OK59" s="9">
        <f>C59</f>
        <v/>
      </c>
      <c r="OL59" s="185" t="n">
        <v>16031.65</v>
      </c>
      <c r="OM59" s="13">
        <f>OL60</f>
        <v/>
      </c>
      <c r="ON59" s="13">
        <f>OL59-OM59</f>
        <v/>
      </c>
      <c r="OO59" s="193">
        <f>ON59/OM59</f>
        <v/>
      </c>
      <c r="OP59" s="182" t="n">
        <v>0.0004</v>
      </c>
      <c r="OQ59" s="182" t="n"/>
      <c r="OT59" s="201">
        <f>OK59</f>
        <v/>
      </c>
      <c r="OU59" s="199" t="n">
        <v>155472.4066</v>
      </c>
      <c r="OV59" s="9">
        <f>OU60</f>
        <v/>
      </c>
      <c r="OW59" s="671">
        <f>OU59-OV59</f>
        <v/>
      </c>
      <c r="OX59" s="182">
        <f>OW59/OV59</f>
        <v/>
      </c>
      <c r="OY59" s="0" t="n">
        <v>-0.0222</v>
      </c>
    </row>
    <row r="60" ht="17" customFormat="1" customHeight="1" s="9">
      <c r="A60" s="631" t="n"/>
      <c r="B60" s="631" t="n"/>
      <c r="C60" s="680" t="inlineStr">
        <is>
          <t>2026//8/20</t>
        </is>
      </c>
      <c r="D60" s="20" t="n">
        <v>2374338.77</v>
      </c>
      <c r="E60" s="20">
        <f>D61</f>
        <v/>
      </c>
      <c r="F60" s="20">
        <f>D60-E60</f>
        <v/>
      </c>
      <c r="G60" s="163">
        <f>F60/E60</f>
        <v/>
      </c>
      <c r="H60" s="19" t="n">
        <v>-0.0002</v>
      </c>
      <c r="I60" s="163" t="n"/>
      <c r="J60" s="163" t="n"/>
      <c r="K60" s="20">
        <f>C60</f>
        <v/>
      </c>
      <c r="L60" s="20" t="n">
        <v>1152244.4</v>
      </c>
      <c r="M60" s="20">
        <f>L61</f>
        <v/>
      </c>
      <c r="N60" s="20">
        <f>L60-M60</f>
        <v/>
      </c>
      <c r="O60" s="163">
        <f>N60/M60</f>
        <v/>
      </c>
      <c r="P60" s="19" t="n">
        <v>0.0011</v>
      </c>
      <c r="Q60" s="163" t="n"/>
      <c r="R60" s="20" t="n"/>
      <c r="S60" s="20">
        <f>C60</f>
        <v/>
      </c>
      <c r="T60" s="20" t="n">
        <v>729246.6800000001</v>
      </c>
      <c r="U60" s="20">
        <f>T61</f>
        <v/>
      </c>
      <c r="V60" s="20">
        <f>T60-U60</f>
        <v/>
      </c>
      <c r="W60" s="163">
        <f>V60/U60</f>
        <v/>
      </c>
      <c r="X60" s="19" t="n">
        <v>-0.0037</v>
      </c>
      <c r="Y60" s="163" t="n"/>
      <c r="Z60" s="20" t="n"/>
      <c r="AA60" s="20">
        <f>S60</f>
        <v/>
      </c>
      <c r="AB60" s="20" t="n">
        <v>506976.86</v>
      </c>
      <c r="AC60" s="20">
        <f>AB61</f>
        <v/>
      </c>
      <c r="AD60" s="20">
        <f>AB60-AC60</f>
        <v/>
      </c>
      <c r="AE60" s="163">
        <f>AD60/AC60</f>
        <v/>
      </c>
      <c r="AF60" s="19" t="n">
        <v>0.0076</v>
      </c>
      <c r="AG60" s="163" t="n"/>
      <c r="AH60" s="20" t="n"/>
      <c r="AI60" s="20">
        <f>C60</f>
        <v/>
      </c>
      <c r="AJ60" s="20" t="n">
        <v>678721.76</v>
      </c>
      <c r="AK60" s="20">
        <f>AJ61</f>
        <v/>
      </c>
      <c r="AL60" s="20">
        <f>AJ60-AK60</f>
        <v/>
      </c>
      <c r="AM60" s="163">
        <f>AL60/AK60</f>
        <v/>
      </c>
      <c r="AN60" s="19" t="n">
        <v>0.008500000000000001</v>
      </c>
      <c r="AO60" s="19" t="n"/>
      <c r="AP60" s="20" t="n"/>
      <c r="AQ60" s="20">
        <f>C60</f>
        <v/>
      </c>
      <c r="AR60" s="634" t="n">
        <v>1816045.4936</v>
      </c>
      <c r="AS60" s="20">
        <f>AR61</f>
        <v/>
      </c>
      <c r="AT60" s="20">
        <f>AR60-AS60</f>
        <v/>
      </c>
      <c r="AU60" s="163">
        <f>AT60/AS60</f>
        <v/>
      </c>
      <c r="AV60" s="19" t="n">
        <v>0.004</v>
      </c>
      <c r="AW60" s="19" t="n"/>
      <c r="AX60" s="5" t="n"/>
      <c r="AY60" s="5" t="n"/>
      <c r="AZ60" s="20">
        <f>C60</f>
        <v/>
      </c>
      <c r="BA60" s="220" t="n">
        <v>627141.6676</v>
      </c>
      <c r="BB60" s="188">
        <f>BA61</f>
        <v/>
      </c>
      <c r="BC60" s="5">
        <f>BA60-BB60</f>
        <v/>
      </c>
      <c r="BD60" s="19">
        <f>BC60/BB60</f>
        <v/>
      </c>
      <c r="BE60" s="19" t="n">
        <v>0.0014</v>
      </c>
      <c r="BF60" s="19" t="n"/>
      <c r="BG60" s="647" t="n"/>
      <c r="BH60" s="9">
        <f>C60</f>
        <v/>
      </c>
      <c r="BI60" s="221" t="n">
        <v>1243626.5525</v>
      </c>
      <c r="BJ60" s="184">
        <f>BI61</f>
        <v/>
      </c>
      <c r="BK60" s="184">
        <f>BI60-BJ60</f>
        <v/>
      </c>
      <c r="BL60" s="190">
        <f>BK60/BJ60</f>
        <v/>
      </c>
      <c r="BM60" s="191" t="n">
        <v>0.0072</v>
      </c>
      <c r="BN60" s="182" t="n"/>
      <c r="BP60" s="9">
        <f>C60</f>
        <v/>
      </c>
      <c r="BQ60" s="672" t="n">
        <v>1396762.3921</v>
      </c>
      <c r="BR60" s="13">
        <f>BQ61</f>
        <v/>
      </c>
      <c r="BS60" s="13">
        <f>BQ60-BR60</f>
        <v/>
      </c>
      <c r="BT60" s="193">
        <f>BS60/BR60</f>
        <v/>
      </c>
      <c r="BU60" s="182" t="n">
        <v>0.0015</v>
      </c>
      <c r="BV60" s="182" t="n"/>
      <c r="BX60" s="9">
        <f>C60</f>
        <v/>
      </c>
      <c r="BY60" s="222" t="n">
        <v>1669810.7019</v>
      </c>
      <c r="BZ60" s="13">
        <f>BY61</f>
        <v/>
      </c>
      <c r="CA60" s="13">
        <f>BY60-BZ60</f>
        <v/>
      </c>
      <c r="CB60" s="193">
        <f>CA60/BZ60</f>
        <v/>
      </c>
      <c r="CC60" s="182" t="n">
        <v>0.0062</v>
      </c>
      <c r="CD60" s="194" t="n"/>
      <c r="CF60" s="9">
        <f>C60</f>
        <v/>
      </c>
      <c r="CG60" s="185" t="n">
        <v>1313303.9</v>
      </c>
      <c r="CH60" s="13">
        <f>CG61</f>
        <v/>
      </c>
      <c r="CI60" s="13">
        <f>CG60-CH60</f>
        <v/>
      </c>
      <c r="CJ60" s="193">
        <f>CI60/CH60</f>
        <v/>
      </c>
      <c r="CK60" s="182" t="n">
        <v>0.0107</v>
      </c>
      <c r="CL60" s="194" t="n"/>
      <c r="CN60" s="9">
        <f>C60</f>
        <v/>
      </c>
      <c r="CO60" s="185" t="n">
        <v>527446.48</v>
      </c>
      <c r="CP60" s="13">
        <f>CO61</f>
        <v/>
      </c>
      <c r="CQ60" s="13">
        <f>CO60-CP60</f>
        <v/>
      </c>
      <c r="CR60" s="193">
        <f>CQ60/CP60</f>
        <v/>
      </c>
      <c r="CS60" s="194" t="n">
        <v>0.0137</v>
      </c>
      <c r="CT60" s="194" t="n"/>
      <c r="CV60" s="9">
        <f>C60</f>
        <v/>
      </c>
      <c r="CW60" s="185" t="n">
        <v>739440.4</v>
      </c>
      <c r="CX60" s="13">
        <f>CW61</f>
        <v/>
      </c>
      <c r="CY60" s="13">
        <f>CW60-CX60</f>
        <v/>
      </c>
      <c r="CZ60" s="193">
        <f>CY60/CX60</f>
        <v/>
      </c>
      <c r="DA60" s="182" t="n">
        <v>0.0508</v>
      </c>
      <c r="DB60" s="182" t="n"/>
      <c r="DC60" s="256" t="n"/>
      <c r="DD60" s="9">
        <f>C60</f>
        <v/>
      </c>
      <c r="DE60" s="222" t="n">
        <v>5953135.9972</v>
      </c>
      <c r="DF60" s="13">
        <f>DE61</f>
        <v/>
      </c>
      <c r="DG60" s="13">
        <f>DE60-DF60</f>
        <v/>
      </c>
      <c r="DH60" s="193">
        <f>DG60/DF60</f>
        <v/>
      </c>
      <c r="DI60" s="182" t="n">
        <v>-0.0041</v>
      </c>
      <c r="DJ60" s="182" t="n"/>
      <c r="DK60" s="0" t="n"/>
      <c r="DL60" s="9">
        <f>C60</f>
        <v/>
      </c>
      <c r="DM60" s="185" t="n">
        <v>1925000.72</v>
      </c>
      <c r="DN60" s="13">
        <f>DM61</f>
        <v/>
      </c>
      <c r="DO60" s="13">
        <f>DM60-DN60</f>
        <v/>
      </c>
      <c r="DP60" s="193">
        <f>DO60/DN60</f>
        <v/>
      </c>
      <c r="DQ60" s="182" t="n">
        <v>-0.0057</v>
      </c>
      <c r="DR60" s="182" t="n"/>
      <c r="DT60" s="9">
        <f>C60</f>
        <v/>
      </c>
      <c r="DU60" s="185" t="n">
        <v>4259968.43</v>
      </c>
      <c r="DV60" s="13">
        <f>DU61</f>
        <v/>
      </c>
      <c r="DW60" s="13">
        <f>DU60-DV60</f>
        <v/>
      </c>
      <c r="DX60" s="193">
        <f>DW60/DV60</f>
        <v/>
      </c>
      <c r="DY60" s="182" t="n">
        <v>-0.0042</v>
      </c>
      <c r="DZ60" s="182" t="n"/>
      <c r="EB60" s="9">
        <f>C60</f>
        <v/>
      </c>
      <c r="EC60" s="185" t="n">
        <v>4986866.82</v>
      </c>
      <c r="ED60" s="13">
        <f>EC61</f>
        <v/>
      </c>
      <c r="EE60" s="13">
        <f>EC60-ED60</f>
        <v/>
      </c>
      <c r="EF60" s="193">
        <f>EE60/ED60</f>
        <v/>
      </c>
      <c r="EG60" s="182" t="n">
        <v>-0.0097</v>
      </c>
      <c r="EH60" s="182" t="n"/>
      <c r="EJ60" s="9">
        <f>C60</f>
        <v/>
      </c>
      <c r="EK60" s="222" t="n">
        <v>1205322.9669</v>
      </c>
      <c r="EL60" s="13">
        <f>EK61</f>
        <v/>
      </c>
      <c r="EM60" s="13">
        <f>EK60-EL60</f>
        <v/>
      </c>
      <c r="EN60" s="193">
        <f>EM60/EL60</f>
        <v/>
      </c>
      <c r="EO60" s="182" t="n">
        <v>-0.0052</v>
      </c>
      <c r="EP60" s="182" t="n"/>
      <c r="ER60" s="9">
        <f>C60</f>
        <v/>
      </c>
      <c r="ES60" s="9" t="n">
        <v>747694.04</v>
      </c>
      <c r="ET60" s="13">
        <f>ES61</f>
        <v/>
      </c>
      <c r="EU60" s="13">
        <f>ES60-ET60</f>
        <v/>
      </c>
      <c r="EV60" s="193">
        <f>EU60/ET60</f>
        <v/>
      </c>
      <c r="EW60" s="182" t="n">
        <v>-0.0064</v>
      </c>
      <c r="EX60" s="182" t="n"/>
      <c r="EZ60" s="9">
        <f>C60</f>
        <v/>
      </c>
      <c r="FA60" s="185" t="n">
        <v>594308</v>
      </c>
      <c r="FB60" s="13">
        <f>FA61</f>
        <v/>
      </c>
      <c r="FC60" s="13">
        <f>FA60-FB60</f>
        <v/>
      </c>
      <c r="FD60" s="193">
        <f>FC60/FB60</f>
        <v/>
      </c>
      <c r="FE60" s="182" t="n">
        <v>-0.009900000000000001</v>
      </c>
      <c r="FF60" s="182" t="n"/>
      <c r="FH60" s="9">
        <f>C60</f>
        <v/>
      </c>
      <c r="FI60" s="672" t="n">
        <v>1012595.3365</v>
      </c>
      <c r="FJ60" s="13">
        <f>FI61</f>
        <v/>
      </c>
      <c r="FK60" s="13">
        <f>FI60-FJ60</f>
        <v/>
      </c>
      <c r="FL60" s="193">
        <f>FK60/FJ60</f>
        <v/>
      </c>
      <c r="FM60" s="194" t="n">
        <v>-0.0226</v>
      </c>
      <c r="FN60" s="194" t="n"/>
      <c r="FP60" s="9">
        <f>C60</f>
        <v/>
      </c>
      <c r="FQ60" s="185" t="n">
        <v>1889668.73</v>
      </c>
      <c r="FR60" s="13">
        <f>FQ61</f>
        <v/>
      </c>
      <c r="FS60" s="13">
        <f>FQ60-FR60</f>
        <v/>
      </c>
      <c r="FT60" s="193">
        <f>FS60/FR60</f>
        <v/>
      </c>
      <c r="FU60" s="182" t="n">
        <v>-0.0042</v>
      </c>
      <c r="FV60" s="182" t="n"/>
      <c r="FX60" s="9">
        <f>C60</f>
        <v/>
      </c>
      <c r="FY60" s="185" t="n">
        <v>7115582.05</v>
      </c>
      <c r="FZ60" s="13">
        <f>FY61</f>
        <v/>
      </c>
      <c r="GA60" s="13">
        <f>FY60-FZ60</f>
        <v/>
      </c>
      <c r="GB60" s="193">
        <f>GA60/FZ60</f>
        <v/>
      </c>
      <c r="GC60" s="182" t="n">
        <v>0.0436</v>
      </c>
      <c r="GD60" s="182" t="n"/>
      <c r="GF60" s="9">
        <f>C60</f>
        <v/>
      </c>
      <c r="GG60" s="185" t="n">
        <v>4057669.49</v>
      </c>
      <c r="GH60" s="13">
        <f>GG61</f>
        <v/>
      </c>
      <c r="GI60" s="13">
        <f>GG60-GH60</f>
        <v/>
      </c>
      <c r="GJ60" s="193">
        <f>GI60/GH60</f>
        <v/>
      </c>
      <c r="GK60" s="182" t="n">
        <v>0.0101</v>
      </c>
      <c r="GL60" s="182" t="n"/>
      <c r="GN60" s="9">
        <f>C60</f>
        <v/>
      </c>
      <c r="GO60" s="222" t="n">
        <v>1900798.1217</v>
      </c>
      <c r="GP60" s="13">
        <f>GO61</f>
        <v/>
      </c>
      <c r="GQ60" s="13">
        <f>GO60-GP60</f>
        <v/>
      </c>
      <c r="GR60" s="193">
        <f>GQ60/GP60</f>
        <v/>
      </c>
      <c r="GS60" s="182" t="n">
        <v>0.0424</v>
      </c>
      <c r="GT60" s="182" t="n"/>
      <c r="GV60" s="9">
        <f>C60</f>
        <v/>
      </c>
      <c r="GW60" s="185" t="n">
        <v>605549.4</v>
      </c>
      <c r="GX60" s="13">
        <f>GW61</f>
        <v/>
      </c>
      <c r="GY60" s="13">
        <f>GW60-GX60</f>
        <v/>
      </c>
      <c r="GZ60" s="193">
        <f>GY60/GX60</f>
        <v/>
      </c>
      <c r="HA60" s="182" t="n">
        <v>0.0047</v>
      </c>
      <c r="HB60" s="182" t="n"/>
      <c r="HD60" s="9">
        <f>C60</f>
        <v/>
      </c>
      <c r="HE60" s="222" t="n">
        <v>834564.6746</v>
      </c>
      <c r="HF60" s="13">
        <f>HE61</f>
        <v/>
      </c>
      <c r="HG60" s="13">
        <f>HE60-HF60</f>
        <v/>
      </c>
      <c r="HH60" s="193">
        <f>HG60/HF60</f>
        <v/>
      </c>
      <c r="HI60" s="194" t="n">
        <v>-0.0053</v>
      </c>
      <c r="HJ60" s="182" t="n"/>
      <c r="HL60" s="9">
        <f>C60</f>
        <v/>
      </c>
      <c r="HM60" s="185" t="n">
        <v>114404.25</v>
      </c>
      <c r="HN60" s="13">
        <f>HM61</f>
        <v/>
      </c>
      <c r="HO60" s="13">
        <f>HM60-HN60</f>
        <v/>
      </c>
      <c r="HP60" s="193">
        <f>HO60/HN60</f>
        <v/>
      </c>
      <c r="HQ60" s="182" t="n">
        <v>0.0119</v>
      </c>
      <c r="HR60" s="182" t="n"/>
      <c r="HT60" s="9">
        <f>C60</f>
        <v/>
      </c>
      <c r="HU60" s="222" t="n">
        <v>131968.8265</v>
      </c>
      <c r="HV60" s="13">
        <f>HU61</f>
        <v/>
      </c>
      <c r="HW60" s="13">
        <f>HU60-HV60</f>
        <v/>
      </c>
      <c r="HX60" s="193">
        <f>HW60/HV60</f>
        <v/>
      </c>
      <c r="HY60" s="182" t="n">
        <v>0.0056</v>
      </c>
      <c r="HZ60" s="182" t="n"/>
      <c r="IB60" s="9">
        <f>C60</f>
        <v/>
      </c>
      <c r="IC60" s="185" t="n">
        <v>285309.79</v>
      </c>
      <c r="ID60" s="13">
        <f>IC61</f>
        <v/>
      </c>
      <c r="IE60" s="13">
        <f>IC60-ID60</f>
        <v/>
      </c>
      <c r="IF60" s="193">
        <f>IE60/ID60</f>
        <v/>
      </c>
      <c r="IG60" s="194" t="n">
        <v>0.0091</v>
      </c>
      <c r="IH60" s="182" t="n"/>
      <c r="IJ60" s="9">
        <f>C60</f>
        <v/>
      </c>
      <c r="IK60" s="222" t="n">
        <v>953996.29</v>
      </c>
      <c r="IL60" s="13">
        <f>IK61</f>
        <v/>
      </c>
      <c r="IM60" s="13">
        <f>IK60-IL60</f>
        <v/>
      </c>
      <c r="IN60" s="193">
        <f>IM60/IL60</f>
        <v/>
      </c>
      <c r="IO60" s="182" t="n">
        <v>0.001</v>
      </c>
      <c r="IP60" s="182" t="n"/>
      <c r="IR60" s="9">
        <f>C60</f>
        <v/>
      </c>
      <c r="IS60" s="185" t="n">
        <v>155189</v>
      </c>
      <c r="IT60" s="13">
        <f>IS61</f>
        <v/>
      </c>
      <c r="IU60" s="13">
        <f>IS60-IT60</f>
        <v/>
      </c>
      <c r="IV60" s="193">
        <f>IU60/IT60</f>
        <v/>
      </c>
      <c r="IW60" s="182" t="n">
        <v>0.0072</v>
      </c>
      <c r="IX60" s="182" t="n"/>
      <c r="IZ60" s="9">
        <f>C60</f>
        <v/>
      </c>
      <c r="JA60" s="185" t="n">
        <v>5893729.15</v>
      </c>
      <c r="JB60" s="13">
        <f>JA61</f>
        <v/>
      </c>
      <c r="JC60" s="13">
        <f>JA60-JB60</f>
        <v/>
      </c>
      <c r="JD60" s="193">
        <f>JC60/JB60</f>
        <v/>
      </c>
      <c r="JE60" s="182" t="n">
        <v>0.0009</v>
      </c>
      <c r="JF60" s="182" t="n"/>
      <c r="JH60" s="9">
        <f>C60</f>
        <v/>
      </c>
      <c r="JI60" s="185" t="n">
        <v>1258707.99</v>
      </c>
      <c r="JJ60" s="13">
        <f>JI61</f>
        <v/>
      </c>
      <c r="JK60" s="13">
        <f>JI60-JJ60</f>
        <v/>
      </c>
      <c r="JL60" s="193">
        <f>JK60/JJ60</f>
        <v/>
      </c>
      <c r="JM60" s="182" t="n">
        <v>0.0037</v>
      </c>
      <c r="JN60" s="182" t="n"/>
      <c r="JP60" s="9">
        <f>C60</f>
        <v/>
      </c>
      <c r="JQ60" s="222" t="n">
        <v>993290.4148</v>
      </c>
      <c r="JR60" s="13">
        <f>JQ61</f>
        <v/>
      </c>
      <c r="JS60" s="13">
        <f>JQ60-JR60</f>
        <v/>
      </c>
      <c r="JT60" s="193">
        <f>JS60/JR60</f>
        <v/>
      </c>
      <c r="JU60" s="182" t="n">
        <v>0.0101</v>
      </c>
      <c r="JV60" s="194" t="n"/>
      <c r="JX60" s="9">
        <f>C60</f>
        <v/>
      </c>
      <c r="JY60" s="185" t="n">
        <v>1028648.8</v>
      </c>
      <c r="JZ60" s="13">
        <f>JY61</f>
        <v/>
      </c>
      <c r="KA60" s="13">
        <f>JY60-JZ60</f>
        <v/>
      </c>
      <c r="KB60" s="193">
        <f>KA60/JZ60</f>
        <v/>
      </c>
      <c r="KC60" s="182" t="n">
        <v>0.005</v>
      </c>
      <c r="KD60" s="194" t="n"/>
      <c r="KF60" s="9">
        <f>C60</f>
        <v/>
      </c>
      <c r="KG60" s="222" t="n">
        <v>578155.9219</v>
      </c>
      <c r="KH60" s="13">
        <f>KG61</f>
        <v/>
      </c>
      <c r="KI60" s="13">
        <f>KG60-KH60</f>
        <v/>
      </c>
      <c r="KJ60" s="193">
        <f>KI60/KH60</f>
        <v/>
      </c>
      <c r="KK60" s="194" t="n">
        <v>0.012</v>
      </c>
      <c r="KL60" s="194" t="n"/>
      <c r="KN60" s="9">
        <f>C60</f>
        <v/>
      </c>
      <c r="KO60" s="185" t="n">
        <v>6957375.95</v>
      </c>
      <c r="KP60" s="13">
        <f>KO61</f>
        <v/>
      </c>
      <c r="KQ60" s="13">
        <f>KO60-KP60</f>
        <v/>
      </c>
      <c r="KR60" s="193">
        <f>KQ60/KP60</f>
        <v/>
      </c>
      <c r="KS60" s="182" t="n">
        <v>0.0119</v>
      </c>
      <c r="KT60" s="182" t="n"/>
      <c r="KV60" s="9">
        <f>C60</f>
        <v/>
      </c>
      <c r="KW60" s="222" t="n">
        <v>1062872.9726</v>
      </c>
      <c r="KX60" s="13">
        <f>KW61</f>
        <v/>
      </c>
      <c r="KY60" s="13">
        <f>KW60-KX60</f>
        <v/>
      </c>
      <c r="KZ60" s="193">
        <f>KY60/KX60</f>
        <v/>
      </c>
      <c r="LA60" s="194" t="n">
        <v>0.0519</v>
      </c>
      <c r="LB60" s="182" t="n"/>
      <c r="LD60" s="9">
        <f>C60</f>
        <v/>
      </c>
      <c r="LE60" s="185" t="n">
        <v>382907.7</v>
      </c>
      <c r="LF60" s="13">
        <f>LE61</f>
        <v/>
      </c>
      <c r="LG60" s="13">
        <f>LE60-LF60</f>
        <v/>
      </c>
      <c r="LH60" s="193">
        <f>LG60/LF60</f>
        <v/>
      </c>
      <c r="LI60" s="182" t="n">
        <v>-0.0153</v>
      </c>
      <c r="LJ60" s="182" t="n"/>
      <c r="LL60" s="9">
        <f>C60</f>
        <v/>
      </c>
      <c r="LM60" s="672" t="n">
        <v>3225175.02</v>
      </c>
      <c r="LN60" s="13">
        <f>LM61</f>
        <v/>
      </c>
      <c r="LO60" s="13">
        <f>LM60-LN60</f>
        <v/>
      </c>
      <c r="LP60" s="193">
        <f>LO60/LN60</f>
        <v/>
      </c>
      <c r="LQ60" s="182" t="n">
        <v>0.0024</v>
      </c>
      <c r="LR60" s="182" t="n"/>
      <c r="LT60" s="9">
        <f>C60</f>
        <v/>
      </c>
      <c r="LU60" s="222" t="n">
        <v>2306062.904</v>
      </c>
      <c r="LV60" s="13">
        <f>LU61</f>
        <v/>
      </c>
      <c r="LW60" s="13">
        <f>LU60-LV60</f>
        <v/>
      </c>
      <c r="LX60" s="193">
        <f>LW60/LV60</f>
        <v/>
      </c>
      <c r="LY60" s="182" t="n">
        <v>0.0075</v>
      </c>
      <c r="LZ60" s="182" t="n"/>
      <c r="MB60" s="9">
        <f>C60</f>
        <v/>
      </c>
      <c r="MC60" s="185" t="n">
        <v>1105317.69</v>
      </c>
      <c r="MD60" s="13">
        <f>MC61</f>
        <v/>
      </c>
      <c r="ME60" s="13">
        <f>MC60-MD60</f>
        <v/>
      </c>
      <c r="MF60" s="193">
        <f>ME60/MD60</f>
        <v/>
      </c>
      <c r="MG60" s="182" t="n">
        <v>-0.0039</v>
      </c>
      <c r="MH60" s="182" t="n"/>
      <c r="MK60" s="9">
        <f>C60</f>
        <v/>
      </c>
      <c r="ML60" s="223" t="n">
        <v>160665.5354</v>
      </c>
      <c r="MM60" s="13">
        <f>ML61</f>
        <v/>
      </c>
      <c r="MN60" s="13">
        <f>ML60-MM60</f>
        <v/>
      </c>
      <c r="MO60" s="193">
        <f>MN60/MM60</f>
        <v/>
      </c>
      <c r="MP60" s="182" t="n">
        <v>0.0052</v>
      </c>
      <c r="MQ60" s="194" t="n"/>
      <c r="MR60" s="194" t="n"/>
      <c r="MT60" s="25">
        <f>C60</f>
        <v/>
      </c>
      <c r="MU60" s="9" t="n">
        <v>131214.8</v>
      </c>
      <c r="MV60" s="188">
        <f>MU61</f>
        <v/>
      </c>
      <c r="MW60" s="9">
        <f>MU60-MV60</f>
        <v/>
      </c>
      <c r="MX60" s="182">
        <f>MW60/MV60</f>
        <v/>
      </c>
      <c r="MY60" s="182" t="n">
        <v>-0.0041</v>
      </c>
      <c r="MZ60" s="182" t="n"/>
      <c r="NA60" s="182" t="n"/>
      <c r="NC60" s="25">
        <f>C60</f>
        <v/>
      </c>
      <c r="ND60" s="9" t="n">
        <v>33091.48</v>
      </c>
      <c r="NE60" s="188">
        <f>ND61</f>
        <v/>
      </c>
      <c r="NF60" s="9">
        <f>ND60-NE60</f>
        <v/>
      </c>
      <c r="NG60" s="182">
        <f>NF60/NE60</f>
        <v/>
      </c>
      <c r="NH60" s="182" t="n">
        <v>0.0043</v>
      </c>
      <c r="NI60" s="182" t="n"/>
      <c r="NJ60" s="182" t="n"/>
      <c r="NK60" s="182" t="n"/>
      <c r="NM60" s="25">
        <f>C60</f>
        <v/>
      </c>
      <c r="NN60" s="9" t="n">
        <v>2798011.08</v>
      </c>
      <c r="NO60" s="9">
        <f>NN61</f>
        <v/>
      </c>
      <c r="NP60" s="197">
        <f>NN60-NO60</f>
        <v/>
      </c>
      <c r="NQ60" s="198">
        <f>NP60/NO60</f>
        <v/>
      </c>
      <c r="NR60" s="182" t="n">
        <v>0.0068</v>
      </c>
      <c r="NS60" s="0" t="n"/>
      <c r="NU60" s="9">
        <f>C60</f>
        <v/>
      </c>
      <c r="NV60" s="268" t="n">
        <v>218076.5</v>
      </c>
      <c r="NW60" s="188">
        <f>NV61</f>
        <v/>
      </c>
      <c r="NX60" s="197">
        <f>NV60-NW60</f>
        <v/>
      </c>
      <c r="NY60" s="198">
        <f>NX60/NW60</f>
        <v/>
      </c>
      <c r="NZ60" s="182" t="n">
        <v>0.0226</v>
      </c>
      <c r="OA60" s="9" t="n"/>
      <c r="OC60" s="9">
        <f>C60</f>
        <v/>
      </c>
      <c r="OD60" s="185" t="n">
        <v>18215.97</v>
      </c>
      <c r="OE60" s="13">
        <f>OD61</f>
        <v/>
      </c>
      <c r="OF60" s="13">
        <f>OD60-OE60</f>
        <v/>
      </c>
      <c r="OG60" s="193">
        <f>OF60/OE60</f>
        <v/>
      </c>
      <c r="OH60" s="182" t="n">
        <v>-0.0037</v>
      </c>
      <c r="OI60" s="182" t="n"/>
      <c r="OK60" s="9">
        <f>C60</f>
        <v/>
      </c>
      <c r="OL60" s="185" t="n">
        <v>16015.65</v>
      </c>
      <c r="OM60" s="13">
        <f>OL61</f>
        <v/>
      </c>
      <c r="ON60" s="13">
        <f>OL60-OM60</f>
        <v/>
      </c>
      <c r="OO60" s="193">
        <f>ON60/OM60</f>
        <v/>
      </c>
      <c r="OP60" s="182" t="n">
        <v>-0.0009</v>
      </c>
      <c r="OQ60" s="182" t="n"/>
      <c r="OT60" s="201">
        <f>OK60</f>
        <v/>
      </c>
      <c r="OU60" s="199" t="n">
        <v>155352.4066</v>
      </c>
      <c r="OV60" s="9">
        <f>OU61</f>
        <v/>
      </c>
      <c r="OW60" s="671">
        <f>OU60-OV60</f>
        <v/>
      </c>
      <c r="OX60" s="182">
        <f>OW60/OV60</f>
        <v/>
      </c>
      <c r="OY60" s="0" t="n">
        <v>-0.0009</v>
      </c>
    </row>
    <row r="61" ht="17" customFormat="1" customHeight="1" s="9">
      <c r="A61" s="631" t="n"/>
      <c r="B61" s="631" t="n"/>
      <c r="C61" s="680" t="inlineStr">
        <is>
          <t>2026//8/19</t>
        </is>
      </c>
      <c r="D61" s="20" t="n">
        <v>2385858.77</v>
      </c>
      <c r="E61" s="20">
        <f>D62</f>
        <v/>
      </c>
      <c r="F61" s="20">
        <f>D61-E61</f>
        <v/>
      </c>
      <c r="G61" s="163">
        <f>F61/E61</f>
        <v/>
      </c>
      <c r="H61" s="19" t="n">
        <v>-0.0278</v>
      </c>
      <c r="I61" s="163" t="n"/>
      <c r="J61" s="163" t="n"/>
      <c r="K61" s="20">
        <f>C61</f>
        <v/>
      </c>
      <c r="L61" s="20" t="n">
        <v>1143334.4</v>
      </c>
      <c r="M61" s="20">
        <f>L62</f>
        <v/>
      </c>
      <c r="N61" s="20">
        <f>L61-M61</f>
        <v/>
      </c>
      <c r="O61" s="163">
        <f>N61/M61</f>
        <v/>
      </c>
      <c r="P61" s="19" t="n">
        <v>-0.0282</v>
      </c>
      <c r="Q61" s="163" t="n"/>
      <c r="R61" s="20" t="n"/>
      <c r="S61" s="20">
        <f>C61</f>
        <v/>
      </c>
      <c r="T61" s="20" t="n">
        <v>694056.6800000001</v>
      </c>
      <c r="U61" s="20">
        <f>T62</f>
        <v/>
      </c>
      <c r="V61" s="20">
        <f>T61-U61</f>
        <v/>
      </c>
      <c r="W61" s="163">
        <f>V61/U61</f>
        <v/>
      </c>
      <c r="X61" s="19" t="n">
        <v>-0.0158</v>
      </c>
      <c r="Y61" s="163" t="n"/>
      <c r="Z61" s="20" t="n"/>
      <c r="AA61" s="20">
        <f>S61</f>
        <v/>
      </c>
      <c r="AB61" s="20" t="n">
        <v>516456.86</v>
      </c>
      <c r="AC61" s="20">
        <f>AB62</f>
        <v/>
      </c>
      <c r="AD61" s="20">
        <f>AB61-AC61</f>
        <v/>
      </c>
      <c r="AE61" s="163">
        <f>AD61/AC61</f>
        <v/>
      </c>
      <c r="AF61" s="19" t="n">
        <v>-0.0465</v>
      </c>
      <c r="AG61" s="163" t="n"/>
      <c r="AH61" s="20" t="n"/>
      <c r="AI61" s="20">
        <f>C61</f>
        <v/>
      </c>
      <c r="AJ61" s="20" t="n">
        <v>734121.76</v>
      </c>
      <c r="AK61" s="20">
        <f>AJ62</f>
        <v/>
      </c>
      <c r="AL61" s="20">
        <f>AJ61-AK61</f>
        <v/>
      </c>
      <c r="AM61" s="163">
        <f>AL61/AK61</f>
        <v/>
      </c>
      <c r="AN61" s="19" t="n">
        <v>-0.0514</v>
      </c>
      <c r="AO61" s="19" t="n"/>
      <c r="AP61" s="20" t="n"/>
      <c r="AQ61" s="20">
        <f>C61</f>
        <v/>
      </c>
      <c r="AR61" s="634" t="n">
        <v>1841045.4936</v>
      </c>
      <c r="AS61" s="20">
        <f>AR62</f>
        <v/>
      </c>
      <c r="AT61" s="20">
        <f>AR61-AS61</f>
        <v/>
      </c>
      <c r="AU61" s="163">
        <f>AT61/AS61</f>
        <v/>
      </c>
      <c r="AV61" s="19" t="n">
        <v>-0.0604</v>
      </c>
      <c r="AW61" s="19" t="n"/>
      <c r="AX61" s="5" t="n"/>
      <c r="AY61" s="5" t="n"/>
      <c r="AZ61" s="20">
        <f>C61</f>
        <v/>
      </c>
      <c r="BA61" s="220" t="n">
        <v>626601.6676</v>
      </c>
      <c r="BB61" s="188">
        <f>BA62</f>
        <v/>
      </c>
      <c r="BC61" s="5">
        <f>BA61-BB61</f>
        <v/>
      </c>
      <c r="BD61" s="19">
        <f>BC61/BB61</f>
        <v/>
      </c>
      <c r="BE61" s="19" t="n">
        <v>-0.0292</v>
      </c>
      <c r="BF61" s="19" t="n"/>
      <c r="BG61" s="647" t="n"/>
      <c r="BH61" s="9">
        <f>C61</f>
        <v/>
      </c>
      <c r="BI61" s="221" t="n">
        <v>1252926.5525</v>
      </c>
      <c r="BJ61" s="184">
        <f>BI62</f>
        <v/>
      </c>
      <c r="BK61" s="184">
        <f>BI61-BJ61</f>
        <v/>
      </c>
      <c r="BL61" s="190">
        <f>BK61/BJ61</f>
        <v/>
      </c>
      <c r="BM61" s="191" t="n">
        <v>-0.0509</v>
      </c>
      <c r="BN61" s="182" t="n"/>
      <c r="BP61" s="9">
        <f>C61</f>
        <v/>
      </c>
      <c r="BQ61" s="672" t="n">
        <v>1400462.3921</v>
      </c>
      <c r="BR61" s="13">
        <f>BQ62</f>
        <v/>
      </c>
      <c r="BS61" s="13">
        <f>BQ61-BR61</f>
        <v/>
      </c>
      <c r="BT61" s="193">
        <f>BS61/BR61</f>
        <v/>
      </c>
      <c r="BU61" s="182" t="n">
        <v>-0.0424</v>
      </c>
      <c r="BV61" s="182" t="n"/>
      <c r="BX61" s="9">
        <f>C61</f>
        <v/>
      </c>
      <c r="BY61" s="222" t="n">
        <v>1672010.7019</v>
      </c>
      <c r="BZ61" s="13">
        <f>BY62</f>
        <v/>
      </c>
      <c r="CA61" s="13">
        <f>BY61-BZ61</f>
        <v/>
      </c>
      <c r="CB61" s="193">
        <f>CA61/BZ61</f>
        <v/>
      </c>
      <c r="CC61" s="182" t="n">
        <v>-0.0196</v>
      </c>
      <c r="CD61" s="194" t="n"/>
      <c r="CF61" s="9">
        <f>C61</f>
        <v/>
      </c>
      <c r="CG61" s="185" t="n">
        <v>1312153.9</v>
      </c>
      <c r="CH61" s="13">
        <f>CG62</f>
        <v/>
      </c>
      <c r="CI61" s="13">
        <f>CG61-CH61</f>
        <v/>
      </c>
      <c r="CJ61" s="193">
        <f>CI61/CH61</f>
        <v/>
      </c>
      <c r="CK61" s="182" t="n">
        <v>-0.0357</v>
      </c>
      <c r="CL61" s="194" t="n"/>
      <c r="CN61" s="9">
        <f>C61</f>
        <v/>
      </c>
      <c r="CO61" s="215" t="n">
        <v>526346.48</v>
      </c>
      <c r="CP61" s="13">
        <f>CO62</f>
        <v/>
      </c>
      <c r="CQ61" s="13">
        <f>CO61-CP61</f>
        <v/>
      </c>
      <c r="CR61" s="193">
        <f>CQ61/CP61</f>
        <v/>
      </c>
      <c r="CS61" s="194" t="n">
        <v>-0.0303</v>
      </c>
      <c r="CT61" s="194" t="n"/>
      <c r="CV61" s="9">
        <f>C61</f>
        <v/>
      </c>
      <c r="CW61" s="185" t="n">
        <v>765090.4</v>
      </c>
      <c r="CX61" s="13">
        <f>CW62</f>
        <v/>
      </c>
      <c r="CY61" s="13">
        <f>CW61-CX61</f>
        <v/>
      </c>
      <c r="CZ61" s="193">
        <f>CY61/CX61</f>
        <v/>
      </c>
      <c r="DA61" s="182" t="n">
        <v>-0.0062</v>
      </c>
      <c r="DB61" s="182" t="n"/>
      <c r="DC61" s="256" t="n"/>
      <c r="DD61" s="9">
        <f>C61</f>
        <v/>
      </c>
      <c r="DE61" s="222" t="n">
        <v>5900035.9972</v>
      </c>
      <c r="DF61" s="13">
        <f>DE62</f>
        <v/>
      </c>
      <c r="DG61" s="13">
        <f>DE61-DF61</f>
        <v/>
      </c>
      <c r="DH61" s="193">
        <f>DG61/DF61</f>
        <v/>
      </c>
      <c r="DI61" s="182" t="n">
        <v>-0.0742</v>
      </c>
      <c r="DJ61" s="182" t="n"/>
      <c r="DK61" s="0" t="n"/>
      <c r="DL61" s="9">
        <f>C61</f>
        <v/>
      </c>
      <c r="DM61" s="185" t="n">
        <v>1922200.72</v>
      </c>
      <c r="DN61" s="13">
        <f>DM62</f>
        <v/>
      </c>
      <c r="DO61" s="13">
        <f>DM61-DN61</f>
        <v/>
      </c>
      <c r="DP61" s="193">
        <f>DO61/DN61</f>
        <v/>
      </c>
      <c r="DQ61" s="182" t="n">
        <v>-0.0769</v>
      </c>
      <c r="DR61" s="182" t="n"/>
      <c r="DT61" s="9">
        <f>C61</f>
        <v/>
      </c>
      <c r="DU61" s="185" t="n">
        <v>4257268.43</v>
      </c>
      <c r="DV61" s="13">
        <f>DU62</f>
        <v/>
      </c>
      <c r="DW61" s="13">
        <f>DU61-DV61</f>
        <v/>
      </c>
      <c r="DX61" s="193">
        <f>DW61/DV61</f>
        <v/>
      </c>
      <c r="DY61" s="182" t="n">
        <v>-0.0769</v>
      </c>
      <c r="DZ61" s="182" t="n"/>
      <c r="EB61" s="9">
        <f>C61</f>
        <v/>
      </c>
      <c r="EC61" s="185" t="n">
        <v>4960466.82</v>
      </c>
      <c r="ED61" s="13">
        <f>EC62</f>
        <v/>
      </c>
      <c r="EE61" s="13">
        <f>EC61-ED61</f>
        <v/>
      </c>
      <c r="EF61" s="193">
        <f>EE61/ED61</f>
        <v/>
      </c>
      <c r="EG61" s="182" t="n">
        <v>-0.0673</v>
      </c>
      <c r="EH61" s="182" t="n"/>
      <c r="EJ61" s="9">
        <f>C61</f>
        <v/>
      </c>
      <c r="EK61" s="222" t="n">
        <v>1189722.9669</v>
      </c>
      <c r="EL61" s="13">
        <f>EK62</f>
        <v/>
      </c>
      <c r="EM61" s="13">
        <f>EK61-EL61</f>
        <v/>
      </c>
      <c r="EN61" s="193">
        <f>EM61/EL61</f>
        <v/>
      </c>
      <c r="EO61" s="182" t="n">
        <v>-0.0735</v>
      </c>
      <c r="EP61" s="182" t="n"/>
      <c r="ER61" s="9">
        <f>C61</f>
        <v/>
      </c>
      <c r="ES61" s="9" t="n">
        <v>740894.04</v>
      </c>
      <c r="ET61" s="13">
        <f>ES62</f>
        <v/>
      </c>
      <c r="EU61" s="13">
        <f>ES61-ET61</f>
        <v/>
      </c>
      <c r="EV61" s="193">
        <f>EU61/ET61</f>
        <v/>
      </c>
      <c r="EW61" s="182" t="n">
        <v>-0.0732</v>
      </c>
      <c r="EX61" s="182" t="n"/>
      <c r="EZ61" s="9">
        <f>C61</f>
        <v/>
      </c>
      <c r="FA61" s="185" t="n">
        <v>590208</v>
      </c>
      <c r="FB61" s="13">
        <f>FA62</f>
        <v/>
      </c>
      <c r="FC61" s="13">
        <f>FA61-FB61</f>
        <v/>
      </c>
      <c r="FD61" s="193">
        <f>FC61/FB61</f>
        <v/>
      </c>
      <c r="FE61" s="182" t="n">
        <v>-0.0522</v>
      </c>
      <c r="FF61" s="182" t="n"/>
      <c r="FH61" s="9">
        <f>C61</f>
        <v/>
      </c>
      <c r="FI61" s="672" t="n">
        <v>1028695.3365</v>
      </c>
      <c r="FJ61" s="13">
        <f>FI62</f>
        <v/>
      </c>
      <c r="FK61" s="13">
        <f>FI61-FJ61</f>
        <v/>
      </c>
      <c r="FL61" s="193">
        <f>FK61/FJ61</f>
        <v/>
      </c>
      <c r="FM61" s="194" t="n">
        <v>-0.0793</v>
      </c>
      <c r="FN61" s="194" t="n"/>
      <c r="FP61" s="9">
        <f>C61</f>
        <v/>
      </c>
      <c r="FQ61" s="185" t="n">
        <v>1886368.73</v>
      </c>
      <c r="FR61" s="13">
        <f>FQ62</f>
        <v/>
      </c>
      <c r="FS61" s="13">
        <f>FQ61-FR61</f>
        <v/>
      </c>
      <c r="FT61" s="193">
        <f>FS61/FR61</f>
        <v/>
      </c>
      <c r="FU61" s="182" t="n">
        <v>-0.0781</v>
      </c>
      <c r="FV61" s="182" t="n"/>
      <c r="FX61" s="9">
        <f>C61</f>
        <v/>
      </c>
      <c r="FY61" s="185" t="n">
        <v>7275482.05</v>
      </c>
      <c r="FZ61" s="13">
        <f>FY62</f>
        <v/>
      </c>
      <c r="GA61" s="13">
        <f>FY61-FZ61</f>
        <v/>
      </c>
      <c r="GB61" s="193">
        <f>GA61/FZ61</f>
        <v/>
      </c>
      <c r="GC61" s="182" t="n">
        <v>-0.0255</v>
      </c>
      <c r="GD61" s="182" t="n"/>
      <c r="GF61" s="9">
        <f>C61</f>
        <v/>
      </c>
      <c r="GG61" s="185" t="n">
        <v>4066969.49</v>
      </c>
      <c r="GH61" s="13">
        <f>GG62</f>
        <v/>
      </c>
      <c r="GI61" s="13">
        <f>GG61-GH61</f>
        <v/>
      </c>
      <c r="GJ61" s="193">
        <f>GI61/GH61</f>
        <v/>
      </c>
      <c r="GK61" s="182" t="n">
        <v>-0.0125</v>
      </c>
      <c r="GL61" s="182" t="n"/>
      <c r="GN61" s="9">
        <f>C61</f>
        <v/>
      </c>
      <c r="GO61" s="222" t="n">
        <v>1946578.1217</v>
      </c>
      <c r="GP61" s="13">
        <f>GO62</f>
        <v/>
      </c>
      <c r="GQ61" s="13">
        <f>GO61-GP61</f>
        <v/>
      </c>
      <c r="GR61" s="193">
        <f>GQ61/GP61</f>
        <v/>
      </c>
      <c r="GS61" s="182" t="n">
        <v>-0.0239</v>
      </c>
      <c r="GT61" s="182" t="n"/>
      <c r="GV61" s="9">
        <f>C61</f>
        <v/>
      </c>
      <c r="GW61" s="185" t="n">
        <v>606349.4</v>
      </c>
      <c r="GX61" s="13">
        <f>GW62</f>
        <v/>
      </c>
      <c r="GY61" s="13">
        <f>GW61-GX61</f>
        <v/>
      </c>
      <c r="GZ61" s="193">
        <f>GY61/GX61</f>
        <v/>
      </c>
      <c r="HA61" s="182" t="n">
        <v>-0.0506</v>
      </c>
      <c r="HB61" s="182" t="n"/>
      <c r="HD61" s="9">
        <f>C61</f>
        <v/>
      </c>
      <c r="HE61" s="222" t="n">
        <v>848164.6746</v>
      </c>
      <c r="HF61" s="13">
        <f>HE62</f>
        <v/>
      </c>
      <c r="HG61" s="13">
        <f>HE61-HF61</f>
        <v/>
      </c>
      <c r="HH61" s="193">
        <f>HG61/HF61</f>
        <v/>
      </c>
      <c r="HI61" s="194" t="n">
        <v>-0.0355</v>
      </c>
      <c r="HJ61" s="182" t="n"/>
      <c r="HL61" s="9">
        <f>C61</f>
        <v/>
      </c>
      <c r="HM61" s="185" t="n">
        <v>115004.25</v>
      </c>
      <c r="HN61" s="13">
        <f>HM62</f>
        <v/>
      </c>
      <c r="HO61" s="13">
        <f>HM61-HN61</f>
        <v/>
      </c>
      <c r="HP61" s="193">
        <f>HO61/HN61</f>
        <v/>
      </c>
      <c r="HQ61" s="182" t="n">
        <v>-0.0285</v>
      </c>
      <c r="HR61" s="182" t="n"/>
      <c r="HT61" s="9">
        <f>C61</f>
        <v/>
      </c>
      <c r="HU61" s="222" t="n">
        <v>132768.8265</v>
      </c>
      <c r="HV61" s="13">
        <f>HU62</f>
        <v/>
      </c>
      <c r="HW61" s="13">
        <f>HU61-HV61</f>
        <v/>
      </c>
      <c r="HX61" s="193">
        <f>HW61/HV61</f>
        <v/>
      </c>
      <c r="HY61" s="182" t="n">
        <v>-0.0148</v>
      </c>
      <c r="HZ61" s="182" t="n"/>
      <c r="IB61" s="9">
        <f>C61</f>
        <v/>
      </c>
      <c r="IC61" s="185" t="n">
        <v>278759.79</v>
      </c>
      <c r="ID61" s="13">
        <f>IC62</f>
        <v/>
      </c>
      <c r="IE61" s="13">
        <f>IC61-ID61</f>
        <v/>
      </c>
      <c r="IF61" s="193">
        <f>IE61/ID61</f>
        <v/>
      </c>
      <c r="IG61" s="194" t="n">
        <v>-0.0203</v>
      </c>
      <c r="IH61" s="182" t="n"/>
      <c r="IJ61" s="9">
        <f>C61</f>
        <v/>
      </c>
      <c r="IK61" s="222" t="n">
        <v>960396.29</v>
      </c>
      <c r="IL61" s="13">
        <f>IK62</f>
        <v/>
      </c>
      <c r="IM61" s="13">
        <f>IK61-IL61</f>
        <v/>
      </c>
      <c r="IN61" s="193">
        <f>IM61/IL61</f>
        <v/>
      </c>
      <c r="IO61" s="182" t="n">
        <v>-0.009599999999999999</v>
      </c>
      <c r="IP61" s="182" t="n"/>
      <c r="IR61" s="9">
        <f>C61</f>
        <v/>
      </c>
      <c r="IS61" s="185" t="n">
        <v>157489</v>
      </c>
      <c r="IT61" s="13">
        <f>IS62</f>
        <v/>
      </c>
      <c r="IU61" s="13">
        <f>IS61-IT61</f>
        <v/>
      </c>
      <c r="IV61" s="193">
        <f>IU61/IT61</f>
        <v/>
      </c>
      <c r="IW61" s="182" t="n">
        <v>-0.0611</v>
      </c>
      <c r="IX61" s="182" t="n"/>
      <c r="IZ61" s="9">
        <f>C61</f>
        <v/>
      </c>
      <c r="JA61" s="185" t="n">
        <v>5904429.15</v>
      </c>
      <c r="JB61" s="13">
        <f>JA62</f>
        <v/>
      </c>
      <c r="JC61" s="13">
        <f>JA61-JB61</f>
        <v/>
      </c>
      <c r="JD61" s="193">
        <f>JC61/JB61</f>
        <v/>
      </c>
      <c r="JE61" s="182" t="n">
        <v>-0.0139</v>
      </c>
      <c r="JF61" s="182" t="n"/>
      <c r="JH61" s="9">
        <f>C61</f>
        <v/>
      </c>
      <c r="JI61" s="185" t="n">
        <v>1218687.99</v>
      </c>
      <c r="JJ61" s="13">
        <f>JI62</f>
        <v/>
      </c>
      <c r="JK61" s="13">
        <f>JI61-JJ61</f>
        <v/>
      </c>
      <c r="JL61" s="193">
        <f>JK61/JJ61</f>
        <v/>
      </c>
      <c r="JM61" s="182" t="n">
        <v>0.0162</v>
      </c>
      <c r="JN61" s="182" t="n"/>
      <c r="JP61" s="9">
        <f>C61</f>
        <v/>
      </c>
      <c r="JQ61" s="222" t="n">
        <v>995490.4148</v>
      </c>
      <c r="JR61" s="13">
        <f>JQ62</f>
        <v/>
      </c>
      <c r="JS61" s="13">
        <f>JQ61-JR61</f>
        <v/>
      </c>
      <c r="JT61" s="193">
        <f>JS61/JR61</f>
        <v/>
      </c>
      <c r="JU61" s="182" t="n">
        <v>-0.0433</v>
      </c>
      <c r="JV61" s="194" t="n"/>
      <c r="JX61" s="9">
        <f>C61</f>
        <v/>
      </c>
      <c r="JY61" s="185" t="n">
        <v>1031298.8</v>
      </c>
      <c r="JZ61" s="13">
        <f>JY62</f>
        <v/>
      </c>
      <c r="KA61" s="13">
        <f>JY61-JZ61</f>
        <v/>
      </c>
      <c r="KB61" s="193">
        <f>KA61/JZ61</f>
        <v/>
      </c>
      <c r="KC61" s="182" t="n">
        <v>-0.0072</v>
      </c>
      <c r="KD61" s="194" t="n"/>
      <c r="KF61" s="9">
        <f>C61</f>
        <v/>
      </c>
      <c r="KG61" s="222" t="n">
        <v>581955.9219</v>
      </c>
      <c r="KH61" s="13">
        <f>KG62</f>
        <v/>
      </c>
      <c r="KI61" s="13">
        <f>KG61-KH61</f>
        <v/>
      </c>
      <c r="KJ61" s="193">
        <f>KI61/KH61</f>
        <v/>
      </c>
      <c r="KK61" s="194" t="n">
        <v>-0.0013</v>
      </c>
      <c r="KL61" s="194" t="n"/>
      <c r="KN61" s="9">
        <f>C61</f>
        <v/>
      </c>
      <c r="KO61" s="185" t="n">
        <v>6968575.95</v>
      </c>
      <c r="KP61" s="13">
        <f>KO62</f>
        <v/>
      </c>
      <c r="KQ61" s="13">
        <f>KO61-KP61</f>
        <v/>
      </c>
      <c r="KR61" s="193">
        <f>KQ61/KP61</f>
        <v/>
      </c>
      <c r="KS61" s="182" t="n">
        <v>-0.015</v>
      </c>
      <c r="KT61" s="182" t="n"/>
      <c r="KV61" s="9">
        <f>C61</f>
        <v/>
      </c>
      <c r="KW61" s="222" t="n">
        <v>1084472.9726</v>
      </c>
      <c r="KX61" s="13">
        <f>KW62</f>
        <v/>
      </c>
      <c r="KY61" s="13">
        <f>KW61-KX61</f>
        <v/>
      </c>
      <c r="KZ61" s="193">
        <f>KY61/KX61</f>
        <v/>
      </c>
      <c r="LA61" s="194" t="n">
        <v>-0.0043</v>
      </c>
      <c r="LB61" s="182" t="n"/>
      <c r="LD61" s="9">
        <f>C61</f>
        <v/>
      </c>
      <c r="LE61" s="185" t="n">
        <v>383307.7</v>
      </c>
      <c r="LF61" s="13">
        <f>LE62</f>
        <v/>
      </c>
      <c r="LG61" s="13">
        <f>LE61-LF61</f>
        <v/>
      </c>
      <c r="LH61" s="193">
        <f>LG61/LF61</f>
        <v/>
      </c>
      <c r="LI61" s="182" t="n">
        <v>-0.0413</v>
      </c>
      <c r="LJ61" s="182" t="n"/>
      <c r="LL61" s="9">
        <f>C61</f>
        <v/>
      </c>
      <c r="LM61" s="672" t="n">
        <v>3223375.02</v>
      </c>
      <c r="LN61" s="13">
        <f>LM62</f>
        <v/>
      </c>
      <c r="LO61" s="13">
        <f>LM61-LN61</f>
        <v/>
      </c>
      <c r="LP61" s="193">
        <f>LO61/LN61</f>
        <v/>
      </c>
      <c r="LQ61" s="182" t="n">
        <v>-0.0185</v>
      </c>
      <c r="LR61" s="182" t="n"/>
      <c r="LT61" s="9">
        <f>C61</f>
        <v/>
      </c>
      <c r="LU61" s="222" t="n">
        <v>2312462.904</v>
      </c>
      <c r="LV61" s="13">
        <f>LU62</f>
        <v/>
      </c>
      <c r="LW61" s="13">
        <f>LU61-LV61</f>
        <v/>
      </c>
      <c r="LX61" s="193">
        <f>LW61/LV61</f>
        <v/>
      </c>
      <c r="LY61" s="182" t="n">
        <v>-0.0104</v>
      </c>
      <c r="LZ61" s="182" t="n"/>
      <c r="MB61" s="9">
        <f>C61</f>
        <v/>
      </c>
      <c r="MC61" s="185" t="n">
        <v>1123167.69</v>
      </c>
      <c r="MD61" s="13">
        <f>MC62</f>
        <v/>
      </c>
      <c r="ME61" s="13">
        <f>MC61-MD61</f>
        <v/>
      </c>
      <c r="MF61" s="193">
        <f>ME61/MD61</f>
        <v/>
      </c>
      <c r="MG61" s="182" t="n">
        <v>0.0032</v>
      </c>
      <c r="MH61" s="182" t="n"/>
      <c r="MI61" s="182" t="n"/>
      <c r="MJ61" s="182" t="n"/>
      <c r="MK61" s="9">
        <f>C61</f>
        <v/>
      </c>
      <c r="ML61" s="223" t="n">
        <v>161025.5354</v>
      </c>
      <c r="MM61" s="13">
        <f>ML62</f>
        <v/>
      </c>
      <c r="MN61" s="13">
        <f>ML61-MM61</f>
        <v/>
      </c>
      <c r="MO61" s="193">
        <f>MN61/MM61</f>
        <v/>
      </c>
      <c r="MP61" s="182" t="n">
        <v>-0.0549</v>
      </c>
      <c r="MQ61" s="194" t="n"/>
      <c r="MR61" s="194" t="n"/>
      <c r="MT61" s="25">
        <f>C61</f>
        <v/>
      </c>
      <c r="MU61" s="9" t="n">
        <v>133014.8</v>
      </c>
      <c r="MV61" s="188">
        <f>MU62</f>
        <v/>
      </c>
      <c r="MW61" s="9">
        <f>MU61-MV61</f>
        <v/>
      </c>
      <c r="MX61" s="182">
        <f>MW61/MV61</f>
        <v/>
      </c>
      <c r="MY61" s="182" t="n">
        <v>-0.0027</v>
      </c>
      <c r="MZ61" s="182" t="n"/>
      <c r="NA61" s="182" t="n"/>
      <c r="NC61" s="25">
        <f>C61</f>
        <v/>
      </c>
      <c r="ND61" s="9" t="n">
        <v>33091.48</v>
      </c>
      <c r="NE61" s="188">
        <f>ND62</f>
        <v/>
      </c>
      <c r="NF61" s="9">
        <f>ND61-NE61</f>
        <v/>
      </c>
      <c r="NG61" s="182">
        <f>NF61/NE61</f>
        <v/>
      </c>
      <c r="NH61" s="182" t="n">
        <v>-0.0185</v>
      </c>
      <c r="NI61" s="182" t="n"/>
      <c r="NJ61" s="182" t="n"/>
      <c r="NK61" s="182" t="n"/>
      <c r="NM61" s="25">
        <f>C61</f>
        <v/>
      </c>
      <c r="NN61" s="9" t="n">
        <v>2800111.08</v>
      </c>
      <c r="NO61" s="9">
        <f>NN62</f>
        <v/>
      </c>
      <c r="NP61" s="197">
        <f>NN61-NO61</f>
        <v/>
      </c>
      <c r="NQ61" s="198">
        <f>NP61/NO61</f>
        <v/>
      </c>
      <c r="NR61" s="182" t="n">
        <v>0.0121</v>
      </c>
      <c r="NS61" s="0" t="n"/>
      <c r="NU61" s="9">
        <f>C61</f>
        <v/>
      </c>
      <c r="NV61" s="9" t="n">
        <v>219476.5</v>
      </c>
      <c r="NW61" s="188">
        <f>NV62</f>
        <v/>
      </c>
      <c r="NX61" s="197">
        <f>NV61-NW61</f>
        <v/>
      </c>
      <c r="NY61" s="198">
        <f>NX61/NW61</f>
        <v/>
      </c>
      <c r="NZ61" s="182" t="n">
        <v>-0.0102</v>
      </c>
      <c r="OA61" s="0" t="n"/>
      <c r="OC61" s="9">
        <f>C61</f>
        <v/>
      </c>
      <c r="OD61" s="185" t="n">
        <v>17579.97</v>
      </c>
      <c r="OE61" s="13">
        <f>OD62</f>
        <v/>
      </c>
      <c r="OF61" s="13">
        <f>OD61-OE61</f>
        <v/>
      </c>
      <c r="OG61" s="193">
        <f>OF61/OE61</f>
        <v/>
      </c>
      <c r="OH61" s="182" t="n">
        <v>-0.0025</v>
      </c>
      <c r="OI61" s="182" t="n"/>
      <c r="OK61" s="9">
        <f>C61</f>
        <v/>
      </c>
      <c r="OL61" s="185" t="n">
        <v>16123.65</v>
      </c>
      <c r="OM61" s="13">
        <f>OL62</f>
        <v/>
      </c>
      <c r="ON61" s="13">
        <f>OL61-OM61</f>
        <v/>
      </c>
      <c r="OO61" s="193">
        <f>ON61/OM61</f>
        <v/>
      </c>
      <c r="OP61" s="182" t="n">
        <v>-0.0004</v>
      </c>
      <c r="OQ61" s="182" t="n"/>
      <c r="OT61" s="201">
        <f>OK61</f>
        <v/>
      </c>
      <c r="OU61" s="199" t="n">
        <v>155232.4066</v>
      </c>
      <c r="OV61" s="9">
        <f>OU62</f>
        <v/>
      </c>
      <c r="OW61" s="671">
        <f>OU61-OV61</f>
        <v/>
      </c>
      <c r="OX61" s="182">
        <f>OW61/OV61</f>
        <v/>
      </c>
      <c r="OY61" s="0" t="n">
        <v>0.0041</v>
      </c>
    </row>
    <row r="62" ht="17" customFormat="1" customHeight="1" s="10">
      <c r="A62" s="674" t="n"/>
      <c r="B62" s="674" t="n"/>
      <c r="C62" s="678" t="inlineStr">
        <is>
          <t>2026//8/18</t>
        </is>
      </c>
      <c r="D62" s="226" t="n">
        <v>2269398.77</v>
      </c>
      <c r="E62" s="226">
        <f>D63</f>
        <v/>
      </c>
      <c r="F62" s="226">
        <f>D62-E62</f>
        <v/>
      </c>
      <c r="G62" s="227">
        <f>F62/E62</f>
        <v/>
      </c>
      <c r="H62" s="228" t="n">
        <v>-0.0029</v>
      </c>
      <c r="I62" s="227" t="n"/>
      <c r="J62" s="227" t="n"/>
      <c r="K62" s="226">
        <f>C62</f>
        <v/>
      </c>
      <c r="L62" s="226" t="n">
        <v>1122814.4</v>
      </c>
      <c r="M62" s="226">
        <f>L63</f>
        <v/>
      </c>
      <c r="N62" s="226">
        <f>L62-M62</f>
        <v/>
      </c>
      <c r="O62" s="227">
        <f>N62/M62</f>
        <v/>
      </c>
      <c r="P62" s="228" t="n">
        <v>-0.0028</v>
      </c>
      <c r="Q62" s="227" t="n"/>
      <c r="R62" s="226" t="n"/>
      <c r="S62" s="226">
        <f>C62</f>
        <v/>
      </c>
      <c r="T62" s="226" t="n">
        <v>670386.6800000001</v>
      </c>
      <c r="U62" s="226">
        <f>T63</f>
        <v/>
      </c>
      <c r="V62" s="226">
        <f>T62-U62</f>
        <v/>
      </c>
      <c r="W62" s="227">
        <f>V62/U62</f>
        <v/>
      </c>
      <c r="X62" s="228" t="n">
        <v>-0.0016</v>
      </c>
      <c r="Y62" s="227" t="n"/>
      <c r="Z62" s="226" t="n"/>
      <c r="AA62" s="226">
        <f>S62</f>
        <v/>
      </c>
      <c r="AB62" s="226" t="n">
        <v>494856.86</v>
      </c>
      <c r="AC62" s="226">
        <f>AB63</f>
        <v/>
      </c>
      <c r="AD62" s="226">
        <f>AB62-AC62</f>
        <v/>
      </c>
      <c r="AE62" s="227">
        <f>AD62/AC62</f>
        <v/>
      </c>
      <c r="AF62" s="228" t="n">
        <v>-0.0015</v>
      </c>
      <c r="AG62" s="227" t="n"/>
      <c r="AH62" s="226" t="n"/>
      <c r="AI62" s="226">
        <f>C62</f>
        <v/>
      </c>
      <c r="AJ62" s="226" t="n">
        <v>627721.76</v>
      </c>
      <c r="AK62" s="226">
        <f>AJ63</f>
        <v/>
      </c>
      <c r="AL62" s="226">
        <f>AJ62-AK62</f>
        <v/>
      </c>
      <c r="AM62" s="227">
        <f>AL62/AK62</f>
        <v/>
      </c>
      <c r="AN62" s="228" t="n">
        <v>-0.0037</v>
      </c>
      <c r="AO62" s="228" t="n"/>
      <c r="AP62" s="226" t="n"/>
      <c r="AQ62" s="226">
        <f>C62</f>
        <v/>
      </c>
      <c r="AR62" s="679" t="n">
        <v>1719145.4936</v>
      </c>
      <c r="AS62" s="226">
        <f>AR63</f>
        <v/>
      </c>
      <c r="AT62" s="226">
        <f>AR62-AS62</f>
        <v/>
      </c>
      <c r="AU62" s="227">
        <f>AT62/AS62</f>
        <v/>
      </c>
      <c r="AV62" s="228" t="n">
        <v>-0.008800000000000001</v>
      </c>
      <c r="AW62" s="228" t="n"/>
      <c r="AX62" s="230" t="n"/>
      <c r="AY62" s="230" t="n"/>
      <c r="AZ62" s="226">
        <f>C62</f>
        <v/>
      </c>
      <c r="BA62" s="265" t="n">
        <v>613281.6676</v>
      </c>
      <c r="BB62" s="240">
        <f>BA63</f>
        <v/>
      </c>
      <c r="BC62" s="230">
        <f>BA62-BB62</f>
        <v/>
      </c>
      <c r="BD62" s="228">
        <f>BC62/BB62</f>
        <v/>
      </c>
      <c r="BE62" s="228" t="n">
        <v>-0.0036</v>
      </c>
      <c r="BF62" s="228" t="n"/>
      <c r="BG62" s="675" t="n"/>
      <c r="BH62" s="10">
        <f>C62</f>
        <v/>
      </c>
      <c r="BI62" s="251" t="n">
        <v>1250326.5525</v>
      </c>
      <c r="BJ62" s="233">
        <f>BI63</f>
        <v/>
      </c>
      <c r="BK62" s="233">
        <f>BI62-BJ62</f>
        <v/>
      </c>
      <c r="BL62" s="234">
        <f>BK62/BJ62</f>
        <v/>
      </c>
      <c r="BM62" s="235" t="n">
        <v>-0.0057</v>
      </c>
      <c r="BN62" s="236" t="n"/>
      <c r="BP62" s="10">
        <f>C62</f>
        <v/>
      </c>
      <c r="BQ62" s="677" t="n">
        <v>1376862.3921</v>
      </c>
      <c r="BR62" s="14">
        <f>BQ63</f>
        <v/>
      </c>
      <c r="BS62" s="14">
        <f>BQ62-BR62</f>
        <v/>
      </c>
      <c r="BT62" s="237">
        <f>BS62/BR62</f>
        <v/>
      </c>
      <c r="BU62" s="236" t="n">
        <v>-0.007</v>
      </c>
      <c r="BV62" s="236" t="n"/>
      <c r="BX62" s="10">
        <f>C62</f>
        <v/>
      </c>
      <c r="BY62" s="253" t="n">
        <v>1685710.7019</v>
      </c>
      <c r="BZ62" s="14">
        <f>BY63</f>
        <v/>
      </c>
      <c r="CA62" s="14">
        <f>BY62-BZ62</f>
        <v/>
      </c>
      <c r="CB62" s="237">
        <f>CA62/BZ62</f>
        <v/>
      </c>
      <c r="CC62" s="236" t="n">
        <v>0.0025</v>
      </c>
      <c r="CD62" s="238" t="n"/>
      <c r="CF62" s="10">
        <f>C62</f>
        <v/>
      </c>
      <c r="CG62" s="241" t="n">
        <v>1308653.9</v>
      </c>
      <c r="CH62" s="14">
        <f>CG63</f>
        <v/>
      </c>
      <c r="CI62" s="14">
        <f>CG62-CH62</f>
        <v/>
      </c>
      <c r="CJ62" s="237">
        <f>CI62/CH62</f>
        <v/>
      </c>
      <c r="CK62" s="236" t="n">
        <v>-0.0077</v>
      </c>
      <c r="CL62" s="238" t="n"/>
      <c r="CN62" s="10">
        <f>C62</f>
        <v/>
      </c>
      <c r="CO62" s="241" t="n">
        <v>526146.48</v>
      </c>
      <c r="CP62" s="14">
        <f>CO63</f>
        <v/>
      </c>
      <c r="CQ62" s="14">
        <f>CO62-CP62</f>
        <v/>
      </c>
      <c r="CR62" s="237">
        <f>CQ62/CP62</f>
        <v/>
      </c>
      <c r="CS62" s="238" t="n">
        <v>-0.0074</v>
      </c>
      <c r="CT62" s="238" t="n"/>
      <c r="CV62" s="10">
        <f>C62</f>
        <v/>
      </c>
      <c r="CW62" s="241" t="n">
        <v>768390.4</v>
      </c>
      <c r="CX62" s="14">
        <f>CW63</f>
        <v/>
      </c>
      <c r="CY62" s="14">
        <f>CW62-CX62</f>
        <v/>
      </c>
      <c r="CZ62" s="237">
        <f>CY62/CX62</f>
        <v/>
      </c>
      <c r="DA62" s="236" t="n">
        <v>0.0034</v>
      </c>
      <c r="DB62" s="236" t="n"/>
      <c r="DC62" s="255" t="n"/>
      <c r="DD62" s="10">
        <f>C62</f>
        <v/>
      </c>
      <c r="DE62" s="253" t="n">
        <v>5819635.9972</v>
      </c>
      <c r="DF62" s="14">
        <f>DE63</f>
        <v/>
      </c>
      <c r="DG62" s="14">
        <f>DE62-DF62</f>
        <v/>
      </c>
      <c r="DH62" s="237">
        <f>DG62/DF62</f>
        <v/>
      </c>
      <c r="DI62" s="236" t="n">
        <v>0.0179</v>
      </c>
      <c r="DJ62" s="236" t="n"/>
      <c r="DK62" s="0" t="n"/>
      <c r="DL62" s="10">
        <f>C62</f>
        <v/>
      </c>
      <c r="DM62" s="241" t="n">
        <v>1861400.72</v>
      </c>
      <c r="DN62" s="14">
        <f>DM63</f>
        <v/>
      </c>
      <c r="DO62" s="14">
        <f>DM62-DN62</f>
        <v/>
      </c>
      <c r="DP62" s="237">
        <f>DO62/DN62</f>
        <v/>
      </c>
      <c r="DQ62" s="236" t="n">
        <v>0</v>
      </c>
      <c r="DR62" s="236" t="n"/>
      <c r="DT62" s="10">
        <f>C62</f>
        <v/>
      </c>
      <c r="DU62" s="241" t="n">
        <v>4199668.43</v>
      </c>
      <c r="DV62" s="14">
        <f>DU63</f>
        <v/>
      </c>
      <c r="DW62" s="14">
        <f>DU62-DV62</f>
        <v/>
      </c>
      <c r="DX62" s="237">
        <f>DW62/DV62</f>
        <v/>
      </c>
      <c r="DY62" s="236" t="n">
        <v>0</v>
      </c>
      <c r="DZ62" s="236" t="n"/>
      <c r="EB62" s="10">
        <f>C62</f>
        <v/>
      </c>
      <c r="EC62" s="241" t="n">
        <v>4713866.82</v>
      </c>
      <c r="ED62" s="14">
        <f>EC63</f>
        <v/>
      </c>
      <c r="EE62" s="14">
        <f>EC62-ED62</f>
        <v/>
      </c>
      <c r="EF62" s="237">
        <f>EE62/ED62</f>
        <v/>
      </c>
      <c r="EG62" s="236" t="n">
        <v>0</v>
      </c>
      <c r="EH62" s="236" t="n"/>
      <c r="EJ62" s="10">
        <f>C62</f>
        <v/>
      </c>
      <c r="EK62" s="253" t="n">
        <v>1166322.9669</v>
      </c>
      <c r="EL62" s="14">
        <f>EK63</f>
        <v/>
      </c>
      <c r="EM62" s="14">
        <f>EK62-EL62</f>
        <v/>
      </c>
      <c r="EN62" s="237">
        <f>EM62/EL62</f>
        <v/>
      </c>
      <c r="EO62" s="236" t="n">
        <v>-0.0137</v>
      </c>
      <c r="EP62" s="236" t="n"/>
      <c r="ER62" s="10">
        <f>C62</f>
        <v/>
      </c>
      <c r="ES62" s="10" t="n">
        <v>729694.04</v>
      </c>
      <c r="ET62" s="14">
        <f>ES63</f>
        <v/>
      </c>
      <c r="EU62" s="14">
        <f>ES62-ET62</f>
        <v/>
      </c>
      <c r="EV62" s="237">
        <f>EU62/ET62</f>
        <v/>
      </c>
      <c r="EW62" s="236" t="n">
        <v>-0.0133</v>
      </c>
      <c r="EX62" s="236" t="n"/>
      <c r="EZ62" s="10">
        <f>C62</f>
        <v/>
      </c>
      <c r="FA62" s="241" t="n">
        <v>578908</v>
      </c>
      <c r="FB62" s="14">
        <f>FA63</f>
        <v/>
      </c>
      <c r="FC62" s="14">
        <f>FA62-FB62</f>
        <v/>
      </c>
      <c r="FD62" s="237">
        <f>FC62/FB62</f>
        <v/>
      </c>
      <c r="FE62" s="236" t="n">
        <v>-0.0026</v>
      </c>
      <c r="FF62" s="236" t="n"/>
      <c r="FH62" s="10">
        <f>C62</f>
        <v/>
      </c>
      <c r="FI62" s="677" t="n">
        <v>1038795.3365</v>
      </c>
      <c r="FJ62" s="14">
        <f>FI63</f>
        <v/>
      </c>
      <c r="FK62" s="14">
        <f>FI62-FJ62</f>
        <v/>
      </c>
      <c r="FL62" s="237">
        <f>FK62/FJ62</f>
        <v/>
      </c>
      <c r="FM62" s="238" t="n">
        <v>0.0074</v>
      </c>
      <c r="FN62" s="238" t="n"/>
      <c r="FP62" s="10">
        <f>C62</f>
        <v/>
      </c>
      <c r="FQ62" s="241" t="n">
        <v>1812418.73</v>
      </c>
      <c r="FR62" s="14">
        <f>FQ63</f>
        <v/>
      </c>
      <c r="FS62" s="14">
        <f>FQ62-FR62</f>
        <v/>
      </c>
      <c r="FT62" s="237">
        <f>FS62/FR62</f>
        <v/>
      </c>
      <c r="FU62" s="236" t="n">
        <v>0.0137</v>
      </c>
      <c r="FV62" s="236" t="n"/>
      <c r="FX62" s="10">
        <f>C62</f>
        <v/>
      </c>
      <c r="FY62" s="241" t="n">
        <v>7272382.05</v>
      </c>
      <c r="FZ62" s="14">
        <f>FY63</f>
        <v/>
      </c>
      <c r="GA62" s="14">
        <f>FY62-FZ62</f>
        <v/>
      </c>
      <c r="GB62" s="237">
        <f>GA62/FZ62</f>
        <v/>
      </c>
      <c r="GC62" s="236" t="n">
        <v>0</v>
      </c>
      <c r="GD62" s="236" t="n"/>
      <c r="GF62" s="10">
        <f>C62</f>
        <v/>
      </c>
      <c r="GG62" s="241" t="n">
        <v>4082669.49</v>
      </c>
      <c r="GH62" s="14">
        <f>GG63</f>
        <v/>
      </c>
      <c r="GI62" s="14">
        <f>GG62-GH62</f>
        <v/>
      </c>
      <c r="GJ62" s="237">
        <f>GI62/GH62</f>
        <v/>
      </c>
      <c r="GK62" s="236" t="n">
        <v>0</v>
      </c>
      <c r="GL62" s="236" t="n"/>
      <c r="GN62" s="10">
        <f>C62</f>
        <v/>
      </c>
      <c r="GO62" s="253" t="n">
        <v>1961638.1217</v>
      </c>
      <c r="GP62" s="14">
        <f>GO63</f>
        <v/>
      </c>
      <c r="GQ62" s="14">
        <f>GO62-GP62</f>
        <v/>
      </c>
      <c r="GR62" s="237">
        <f>GQ62/GP62</f>
        <v/>
      </c>
      <c r="GS62" s="236" t="n">
        <v>-0.0086</v>
      </c>
      <c r="GT62" s="236" t="n"/>
      <c r="GV62" s="10">
        <f>C62</f>
        <v/>
      </c>
      <c r="GW62" s="241" t="n">
        <v>604549.4</v>
      </c>
      <c r="GX62" s="14">
        <f>GW63</f>
        <v/>
      </c>
      <c r="GY62" s="14">
        <f>GW62-GX62</f>
        <v/>
      </c>
      <c r="GZ62" s="237">
        <f>GY62/GX62</f>
        <v/>
      </c>
      <c r="HA62" s="236" t="n">
        <v>0.0045</v>
      </c>
      <c r="HB62" s="236" t="n"/>
      <c r="HD62" s="10">
        <f>C62</f>
        <v/>
      </c>
      <c r="HE62" s="253" t="n">
        <v>855964.6746</v>
      </c>
      <c r="HF62" s="14">
        <f>HE63</f>
        <v/>
      </c>
      <c r="HG62" s="14">
        <f>HE62-HF62</f>
        <v/>
      </c>
      <c r="HH62" s="237">
        <f>HG62/HF62</f>
        <v/>
      </c>
      <c r="HI62" s="238" t="n">
        <v>-0.013</v>
      </c>
      <c r="HJ62" s="236" t="n"/>
      <c r="HL62" s="10">
        <f>C62</f>
        <v/>
      </c>
      <c r="HM62" s="241" t="n">
        <v>116904.25</v>
      </c>
      <c r="HN62" s="14">
        <f>HM63</f>
        <v/>
      </c>
      <c r="HO62" s="14">
        <f>HM62-HN62</f>
        <v/>
      </c>
      <c r="HP62" s="237">
        <f>HO62/HN62</f>
        <v/>
      </c>
      <c r="HQ62" s="236" t="n">
        <v>-0.0044</v>
      </c>
      <c r="HR62" s="236" t="n"/>
      <c r="HT62" s="10">
        <f>C62</f>
        <v/>
      </c>
      <c r="HU62" s="253" t="n">
        <v>136368.8265</v>
      </c>
      <c r="HV62" s="14">
        <f>HU63</f>
        <v/>
      </c>
      <c r="HW62" s="14">
        <f>HU62-HV62</f>
        <v/>
      </c>
      <c r="HX62" s="237">
        <f>HW62/HV62</f>
        <v/>
      </c>
      <c r="HY62" s="236" t="n">
        <v>0.0056</v>
      </c>
      <c r="HZ62" s="236" t="n"/>
      <c r="IB62" s="10">
        <f>C62</f>
        <v/>
      </c>
      <c r="IC62" s="241" t="n">
        <v>279709.79</v>
      </c>
      <c r="ID62" s="14">
        <f>IC63</f>
        <v/>
      </c>
      <c r="IE62" s="14">
        <f>IC62-ID62</f>
        <v/>
      </c>
      <c r="IF62" s="237">
        <f>IE62/ID62</f>
        <v/>
      </c>
      <c r="IG62" s="238" t="n">
        <v>0</v>
      </c>
      <c r="IH62" s="236" t="n"/>
      <c r="IJ62" s="10">
        <f>C62</f>
        <v/>
      </c>
      <c r="IK62" s="253" t="n">
        <v>972636.29</v>
      </c>
      <c r="IL62" s="14">
        <f>IK63</f>
        <v/>
      </c>
      <c r="IM62" s="14">
        <f>IK62-IL62</f>
        <v/>
      </c>
      <c r="IN62" s="237">
        <f>IM62/IL62</f>
        <v/>
      </c>
      <c r="IO62" s="236" t="n">
        <v>-0.0076</v>
      </c>
      <c r="IP62" s="236" t="n"/>
      <c r="IR62" s="10">
        <f>C62</f>
        <v/>
      </c>
      <c r="IS62" s="241" t="n">
        <v>155689</v>
      </c>
      <c r="IT62" s="14">
        <f>IS63</f>
        <v/>
      </c>
      <c r="IU62" s="14">
        <f>IS62-IT62</f>
        <v/>
      </c>
      <c r="IV62" s="237">
        <f>IU62/IT62</f>
        <v/>
      </c>
      <c r="IW62" s="236" t="n">
        <v>-0.015</v>
      </c>
      <c r="IX62" s="236" t="n"/>
      <c r="IZ62" s="10">
        <f>C62</f>
        <v/>
      </c>
      <c r="JA62" s="241" t="n">
        <v>5932429.15</v>
      </c>
      <c r="JB62" s="14">
        <f>JA63</f>
        <v/>
      </c>
      <c r="JC62" s="14">
        <f>JA62-JB62</f>
        <v/>
      </c>
      <c r="JD62" s="237">
        <f>JC62/JB62</f>
        <v/>
      </c>
      <c r="JE62" s="236" t="n">
        <v>-0.0146</v>
      </c>
      <c r="JF62" s="236" t="n"/>
      <c r="JH62" s="10">
        <f>C62</f>
        <v/>
      </c>
      <c r="JI62" s="241" t="n">
        <v>1196967.99</v>
      </c>
      <c r="JJ62" s="14">
        <f>JI63</f>
        <v/>
      </c>
      <c r="JK62" s="14">
        <f>JI62-JJ62</f>
        <v/>
      </c>
      <c r="JL62" s="237">
        <f>JK62/JJ62</f>
        <v/>
      </c>
      <c r="JM62" s="236" t="n">
        <v>0.0075</v>
      </c>
      <c r="JN62" s="236" t="n"/>
      <c r="JP62" s="10">
        <f>C62</f>
        <v/>
      </c>
      <c r="JQ62" s="253" t="n">
        <v>987190.4148</v>
      </c>
      <c r="JR62" s="14">
        <f>JQ63</f>
        <v/>
      </c>
      <c r="JS62" s="14">
        <f>JQ62-JR62</f>
        <v/>
      </c>
      <c r="JT62" s="237">
        <f>JS62/JR62</f>
        <v/>
      </c>
      <c r="JU62" s="236" t="n">
        <v>-0.0127</v>
      </c>
      <c r="JV62" s="238" t="n"/>
      <c r="JX62" s="10">
        <f>C62</f>
        <v/>
      </c>
      <c r="JY62" s="241" t="n">
        <v>1030098.8</v>
      </c>
      <c r="JZ62" s="14">
        <f>JY63</f>
        <v/>
      </c>
      <c r="KA62" s="14">
        <f>JY62-JZ62</f>
        <v/>
      </c>
      <c r="KB62" s="237">
        <f>KA62/JZ62</f>
        <v/>
      </c>
      <c r="KC62" s="236" t="n">
        <v>-0.0066</v>
      </c>
      <c r="KD62" s="238" t="n"/>
      <c r="KF62" s="10">
        <f>C62</f>
        <v/>
      </c>
      <c r="KG62" s="253" t="n">
        <v>581955.9219</v>
      </c>
      <c r="KH62" s="14">
        <f>KG63</f>
        <v/>
      </c>
      <c r="KI62" s="14">
        <f>KG62-KH62</f>
        <v/>
      </c>
      <c r="KJ62" s="237">
        <f>KI62/KH62</f>
        <v/>
      </c>
      <c r="KK62" s="238" t="n">
        <v>-0.0007</v>
      </c>
      <c r="KL62" s="238" t="n"/>
      <c r="KN62" s="10">
        <f>C62</f>
        <v/>
      </c>
      <c r="KO62" s="241" t="n">
        <v>6968675.95</v>
      </c>
      <c r="KP62" s="14">
        <f>KO63</f>
        <v/>
      </c>
      <c r="KQ62" s="14">
        <f>KO62-KP62</f>
        <v/>
      </c>
      <c r="KR62" s="237">
        <f>KQ62/KP62</f>
        <v/>
      </c>
      <c r="KS62" s="236" t="n">
        <v>-0.0116</v>
      </c>
      <c r="KT62" s="236" t="n"/>
      <c r="KV62" s="10">
        <f>C62</f>
        <v/>
      </c>
      <c r="KW62" s="253" t="n">
        <v>1084572.9726</v>
      </c>
      <c r="KX62" s="14">
        <f>KW63</f>
        <v/>
      </c>
      <c r="KY62" s="14">
        <f>KW62-KX62</f>
        <v/>
      </c>
      <c r="KZ62" s="237">
        <f>KY62/KX62</f>
        <v/>
      </c>
      <c r="LA62" s="238" t="n">
        <v>0</v>
      </c>
      <c r="LB62" s="236" t="n"/>
      <c r="LD62" s="10">
        <f>C62</f>
        <v/>
      </c>
      <c r="LE62" s="241" t="n">
        <v>385107.7</v>
      </c>
      <c r="LF62" s="14">
        <f>LE63</f>
        <v/>
      </c>
      <c r="LG62" s="14">
        <f>LE62-LF62</f>
        <v/>
      </c>
      <c r="LH62" s="237">
        <f>LG62/LF62</f>
        <v/>
      </c>
      <c r="LI62" s="236" t="n">
        <v>-0.0016</v>
      </c>
      <c r="LJ62" s="236" t="n"/>
      <c r="LL62" s="10">
        <f>C62</f>
        <v/>
      </c>
      <c r="LM62" s="677" t="n">
        <v>3224815.02</v>
      </c>
      <c r="LN62" s="14">
        <f>LM63</f>
        <v/>
      </c>
      <c r="LO62" s="14">
        <f>LM62-LN62</f>
        <v/>
      </c>
      <c r="LP62" s="237">
        <f>LO62/LN62</f>
        <v/>
      </c>
      <c r="LQ62" s="236" t="n">
        <v>0.007</v>
      </c>
      <c r="LR62" s="236" t="n"/>
      <c r="LT62" s="10">
        <f>C62</f>
        <v/>
      </c>
      <c r="LU62" s="253" t="n">
        <v>2325062.904</v>
      </c>
      <c r="LV62" s="14">
        <f>LU63</f>
        <v/>
      </c>
      <c r="LW62" s="14">
        <f>LU62-LV62</f>
        <v/>
      </c>
      <c r="LX62" s="237">
        <f>LW62/LV62</f>
        <v/>
      </c>
      <c r="LY62" s="236" t="n">
        <v>0.006</v>
      </c>
      <c r="LZ62" s="236" t="n"/>
      <c r="MB62" s="10">
        <f>C62</f>
        <v/>
      </c>
      <c r="MC62" s="241" t="n">
        <v>1130517.69</v>
      </c>
      <c r="MD62" s="14">
        <f>MC63</f>
        <v/>
      </c>
      <c r="ME62" s="14">
        <f>MC62-MD62</f>
        <v/>
      </c>
      <c r="MF62" s="237">
        <f>ME62/MD62</f>
        <v/>
      </c>
      <c r="MG62" s="236" t="n">
        <v>0.0112</v>
      </c>
      <c r="MH62" s="236" t="n"/>
      <c r="MI62" s="236" t="n"/>
      <c r="MJ62" s="236" t="n"/>
      <c r="MK62" s="10">
        <f>C62</f>
        <v/>
      </c>
      <c r="ML62" s="254" t="n">
        <v>165585.5354</v>
      </c>
      <c r="MM62" s="14">
        <f>ML63</f>
        <v/>
      </c>
      <c r="MN62" s="14">
        <f>ML62-MM62</f>
        <v/>
      </c>
      <c r="MO62" s="237">
        <f>MN62/MM62</f>
        <v/>
      </c>
      <c r="MP62" s="236" t="n">
        <v>-0.0126</v>
      </c>
      <c r="MQ62" s="238" t="n"/>
      <c r="MR62" s="238" t="n"/>
      <c r="MT62" s="266">
        <f>C62</f>
        <v/>
      </c>
      <c r="MU62" s="10" t="n">
        <v>132814.8</v>
      </c>
      <c r="MV62" s="240">
        <f>MU63</f>
        <v/>
      </c>
      <c r="MW62" s="10">
        <f>MU62-MV62</f>
        <v/>
      </c>
      <c r="MX62" s="236">
        <f>MW62/MV62</f>
        <v/>
      </c>
      <c r="MY62" s="236" t="n">
        <v>0.0116</v>
      </c>
      <c r="MZ62" s="236" t="n"/>
      <c r="NA62" s="236" t="n"/>
      <c r="NC62" s="266">
        <f>C62</f>
        <v/>
      </c>
      <c r="ND62" s="10" t="n">
        <v>33091.48</v>
      </c>
      <c r="NE62" s="240">
        <f>ND63</f>
        <v/>
      </c>
      <c r="NF62" s="10">
        <f>ND62-NE62</f>
        <v/>
      </c>
      <c r="NG62" s="236">
        <f>NF62/NE62</f>
        <v/>
      </c>
      <c r="NH62" s="236" t="n">
        <v>0.0043</v>
      </c>
      <c r="NI62" s="236" t="n"/>
      <c r="NJ62" s="236" t="n"/>
      <c r="NK62" s="236" t="n"/>
      <c r="NL62" s="240" t="n"/>
      <c r="NM62" s="240">
        <f>C62</f>
        <v/>
      </c>
      <c r="NN62" s="10" t="n">
        <v>2783511.08</v>
      </c>
      <c r="NO62" s="10">
        <f>NN63</f>
        <v/>
      </c>
      <c r="NP62" s="10">
        <f>NN62-NO62</f>
        <v/>
      </c>
      <c r="NQ62" s="236">
        <f>NP62/NO62</f>
        <v/>
      </c>
      <c r="NR62" s="269" t="n">
        <v>0.0043</v>
      </c>
      <c r="NS62" s="240" t="n"/>
      <c r="NT62" s="270" t="n"/>
      <c r="NU62" s="240">
        <f>C62</f>
        <v/>
      </c>
      <c r="NV62" s="10" t="n">
        <v>220276.5</v>
      </c>
      <c r="NW62" s="240">
        <f>NV63</f>
        <v/>
      </c>
      <c r="NX62" s="10">
        <f>NV62-NW62</f>
        <v/>
      </c>
      <c r="NY62" s="236">
        <f>NX62/NW62</f>
        <v/>
      </c>
      <c r="NZ62" s="236" t="n">
        <v>-0.0111</v>
      </c>
      <c r="OA62" s="0" t="n"/>
      <c r="OC62" s="10">
        <f>C62</f>
        <v/>
      </c>
      <c r="OD62" s="241" t="n">
        <v>17253.97</v>
      </c>
      <c r="OE62" s="14">
        <f>OD63</f>
        <v/>
      </c>
      <c r="OF62" s="14">
        <f>OD62-OE62</f>
        <v/>
      </c>
      <c r="OG62" s="237">
        <f>OF62/OE62</f>
        <v/>
      </c>
      <c r="OH62" s="236" t="n">
        <v>0.0031</v>
      </c>
      <c r="OI62" s="236" t="n"/>
      <c r="OK62" s="10">
        <f>C62</f>
        <v/>
      </c>
      <c r="OL62" s="241" t="n">
        <v>15927.65</v>
      </c>
      <c r="OM62" s="14">
        <f>OL63</f>
        <v/>
      </c>
      <c r="ON62" s="14">
        <f>OL62-OM62</f>
        <v/>
      </c>
      <c r="OO62" s="237">
        <f>ON62/OM62</f>
        <v/>
      </c>
      <c r="OP62" s="236" t="n">
        <v>0.0008</v>
      </c>
      <c r="OQ62" s="236" t="n"/>
      <c r="OT62" s="201">
        <f>OK62</f>
        <v/>
      </c>
      <c r="OU62" s="199" t="n">
        <v>155112.4066</v>
      </c>
      <c r="OV62" s="9">
        <f>OU63</f>
        <v/>
      </c>
      <c r="OW62" s="671">
        <f>OU62-OV62</f>
        <v/>
      </c>
      <c r="OX62" s="182">
        <f>OW62/OV62</f>
        <v/>
      </c>
      <c r="OY62" s="0" t="n">
        <v>0.0261</v>
      </c>
    </row>
    <row r="63" ht="17" customFormat="1" customHeight="1" s="9">
      <c r="A63" s="631" t="n"/>
      <c r="B63" s="631" t="n"/>
      <c r="C63" s="680" t="inlineStr">
        <is>
          <t>2026//8/17</t>
        </is>
      </c>
      <c r="D63" s="20" t="n">
        <v>2304408.77</v>
      </c>
      <c r="E63" s="20">
        <f>D64</f>
        <v/>
      </c>
      <c r="F63" s="20">
        <f>D63-E63</f>
        <v/>
      </c>
      <c r="G63" s="163">
        <f>F63/E63</f>
        <v/>
      </c>
      <c r="H63" s="19" t="n">
        <v>0.0159</v>
      </c>
      <c r="I63" s="163" t="n"/>
      <c r="J63" s="163" t="n"/>
      <c r="K63" s="20">
        <f>C63</f>
        <v/>
      </c>
      <c r="L63" s="20" t="n">
        <v>1131184.4</v>
      </c>
      <c r="M63" s="20">
        <f>L64</f>
        <v/>
      </c>
      <c r="N63" s="20">
        <f>L63-M63</f>
        <v/>
      </c>
      <c r="O63" s="163">
        <f>N63/M63</f>
        <v/>
      </c>
      <c r="P63" s="19" t="n">
        <v>0.0155</v>
      </c>
      <c r="Q63" s="163" t="n"/>
      <c r="R63" s="20" t="n"/>
      <c r="S63" s="20">
        <f>C63</f>
        <v/>
      </c>
      <c r="T63" s="20" t="n">
        <v>691986.6800000001</v>
      </c>
      <c r="U63" s="20">
        <f>T64</f>
        <v/>
      </c>
      <c r="V63" s="20">
        <f>T63-U63</f>
        <v/>
      </c>
      <c r="W63" s="163">
        <f>V63/U63</f>
        <v/>
      </c>
      <c r="X63" s="19" t="n">
        <v>0.0103</v>
      </c>
      <c r="Y63" s="163" t="n"/>
      <c r="Z63" s="20" t="n"/>
      <c r="AA63" s="20">
        <f>S63</f>
        <v/>
      </c>
      <c r="AB63" s="20" t="n">
        <v>514176.86</v>
      </c>
      <c r="AC63" s="20">
        <f>AB64</f>
        <v/>
      </c>
      <c r="AD63" s="20">
        <f>AB63-AC63</f>
        <v/>
      </c>
      <c r="AE63" s="163">
        <f>AD63/AC63</f>
        <v/>
      </c>
      <c r="AF63" s="19" t="n">
        <v>0.0249</v>
      </c>
      <c r="AG63" s="163" t="n"/>
      <c r="AH63" s="20" t="n"/>
      <c r="AI63" s="20">
        <f>C63</f>
        <v/>
      </c>
      <c r="AJ63" s="20" t="n">
        <v>668121.76</v>
      </c>
      <c r="AK63" s="20">
        <f>AJ64</f>
        <v/>
      </c>
      <c r="AL63" s="20">
        <f>AJ63-AK63</f>
        <v/>
      </c>
      <c r="AM63" s="163">
        <f>AL63/AK63</f>
        <v/>
      </c>
      <c r="AN63" s="19" t="n">
        <v>0.0254</v>
      </c>
      <c r="AO63" s="19" t="n"/>
      <c r="AP63" s="20" t="n"/>
      <c r="AQ63" s="20">
        <f>C63</f>
        <v/>
      </c>
      <c r="AR63" s="634" t="n">
        <v>1711445.4936</v>
      </c>
      <c r="AS63" s="20">
        <f>AR64</f>
        <v/>
      </c>
      <c r="AT63" s="20">
        <f>AR63-AS63</f>
        <v/>
      </c>
      <c r="AU63" s="163">
        <f>AT63/AS63</f>
        <v/>
      </c>
      <c r="AV63" s="19" t="n">
        <v>0.0305</v>
      </c>
      <c r="AW63" s="19" t="n"/>
      <c r="AX63" s="5" t="n"/>
      <c r="AY63" s="5" t="n"/>
      <c r="AZ63" s="20">
        <f>C63</f>
        <v/>
      </c>
      <c r="BA63" s="220" t="n">
        <v>617241.6676</v>
      </c>
      <c r="BB63" s="188">
        <f>BA64</f>
        <v/>
      </c>
      <c r="BC63" s="5">
        <f>BA63-BB63</f>
        <v/>
      </c>
      <c r="BD63" s="19">
        <f>BC63/BB63</f>
        <v/>
      </c>
      <c r="BE63" s="19" t="n">
        <v>0.016</v>
      </c>
      <c r="BF63" s="19" t="n"/>
      <c r="BG63" s="647" t="n"/>
      <c r="BH63" s="9">
        <f>C63</f>
        <v/>
      </c>
      <c r="BI63" s="221" t="n">
        <v>1256026.5525</v>
      </c>
      <c r="BJ63" s="184">
        <f>BI64</f>
        <v/>
      </c>
      <c r="BK63" s="184">
        <f>BI63-BJ63</f>
        <v/>
      </c>
      <c r="BL63" s="190">
        <f>BK63/BJ63</f>
        <v/>
      </c>
      <c r="BM63" s="191" t="n">
        <v>0.0263</v>
      </c>
      <c r="BN63" s="182" t="n"/>
      <c r="BP63" s="9">
        <f>C63</f>
        <v/>
      </c>
      <c r="BQ63" s="672" t="n">
        <v>1362062.3921</v>
      </c>
      <c r="BR63" s="13">
        <f>BQ64</f>
        <v/>
      </c>
      <c r="BS63" s="13">
        <f>BQ63-BR63</f>
        <v/>
      </c>
      <c r="BT63" s="193">
        <f>BS63/BR63</f>
        <v/>
      </c>
      <c r="BU63" s="182" t="n">
        <v>0.0014</v>
      </c>
      <c r="BV63" s="182" t="n"/>
      <c r="BX63" s="9">
        <f>C63</f>
        <v/>
      </c>
      <c r="BY63" s="222" t="n">
        <v>1698460.7019</v>
      </c>
      <c r="BZ63" s="13">
        <f>BY64</f>
        <v/>
      </c>
      <c r="CA63" s="13">
        <f>BY63-BZ63</f>
        <v/>
      </c>
      <c r="CB63" s="193">
        <f>CA63/BZ63</f>
        <v/>
      </c>
      <c r="CC63" s="182" t="n">
        <v>0.0175</v>
      </c>
      <c r="CD63" s="194" t="n"/>
      <c r="CF63" s="9">
        <f>C63</f>
        <v/>
      </c>
      <c r="CG63" s="215" t="n">
        <v>1322703.9</v>
      </c>
      <c r="CH63" s="13">
        <f>CG64</f>
        <v/>
      </c>
      <c r="CI63" s="13">
        <f>CG63-CH63</f>
        <v/>
      </c>
      <c r="CJ63" s="193">
        <f>CI63/CH63</f>
        <v/>
      </c>
      <c r="CK63" s="182" t="n">
        <v>0.0307</v>
      </c>
      <c r="CL63" s="194" t="n"/>
      <c r="CN63" s="9">
        <f>C63</f>
        <v/>
      </c>
      <c r="CO63" s="185" t="n">
        <v>528146.48</v>
      </c>
      <c r="CP63" s="13">
        <f>CO64</f>
        <v/>
      </c>
      <c r="CQ63" s="13">
        <f>CO63-CP63</f>
        <v/>
      </c>
      <c r="CR63" s="193">
        <f>CQ63/CP63</f>
        <v/>
      </c>
      <c r="CS63" s="194" t="n">
        <v>0.0299</v>
      </c>
      <c r="CT63" s="194" t="n"/>
      <c r="CV63" s="9">
        <f>C63</f>
        <v/>
      </c>
      <c r="CW63" s="185" t="n">
        <v>775040.4</v>
      </c>
      <c r="CX63" s="13">
        <f>CW64</f>
        <v/>
      </c>
      <c r="CY63" s="13">
        <f>CW63-CX63</f>
        <v/>
      </c>
      <c r="CZ63" s="193">
        <f>CY63/CX63</f>
        <v/>
      </c>
      <c r="DA63" s="182" t="n">
        <v>0.0365</v>
      </c>
      <c r="DB63" s="182" t="n"/>
      <c r="DC63" s="256" t="n"/>
      <c r="DD63" s="9">
        <f>C63</f>
        <v/>
      </c>
      <c r="DE63" s="222" t="n">
        <v>5755435.9972</v>
      </c>
      <c r="DF63" s="13">
        <f>DE64</f>
        <v/>
      </c>
      <c r="DG63" s="13">
        <f>DE63-DF63</f>
        <v/>
      </c>
      <c r="DH63" s="193">
        <f>DG63/DF63</f>
        <v/>
      </c>
      <c r="DI63" s="182" t="n">
        <v>0.0526</v>
      </c>
      <c r="DJ63" s="182" t="n"/>
      <c r="DK63" s="0" t="n"/>
      <c r="DL63" s="9">
        <f>C63</f>
        <v/>
      </c>
      <c r="DM63" s="185" t="n">
        <v>1848200.72</v>
      </c>
      <c r="DN63" s="13">
        <f>DM64</f>
        <v/>
      </c>
      <c r="DO63" s="13">
        <f>DM63-DN63</f>
        <v/>
      </c>
      <c r="DP63" s="193">
        <f>DO63/DN63</f>
        <v/>
      </c>
      <c r="DQ63" s="182" t="n">
        <v>0.0511</v>
      </c>
      <c r="DR63" s="182" t="n"/>
      <c r="DT63" s="9">
        <f>C63</f>
        <v/>
      </c>
      <c r="DU63" s="185" t="n">
        <v>4191118.43</v>
      </c>
      <c r="DV63" s="13">
        <f>DU64</f>
        <v/>
      </c>
      <c r="DW63" s="13">
        <f>DU63-DV63</f>
        <v/>
      </c>
      <c r="DX63" s="193">
        <f>DW63/DV63</f>
        <v/>
      </c>
      <c r="DY63" s="182" t="n">
        <v>0.052</v>
      </c>
      <c r="DZ63" s="182" t="n"/>
      <c r="EB63" s="9">
        <f>C63</f>
        <v/>
      </c>
      <c r="EC63" s="185" t="n">
        <v>4703066.82</v>
      </c>
      <c r="ED63" s="13">
        <f>EC64</f>
        <v/>
      </c>
      <c r="EE63" s="13">
        <f>EC63-ED63</f>
        <v/>
      </c>
      <c r="EF63" s="193">
        <f>EE63/ED63</f>
        <v/>
      </c>
      <c r="EG63" s="182" t="n">
        <v>0.0408</v>
      </c>
      <c r="EH63" s="182" t="n"/>
      <c r="EJ63" s="9">
        <f>C63</f>
        <v/>
      </c>
      <c r="EK63" s="222" t="n">
        <v>1163922.9669</v>
      </c>
      <c r="EL63" s="13">
        <f>EK64</f>
        <v/>
      </c>
      <c r="EM63" s="13">
        <f>EK63-EL63</f>
        <v/>
      </c>
      <c r="EN63" s="193">
        <f>EM63/EL63</f>
        <v/>
      </c>
      <c r="EO63" s="182" t="n">
        <v>0.0298</v>
      </c>
      <c r="EP63" s="182" t="n"/>
      <c r="ER63" s="9">
        <f>C63</f>
        <v/>
      </c>
      <c r="ES63" s="9" t="n">
        <v>729494.04</v>
      </c>
      <c r="ET63" s="13">
        <f>ES64</f>
        <v/>
      </c>
      <c r="EU63" s="13">
        <f>ES63-ET63</f>
        <v/>
      </c>
      <c r="EV63" s="193">
        <f>EU63/ET63</f>
        <v/>
      </c>
      <c r="EW63" s="182" t="n">
        <v>0.0326</v>
      </c>
      <c r="EX63" s="182" t="n"/>
      <c r="EZ63" s="9">
        <f>C63</f>
        <v/>
      </c>
      <c r="FA63" s="185" t="n">
        <v>582308</v>
      </c>
      <c r="FB63" s="13">
        <f>FA64</f>
        <v/>
      </c>
      <c r="FC63" s="13">
        <f>FA63-FB63</f>
        <v/>
      </c>
      <c r="FD63" s="193">
        <f>FC63/FB63</f>
        <v/>
      </c>
      <c r="FE63" s="182" t="n">
        <v>0.0174</v>
      </c>
      <c r="FF63" s="182" t="n"/>
      <c r="FH63" s="9">
        <f>C63</f>
        <v/>
      </c>
      <c r="FI63" s="672" t="n">
        <v>1039795.3365</v>
      </c>
      <c r="FJ63" s="13">
        <f>FI64</f>
        <v/>
      </c>
      <c r="FK63" s="13">
        <f>FI63-FJ63</f>
        <v/>
      </c>
      <c r="FL63" s="193">
        <f>FK63/FJ63</f>
        <v/>
      </c>
      <c r="FM63" s="194" t="n">
        <v>0.0278</v>
      </c>
      <c r="FN63" s="194" t="n"/>
      <c r="FP63" s="9">
        <f>C63</f>
        <v/>
      </c>
      <c r="FQ63" s="185" t="n">
        <v>1812118.73</v>
      </c>
      <c r="FR63" s="13">
        <f>FQ64</f>
        <v/>
      </c>
      <c r="FS63" s="13">
        <f>FQ63-FR63</f>
        <v/>
      </c>
      <c r="FT63" s="193">
        <f>FS63/FR63</f>
        <v/>
      </c>
      <c r="FU63" s="182" t="n">
        <v>0.022</v>
      </c>
      <c r="FV63" s="182" t="n"/>
      <c r="FX63" s="9">
        <f>C63</f>
        <v/>
      </c>
      <c r="FY63" s="185" t="n">
        <v>7316482.05</v>
      </c>
      <c r="FZ63" s="13">
        <f>FY64</f>
        <v/>
      </c>
      <c r="GA63" s="13">
        <f>FY63-FZ63</f>
        <v/>
      </c>
      <c r="GB63" s="193">
        <f>GA63/FZ63</f>
        <v/>
      </c>
      <c r="GC63" s="182" t="n">
        <v>0.0057</v>
      </c>
      <c r="GD63" s="182" t="n"/>
      <c r="GF63" s="9">
        <f>C63</f>
        <v/>
      </c>
      <c r="GG63" s="185" t="n">
        <v>4089969.49</v>
      </c>
      <c r="GH63" s="13">
        <f>GG64</f>
        <v/>
      </c>
      <c r="GI63" s="13">
        <f>GG63-GH63</f>
        <v/>
      </c>
      <c r="GJ63" s="193">
        <f>GI63/GH63</f>
        <v/>
      </c>
      <c r="GK63" s="182" t="n">
        <v>0.0152</v>
      </c>
      <c r="GL63" s="182" t="n"/>
      <c r="GN63" s="9">
        <f>C63</f>
        <v/>
      </c>
      <c r="GO63" s="222" t="n">
        <v>1956538.1217</v>
      </c>
      <c r="GP63" s="13">
        <f>GO64</f>
        <v/>
      </c>
      <c r="GQ63" s="13">
        <f>GO63-GP63</f>
        <v/>
      </c>
      <c r="GR63" s="193">
        <f>GQ63/GP63</f>
        <v/>
      </c>
      <c r="GS63" s="182" t="n">
        <v>0.0098</v>
      </c>
      <c r="GT63" s="182" t="n"/>
      <c r="GV63" s="9">
        <f>C63</f>
        <v/>
      </c>
      <c r="GW63" s="185" t="n">
        <v>599749.4</v>
      </c>
      <c r="GX63" s="13">
        <f>GW64</f>
        <v/>
      </c>
      <c r="GY63" s="13">
        <f>GW63-GX63</f>
        <v/>
      </c>
      <c r="GZ63" s="193">
        <f>GY63/GX63</f>
        <v/>
      </c>
      <c r="HA63" s="182" t="n">
        <v>0.0243</v>
      </c>
      <c r="HB63" s="182" t="n"/>
      <c r="HD63" s="9">
        <f>C63</f>
        <v/>
      </c>
      <c r="HE63" s="222" t="n">
        <v>860864.6746</v>
      </c>
      <c r="HF63" s="13">
        <f>HE64</f>
        <v/>
      </c>
      <c r="HG63" s="13">
        <f>HE63-HF63</f>
        <v/>
      </c>
      <c r="HH63" s="193">
        <f>HG63/HF63</f>
        <v/>
      </c>
      <c r="HI63" s="194" t="n">
        <v>0.0204</v>
      </c>
      <c r="HJ63" s="182" t="n"/>
      <c r="HL63" s="9">
        <f>C63</f>
        <v/>
      </c>
      <c r="HM63" s="185" t="n">
        <v>116854.25</v>
      </c>
      <c r="HN63" s="13">
        <f>HM64</f>
        <v/>
      </c>
      <c r="HO63" s="13">
        <f>HM63-HN63</f>
        <v/>
      </c>
      <c r="HP63" s="193">
        <f>HO63/HN63</f>
        <v/>
      </c>
      <c r="HQ63" s="182" t="n">
        <v>0.0108</v>
      </c>
      <c r="HR63" s="182" t="n"/>
      <c r="HT63" s="9">
        <f>C63</f>
        <v/>
      </c>
      <c r="HU63" s="222" t="n">
        <v>135968.8265</v>
      </c>
      <c r="HV63" s="13">
        <f>HU64</f>
        <v/>
      </c>
      <c r="HW63" s="13">
        <f>HU63-HV63</f>
        <v/>
      </c>
      <c r="HX63" s="193">
        <f>HW63/HV63</f>
        <v/>
      </c>
      <c r="HY63" s="182" t="n">
        <v>0.0132</v>
      </c>
      <c r="HZ63" s="182" t="n"/>
      <c r="IB63" s="9">
        <f>C63</f>
        <v/>
      </c>
      <c r="IC63" s="185" t="n">
        <v>279159.79</v>
      </c>
      <c r="ID63" s="13">
        <f>IC64</f>
        <v/>
      </c>
      <c r="IE63" s="13">
        <f>IC63-ID63</f>
        <v/>
      </c>
      <c r="IF63" s="193">
        <f>IE63/ID63</f>
        <v/>
      </c>
      <c r="IG63" s="194" t="n">
        <v>0.0065</v>
      </c>
      <c r="IH63" s="182" t="n"/>
      <c r="IJ63" s="9">
        <f>C63</f>
        <v/>
      </c>
      <c r="IK63" s="222" t="n">
        <v>977436.29</v>
      </c>
      <c r="IL63" s="13">
        <f>IK64</f>
        <v/>
      </c>
      <c r="IM63" s="13">
        <f>IK63-IL63</f>
        <v/>
      </c>
      <c r="IN63" s="193">
        <f>IM63/IL63</f>
        <v/>
      </c>
      <c r="IO63" s="182" t="n">
        <v>-0.0019</v>
      </c>
      <c r="IP63" s="182" t="n"/>
      <c r="IR63" s="9">
        <f>C63</f>
        <v/>
      </c>
      <c r="IS63" s="185" t="n">
        <v>153089</v>
      </c>
      <c r="IT63" s="13">
        <f>IS64</f>
        <v/>
      </c>
      <c r="IU63" s="13">
        <f>IS63-IT63</f>
        <v/>
      </c>
      <c r="IV63" s="193">
        <f>IU63/IT63</f>
        <v/>
      </c>
      <c r="IW63" s="182" t="n">
        <v>0.0118</v>
      </c>
      <c r="IX63" s="182" t="n"/>
      <c r="IZ63" s="9">
        <f>C63</f>
        <v/>
      </c>
      <c r="JA63" s="185" t="n">
        <v>5914229.15</v>
      </c>
      <c r="JB63" s="13">
        <f>JA64</f>
        <v/>
      </c>
      <c r="JC63" s="13">
        <f>JA63-JB63</f>
        <v/>
      </c>
      <c r="JD63" s="193">
        <f>JC63/JB63</f>
        <v/>
      </c>
      <c r="JE63" s="182" t="n">
        <v>0.0055</v>
      </c>
      <c r="JF63" s="182" t="n"/>
      <c r="JH63" s="9">
        <f>C63</f>
        <v/>
      </c>
      <c r="JI63" s="185" t="n">
        <v>1198767.99</v>
      </c>
      <c r="JJ63" s="13">
        <f>JI64</f>
        <v/>
      </c>
      <c r="JK63" s="13">
        <f>JI63-JJ63</f>
        <v/>
      </c>
      <c r="JL63" s="193">
        <f>JK63/JJ63</f>
        <v/>
      </c>
      <c r="JM63" s="182" t="n">
        <v>-0.0013</v>
      </c>
      <c r="JN63" s="182" t="n"/>
      <c r="JP63" s="9">
        <f>C63</f>
        <v/>
      </c>
      <c r="JQ63" s="222" t="n">
        <v>996490.4148</v>
      </c>
      <c r="JR63" s="13">
        <f>JQ64</f>
        <v/>
      </c>
      <c r="JS63" s="13">
        <f>JQ63-JR63</f>
        <v/>
      </c>
      <c r="JT63" s="193">
        <f>JS63/JR63</f>
        <v/>
      </c>
      <c r="JU63" s="182" t="n">
        <v>0.0064</v>
      </c>
      <c r="JV63" s="194" t="n"/>
      <c r="JX63" s="9">
        <f>C63</f>
        <v/>
      </c>
      <c r="JY63" s="185" t="n">
        <v>1033498.8</v>
      </c>
      <c r="JZ63" s="13">
        <f>JY64</f>
        <v/>
      </c>
      <c r="KA63" s="13">
        <f>JY63-JZ63</f>
        <v/>
      </c>
      <c r="KB63" s="193">
        <f>KA63/JZ63</f>
        <v/>
      </c>
      <c r="KC63" s="182" t="n">
        <v>0.0044</v>
      </c>
      <c r="KD63" s="194" t="n"/>
      <c r="KF63" s="9">
        <f>C63</f>
        <v/>
      </c>
      <c r="KG63" s="222" t="n">
        <v>582755.9219</v>
      </c>
      <c r="KH63" s="13">
        <f>KG64</f>
        <v/>
      </c>
      <c r="KI63" s="13">
        <f>KG63-KH63</f>
        <v/>
      </c>
      <c r="KJ63" s="193">
        <f>KI63/KH63</f>
        <v/>
      </c>
      <c r="KK63" s="194" t="n">
        <v>0.0149</v>
      </c>
      <c r="KL63" s="194" t="n"/>
      <c r="KN63" s="9">
        <f>C63</f>
        <v/>
      </c>
      <c r="KO63" s="185" t="n">
        <v>6968875.95</v>
      </c>
      <c r="KP63" s="13">
        <f>KO64</f>
        <v/>
      </c>
      <c r="KQ63" s="13">
        <f>KO63-KP63</f>
        <v/>
      </c>
      <c r="KR63" s="193">
        <f>KQ63/KP63</f>
        <v/>
      </c>
      <c r="KS63" s="182" t="n">
        <v>0.0168</v>
      </c>
      <c r="KT63" s="182" t="n"/>
      <c r="KV63" s="9">
        <f>C63</f>
        <v/>
      </c>
      <c r="KW63" s="222" t="n">
        <v>1084572.9726</v>
      </c>
      <c r="KX63" s="13">
        <f>KW64</f>
        <v/>
      </c>
      <c r="KY63" s="13">
        <f>KW63-KX63</f>
        <v/>
      </c>
      <c r="KZ63" s="193">
        <f>KY63/KX63</f>
        <v/>
      </c>
      <c r="LA63" s="194" t="n">
        <v>0.0014</v>
      </c>
      <c r="LB63" s="182" t="n"/>
      <c r="LD63" s="9">
        <f>C63</f>
        <v/>
      </c>
      <c r="LE63" s="185" t="n">
        <v>388507.7</v>
      </c>
      <c r="LF63" s="13">
        <f>LE64</f>
        <v/>
      </c>
      <c r="LG63" s="13">
        <f>LE63-LF63</f>
        <v/>
      </c>
      <c r="LH63" s="193">
        <f>LG63/LF63</f>
        <v/>
      </c>
      <c r="LI63" s="182" t="n">
        <v>0.0166</v>
      </c>
      <c r="LJ63" s="182" t="n"/>
      <c r="LL63" s="9">
        <f>C63</f>
        <v/>
      </c>
      <c r="LM63" s="672" t="n">
        <v>3229495.02</v>
      </c>
      <c r="LN63" s="13">
        <f>LM64</f>
        <v/>
      </c>
      <c r="LO63" s="13">
        <f>LM63-LN63</f>
        <v/>
      </c>
      <c r="LP63" s="193">
        <f>LO63/LN63</f>
        <v/>
      </c>
      <c r="LQ63" s="182" t="n">
        <v>-0.0249</v>
      </c>
      <c r="LR63" s="182" t="n"/>
      <c r="LT63" s="9">
        <f>C63</f>
        <v/>
      </c>
      <c r="LU63" s="222" t="n">
        <v>2337062.904</v>
      </c>
      <c r="LV63" s="13">
        <f>LU64</f>
        <v/>
      </c>
      <c r="LW63" s="13">
        <f>LU63-LV63</f>
        <v/>
      </c>
      <c r="LX63" s="193">
        <f>LW63/LV63</f>
        <v/>
      </c>
      <c r="LY63" s="182" t="n">
        <v>-0.0089</v>
      </c>
      <c r="LZ63" s="182" t="n"/>
      <c r="MB63" s="9">
        <f>C63</f>
        <v/>
      </c>
      <c r="MC63" s="185" t="n">
        <v>1131267.69</v>
      </c>
      <c r="MD63" s="13">
        <f>MC64</f>
        <v/>
      </c>
      <c r="ME63" s="13">
        <f>MC63-MD63</f>
        <v/>
      </c>
      <c r="MF63" s="193">
        <f>ME63/MD63</f>
        <v/>
      </c>
      <c r="MG63" s="182" t="n">
        <v>-0.004</v>
      </c>
      <c r="MH63" s="182" t="n"/>
      <c r="MI63" s="182" t="n"/>
      <c r="MJ63" s="182" t="n"/>
      <c r="MK63" s="9">
        <f>C63</f>
        <v/>
      </c>
      <c r="ML63" s="223" t="n">
        <v>161985.5354</v>
      </c>
      <c r="MM63" s="13">
        <f>ML64</f>
        <v/>
      </c>
      <c r="MN63" s="13">
        <f>ML63-MM63</f>
        <v/>
      </c>
      <c r="MO63" s="193">
        <f>MN63/MM63</f>
        <v/>
      </c>
      <c r="MP63" s="182" t="n">
        <v>0.0147</v>
      </c>
      <c r="MQ63" s="194" t="n"/>
      <c r="MR63" s="194" t="n"/>
      <c r="MT63" s="25">
        <f>C63</f>
        <v/>
      </c>
      <c r="MU63" s="9" t="n">
        <v>133914.8</v>
      </c>
      <c r="MV63" s="188">
        <f>MU64</f>
        <v/>
      </c>
      <c r="MW63" s="9">
        <f>MU63-MV63</f>
        <v/>
      </c>
      <c r="MX63" s="182">
        <f>MW63/MV63</f>
        <v/>
      </c>
      <c r="MY63" s="182" t="n">
        <v>0.0274</v>
      </c>
      <c r="MZ63" s="182" t="n"/>
      <c r="NA63" s="182" t="n"/>
      <c r="NC63" s="25">
        <f>C63</f>
        <v/>
      </c>
      <c r="ND63" s="9" t="n">
        <v>33291.48</v>
      </c>
      <c r="NE63" s="188">
        <f>ND64</f>
        <v/>
      </c>
      <c r="NF63" s="9">
        <f>ND63-NE63</f>
        <v/>
      </c>
      <c r="NG63" s="182">
        <f>NF63/NE63</f>
        <v/>
      </c>
      <c r="NH63" s="182" t="n">
        <v>0.0189</v>
      </c>
      <c r="NI63" s="182" t="n"/>
      <c r="NJ63" s="182" t="n"/>
      <c r="NK63" s="182" t="n"/>
      <c r="NL63" s="188" t="n"/>
      <c r="NM63" s="188">
        <f>C63</f>
        <v/>
      </c>
      <c r="NN63" s="188" t="n">
        <v>2796011.08</v>
      </c>
      <c r="NO63" s="9">
        <f>NN64</f>
        <v/>
      </c>
      <c r="NP63" s="188">
        <f>NN63-NO63</f>
        <v/>
      </c>
      <c r="NQ63" s="271">
        <f>NP63/NO63</f>
        <v/>
      </c>
      <c r="NR63" s="272" t="n">
        <v>0.0009</v>
      </c>
      <c r="NS63" s="188" t="n"/>
      <c r="NT63" s="273" t="n"/>
      <c r="NU63" s="188">
        <f>C63</f>
        <v/>
      </c>
      <c r="NV63" s="188" t="n">
        <v>221176.5</v>
      </c>
      <c r="NW63" s="188">
        <f>NV64</f>
        <v/>
      </c>
      <c r="NX63" s="188">
        <f>NV63-NW63</f>
        <v/>
      </c>
      <c r="NY63" s="271">
        <f>NX63/NW63</f>
        <v/>
      </c>
      <c r="NZ63" s="182" t="n">
        <v>-0.002</v>
      </c>
      <c r="OA63" s="0" t="n"/>
      <c r="OC63" s="9">
        <f>C63</f>
        <v/>
      </c>
      <c r="OD63" s="185" t="n">
        <v>16967.97</v>
      </c>
      <c r="OE63" s="13">
        <f>OD64</f>
        <v/>
      </c>
      <c r="OF63" s="13">
        <f>OD63-OE63</f>
        <v/>
      </c>
      <c r="OG63" s="193">
        <f>OF63/OE63</f>
        <v/>
      </c>
      <c r="OH63" s="182" t="n">
        <v>-0.0017</v>
      </c>
      <c r="OI63" s="182" t="n"/>
      <c r="OK63" s="9">
        <f>C63</f>
        <v/>
      </c>
      <c r="OL63" s="185" t="n">
        <v>15897.65</v>
      </c>
      <c r="OM63" s="13">
        <f>OL64</f>
        <v/>
      </c>
      <c r="ON63" s="13">
        <f>OL63-OM63</f>
        <v/>
      </c>
      <c r="OO63" s="193">
        <f>ON63/OM63</f>
        <v/>
      </c>
      <c r="OP63" s="182" t="n">
        <v>0</v>
      </c>
      <c r="OQ63" s="182" t="n"/>
      <c r="OT63" s="201">
        <f>OK63</f>
        <v/>
      </c>
      <c r="OU63" s="199" t="n">
        <v>154992.4066</v>
      </c>
      <c r="OV63" s="9">
        <f>OU64</f>
        <v/>
      </c>
      <c r="OW63" s="671">
        <f>OU63-OV63</f>
        <v/>
      </c>
      <c r="OX63" s="182">
        <f>OW63/OV63</f>
        <v/>
      </c>
      <c r="OY63" s="0" t="n">
        <v>0.0047</v>
      </c>
    </row>
    <row r="64" ht="17" customFormat="1" customHeight="1" s="9">
      <c r="A64" s="631" t="n"/>
      <c r="B64" s="631" t="n"/>
      <c r="C64" s="680" t="inlineStr">
        <is>
          <t>2026//8/14</t>
        </is>
      </c>
      <c r="D64" s="20" t="n">
        <v>2350128.77</v>
      </c>
      <c r="E64" s="20">
        <f>D65</f>
        <v/>
      </c>
      <c r="F64" s="20">
        <f>D64-E64</f>
        <v/>
      </c>
      <c r="G64" s="163">
        <f>F64/E64</f>
        <v/>
      </c>
      <c r="H64" s="19" t="n">
        <v>-0.0005999999999999999</v>
      </c>
      <c r="I64" s="163" t="n"/>
      <c r="J64" s="163" t="n"/>
      <c r="K64" s="20">
        <f>C64</f>
        <v/>
      </c>
      <c r="L64" s="20" t="n">
        <v>1137394.4</v>
      </c>
      <c r="M64" s="20">
        <f>L65</f>
        <v/>
      </c>
      <c r="N64" s="20">
        <f>L64-M64</f>
        <v/>
      </c>
      <c r="O64" s="163">
        <f>N64/M64</f>
        <v/>
      </c>
      <c r="P64" s="19" t="n">
        <v>-0.0002</v>
      </c>
      <c r="Q64" s="163" t="n"/>
      <c r="R64" s="20" t="n"/>
      <c r="S64" s="20">
        <f>C64</f>
        <v/>
      </c>
      <c r="T64" s="215" t="n">
        <v>708186.6800000001</v>
      </c>
      <c r="U64" s="20">
        <f>T65</f>
        <v/>
      </c>
      <c r="V64" s="20">
        <f>T64-U64</f>
        <v/>
      </c>
      <c r="W64" s="163">
        <f>V64/U64</f>
        <v/>
      </c>
      <c r="X64" s="19" t="n">
        <v>-0.0053</v>
      </c>
      <c r="Y64" s="163" t="n"/>
      <c r="Z64" s="20" t="n"/>
      <c r="AA64" s="20">
        <f>S64</f>
        <v/>
      </c>
      <c r="AB64" s="20" t="n">
        <v>509216.86</v>
      </c>
      <c r="AC64" s="20">
        <f>AB65</f>
        <v/>
      </c>
      <c r="AD64" s="20">
        <f>AB64-AC64</f>
        <v/>
      </c>
      <c r="AE64" s="163">
        <f>AD64/AC64</f>
        <v/>
      </c>
      <c r="AF64" s="19" t="n">
        <v>0.0023</v>
      </c>
      <c r="AG64" s="163" t="n"/>
      <c r="AH64" s="20" t="n"/>
      <c r="AI64" s="20">
        <f>C64</f>
        <v/>
      </c>
      <c r="AJ64" s="20" t="n">
        <v>666521.76</v>
      </c>
      <c r="AK64" s="20">
        <f>AJ65</f>
        <v/>
      </c>
      <c r="AL64" s="20">
        <f>AJ64-AK64</f>
        <v/>
      </c>
      <c r="AM64" s="163">
        <f>AL64/AK64</f>
        <v/>
      </c>
      <c r="AN64" s="19" t="n">
        <v>0.0054</v>
      </c>
      <c r="AO64" s="19" t="n"/>
      <c r="AP64" s="20" t="n"/>
      <c r="AQ64" s="20">
        <f>C64</f>
        <v/>
      </c>
      <c r="AR64" s="634" t="n">
        <v>1746045.4936</v>
      </c>
      <c r="AS64" s="20">
        <f>AR65</f>
        <v/>
      </c>
      <c r="AT64" s="20">
        <f>AR64-AS64</f>
        <v/>
      </c>
      <c r="AU64" s="163">
        <f>AT64/AS64</f>
        <v/>
      </c>
      <c r="AV64" s="19" t="n">
        <v>0.0114</v>
      </c>
      <c r="AW64" s="19" t="n"/>
      <c r="AX64" s="5" t="n"/>
      <c r="AY64" s="5" t="n"/>
      <c r="AZ64" s="20">
        <f>C64</f>
        <v/>
      </c>
      <c r="BA64" s="220" t="n">
        <v>622731.6676</v>
      </c>
      <c r="BB64" s="188">
        <f>BA65</f>
        <v/>
      </c>
      <c r="BC64" s="5">
        <f>BA64-BB64</f>
        <v/>
      </c>
      <c r="BD64" s="19">
        <f>BC64/BB64</f>
        <v/>
      </c>
      <c r="BE64" s="19" t="n">
        <v>-0.0002</v>
      </c>
      <c r="BF64" s="19" t="n"/>
      <c r="BG64" s="647" t="n"/>
      <c r="BH64" s="9">
        <f>C64</f>
        <v/>
      </c>
      <c r="BI64" s="221" t="n">
        <v>1254226.5525</v>
      </c>
      <c r="BJ64" s="184">
        <f>BI65</f>
        <v/>
      </c>
      <c r="BK64" s="184">
        <f>BI64-BJ64</f>
        <v/>
      </c>
      <c r="BL64" s="190">
        <f>BK64/BJ64</f>
        <v/>
      </c>
      <c r="BM64" s="191" t="n">
        <v>0.013</v>
      </c>
      <c r="BN64" s="182" t="n"/>
      <c r="BP64" s="9">
        <f>C64</f>
        <v/>
      </c>
      <c r="BQ64" s="672" t="n">
        <v>1346662.3921</v>
      </c>
      <c r="BR64" s="13">
        <f>BQ65</f>
        <v/>
      </c>
      <c r="BS64" s="13">
        <f>BQ64-BR64</f>
        <v/>
      </c>
      <c r="BT64" s="193">
        <f>BS64/BR64</f>
        <v/>
      </c>
      <c r="BU64" s="182" t="n">
        <v>0.0028</v>
      </c>
      <c r="BV64" s="182" t="n"/>
      <c r="BX64" s="9">
        <f>C64</f>
        <v/>
      </c>
      <c r="BY64" s="222" t="n">
        <v>1703710.7019</v>
      </c>
      <c r="BZ64" s="13">
        <f>BY65</f>
        <v/>
      </c>
      <c r="CA64" s="13">
        <f>BY64-BZ64</f>
        <v/>
      </c>
      <c r="CB64" s="193">
        <f>CA64/BZ64</f>
        <v/>
      </c>
      <c r="CC64" s="182" t="n">
        <v>0.0012</v>
      </c>
      <c r="CD64" s="194" t="n"/>
      <c r="CF64" s="9">
        <f>C64</f>
        <v/>
      </c>
      <c r="CG64" s="185" t="n">
        <v>1311103.9</v>
      </c>
      <c r="CH64" s="13">
        <f>CG65</f>
        <v/>
      </c>
      <c r="CI64" s="13">
        <f>CG64-CH64</f>
        <v/>
      </c>
      <c r="CJ64" s="193">
        <f>CI64/CH64</f>
        <v/>
      </c>
      <c r="CK64" s="182" t="n">
        <v>0.0112</v>
      </c>
      <c r="CL64" s="194" t="n"/>
      <c r="CN64" s="9">
        <f>C64</f>
        <v/>
      </c>
      <c r="CO64" s="185" t="n">
        <v>530146.48</v>
      </c>
      <c r="CP64" s="13">
        <f>CO65</f>
        <v/>
      </c>
      <c r="CQ64" s="13">
        <f>CO64-CP64</f>
        <v/>
      </c>
      <c r="CR64" s="193">
        <f>CQ64/CP64</f>
        <v/>
      </c>
      <c r="CS64" s="194" t="n">
        <v>0.009900000000000001</v>
      </c>
      <c r="CT64" s="194" t="n"/>
      <c r="CV64" s="9">
        <f>C64</f>
        <v/>
      </c>
      <c r="CW64" s="185" t="n">
        <v>767840.4</v>
      </c>
      <c r="CX64" s="13">
        <f>CW65</f>
        <v/>
      </c>
      <c r="CY64" s="13">
        <f>CW64-CX64</f>
        <v/>
      </c>
      <c r="CZ64" s="193">
        <f>CY64/CX64</f>
        <v/>
      </c>
      <c r="DA64" s="182" t="n">
        <v>0.0101</v>
      </c>
      <c r="DB64" s="182" t="n"/>
      <c r="DC64" s="256" t="n"/>
      <c r="DD64" s="9">
        <f>C64</f>
        <v/>
      </c>
      <c r="DE64" s="222" t="n">
        <v>5785435.9972</v>
      </c>
      <c r="DF64" s="13">
        <f>DE65</f>
        <v/>
      </c>
      <c r="DG64" s="13">
        <f>DE64-DF64</f>
        <v/>
      </c>
      <c r="DH64" s="193">
        <f>DG64/DF64</f>
        <v/>
      </c>
      <c r="DI64" s="182" t="n">
        <v>0.0095</v>
      </c>
      <c r="DJ64" s="182" t="n"/>
      <c r="DK64" s="0" t="n"/>
      <c r="DL64" s="9">
        <f>C64</f>
        <v/>
      </c>
      <c r="DM64" s="185" t="n">
        <v>1887800.72</v>
      </c>
      <c r="DN64" s="13">
        <f>DM65</f>
        <v/>
      </c>
      <c r="DO64" s="13">
        <f>DM64-DN64</f>
        <v/>
      </c>
      <c r="DP64" s="193">
        <f>DO64/DN64</f>
        <v/>
      </c>
      <c r="DQ64" s="182" t="n">
        <v>0.008399999999999999</v>
      </c>
      <c r="DR64" s="182" t="n"/>
      <c r="DT64" s="9">
        <f>C64</f>
        <v/>
      </c>
      <c r="DU64" s="185" t="n">
        <v>4225768.43</v>
      </c>
      <c r="DV64" s="13">
        <f>DU65</f>
        <v/>
      </c>
      <c r="DW64" s="13">
        <f>DU64-DV64</f>
        <v/>
      </c>
      <c r="DX64" s="193">
        <f>DW64/DV64</f>
        <v/>
      </c>
      <c r="DY64" s="182" t="n">
        <v>0.0066</v>
      </c>
      <c r="DZ64" s="182" t="n"/>
      <c r="EB64" s="9">
        <f>C64</f>
        <v/>
      </c>
      <c r="EC64" s="185" t="n">
        <v>4886066.82</v>
      </c>
      <c r="ED64" s="13">
        <f>EC65</f>
        <v/>
      </c>
      <c r="EE64" s="13">
        <f>EC64-ED64</f>
        <v/>
      </c>
      <c r="EF64" s="193">
        <f>EE64/ED64</f>
        <v/>
      </c>
      <c r="EG64" s="182" t="n">
        <v>0.0011</v>
      </c>
      <c r="EH64" s="182" t="n"/>
      <c r="EJ64" s="9">
        <f>C64</f>
        <v/>
      </c>
      <c r="EK64" s="222" t="n">
        <v>1163122.9669</v>
      </c>
      <c r="EL64" s="13">
        <f>EK65</f>
        <v/>
      </c>
      <c r="EM64" s="13">
        <f>EK64-EL64</f>
        <v/>
      </c>
      <c r="EN64" s="193">
        <f>EM64/EL64</f>
        <v/>
      </c>
      <c r="EO64" s="182" t="n">
        <v>0.0109</v>
      </c>
      <c r="EP64" s="182" t="n"/>
      <c r="ER64" s="9">
        <f>C64</f>
        <v/>
      </c>
      <c r="ES64" s="9" t="n">
        <v>732494.04</v>
      </c>
      <c r="ET64" s="13">
        <f>ES65</f>
        <v/>
      </c>
      <c r="EU64" s="13">
        <f>ES64-ET64</f>
        <v/>
      </c>
      <c r="EV64" s="193">
        <f>EU64/ET64</f>
        <v/>
      </c>
      <c r="EW64" s="182" t="n">
        <v>0.0095</v>
      </c>
      <c r="EX64" s="182" t="n"/>
      <c r="EZ64" s="9">
        <f>C64</f>
        <v/>
      </c>
      <c r="FA64" s="185" t="n">
        <v>585008</v>
      </c>
      <c r="FB64" s="13">
        <f>FA65</f>
        <v/>
      </c>
      <c r="FC64" s="13">
        <f>FA64-FB64</f>
        <v/>
      </c>
      <c r="FD64" s="193">
        <f>FC64/FB64</f>
        <v/>
      </c>
      <c r="FE64" s="182" t="n">
        <v>0.0035</v>
      </c>
      <c r="FF64" s="182" t="n"/>
      <c r="FH64" s="9">
        <f>C64</f>
        <v/>
      </c>
      <c r="FI64" s="672" t="n">
        <v>1051995.3365</v>
      </c>
      <c r="FJ64" s="13">
        <f>FI65</f>
        <v/>
      </c>
      <c r="FK64" s="13">
        <f>FI64-FJ64</f>
        <v/>
      </c>
      <c r="FL64" s="193">
        <f>FK64/FJ64</f>
        <v/>
      </c>
      <c r="FM64" s="194" t="n">
        <v>0.0098</v>
      </c>
      <c r="FN64" s="194" t="n"/>
      <c r="FP64" s="9">
        <f>C64</f>
        <v/>
      </c>
      <c r="FQ64" s="185" t="n">
        <v>1833868.73</v>
      </c>
      <c r="FR64" s="13">
        <f>FQ65</f>
        <v/>
      </c>
      <c r="FS64" s="13">
        <f>FQ64-FR64</f>
        <v/>
      </c>
      <c r="FT64" s="193">
        <f>FS64/FR64</f>
        <v/>
      </c>
      <c r="FU64" s="182" t="n">
        <v>0.002</v>
      </c>
      <c r="FV64" s="182" t="n"/>
      <c r="FX64" s="9">
        <f>C64</f>
        <v/>
      </c>
      <c r="FY64" s="185" t="n">
        <v>7329982.05</v>
      </c>
      <c r="FZ64" s="13">
        <f>FY65</f>
        <v/>
      </c>
      <c r="GA64" s="13">
        <f>FY64-FZ64</f>
        <v/>
      </c>
      <c r="GB64" s="193">
        <f>GA64/FZ64</f>
        <v/>
      </c>
      <c r="GC64" s="182" t="n">
        <v>-0.0113</v>
      </c>
      <c r="GD64" s="182" t="n"/>
      <c r="GF64" s="9">
        <f>C64</f>
        <v/>
      </c>
      <c r="GG64" s="185" t="n">
        <v>4117669.49</v>
      </c>
      <c r="GH64" s="13">
        <f>GG65</f>
        <v/>
      </c>
      <c r="GI64" s="13">
        <f>GG64-GH64</f>
        <v/>
      </c>
      <c r="GJ64" s="193">
        <f>GI64/GH64</f>
        <v/>
      </c>
      <c r="GK64" s="182" t="n">
        <v>-0.015</v>
      </c>
      <c r="GL64" s="182" t="n"/>
      <c r="GN64" s="9">
        <f>C64</f>
        <v/>
      </c>
      <c r="GO64" s="222" t="n">
        <v>1966018.1217</v>
      </c>
      <c r="GP64" s="13">
        <f>GO65</f>
        <v/>
      </c>
      <c r="GQ64" s="13">
        <f>GO64-GP64</f>
        <v/>
      </c>
      <c r="GR64" s="193">
        <f>GQ64/GP64</f>
        <v/>
      </c>
      <c r="GS64" s="182" t="n">
        <v>-0.0118</v>
      </c>
      <c r="GT64" s="182" t="n"/>
      <c r="GV64" s="9">
        <f>C64</f>
        <v/>
      </c>
      <c r="GW64" s="185" t="n">
        <v>598549.4</v>
      </c>
      <c r="GX64" s="13">
        <f>GW65</f>
        <v/>
      </c>
      <c r="GY64" s="13">
        <f>GW64-GX64</f>
        <v/>
      </c>
      <c r="GZ64" s="193">
        <f>GY64/GX64</f>
        <v/>
      </c>
      <c r="HA64" s="182" t="n">
        <v>0.0023</v>
      </c>
      <c r="HB64" s="182" t="n"/>
      <c r="HD64" s="9">
        <f>C64</f>
        <v/>
      </c>
      <c r="HE64" s="222" t="n">
        <v>880264.6746</v>
      </c>
      <c r="HF64" s="13">
        <f>HE65</f>
        <v/>
      </c>
      <c r="HG64" s="13">
        <f>HE64-HF64</f>
        <v/>
      </c>
      <c r="HH64" s="193">
        <f>HG64/HF64</f>
        <v/>
      </c>
      <c r="HI64" s="194" t="n">
        <v>0.0051</v>
      </c>
      <c r="HJ64" s="182" t="n"/>
      <c r="HL64" s="9">
        <f>C64</f>
        <v/>
      </c>
      <c r="HM64" s="185" t="n">
        <v>116754.25</v>
      </c>
      <c r="HN64" s="13">
        <f>HM65</f>
        <v/>
      </c>
      <c r="HO64" s="13">
        <f>HM64-HN64</f>
        <v/>
      </c>
      <c r="HP64" s="193">
        <f>HO64/HN64</f>
        <v/>
      </c>
      <c r="HQ64" s="182" t="n">
        <v>0.0009</v>
      </c>
      <c r="HR64" s="182" t="n"/>
      <c r="HT64" s="9">
        <f>C64</f>
        <v/>
      </c>
      <c r="HU64" s="222" t="n">
        <v>135868.8265</v>
      </c>
      <c r="HV64" s="13">
        <f>HU65</f>
        <v/>
      </c>
      <c r="HW64" s="13">
        <f>HU64-HV64</f>
        <v/>
      </c>
      <c r="HX64" s="193">
        <f>HW64/HV64</f>
        <v/>
      </c>
      <c r="HY64" s="182" t="n">
        <v>-0.0112</v>
      </c>
      <c r="HZ64" s="182" t="n"/>
      <c r="IB64" s="9">
        <f>C64</f>
        <v/>
      </c>
      <c r="IC64" s="185" t="n">
        <v>278884.79</v>
      </c>
      <c r="ID64" s="13">
        <f>IC65</f>
        <v/>
      </c>
      <c r="IE64" s="13">
        <f>IC64-ID64</f>
        <v/>
      </c>
      <c r="IF64" s="193">
        <f>IE64/ID64</f>
        <v/>
      </c>
      <c r="IG64" s="194" t="n">
        <v>-0.0121</v>
      </c>
      <c r="IH64" s="182" t="n"/>
      <c r="IJ64" s="9">
        <f>C64</f>
        <v/>
      </c>
      <c r="IK64" s="222" t="n">
        <v>980556.29</v>
      </c>
      <c r="IL64" s="13">
        <f>IK65</f>
        <v/>
      </c>
      <c r="IM64" s="13">
        <f>IK64-IL64</f>
        <v/>
      </c>
      <c r="IN64" s="193">
        <f>IM64/IL64</f>
        <v/>
      </c>
      <c r="IO64" s="182" t="n">
        <v>-0.0187</v>
      </c>
      <c r="IP64" s="182" t="n"/>
      <c r="IR64" s="9">
        <f>C64</f>
        <v/>
      </c>
      <c r="IS64" s="185" t="n">
        <v>153289</v>
      </c>
      <c r="IT64" s="13">
        <f>IS65</f>
        <v/>
      </c>
      <c r="IU64" s="13">
        <f>IS64-IT64</f>
        <v/>
      </c>
      <c r="IV64" s="193">
        <f>IU64/IT64</f>
        <v/>
      </c>
      <c r="IW64" s="182" t="n">
        <v>0.0172</v>
      </c>
      <c r="IX64" s="182" t="n"/>
      <c r="IZ64" s="9">
        <f>C64</f>
        <v/>
      </c>
      <c r="JA64" s="185" t="n">
        <v>5912029.15</v>
      </c>
      <c r="JB64" s="13">
        <f>JA65</f>
        <v/>
      </c>
      <c r="JC64" s="13">
        <f>JA64-JB64</f>
        <v/>
      </c>
      <c r="JD64" s="193">
        <f>JC64/JB64</f>
        <v/>
      </c>
      <c r="JE64" s="182" t="n">
        <v>-0.0127</v>
      </c>
      <c r="JF64" s="182" t="n"/>
      <c r="JH64" s="9">
        <f>C64</f>
        <v/>
      </c>
      <c r="JI64" s="185" t="n">
        <v>1217367.99</v>
      </c>
      <c r="JJ64" s="13">
        <f>JI65</f>
        <v/>
      </c>
      <c r="JK64" s="13">
        <f>JI64-JJ64</f>
        <v/>
      </c>
      <c r="JL64" s="193">
        <f>JK64/JJ64</f>
        <v/>
      </c>
      <c r="JM64" s="182" t="n">
        <v>-0.0075</v>
      </c>
      <c r="JN64" s="182" t="n"/>
      <c r="JP64" s="9">
        <f>C64</f>
        <v/>
      </c>
      <c r="JQ64" s="222" t="n">
        <v>1007990.4148</v>
      </c>
      <c r="JR64" s="13">
        <f>JQ65</f>
        <v/>
      </c>
      <c r="JS64" s="13">
        <f>JQ64-JR64</f>
        <v/>
      </c>
      <c r="JT64" s="193">
        <f>JS64/JR64</f>
        <v/>
      </c>
      <c r="JU64" s="182" t="n">
        <v>-0.007900000000000001</v>
      </c>
      <c r="JV64" s="194" t="n"/>
      <c r="JX64" s="9">
        <f>C64</f>
        <v/>
      </c>
      <c r="JY64" s="185" t="n">
        <v>1035298.8</v>
      </c>
      <c r="JZ64" s="13">
        <f>JY65</f>
        <v/>
      </c>
      <c r="KA64" s="13">
        <f>JY64-JZ64</f>
        <v/>
      </c>
      <c r="KB64" s="193">
        <f>KA64/JZ64</f>
        <v/>
      </c>
      <c r="KC64" s="182" t="n">
        <v>-0.0071</v>
      </c>
      <c r="KD64" s="194" t="n"/>
      <c r="KF64" s="9">
        <f>C64</f>
        <v/>
      </c>
      <c r="KG64" s="222" t="n">
        <v>593355.9219</v>
      </c>
      <c r="KH64" s="13">
        <f>KG65</f>
        <v/>
      </c>
      <c r="KI64" s="13">
        <f>KG64-KH64</f>
        <v/>
      </c>
      <c r="KJ64" s="193">
        <f>KI64/KH64</f>
        <v/>
      </c>
      <c r="KK64" s="194" t="n">
        <v>-0.008699999999999999</v>
      </c>
      <c r="KL64" s="194" t="n"/>
      <c r="KN64" s="9">
        <f>C64</f>
        <v/>
      </c>
      <c r="KO64" s="185" t="n">
        <v>6968875.95</v>
      </c>
      <c r="KP64" s="13">
        <f>KO65</f>
        <v/>
      </c>
      <c r="KQ64" s="13">
        <f>KO64-KP64</f>
        <v/>
      </c>
      <c r="KR64" s="193">
        <f>KQ64/KP64</f>
        <v/>
      </c>
      <c r="KS64" s="182" t="n">
        <v>-0.0149</v>
      </c>
      <c r="KT64" s="182" t="n"/>
      <c r="KV64" s="9">
        <f>C64</f>
        <v/>
      </c>
      <c r="KW64" s="222" t="n">
        <v>1084572.9726</v>
      </c>
      <c r="KX64" s="13">
        <f>KW65</f>
        <v/>
      </c>
      <c r="KY64" s="13">
        <f>KW64-KX64</f>
        <v/>
      </c>
      <c r="KZ64" s="193">
        <f>KY64/KX64</f>
        <v/>
      </c>
      <c r="LA64" s="194" t="n">
        <v>-0.0238</v>
      </c>
      <c r="LB64" s="182" t="n"/>
      <c r="LD64" s="9">
        <f>C64</f>
        <v/>
      </c>
      <c r="LE64" s="185" t="n">
        <v>381807.7</v>
      </c>
      <c r="LF64" s="13">
        <f>LE65</f>
        <v/>
      </c>
      <c r="LG64" s="13">
        <f>LE64-LF64</f>
        <v/>
      </c>
      <c r="LH64" s="193">
        <f>LG64/LF64</f>
        <v/>
      </c>
      <c r="LI64" s="182" t="n">
        <v>0.0278</v>
      </c>
      <c r="LJ64" s="182" t="n"/>
      <c r="LL64" s="9">
        <f>C64</f>
        <v/>
      </c>
      <c r="LM64" s="672" t="n">
        <v>3255775.02</v>
      </c>
      <c r="LN64" s="13">
        <f>LM65</f>
        <v/>
      </c>
      <c r="LO64" s="13">
        <f>LM64-LN64</f>
        <v/>
      </c>
      <c r="LP64" s="193">
        <f>LO64/LN64</f>
        <v/>
      </c>
      <c r="LQ64" s="182" t="n">
        <v>-0.0178</v>
      </c>
      <c r="LR64" s="182" t="n"/>
      <c r="LT64" s="9">
        <f>C64</f>
        <v/>
      </c>
      <c r="LU64" s="222" t="n">
        <v>2352862.904</v>
      </c>
      <c r="LV64" s="13">
        <f>LU65</f>
        <v/>
      </c>
      <c r="LW64" s="13">
        <f>LU64-LV64</f>
        <v/>
      </c>
      <c r="LX64" s="193">
        <f>LW64/LV64</f>
        <v/>
      </c>
      <c r="LY64" s="182" t="n">
        <v>-0.0161</v>
      </c>
      <c r="LZ64" s="182" t="n"/>
      <c r="MB64" s="9">
        <f>C64</f>
        <v/>
      </c>
      <c r="MC64" s="185" t="n">
        <v>1132667.69</v>
      </c>
      <c r="MD64" s="13">
        <f>MC65</f>
        <v/>
      </c>
      <c r="ME64" s="13">
        <f>MC64-MD64</f>
        <v/>
      </c>
      <c r="MF64" s="193">
        <f>ME64/MD64</f>
        <v/>
      </c>
      <c r="MG64" s="182" t="n">
        <v>0.0161</v>
      </c>
      <c r="MH64" s="182" t="n"/>
      <c r="MI64" s="182" t="n"/>
      <c r="MJ64" s="182" t="n"/>
      <c r="MK64" s="9">
        <f>C64</f>
        <v/>
      </c>
      <c r="ML64" s="223" t="n">
        <v>161745.5354</v>
      </c>
      <c r="MM64" s="13">
        <f>ML65</f>
        <v/>
      </c>
      <c r="MN64" s="13">
        <f>ML64-MM64</f>
        <v/>
      </c>
      <c r="MO64" s="193">
        <f>MN64/MM64</f>
        <v/>
      </c>
      <c r="MP64" s="182" t="n">
        <v>0.0069</v>
      </c>
      <c r="MQ64" s="194" t="n"/>
      <c r="MR64" s="194" t="n"/>
      <c r="MT64" s="25">
        <f>C64</f>
        <v/>
      </c>
      <c r="MU64" s="9" t="n">
        <v>132714.8</v>
      </c>
      <c r="MV64" s="188">
        <f>MU65</f>
        <v/>
      </c>
      <c r="MW64" s="9">
        <f>MU64-MV64</f>
        <v/>
      </c>
      <c r="MX64" s="182">
        <f>MW64/MV64</f>
        <v/>
      </c>
      <c r="MY64" s="182" t="n">
        <v>0.0064</v>
      </c>
      <c r="MZ64" s="182" t="n"/>
      <c r="NA64" s="182" t="n"/>
      <c r="NC64" s="25">
        <f>C64</f>
        <v/>
      </c>
      <c r="ND64" s="9" t="n">
        <v>33291.48</v>
      </c>
      <c r="NE64" s="188">
        <f>ND65</f>
        <v/>
      </c>
      <c r="NF64" s="9">
        <f>ND64-NE64</f>
        <v/>
      </c>
      <c r="NG64" s="182">
        <f>NF64/NE64</f>
        <v/>
      </c>
      <c r="NH64" s="182" t="n">
        <v>0.0133</v>
      </c>
      <c r="NI64" s="182" t="n"/>
      <c r="NJ64" s="182" t="n"/>
      <c r="NK64" s="182" t="n"/>
      <c r="NL64" s="188" t="n"/>
      <c r="NM64" s="188">
        <f>C64</f>
        <v/>
      </c>
      <c r="NN64" s="188" t="n">
        <v>2793111.08</v>
      </c>
      <c r="NO64" s="9">
        <f>NN65</f>
        <v/>
      </c>
      <c r="NP64" s="188">
        <f>NN64-NO64</f>
        <v/>
      </c>
      <c r="NQ64" s="271">
        <f>NP64/NO64</f>
        <v/>
      </c>
      <c r="NR64" s="272" t="n">
        <v>-0.0017</v>
      </c>
      <c r="NS64" s="188" t="n"/>
      <c r="NT64" s="273" t="n"/>
      <c r="NU64" s="188">
        <f>C64</f>
        <v/>
      </c>
      <c r="NV64" s="188" t="n">
        <v>221526.5</v>
      </c>
      <c r="NW64" s="188">
        <f>NV65</f>
        <v/>
      </c>
      <c r="NX64" s="188">
        <f>NV64-NW64</f>
        <v/>
      </c>
      <c r="NY64" s="271">
        <f>NX64/NW64</f>
        <v/>
      </c>
      <c r="NZ64" s="182" t="n">
        <v>-0.0089</v>
      </c>
      <c r="OA64" s="0" t="n"/>
      <c r="OC64" s="9">
        <f>C64</f>
        <v/>
      </c>
      <c r="OD64" s="185" t="n">
        <v>16804.97</v>
      </c>
      <c r="OE64" s="13">
        <f>OD65</f>
        <v/>
      </c>
      <c r="OF64" s="13">
        <f>OD64-OE64</f>
        <v/>
      </c>
      <c r="OG64" s="193">
        <f>OF64/OE64</f>
        <v/>
      </c>
      <c r="OH64" s="182" t="n">
        <v>0.0005999999999999999</v>
      </c>
      <c r="OI64" s="182" t="n"/>
      <c r="OK64" s="9">
        <f>C64</f>
        <v/>
      </c>
      <c r="OL64" s="185" t="n">
        <v>15832.65</v>
      </c>
      <c r="OM64" s="13">
        <f>OL65</f>
        <v/>
      </c>
      <c r="ON64" s="13">
        <f>OL64-OM64</f>
        <v/>
      </c>
      <c r="OO64" s="193">
        <f>ON64/OM64</f>
        <v/>
      </c>
      <c r="OP64" s="182" t="n">
        <v>0.0012</v>
      </c>
      <c r="OQ64" s="182" t="n"/>
      <c r="OT64" s="201">
        <f>OK64</f>
        <v/>
      </c>
      <c r="OU64" s="199" t="n">
        <v>154872.4066</v>
      </c>
      <c r="OV64" s="9">
        <f>OU65</f>
        <v/>
      </c>
      <c r="OW64" s="671">
        <f>OU64-OV64</f>
        <v/>
      </c>
      <c r="OX64" s="182">
        <f>OW64/OV64</f>
        <v/>
      </c>
      <c r="OY64" s="0" t="n">
        <v>0.0061</v>
      </c>
    </row>
    <row r="65" ht="17" customFormat="1" customHeight="1" s="9">
      <c r="A65" s="631" t="n"/>
      <c r="B65" s="631" t="n"/>
      <c r="C65" s="680" t="inlineStr">
        <is>
          <t>2026//8/13</t>
        </is>
      </c>
      <c r="D65" s="20" t="n">
        <v>2367858.77</v>
      </c>
      <c r="E65" s="20">
        <f>D66</f>
        <v/>
      </c>
      <c r="F65" s="20">
        <f>D65-E65</f>
        <v/>
      </c>
      <c r="G65" s="163">
        <f>F65/E65</f>
        <v/>
      </c>
      <c r="H65" s="19" t="n">
        <v>-0.004</v>
      </c>
      <c r="I65" s="163" t="n"/>
      <c r="J65" s="163" t="n"/>
      <c r="K65" s="20">
        <f>C65</f>
        <v/>
      </c>
      <c r="L65" s="20" t="n">
        <v>1137574.4</v>
      </c>
      <c r="M65" s="20">
        <f>L66</f>
        <v/>
      </c>
      <c r="N65" s="20">
        <f>L65-M65</f>
        <v/>
      </c>
      <c r="O65" s="163">
        <f>N65/M65</f>
        <v/>
      </c>
      <c r="P65" s="19" t="n">
        <v>-0.0048</v>
      </c>
      <c r="Q65" s="163" t="n"/>
      <c r="R65" s="20" t="n"/>
      <c r="S65" s="20">
        <f>C65</f>
        <v/>
      </c>
      <c r="T65" s="20" t="n">
        <v>696666.6800000001</v>
      </c>
      <c r="U65" s="20">
        <f>T66</f>
        <v/>
      </c>
      <c r="V65" s="20">
        <f>T65-U65</f>
        <v/>
      </c>
      <c r="W65" s="163">
        <f>V65/U65</f>
        <v/>
      </c>
      <c r="X65" s="19" t="n">
        <v>-0.002</v>
      </c>
      <c r="Y65" s="163" t="n"/>
      <c r="Z65" s="20" t="n"/>
      <c r="AA65" s="20">
        <f>S65</f>
        <v/>
      </c>
      <c r="AB65" s="20" t="n">
        <v>515336.86</v>
      </c>
      <c r="AC65" s="20">
        <f>AB66</f>
        <v/>
      </c>
      <c r="AD65" s="20">
        <f>AB65-AC65</f>
        <v/>
      </c>
      <c r="AE65" s="163">
        <f>AD65/AC65</f>
        <v/>
      </c>
      <c r="AF65" s="19" t="n">
        <v>-0.0091</v>
      </c>
      <c r="AG65" s="163" t="n"/>
      <c r="AH65" s="20" t="n"/>
      <c r="AI65" s="20">
        <f>C65</f>
        <v/>
      </c>
      <c r="AJ65" s="20" t="n">
        <v>688721.76</v>
      </c>
      <c r="AK65" s="20">
        <f>AJ66</f>
        <v/>
      </c>
      <c r="AL65" s="20">
        <f>AJ65-AK65</f>
        <v/>
      </c>
      <c r="AM65" s="163">
        <f>AL65/AK65</f>
        <v/>
      </c>
      <c r="AN65" s="19" t="n">
        <v>-0.0089</v>
      </c>
      <c r="AO65" s="19" t="n"/>
      <c r="AP65" s="20" t="n"/>
      <c r="AQ65" s="20">
        <f>C65</f>
        <v/>
      </c>
      <c r="AR65" s="634" t="n">
        <v>1766045.4936</v>
      </c>
      <c r="AS65" s="20">
        <f>AR66</f>
        <v/>
      </c>
      <c r="AT65" s="20">
        <f>AR65-AS65</f>
        <v/>
      </c>
      <c r="AU65" s="163">
        <f>AT65/AS65</f>
        <v/>
      </c>
      <c r="AV65" s="19" t="n">
        <v>-0.0047</v>
      </c>
      <c r="AW65" s="19" t="n"/>
      <c r="AX65" s="5" t="n"/>
      <c r="AY65" s="188" t="n"/>
      <c r="AZ65" s="188">
        <f>C65</f>
        <v/>
      </c>
      <c r="BA65" s="5" t="n">
        <v>623541.6676</v>
      </c>
      <c r="BB65" s="188">
        <f>BA66</f>
        <v/>
      </c>
      <c r="BC65" s="5">
        <f>BA65-BB65</f>
        <v/>
      </c>
      <c r="BD65" s="19">
        <f>BC65/BB65</f>
        <v/>
      </c>
      <c r="BE65" s="19" t="n">
        <v>-0.0042</v>
      </c>
      <c r="BF65" s="19" t="n"/>
      <c r="BG65" s="647" t="n"/>
      <c r="BH65" s="9">
        <f>C65</f>
        <v/>
      </c>
      <c r="BI65" s="221" t="n">
        <v>1267326.5525</v>
      </c>
      <c r="BJ65" s="184">
        <f>BI66</f>
        <v/>
      </c>
      <c r="BK65" s="184">
        <f>BI65-BJ65</f>
        <v/>
      </c>
      <c r="BL65" s="190">
        <f>BK65/BJ65</f>
        <v/>
      </c>
      <c r="BM65" s="191" t="n">
        <v>-0.008800000000000001</v>
      </c>
      <c r="BN65" s="182" t="n"/>
      <c r="BP65" s="9">
        <f>C65</f>
        <v/>
      </c>
      <c r="BQ65" s="672" t="n">
        <v>1326262.3921</v>
      </c>
      <c r="BR65" s="13">
        <f>BQ66</f>
        <v/>
      </c>
      <c r="BS65" s="13">
        <f>BQ65-BR65</f>
        <v/>
      </c>
      <c r="BT65" s="193">
        <f>BS65/BR65</f>
        <v/>
      </c>
      <c r="BU65" s="182" t="n">
        <v>-0.0153</v>
      </c>
      <c r="BV65" s="182" t="n"/>
      <c r="BX65" s="9">
        <f>C65</f>
        <v/>
      </c>
      <c r="BY65" s="222" t="n">
        <v>1707460.7019</v>
      </c>
      <c r="BZ65" s="13">
        <f>BY66</f>
        <v/>
      </c>
      <c r="CA65" s="13">
        <f>BY65-BZ65</f>
        <v/>
      </c>
      <c r="CB65" s="193">
        <f>CA65/BZ65</f>
        <v/>
      </c>
      <c r="CC65" s="182" t="n">
        <v>-0.022</v>
      </c>
      <c r="CD65" s="194" t="n"/>
      <c r="CF65" s="9">
        <f>C65</f>
        <v/>
      </c>
      <c r="CG65" s="185" t="n">
        <v>1316753.9</v>
      </c>
      <c r="CH65" s="13">
        <f>CG66</f>
        <v/>
      </c>
      <c r="CI65" s="13">
        <f>CG65-CH65</f>
        <v/>
      </c>
      <c r="CJ65" s="193">
        <f>CI65/CH65</f>
        <v/>
      </c>
      <c r="CK65" s="182" t="n">
        <v>-0.0366</v>
      </c>
      <c r="CL65" s="194" t="n"/>
      <c r="CN65" s="9">
        <f>C65</f>
        <v/>
      </c>
      <c r="CO65" s="185" t="n">
        <v>530746.48</v>
      </c>
      <c r="CP65" s="13">
        <f>CO66</f>
        <v/>
      </c>
      <c r="CQ65" s="13">
        <f>CO65-CP65</f>
        <v/>
      </c>
      <c r="CR65" s="193">
        <f>CQ65/CP65</f>
        <v/>
      </c>
      <c r="CS65" s="194" t="n">
        <v>-0.0365</v>
      </c>
      <c r="CT65" s="194" t="n"/>
      <c r="CV65" s="9">
        <f>C65</f>
        <v/>
      </c>
      <c r="CW65" s="185" t="n">
        <v>783190.4</v>
      </c>
      <c r="CX65" s="13">
        <f>CW66</f>
        <v/>
      </c>
      <c r="CY65" s="13">
        <f>CW65-CX65</f>
        <v/>
      </c>
      <c r="CZ65" s="193">
        <f>CY65/CX65</f>
        <v/>
      </c>
      <c r="DA65" s="182" t="n">
        <v>-0.0453</v>
      </c>
      <c r="DB65" s="182" t="n"/>
      <c r="DC65" s="256" t="n"/>
      <c r="DD65" s="9">
        <f>C65</f>
        <v/>
      </c>
      <c r="DE65" s="222" t="n">
        <v>5874535.9972</v>
      </c>
      <c r="DF65" s="13">
        <f>DE66</f>
        <v/>
      </c>
      <c r="DG65" s="13">
        <f>DE65-DF65</f>
        <v/>
      </c>
      <c r="DH65" s="193">
        <f>DG65/DF65</f>
        <v/>
      </c>
      <c r="DI65" s="182" t="n">
        <v>-0.0291</v>
      </c>
      <c r="DJ65" s="182" t="n"/>
      <c r="DK65" s="0" t="n"/>
      <c r="DL65" s="9">
        <f>C65</f>
        <v/>
      </c>
      <c r="DM65" s="185" t="n">
        <v>1892200.72</v>
      </c>
      <c r="DN65" s="13">
        <f>DM66</f>
        <v/>
      </c>
      <c r="DO65" s="13">
        <f>DM65-DN65</f>
        <v/>
      </c>
      <c r="DP65" s="193">
        <f>DO65/DN65</f>
        <v/>
      </c>
      <c r="DQ65" s="182" t="n">
        <v>-0.0184</v>
      </c>
      <c r="DR65" s="182" t="n"/>
      <c r="DT65" s="9">
        <f>C65</f>
        <v/>
      </c>
      <c r="DU65" s="185" t="n">
        <v>4204618.43</v>
      </c>
      <c r="DV65" s="13">
        <f>DU66</f>
        <v/>
      </c>
      <c r="DW65" s="13">
        <f>DU65-DV65</f>
        <v/>
      </c>
      <c r="DX65" s="193">
        <f>DW65/DV65</f>
        <v/>
      </c>
      <c r="DY65" s="182" t="n">
        <v>-0.0115</v>
      </c>
      <c r="DZ65" s="182" t="n"/>
      <c r="EB65" s="9">
        <f>C65</f>
        <v/>
      </c>
      <c r="EC65" s="185" t="n">
        <v>4833266.82</v>
      </c>
      <c r="ED65" s="13">
        <f>EC66</f>
        <v/>
      </c>
      <c r="EE65" s="13">
        <f>EC65-ED65</f>
        <v/>
      </c>
      <c r="EF65" s="193">
        <f>EE65/ED65</f>
        <v/>
      </c>
      <c r="EG65" s="182" t="n">
        <v>-0.0115</v>
      </c>
      <c r="EH65" s="182" t="n"/>
      <c r="EJ65" s="9">
        <f>C65</f>
        <v/>
      </c>
      <c r="EK65" s="222" t="n">
        <v>1158722.9669</v>
      </c>
      <c r="EL65" s="13">
        <f>EK66</f>
        <v/>
      </c>
      <c r="EM65" s="13">
        <f>EK65-EL65</f>
        <v/>
      </c>
      <c r="EN65" s="193">
        <f>EM65/EL65</f>
        <v/>
      </c>
      <c r="EO65" s="182" t="n">
        <v>-0.0022</v>
      </c>
      <c r="EP65" s="182" t="n"/>
      <c r="ER65" s="9">
        <f>C65</f>
        <v/>
      </c>
      <c r="ES65" s="9" t="n">
        <v>733094.04</v>
      </c>
      <c r="ET65" s="13">
        <f>ES66</f>
        <v/>
      </c>
      <c r="EU65" s="13">
        <f>ES65-ET65</f>
        <v/>
      </c>
      <c r="EV65" s="193">
        <f>EU65/ET65</f>
        <v/>
      </c>
      <c r="EW65" s="182" t="n">
        <v>-0.0035</v>
      </c>
      <c r="EX65" s="182" t="n"/>
      <c r="EZ65" s="9">
        <f>C65</f>
        <v/>
      </c>
      <c r="FA65" s="185" t="n">
        <v>582908</v>
      </c>
      <c r="FB65" s="13">
        <f>FA66</f>
        <v/>
      </c>
      <c r="FC65" s="13">
        <f>FA65-FB65</f>
        <v/>
      </c>
      <c r="FD65" s="193">
        <f>FC65/FB65</f>
        <v/>
      </c>
      <c r="FE65" s="182" t="n">
        <v>-0.0069</v>
      </c>
      <c r="FF65" s="182" t="n"/>
      <c r="FH65" s="9">
        <f>C65</f>
        <v/>
      </c>
      <c r="FI65" s="672" t="n">
        <v>1060995.3365</v>
      </c>
      <c r="FJ65" s="13">
        <f>FI66</f>
        <v/>
      </c>
      <c r="FK65" s="13">
        <f>FI65-FJ65</f>
        <v/>
      </c>
      <c r="FL65" s="193">
        <f>FK65/FJ65</f>
        <v/>
      </c>
      <c r="FM65" s="194" t="n">
        <v>-0.0049</v>
      </c>
      <c r="FN65" s="194" t="n"/>
      <c r="FP65" s="9">
        <f>C65</f>
        <v/>
      </c>
      <c r="FQ65" s="185" t="n">
        <v>1838968.73</v>
      </c>
      <c r="FR65" s="13">
        <f>FQ66</f>
        <v/>
      </c>
      <c r="FS65" s="13">
        <f>FQ65-FR65</f>
        <v/>
      </c>
      <c r="FT65" s="193">
        <f>FS65/FR65</f>
        <v/>
      </c>
      <c r="FU65" s="182" t="n">
        <v>-0.0167</v>
      </c>
      <c r="FV65" s="182" t="n"/>
      <c r="FX65" s="9">
        <f>C65</f>
        <v/>
      </c>
      <c r="FY65" s="185" t="n">
        <v>7334482.05</v>
      </c>
      <c r="FZ65" s="13">
        <f>FY66</f>
        <v/>
      </c>
      <c r="GA65" s="13">
        <f>FY65-FZ65</f>
        <v/>
      </c>
      <c r="GB65" s="193">
        <f>GA65/FZ65</f>
        <v/>
      </c>
      <c r="GC65" s="182" t="n">
        <v>0.0143</v>
      </c>
      <c r="GD65" s="182" t="n"/>
      <c r="GF65" s="9">
        <f>C65</f>
        <v/>
      </c>
      <c r="GG65" s="185" t="n">
        <v>4126469.49</v>
      </c>
      <c r="GH65" s="13">
        <f>GG66</f>
        <v/>
      </c>
      <c r="GI65" s="13">
        <f>GG65-GH65</f>
        <v/>
      </c>
      <c r="GJ65" s="193">
        <f>GI65/GH65</f>
        <v/>
      </c>
      <c r="GK65" s="182" t="n">
        <v>0</v>
      </c>
      <c r="GL65" s="182" t="n"/>
      <c r="GN65" s="9">
        <f>C65</f>
        <v/>
      </c>
      <c r="GO65" s="222" t="n">
        <v>1977838.1217</v>
      </c>
      <c r="GP65" s="13">
        <f>GO66</f>
        <v/>
      </c>
      <c r="GQ65" s="13">
        <f>GO65-GP65</f>
        <v/>
      </c>
      <c r="GR65" s="193">
        <f>GQ65/GP65</f>
        <v/>
      </c>
      <c r="GS65" s="182" t="n">
        <v>0.0109</v>
      </c>
      <c r="GT65" s="182" t="n"/>
      <c r="GV65" s="9">
        <f>C65</f>
        <v/>
      </c>
      <c r="GW65" s="185" t="n">
        <v>603549.4</v>
      </c>
      <c r="GX65" s="13">
        <f>GW66</f>
        <v/>
      </c>
      <c r="GY65" s="13">
        <f>GW65-GX65</f>
        <v/>
      </c>
      <c r="GZ65" s="193">
        <f>GY65/GX65</f>
        <v/>
      </c>
      <c r="HA65" s="182" t="n">
        <v>-0.0215</v>
      </c>
      <c r="HB65" s="182" t="n"/>
      <c r="HD65" s="9">
        <f>C65</f>
        <v/>
      </c>
      <c r="HE65" s="222" t="n">
        <v>878864.6746</v>
      </c>
      <c r="HF65" s="13">
        <f>HE66</f>
        <v/>
      </c>
      <c r="HG65" s="13">
        <f>HE65-HF65</f>
        <v/>
      </c>
      <c r="HH65" s="193">
        <f>HG65/HF65</f>
        <v/>
      </c>
      <c r="HI65" s="194" t="n">
        <v>-0.0091</v>
      </c>
      <c r="HJ65" s="182" t="n"/>
      <c r="HL65" s="9">
        <f>C65</f>
        <v/>
      </c>
      <c r="HM65" s="185" t="n">
        <v>117254.25</v>
      </c>
      <c r="HN65" s="13">
        <f>HM66</f>
        <v/>
      </c>
      <c r="HO65" s="13">
        <f>HM65-HN65</f>
        <v/>
      </c>
      <c r="HP65" s="193">
        <f>HO65/HN65</f>
        <v/>
      </c>
      <c r="HQ65" s="182" t="n">
        <v>-0.0115</v>
      </c>
      <c r="HR65" s="182" t="n"/>
      <c r="HT65" s="9">
        <f>C65</f>
        <v/>
      </c>
      <c r="HU65" s="222" t="n">
        <v>136768.8265</v>
      </c>
      <c r="HV65" s="13">
        <f>HU66</f>
        <v/>
      </c>
      <c r="HW65" s="13">
        <f>HU65-HV65</f>
        <v/>
      </c>
      <c r="HX65" s="193">
        <f>HW65/HV65</f>
        <v/>
      </c>
      <c r="HY65" s="182" t="n">
        <v>-0.0237</v>
      </c>
      <c r="HZ65" s="182" t="n"/>
      <c r="IB65" s="9">
        <f>C65</f>
        <v/>
      </c>
      <c r="IC65" s="185" t="n">
        <v>276934.79</v>
      </c>
      <c r="ID65" s="13">
        <f>IC66</f>
        <v/>
      </c>
      <c r="IE65" s="13">
        <f>IC65-ID65</f>
        <v/>
      </c>
      <c r="IF65" s="193">
        <f>IE65/ID65</f>
        <v/>
      </c>
      <c r="IG65" s="194" t="n">
        <v>-0.0244</v>
      </c>
      <c r="IH65" s="182" t="n"/>
      <c r="IJ65" s="9">
        <f>C65</f>
        <v/>
      </c>
      <c r="IK65" s="222" t="n">
        <v>974316.29</v>
      </c>
      <c r="IL65" s="13">
        <f>IK66</f>
        <v/>
      </c>
      <c r="IM65" s="13">
        <f>IK65-IL65</f>
        <v/>
      </c>
      <c r="IN65" s="193">
        <f>IM65/IL65</f>
        <v/>
      </c>
      <c r="IO65" s="182" t="n">
        <v>0.0056</v>
      </c>
      <c r="IP65" s="182" t="n"/>
      <c r="IR65" s="9">
        <f>C65</f>
        <v/>
      </c>
      <c r="IS65" s="185" t="n">
        <v>153189</v>
      </c>
      <c r="IT65" s="13">
        <f>IS66</f>
        <v/>
      </c>
      <c r="IU65" s="13">
        <f>IS65-IT65</f>
        <v/>
      </c>
      <c r="IV65" s="193">
        <f>IU65/IT65</f>
        <v/>
      </c>
      <c r="IW65" s="182" t="n">
        <v>0.0029</v>
      </c>
      <c r="IX65" s="182" t="n"/>
      <c r="IZ65" s="9">
        <f>C65</f>
        <v/>
      </c>
      <c r="JA65" s="185" t="n">
        <v>5820229.15</v>
      </c>
      <c r="JB65" s="13">
        <f>JA66</f>
        <v/>
      </c>
      <c r="JC65" s="13">
        <f>JA65-JB65</f>
        <v/>
      </c>
      <c r="JD65" s="193">
        <f>JC65/JB65</f>
        <v/>
      </c>
      <c r="JE65" s="182" t="n">
        <v>0.0036</v>
      </c>
      <c r="JF65" s="182" t="n"/>
      <c r="JH65" s="9">
        <f>C65</f>
        <v/>
      </c>
      <c r="JI65" s="185" t="n">
        <v>1212627.99</v>
      </c>
      <c r="JJ65" s="13">
        <f>JI66</f>
        <v/>
      </c>
      <c r="JK65" s="13">
        <f>JI65-JJ65</f>
        <v/>
      </c>
      <c r="JL65" s="193">
        <f>JK65/JJ65</f>
        <v/>
      </c>
      <c r="JM65" s="182" t="n">
        <v>0.0038</v>
      </c>
      <c r="JN65" s="182" t="n"/>
      <c r="JP65" s="9">
        <f>C65</f>
        <v/>
      </c>
      <c r="JQ65" s="222" t="n">
        <v>1026590.4148</v>
      </c>
      <c r="JR65" s="13">
        <f>JQ66</f>
        <v/>
      </c>
      <c r="JS65" s="13">
        <f>JQ65-JR65</f>
        <v/>
      </c>
      <c r="JT65" s="193">
        <f>JS65/JR65</f>
        <v/>
      </c>
      <c r="JU65" s="182" t="n">
        <v>-0.0094</v>
      </c>
      <c r="JV65" s="194" t="n"/>
      <c r="JX65" s="9">
        <f>C65</f>
        <v/>
      </c>
      <c r="JY65" s="185" t="n">
        <v>1032248.8</v>
      </c>
      <c r="JZ65" s="13">
        <f>JY66</f>
        <v/>
      </c>
      <c r="KA65" s="13">
        <f>JY65-JZ65</f>
        <v/>
      </c>
      <c r="KB65" s="193">
        <f>KA65/JZ65</f>
        <v/>
      </c>
      <c r="KC65" s="182" t="n">
        <v>0.0038</v>
      </c>
      <c r="KD65" s="194" t="n"/>
      <c r="KF65" s="9">
        <f>C65</f>
        <v/>
      </c>
      <c r="KG65" s="222" t="n">
        <v>594155.9219</v>
      </c>
      <c r="KH65" s="13">
        <f>KG66</f>
        <v/>
      </c>
      <c r="KI65" s="13">
        <f>KG65-KH65</f>
        <v/>
      </c>
      <c r="KJ65" s="193">
        <f>KI65/KH65</f>
        <v/>
      </c>
      <c r="KK65" s="194" t="n">
        <v>-0.0013</v>
      </c>
      <c r="KL65" s="194" t="n"/>
      <c r="KN65" s="9">
        <f>C65</f>
        <v/>
      </c>
      <c r="KO65" s="185" t="n">
        <v>6968875.95</v>
      </c>
      <c r="KP65" s="13">
        <f>KO66</f>
        <v/>
      </c>
      <c r="KQ65" s="13">
        <f>KO65-KP65</f>
        <v/>
      </c>
      <c r="KR65" s="193">
        <f>KQ65/KP65</f>
        <v/>
      </c>
      <c r="KS65" s="182" t="n">
        <v>0.0017</v>
      </c>
      <c r="KT65" s="182" t="n"/>
      <c r="KV65" s="9">
        <f>C65</f>
        <v/>
      </c>
      <c r="KW65" s="222" t="n">
        <v>1084572.9726</v>
      </c>
      <c r="KX65" s="13">
        <f>KW66</f>
        <v/>
      </c>
      <c r="KY65" s="13">
        <f>KW65-KX65</f>
        <v/>
      </c>
      <c r="KZ65" s="193">
        <f>KY65/KX65</f>
        <v/>
      </c>
      <c r="LA65" s="194" t="n">
        <v>0.008500000000000001</v>
      </c>
      <c r="LB65" s="182" t="n"/>
      <c r="LD65" s="9">
        <f>C65</f>
        <v/>
      </c>
      <c r="LE65" s="185" t="n">
        <v>381607.7</v>
      </c>
      <c r="LF65" s="13">
        <f>LE66</f>
        <v/>
      </c>
      <c r="LG65" s="13">
        <f>LE65-LF65</f>
        <v/>
      </c>
      <c r="LH65" s="193">
        <f>LG65/LF65</f>
        <v/>
      </c>
      <c r="LI65" s="182" t="n">
        <v>-0.0189</v>
      </c>
      <c r="LJ65" s="182" t="n"/>
      <c r="LL65" s="9">
        <f>C65</f>
        <v/>
      </c>
      <c r="LM65" s="672" t="n">
        <v>3277015.02</v>
      </c>
      <c r="LN65" s="13">
        <f>LM66</f>
        <v/>
      </c>
      <c r="LO65" s="13">
        <f>LM65-LN65</f>
        <v/>
      </c>
      <c r="LP65" s="193">
        <f>LO65/LN65</f>
        <v/>
      </c>
      <c r="LQ65" s="182" t="n">
        <v>0.0067</v>
      </c>
      <c r="LR65" s="182" t="n"/>
      <c r="LT65" s="9">
        <f>C65</f>
        <v/>
      </c>
      <c r="LU65" s="222" t="n">
        <v>2361062.904</v>
      </c>
      <c r="LV65" s="13">
        <f>LU66</f>
        <v/>
      </c>
      <c r="LW65" s="13">
        <f>LU65-LV65</f>
        <v/>
      </c>
      <c r="LX65" s="193">
        <f>LW65/LV65</f>
        <v/>
      </c>
      <c r="LY65" s="182" t="n">
        <v>0.0015</v>
      </c>
      <c r="LZ65" s="182" t="n"/>
      <c r="MB65" s="9">
        <f>C65</f>
        <v/>
      </c>
      <c r="MC65" s="185" t="n">
        <v>1135617.69</v>
      </c>
      <c r="MD65" s="13">
        <f>MC66</f>
        <v/>
      </c>
      <c r="ME65" s="13">
        <f>MC65-MD65</f>
        <v/>
      </c>
      <c r="MF65" s="193">
        <f>ME65/MD65</f>
        <v/>
      </c>
      <c r="MG65" s="182" t="n">
        <v>-0.0064</v>
      </c>
      <c r="MH65" s="182" t="n"/>
      <c r="MI65" s="182" t="n"/>
      <c r="MJ65" s="182" t="n"/>
      <c r="MK65" s="9">
        <f>C65</f>
        <v/>
      </c>
      <c r="ML65" s="223" t="n">
        <v>158625.5354</v>
      </c>
      <c r="MM65" s="13">
        <f>ML66</f>
        <v/>
      </c>
      <c r="MN65" s="13">
        <f>ML65-MM65</f>
        <v/>
      </c>
      <c r="MO65" s="193">
        <f>MN65/MM65</f>
        <v/>
      </c>
      <c r="MP65" s="182" t="n">
        <v>0</v>
      </c>
      <c r="MQ65" s="194" t="n"/>
      <c r="MR65" s="194" t="n"/>
      <c r="MS65" s="188" t="n"/>
      <c r="MT65" s="274">
        <f>C65</f>
        <v/>
      </c>
      <c r="MU65" s="9" t="n">
        <v>133814.8</v>
      </c>
      <c r="MV65" s="188">
        <f>MU66</f>
        <v/>
      </c>
      <c r="MW65" s="9">
        <f>MU65-MV65</f>
        <v/>
      </c>
      <c r="MX65" s="182">
        <f>MW65/MV65</f>
        <v/>
      </c>
      <c r="MY65" s="182" t="n">
        <v>-0.0091</v>
      </c>
      <c r="MZ65" s="182" t="n"/>
      <c r="NA65" s="182" t="n"/>
      <c r="NB65" s="188" t="n"/>
      <c r="NC65" s="188">
        <f>C65</f>
        <v/>
      </c>
      <c r="ND65" s="9" t="n">
        <v>33291.48</v>
      </c>
      <c r="NE65" s="188">
        <f>ND66</f>
        <v/>
      </c>
      <c r="NF65" s="9">
        <f>ND65-NE65</f>
        <v/>
      </c>
      <c r="NG65" s="182">
        <f>NF65/NE65</f>
        <v/>
      </c>
      <c r="NH65" s="182" t="n">
        <v>-0.0266</v>
      </c>
      <c r="NI65" s="182" t="n"/>
      <c r="NJ65" s="182" t="n"/>
      <c r="NK65" s="182" t="n"/>
      <c r="NL65" s="188" t="n"/>
      <c r="NM65" s="188">
        <f>C65</f>
        <v/>
      </c>
      <c r="NN65" s="188" t="n">
        <v>2781811.08</v>
      </c>
      <c r="NO65" s="9">
        <f>NN66</f>
        <v/>
      </c>
      <c r="NP65" s="188">
        <f>NN65-NO65</f>
        <v/>
      </c>
      <c r="NQ65" s="271">
        <f>NP65/NO65</f>
        <v/>
      </c>
      <c r="NR65" s="272" t="n">
        <v>-0.0017</v>
      </c>
      <c r="NS65" s="188" t="n"/>
      <c r="NT65" s="273" t="n"/>
      <c r="NU65" s="188">
        <f>C65</f>
        <v/>
      </c>
      <c r="NV65" s="188" t="n">
        <v>222676.5</v>
      </c>
      <c r="NW65" s="188">
        <f>NV66</f>
        <v/>
      </c>
      <c r="NX65" s="188">
        <f>NV65-NW65</f>
        <v/>
      </c>
      <c r="NY65" s="271">
        <f>NX65/NW65</f>
        <v/>
      </c>
      <c r="NZ65" s="182" t="n">
        <v>0.008999999999999999</v>
      </c>
      <c r="OA65" s="9" t="n"/>
      <c r="OC65" s="9">
        <f>C65</f>
        <v/>
      </c>
      <c r="OD65" s="185" t="n">
        <v>16682.97</v>
      </c>
      <c r="OE65" s="13">
        <f>OD66</f>
        <v/>
      </c>
      <c r="OF65" s="13">
        <f>OD65-OE65</f>
        <v/>
      </c>
      <c r="OG65" s="193">
        <f>OF65/OE65</f>
        <v/>
      </c>
      <c r="OH65" s="182" t="n">
        <v>0.0026</v>
      </c>
      <c r="OI65" s="182" t="n"/>
      <c r="OK65" s="9">
        <f>C65</f>
        <v/>
      </c>
      <c r="OL65" s="185" t="n">
        <v>15854.65</v>
      </c>
      <c r="OM65" s="13">
        <f>OL66</f>
        <v/>
      </c>
      <c r="ON65" s="13">
        <f>OL65-OM65</f>
        <v/>
      </c>
      <c r="OO65" s="193">
        <f>ON65/OM65</f>
        <v/>
      </c>
      <c r="OP65" s="182" t="n">
        <v>0.0005</v>
      </c>
      <c r="OQ65" s="182" t="n"/>
      <c r="OT65" s="201">
        <f>OK65</f>
        <v/>
      </c>
      <c r="OU65" s="199" t="n">
        <v>154752.4066</v>
      </c>
      <c r="OV65" s="9">
        <f>OU66</f>
        <v/>
      </c>
      <c r="OW65" s="671">
        <f>OU65-OV65</f>
        <v/>
      </c>
      <c r="OX65" s="182">
        <f>OW65/OV65</f>
        <v/>
      </c>
      <c r="OY65" s="0" t="n">
        <v>0.0047</v>
      </c>
    </row>
    <row r="66" ht="17" customFormat="1" customHeight="1" s="9">
      <c r="A66" s="631" t="n"/>
      <c r="B66" s="631" t="n"/>
      <c r="C66" s="680" t="inlineStr">
        <is>
          <t>2026//8/12</t>
        </is>
      </c>
      <c r="D66" s="20" t="n">
        <v>2416818.77</v>
      </c>
      <c r="E66" s="20">
        <f>D67</f>
        <v/>
      </c>
      <c r="F66" s="20">
        <f>D66-E66</f>
        <v/>
      </c>
      <c r="G66" s="163">
        <f>F66/E66</f>
        <v/>
      </c>
      <c r="H66" s="19" t="n">
        <v>0.0042</v>
      </c>
      <c r="I66" s="163" t="n"/>
      <c r="J66" s="163" t="n"/>
      <c r="K66" s="20">
        <f>C66</f>
        <v/>
      </c>
      <c r="L66" s="20" t="n">
        <v>1143604.4</v>
      </c>
      <c r="M66" s="20">
        <f>L67</f>
        <v/>
      </c>
      <c r="N66" s="20">
        <f>L66-M66</f>
        <v/>
      </c>
      <c r="O66" s="163">
        <f>N66/M66</f>
        <v/>
      </c>
      <c r="P66" s="19" t="n">
        <v>0.0052</v>
      </c>
      <c r="Q66" s="163" t="n"/>
      <c r="R66" s="20" t="n"/>
      <c r="S66" s="20">
        <f>C66</f>
        <v/>
      </c>
      <c r="T66" s="20" t="n">
        <v>700446.6800000001</v>
      </c>
      <c r="U66" s="20">
        <f>T67</f>
        <v/>
      </c>
      <c r="V66" s="20">
        <f>T66-U66</f>
        <v/>
      </c>
      <c r="W66" s="163">
        <f>V66/U66</f>
        <v/>
      </c>
      <c r="X66" s="19" t="n">
        <v>0.0013</v>
      </c>
      <c r="Y66" s="163" t="n"/>
      <c r="Z66" s="20" t="n"/>
      <c r="AA66" s="20">
        <f>S66</f>
        <v/>
      </c>
      <c r="AB66" s="20" t="n">
        <v>528176.86</v>
      </c>
      <c r="AC66" s="20">
        <f>AB67</f>
        <v/>
      </c>
      <c r="AD66" s="20">
        <f>AB66-AC66</f>
        <v/>
      </c>
      <c r="AE66" s="163">
        <f>AD66/AC66</f>
        <v/>
      </c>
      <c r="AF66" s="19" t="n">
        <v>0.008</v>
      </c>
      <c r="AG66" s="163" t="n"/>
      <c r="AH66" s="20" t="n"/>
      <c r="AI66" s="20">
        <f>C66</f>
        <v/>
      </c>
      <c r="AJ66" s="20" t="n">
        <v>719921.76</v>
      </c>
      <c r="AK66" s="20">
        <f>AJ67</f>
        <v/>
      </c>
      <c r="AL66" s="20">
        <f>AJ66-AK66</f>
        <v/>
      </c>
      <c r="AM66" s="163">
        <f>AL66/AK66</f>
        <v/>
      </c>
      <c r="AN66" s="19" t="n">
        <v>0.0115</v>
      </c>
      <c r="AO66" s="19" t="n"/>
      <c r="AP66" s="20" t="n"/>
      <c r="AQ66" s="20">
        <f>C66</f>
        <v/>
      </c>
      <c r="AR66" s="634" t="n">
        <v>1798145.4936</v>
      </c>
      <c r="AS66" s="20">
        <f>AR67</f>
        <v/>
      </c>
      <c r="AT66" s="20">
        <f>AR66-AS66</f>
        <v/>
      </c>
      <c r="AU66" s="163">
        <f>AT66/AS66</f>
        <v/>
      </c>
      <c r="AV66" s="19" t="n">
        <v>0.0157</v>
      </c>
      <c r="AW66" s="19" t="n"/>
      <c r="AX66" s="5" t="n"/>
      <c r="AY66" s="188" t="n"/>
      <c r="AZ66" s="188">
        <f>C66</f>
        <v/>
      </c>
      <c r="BA66" s="188" t="n">
        <v>628491.6676</v>
      </c>
      <c r="BB66" s="188">
        <f>BA67</f>
        <v/>
      </c>
      <c r="BC66" s="188">
        <f>BA66-BB66</f>
        <v/>
      </c>
      <c r="BD66" s="271">
        <f>BC66/BB66</f>
        <v/>
      </c>
      <c r="BE66" s="19" t="n">
        <v>0.0045</v>
      </c>
      <c r="BF66" s="19" t="n"/>
      <c r="BG66" s="647" t="n"/>
      <c r="BH66" s="9">
        <f>C66</f>
        <v/>
      </c>
      <c r="BI66" s="221" t="n">
        <v>1279126.5525</v>
      </c>
      <c r="BJ66" s="184">
        <f>BI67</f>
        <v/>
      </c>
      <c r="BK66" s="184">
        <f>BI66-BJ66</f>
        <v/>
      </c>
      <c r="BL66" s="190">
        <f>BK66/BJ66</f>
        <v/>
      </c>
      <c r="BM66" s="191" t="n">
        <v>0.0119</v>
      </c>
      <c r="BN66" s="182" t="n"/>
      <c r="BP66" s="9">
        <f>C66</f>
        <v/>
      </c>
      <c r="BQ66" s="672" t="n">
        <v>1329062.3921</v>
      </c>
      <c r="BR66" s="13">
        <f>BQ67</f>
        <v/>
      </c>
      <c r="BS66" s="13">
        <f>BQ66-BR66</f>
        <v/>
      </c>
      <c r="BT66" s="193">
        <f>BS66/BR66</f>
        <v/>
      </c>
      <c r="BU66" s="182" t="n">
        <v>-0.0069</v>
      </c>
      <c r="BV66" s="182" t="n"/>
      <c r="BX66" s="9">
        <f>C66</f>
        <v/>
      </c>
      <c r="BY66" s="222" t="n">
        <v>1763960.7019</v>
      </c>
      <c r="BZ66" s="13">
        <f>BY67</f>
        <v/>
      </c>
      <c r="CA66" s="13">
        <f>BY66-BZ66</f>
        <v/>
      </c>
      <c r="CB66" s="193">
        <f>CA66/BZ66</f>
        <v/>
      </c>
      <c r="CC66" s="182" t="n">
        <v>0</v>
      </c>
      <c r="CD66" s="194" t="n"/>
      <c r="CF66" s="9">
        <f>C66</f>
        <v/>
      </c>
      <c r="CG66" s="185" t="n">
        <v>1328303.9</v>
      </c>
      <c r="CH66" s="13">
        <f>CG67</f>
        <v/>
      </c>
      <c r="CI66" s="13">
        <f>CG66-CH66</f>
        <v/>
      </c>
      <c r="CJ66" s="193">
        <f>CI66/CH66</f>
        <v/>
      </c>
      <c r="CK66" s="182" t="n">
        <v>0.0094</v>
      </c>
      <c r="CL66" s="194" t="n"/>
      <c r="CN66" s="9">
        <f>C66</f>
        <v/>
      </c>
      <c r="CO66" s="185" t="n">
        <v>536146.48</v>
      </c>
      <c r="CP66" s="13">
        <f>CO67</f>
        <v/>
      </c>
      <c r="CQ66" s="13">
        <f>CO66-CP66</f>
        <v/>
      </c>
      <c r="CR66" s="193">
        <f>CQ66/CP66</f>
        <v/>
      </c>
      <c r="CS66" s="194" t="n">
        <v>0.0107</v>
      </c>
      <c r="CT66" s="194" t="n"/>
      <c r="CV66" s="9">
        <f>C66</f>
        <v/>
      </c>
      <c r="CW66" s="185" t="n">
        <v>799240.4</v>
      </c>
      <c r="CX66" s="13">
        <f>CW67</f>
        <v/>
      </c>
      <c r="CY66" s="13">
        <f>CW66-CX66</f>
        <v/>
      </c>
      <c r="CZ66" s="193">
        <f>CY66/CX66</f>
        <v/>
      </c>
      <c r="DA66" s="182" t="n">
        <v>0.0152</v>
      </c>
      <c r="DB66" s="182" t="n"/>
      <c r="DC66" s="256" t="n"/>
      <c r="DD66" s="9">
        <f>C66</f>
        <v/>
      </c>
      <c r="DE66" s="222" t="n">
        <v>5753635.9972</v>
      </c>
      <c r="DF66" s="13">
        <f>DE67</f>
        <v/>
      </c>
      <c r="DG66" s="13">
        <f>DE66-DF66</f>
        <v/>
      </c>
      <c r="DH66" s="193">
        <f>DG66/DF66</f>
        <v/>
      </c>
      <c r="DI66" s="182" t="n">
        <v>0.0244</v>
      </c>
      <c r="DJ66" s="182" t="n"/>
      <c r="DK66" s="0" t="n"/>
      <c r="DL66" s="9">
        <f>C66</f>
        <v/>
      </c>
      <c r="DM66" s="185" t="n">
        <v>1877000.72</v>
      </c>
      <c r="DN66" s="13">
        <f>DM67</f>
        <v/>
      </c>
      <c r="DO66" s="13">
        <f>DM66-DN66</f>
        <v/>
      </c>
      <c r="DP66" s="193">
        <f>DO66/DN66</f>
        <v/>
      </c>
      <c r="DQ66" s="182" t="n">
        <v>0.0168</v>
      </c>
      <c r="DR66" s="182" t="n"/>
      <c r="DT66" s="9">
        <f>C66</f>
        <v/>
      </c>
      <c r="DU66" s="185" t="n">
        <v>4202818.43</v>
      </c>
      <c r="DV66" s="13">
        <f>DU67</f>
        <v/>
      </c>
      <c r="DW66" s="13">
        <f>DU66-DV66</f>
        <v/>
      </c>
      <c r="DX66" s="193">
        <f>DW66/DV66</f>
        <v/>
      </c>
      <c r="DY66" s="182" t="n">
        <v>0.0184</v>
      </c>
      <c r="DZ66" s="182" t="n"/>
      <c r="EB66" s="9">
        <f>C66</f>
        <v/>
      </c>
      <c r="EC66" s="185" t="n">
        <v>4872266.82</v>
      </c>
      <c r="ED66" s="13">
        <f>EC67</f>
        <v/>
      </c>
      <c r="EE66" s="13">
        <f>EC66-ED66</f>
        <v/>
      </c>
      <c r="EF66" s="193">
        <f>EE66/ED66</f>
        <v/>
      </c>
      <c r="EG66" s="182" t="n">
        <v>0.015</v>
      </c>
      <c r="EH66" s="182" t="n"/>
      <c r="EJ66" s="9">
        <f>C66</f>
        <v/>
      </c>
      <c r="EK66" s="222" t="n">
        <v>1164322.9669</v>
      </c>
      <c r="EL66" s="13">
        <f>EK67</f>
        <v/>
      </c>
      <c r="EM66" s="13">
        <f>EK66-EL66</f>
        <v/>
      </c>
      <c r="EN66" s="193">
        <f>EM66/EL66</f>
        <v/>
      </c>
      <c r="EO66" s="182" t="n">
        <v>0.008800000000000001</v>
      </c>
      <c r="EP66" s="182" t="n"/>
      <c r="ER66" s="9">
        <f>C66</f>
        <v/>
      </c>
      <c r="ES66" s="9" t="n">
        <v>733094.04</v>
      </c>
      <c r="ET66" s="13">
        <f>ES67</f>
        <v/>
      </c>
      <c r="EU66" s="13">
        <f>ES66-ET66</f>
        <v/>
      </c>
      <c r="EV66" s="193">
        <f>EU66/ET66</f>
        <v/>
      </c>
      <c r="EW66" s="182" t="n">
        <v>0.009599999999999999</v>
      </c>
      <c r="EX66" s="182" t="n"/>
      <c r="EZ66" s="9">
        <f>C66</f>
        <v/>
      </c>
      <c r="FA66" s="185" t="n">
        <v>584508</v>
      </c>
      <c r="FB66" s="13">
        <f>FA67</f>
        <v/>
      </c>
      <c r="FC66" s="13">
        <f>FA66-FB66</f>
        <v/>
      </c>
      <c r="FD66" s="193">
        <f>FC66/FB66</f>
        <v/>
      </c>
      <c r="FE66" s="182" t="n">
        <v>0.007</v>
      </c>
      <c r="FF66" s="182" t="n"/>
      <c r="FH66" s="9">
        <f>C66</f>
        <v/>
      </c>
      <c r="FI66" s="672" t="n">
        <v>1066695.3365</v>
      </c>
      <c r="FJ66" s="13">
        <f>FI67</f>
        <v/>
      </c>
      <c r="FK66" s="13">
        <f>FI66-FJ66</f>
        <v/>
      </c>
      <c r="FL66" s="193">
        <f>FK66/FJ66</f>
        <v/>
      </c>
      <c r="FM66" s="194" t="n">
        <v>0.0207</v>
      </c>
      <c r="FN66" s="194" t="n"/>
      <c r="FP66" s="9">
        <f>C66</f>
        <v/>
      </c>
      <c r="FQ66" s="185" t="n">
        <v>1849468.73</v>
      </c>
      <c r="FR66" s="13">
        <f>FQ67</f>
        <v/>
      </c>
      <c r="FS66" s="13">
        <f>FQ66-FR66</f>
        <v/>
      </c>
      <c r="FT66" s="193">
        <f>FS66/FR66</f>
        <v/>
      </c>
      <c r="FU66" s="182" t="n">
        <v>-0.0049</v>
      </c>
      <c r="FV66" s="182" t="n"/>
      <c r="FX66" s="9">
        <f>C66</f>
        <v/>
      </c>
      <c r="FY66" s="185" t="n">
        <v>7412382.05</v>
      </c>
      <c r="FZ66" s="13">
        <f>FY67</f>
        <v/>
      </c>
      <c r="GA66" s="13">
        <f>FY66-FZ66</f>
        <v/>
      </c>
      <c r="GB66" s="193">
        <f>GA66/FZ66</f>
        <v/>
      </c>
      <c r="GC66" s="182" t="n">
        <v>-0.0028</v>
      </c>
      <c r="GD66" s="182" t="n"/>
      <c r="GF66" s="9">
        <f>C66</f>
        <v/>
      </c>
      <c r="GG66" s="185" t="n">
        <v>4145869.49</v>
      </c>
      <c r="GH66" s="13">
        <f>GG67</f>
        <v/>
      </c>
      <c r="GI66" s="13">
        <f>GG66-GH66</f>
        <v/>
      </c>
      <c r="GJ66" s="193">
        <f>GI66/GH66</f>
        <v/>
      </c>
      <c r="GK66" s="182" t="n">
        <v>-0.005</v>
      </c>
      <c r="GL66" s="182" t="n"/>
      <c r="GN66" s="9">
        <f>C66</f>
        <v/>
      </c>
      <c r="GO66" s="222" t="n">
        <v>1982938.1217</v>
      </c>
      <c r="GP66" s="13">
        <f>GO67</f>
        <v/>
      </c>
      <c r="GQ66" s="13">
        <f>GO66-GP66</f>
        <v/>
      </c>
      <c r="GR66" s="193">
        <f>GQ66/GP66</f>
        <v/>
      </c>
      <c r="GS66" s="182" t="n">
        <v>-0.0033</v>
      </c>
      <c r="GT66" s="182" t="n"/>
      <c r="GV66" s="9">
        <f>C66</f>
        <v/>
      </c>
      <c r="GW66" s="185" t="n">
        <v>606149.4</v>
      </c>
      <c r="GX66" s="13">
        <f>GW67</f>
        <v/>
      </c>
      <c r="GY66" s="13">
        <f>GW66-GX66</f>
        <v/>
      </c>
      <c r="GZ66" s="193">
        <f>GY66/GX66</f>
        <v/>
      </c>
      <c r="HA66" s="182" t="n">
        <v>0.0161</v>
      </c>
      <c r="HB66" s="182" t="n"/>
      <c r="HD66" s="9">
        <f>C66</f>
        <v/>
      </c>
      <c r="HE66" s="222" t="n">
        <v>893864.6746</v>
      </c>
      <c r="HF66" s="13">
        <f>HE67</f>
        <v/>
      </c>
      <c r="HG66" s="13">
        <f>HE66-HF66</f>
        <v/>
      </c>
      <c r="HH66" s="193">
        <f>HG66/HF66</f>
        <v/>
      </c>
      <c r="HI66" s="194" t="n">
        <v>0.0031</v>
      </c>
      <c r="HJ66" s="182" t="n"/>
      <c r="HL66" s="9">
        <f>C66</f>
        <v/>
      </c>
      <c r="HM66" s="185" t="n">
        <v>117854.25</v>
      </c>
      <c r="HN66" s="13">
        <f>HM67</f>
        <v/>
      </c>
      <c r="HO66" s="13">
        <f>HM66-HN66</f>
        <v/>
      </c>
      <c r="HP66" s="193">
        <f>HO66/HN66</f>
        <v/>
      </c>
      <c r="HQ66" s="182" t="n">
        <v>0.0063</v>
      </c>
      <c r="HR66" s="182" t="n"/>
      <c r="HT66" s="9">
        <f>C66</f>
        <v/>
      </c>
      <c r="HU66" s="222" t="n">
        <v>136868.8265</v>
      </c>
      <c r="HV66" s="13">
        <f>HU67</f>
        <v/>
      </c>
      <c r="HW66" s="13">
        <f>HU66-HV66</f>
        <v/>
      </c>
      <c r="HX66" s="193">
        <f>HW66/HV66</f>
        <v/>
      </c>
      <c r="HY66" s="182" t="n">
        <v>0.0111</v>
      </c>
      <c r="HZ66" s="182" t="n"/>
      <c r="IB66" s="9">
        <f>C66</f>
        <v/>
      </c>
      <c r="IC66" s="185" t="n">
        <v>281659.79</v>
      </c>
      <c r="ID66" s="13">
        <f>IC67</f>
        <v/>
      </c>
      <c r="IE66" s="13">
        <f>IC66-ID66</f>
        <v/>
      </c>
      <c r="IF66" s="193">
        <f>IE66/ID66</f>
        <v/>
      </c>
      <c r="IG66" s="194" t="n">
        <v>0.0418</v>
      </c>
      <c r="IH66" s="182" t="n"/>
      <c r="IJ66" s="9">
        <f>C66</f>
        <v/>
      </c>
      <c r="IK66" s="222" t="n">
        <v>980716.29</v>
      </c>
      <c r="IL66" s="13">
        <f>IK67</f>
        <v/>
      </c>
      <c r="IM66" s="13">
        <f>IK66-IL66</f>
        <v/>
      </c>
      <c r="IN66" s="193">
        <f>IM66/IL66</f>
        <v/>
      </c>
      <c r="IO66" s="182" t="n">
        <v>-0.0065</v>
      </c>
      <c r="IP66" s="182" t="n"/>
      <c r="IR66" s="9">
        <f>C66</f>
        <v/>
      </c>
      <c r="IS66" s="185" t="n">
        <v>153189</v>
      </c>
      <c r="IT66" s="13">
        <f>IS67</f>
        <v/>
      </c>
      <c r="IU66" s="13">
        <f>IS66-IT66</f>
        <v/>
      </c>
      <c r="IV66" s="193">
        <f>IU66/IT66</f>
        <v/>
      </c>
      <c r="IW66" s="182" t="n">
        <v>0.0023</v>
      </c>
      <c r="IX66" s="182" t="n"/>
      <c r="IZ66" s="9">
        <f>C66</f>
        <v/>
      </c>
      <c r="JA66" s="185" t="n">
        <v>5840129.15</v>
      </c>
      <c r="JB66" s="13">
        <f>JA67</f>
        <v/>
      </c>
      <c r="JC66" s="13">
        <f>JA66-JB66</f>
        <v/>
      </c>
      <c r="JD66" s="193">
        <f>JC66/JB66</f>
        <v/>
      </c>
      <c r="JE66" s="182" t="n">
        <v>0.0037</v>
      </c>
      <c r="JF66" s="182" t="n"/>
      <c r="JH66" s="9">
        <f>C66</f>
        <v/>
      </c>
      <c r="JI66" s="185" t="n">
        <v>1188507.99</v>
      </c>
      <c r="JJ66" s="13">
        <f>JI67</f>
        <v/>
      </c>
      <c r="JK66" s="13">
        <f>JI66-JJ66</f>
        <v/>
      </c>
      <c r="JL66" s="193">
        <f>JK66/JJ66</f>
        <v/>
      </c>
      <c r="JM66" s="182" t="n">
        <v>0</v>
      </c>
      <c r="JN66" s="182" t="n"/>
      <c r="JP66" s="9">
        <f>C66</f>
        <v/>
      </c>
      <c r="JQ66" s="222" t="n">
        <v>1032490.4148</v>
      </c>
      <c r="JR66" s="13">
        <f>JQ67</f>
        <v/>
      </c>
      <c r="JS66" s="13">
        <f>JQ66-JR66</f>
        <v/>
      </c>
      <c r="JT66" s="193">
        <f>JS66/JR66</f>
        <v/>
      </c>
      <c r="JU66" s="182" t="n">
        <v>0.0016</v>
      </c>
      <c r="JV66" s="194" t="n"/>
      <c r="JX66" s="9">
        <f>C66</f>
        <v/>
      </c>
      <c r="JY66" s="185" t="n">
        <v>1032398.8</v>
      </c>
      <c r="JZ66" s="13">
        <f>JY67</f>
        <v/>
      </c>
      <c r="KA66" s="13">
        <f>JY66-JZ66</f>
        <v/>
      </c>
      <c r="KB66" s="193">
        <f>KA66/JZ66</f>
        <v/>
      </c>
      <c r="KC66" s="182" t="n">
        <v>-0.0022</v>
      </c>
      <c r="KD66" s="194" t="n"/>
      <c r="KF66" s="9">
        <f>C66</f>
        <v/>
      </c>
      <c r="KG66" s="222" t="n">
        <v>607155.9219</v>
      </c>
      <c r="KH66" s="13">
        <f>KG67</f>
        <v/>
      </c>
      <c r="KI66" s="13">
        <f>KG66-KH66</f>
        <v/>
      </c>
      <c r="KJ66" s="193">
        <f>KI66/KH66</f>
        <v/>
      </c>
      <c r="KK66" s="194" t="n">
        <v>-0.009900000000000001</v>
      </c>
      <c r="KL66" s="194" t="n"/>
      <c r="KN66" s="9">
        <f>C66</f>
        <v/>
      </c>
      <c r="KO66" s="185" t="n">
        <v>6968875.95</v>
      </c>
      <c r="KP66" s="13">
        <f>KO67</f>
        <v/>
      </c>
      <c r="KQ66" s="13">
        <f>KO66-KP66</f>
        <v/>
      </c>
      <c r="KR66" s="193">
        <f>KQ66/KP66</f>
        <v/>
      </c>
      <c r="KS66" s="182" t="n">
        <v>-0.0098</v>
      </c>
      <c r="KT66" s="182" t="n"/>
      <c r="KV66" s="9">
        <f>C66</f>
        <v/>
      </c>
      <c r="KW66" s="222" t="n">
        <v>1085672.9726</v>
      </c>
      <c r="KX66" s="13">
        <f>KW67</f>
        <v/>
      </c>
      <c r="KY66" s="13">
        <f>KW66-KX66</f>
        <v/>
      </c>
      <c r="KZ66" s="193">
        <f>KY66/KX66</f>
        <v/>
      </c>
      <c r="LA66" s="194" t="n">
        <v>-0.0056</v>
      </c>
      <c r="LB66" s="182" t="n"/>
      <c r="LD66" s="9">
        <f>C66</f>
        <v/>
      </c>
      <c r="LE66" s="185" t="n">
        <v>382157.7</v>
      </c>
      <c r="LF66" s="13">
        <f>LE67</f>
        <v/>
      </c>
      <c r="LG66" s="13">
        <f>LE66-LF66</f>
        <v/>
      </c>
      <c r="LH66" s="193">
        <f>LG66/LF66</f>
        <v/>
      </c>
      <c r="LI66" s="182" t="n">
        <v>0.0056</v>
      </c>
      <c r="LJ66" s="182" t="n"/>
      <c r="LL66" s="9">
        <f>C66</f>
        <v/>
      </c>
      <c r="LM66" s="672" t="n">
        <v>3304015.02</v>
      </c>
      <c r="LN66" s="13">
        <f>LM67</f>
        <v/>
      </c>
      <c r="LO66" s="13">
        <f>LM66-LN66</f>
        <v/>
      </c>
      <c r="LP66" s="193">
        <f>LO66/LN66</f>
        <v/>
      </c>
      <c r="LQ66" s="182" t="n">
        <v>0.0113</v>
      </c>
      <c r="LR66" s="182" t="n"/>
      <c r="LT66" s="9">
        <f>C66</f>
        <v/>
      </c>
      <c r="LU66" s="222" t="n">
        <v>2364262.904</v>
      </c>
      <c r="LV66" s="13">
        <f>LU67</f>
        <v/>
      </c>
      <c r="LW66" s="13">
        <f>LU66-LV66</f>
        <v/>
      </c>
      <c r="LX66" s="193">
        <f>LW66/LV66</f>
        <v/>
      </c>
      <c r="LY66" s="182" t="n">
        <v>0.0029</v>
      </c>
      <c r="LZ66" s="182" t="n"/>
      <c r="MB66" s="9">
        <f>C66</f>
        <v/>
      </c>
      <c r="MC66" s="185" t="n">
        <v>1141917.69</v>
      </c>
      <c r="MD66" s="13">
        <f>MC67</f>
        <v/>
      </c>
      <c r="ME66" s="13">
        <f>MC66-MD66</f>
        <v/>
      </c>
      <c r="MF66" s="193">
        <f>ME66/MD66</f>
        <v/>
      </c>
      <c r="MG66" s="182" t="n">
        <v>-0.0103</v>
      </c>
      <c r="MH66" s="182" t="n"/>
      <c r="MI66" s="182" t="n"/>
      <c r="MJ66" s="182" t="n"/>
      <c r="MK66" s="9">
        <f>C66</f>
        <v/>
      </c>
      <c r="ML66" s="223" t="n">
        <v>160545.5354</v>
      </c>
      <c r="MM66" s="13">
        <f>ML67</f>
        <v/>
      </c>
      <c r="MN66" s="13">
        <f>ML66-MM66</f>
        <v/>
      </c>
      <c r="MO66" s="193">
        <f>MN66/MM66</f>
        <v/>
      </c>
      <c r="MP66" s="182" t="n">
        <v>-0.001</v>
      </c>
      <c r="MQ66" s="194" t="n"/>
      <c r="MR66" s="194" t="n"/>
      <c r="MS66" s="188" t="n"/>
      <c r="MT66" s="274">
        <f>C66</f>
        <v/>
      </c>
      <c r="MU66" s="188" t="n">
        <v>136414.8</v>
      </c>
      <c r="MV66" s="188">
        <f>MU67</f>
        <v/>
      </c>
      <c r="MW66" s="188">
        <f>MU66-MV66</f>
        <v/>
      </c>
      <c r="MX66" s="271">
        <f>MW66/MV66</f>
        <v/>
      </c>
      <c r="MY66" s="182" t="n">
        <v>-0.008999999999999999</v>
      </c>
      <c r="MZ66" s="182" t="n"/>
      <c r="NA66" s="182" t="n"/>
      <c r="NB66" s="188" t="n"/>
      <c r="NC66" s="188">
        <f>C66</f>
        <v/>
      </c>
      <c r="ND66" s="188" t="n">
        <v>33291.48</v>
      </c>
      <c r="NE66" s="188">
        <f>ND67</f>
        <v/>
      </c>
      <c r="NF66" s="188">
        <f>ND66-NE66</f>
        <v/>
      </c>
      <c r="NG66" s="271">
        <f>NF66/NE66</f>
        <v/>
      </c>
      <c r="NH66" s="182" t="n">
        <v>0.0007</v>
      </c>
      <c r="NI66" s="182" t="n"/>
      <c r="NJ66" s="182" t="n"/>
      <c r="NK66" s="182" t="n"/>
      <c r="NL66" s="188" t="n"/>
      <c r="NM66" s="188">
        <f>C66</f>
        <v/>
      </c>
      <c r="NN66" s="188" t="n">
        <v>2771711.08</v>
      </c>
      <c r="NO66" s="9">
        <f>NN67</f>
        <v/>
      </c>
      <c r="NP66" s="188">
        <f>NN66-NO66</f>
        <v/>
      </c>
      <c r="NQ66" s="271">
        <f>NP66/NO66</f>
        <v/>
      </c>
      <c r="NR66" s="272" t="n">
        <v>-0.0034</v>
      </c>
      <c r="NS66" s="188" t="n"/>
      <c r="NT66" s="273" t="n"/>
      <c r="NU66" s="188">
        <f>C66</f>
        <v/>
      </c>
      <c r="NV66" s="188" t="n">
        <v>224576.5</v>
      </c>
      <c r="NW66" s="188">
        <f>NV67</f>
        <v/>
      </c>
      <c r="NX66" s="188">
        <f>NV66-NW66</f>
        <v/>
      </c>
      <c r="NY66" s="271">
        <f>NX66/NW66</f>
        <v/>
      </c>
      <c r="NZ66" s="182" t="n">
        <v>-0.006</v>
      </c>
      <c r="OA66" s="0" t="n"/>
      <c r="OC66" s="9">
        <f>C66</f>
        <v/>
      </c>
      <c r="OD66" s="185" t="n">
        <v>16632.97</v>
      </c>
      <c r="OE66" s="13">
        <f>OD67</f>
        <v/>
      </c>
      <c r="OF66" s="13">
        <f>OD66-OE66</f>
        <v/>
      </c>
      <c r="OG66" s="193">
        <f>OF66/OE66</f>
        <v/>
      </c>
      <c r="OH66" s="182" t="n">
        <v>-0.001</v>
      </c>
      <c r="OI66" s="182" t="n"/>
      <c r="OK66" s="9">
        <f>C66</f>
        <v/>
      </c>
      <c r="OL66" s="185" t="n">
        <v>15713.65</v>
      </c>
      <c r="OM66" s="13">
        <f>OL67</f>
        <v/>
      </c>
      <c r="ON66" s="13">
        <f>OL66-OM66</f>
        <v/>
      </c>
      <c r="OO66" s="193">
        <f>ON66/OM66</f>
        <v/>
      </c>
      <c r="OP66" s="182" t="n">
        <v>0.0001</v>
      </c>
      <c r="OQ66" s="182" t="n"/>
      <c r="OT66" s="201">
        <f>OK66</f>
        <v/>
      </c>
      <c r="OU66" s="199" t="n">
        <v>154632.4066</v>
      </c>
      <c r="OV66" s="9">
        <f>OU67</f>
        <v/>
      </c>
      <c r="OW66" s="671">
        <f>OU66-OV66</f>
        <v/>
      </c>
      <c r="OX66" s="182">
        <f>OW66/OV66</f>
        <v/>
      </c>
      <c r="OY66" s="0" t="n">
        <v>-0.0038</v>
      </c>
    </row>
    <row r="67" ht="17" customFormat="1" customHeight="1" s="12">
      <c r="A67" s="652" t="n"/>
      <c r="B67" s="652" t="n"/>
      <c r="C67" s="681" t="inlineStr">
        <is>
          <t>2026//8/11</t>
        </is>
      </c>
      <c r="D67" s="80" t="n">
        <v>2482428.77</v>
      </c>
      <c r="E67" s="80">
        <f>D68</f>
        <v/>
      </c>
      <c r="F67" s="80">
        <f>D67-E67</f>
        <v/>
      </c>
      <c r="G67" s="203">
        <f>F67/E67</f>
        <v/>
      </c>
      <c r="H67" s="79" t="n">
        <v>-0.0065</v>
      </c>
      <c r="I67" s="203" t="n"/>
      <c r="J67" s="203" t="n"/>
      <c r="K67" s="80">
        <f>C67</f>
        <v/>
      </c>
      <c r="L67" s="80" t="n">
        <v>1151974.4</v>
      </c>
      <c r="M67" s="80">
        <f>L68</f>
        <v/>
      </c>
      <c r="N67" s="80">
        <f>L67-M67</f>
        <v/>
      </c>
      <c r="O67" s="203">
        <f>N67/M67</f>
        <v/>
      </c>
      <c r="P67" s="79" t="n">
        <v>-0.0076</v>
      </c>
      <c r="Q67" s="203" t="n"/>
      <c r="R67" s="80" t="n"/>
      <c r="S67" s="80">
        <f>C67</f>
        <v/>
      </c>
      <c r="T67" s="80" t="n">
        <v>714666.6800000001</v>
      </c>
      <c r="U67" s="80">
        <f>T68</f>
        <v/>
      </c>
      <c r="V67" s="80">
        <f>T67-U67</f>
        <v/>
      </c>
      <c r="W67" s="203">
        <f>V67/U67</f>
        <v/>
      </c>
      <c r="X67" s="79" t="n">
        <v>-0.0117</v>
      </c>
      <c r="Y67" s="203" t="n"/>
      <c r="Z67" s="80" t="n"/>
      <c r="AA67" s="80">
        <f>S67</f>
        <v/>
      </c>
      <c r="AB67" s="80" t="n">
        <v>531936.86</v>
      </c>
      <c r="AC67" s="80">
        <f>AB68</f>
        <v/>
      </c>
      <c r="AD67" s="80">
        <f>AB67-AC67</f>
        <v/>
      </c>
      <c r="AE67" s="203">
        <f>AD67/AC67</f>
        <v/>
      </c>
      <c r="AF67" s="79" t="n">
        <v>-0.006</v>
      </c>
      <c r="AG67" s="203" t="n"/>
      <c r="AH67" s="80" t="n"/>
      <c r="AI67" s="80">
        <f>C67</f>
        <v/>
      </c>
      <c r="AJ67" s="80" t="n">
        <v>779921.76</v>
      </c>
      <c r="AK67" s="80">
        <f>AJ68</f>
        <v/>
      </c>
      <c r="AL67" s="80">
        <f>AJ67-AK67</f>
        <v/>
      </c>
      <c r="AM67" s="203">
        <f>AL67/AK67</f>
        <v/>
      </c>
      <c r="AN67" s="79" t="n">
        <v>-0.0029</v>
      </c>
      <c r="AO67" s="79" t="n"/>
      <c r="AP67" s="80" t="n"/>
      <c r="AQ67" s="80">
        <f>C67</f>
        <v/>
      </c>
      <c r="AR67" s="651" t="n">
        <v>1816745.4936</v>
      </c>
      <c r="AS67" s="80">
        <f>AR68</f>
        <v/>
      </c>
      <c r="AT67" s="80">
        <f>AR67-AS67</f>
        <v/>
      </c>
      <c r="AU67" s="203">
        <f>AT67/AS67</f>
        <v/>
      </c>
      <c r="AV67" s="79" t="n">
        <v>0.0017</v>
      </c>
      <c r="AW67" s="79" t="n"/>
      <c r="AX67" s="4" t="n"/>
      <c r="AY67" s="218" t="n"/>
      <c r="AZ67" s="218">
        <f>C67</f>
        <v/>
      </c>
      <c r="BA67" s="218" t="n">
        <v>633981.6676</v>
      </c>
      <c r="BB67" s="218">
        <f>BA68</f>
        <v/>
      </c>
      <c r="BC67" s="218">
        <f>BA67-BB67</f>
        <v/>
      </c>
      <c r="BD67" s="276">
        <f>BC67/BB67</f>
        <v/>
      </c>
      <c r="BE67" s="79" t="n">
        <v>-0.0064</v>
      </c>
      <c r="BF67" s="79" t="n"/>
      <c r="BG67" s="682" t="n"/>
      <c r="BH67" s="12">
        <f>C67</f>
        <v/>
      </c>
      <c r="BI67" s="278" t="n">
        <v>1278726.5525</v>
      </c>
      <c r="BJ67" s="279">
        <f>BI68</f>
        <v/>
      </c>
      <c r="BK67" s="279">
        <f>BI67-BJ67</f>
        <v/>
      </c>
      <c r="BL67" s="280">
        <f>BK67/BJ67</f>
        <v/>
      </c>
      <c r="BM67" s="281" t="n">
        <v>-0.0111</v>
      </c>
      <c r="BN67" s="282" t="n"/>
      <c r="BP67" s="12">
        <f>C67</f>
        <v/>
      </c>
      <c r="BQ67" s="283" t="n">
        <v>1305362.3921</v>
      </c>
      <c r="BR67" s="284">
        <f>BQ68</f>
        <v/>
      </c>
      <c r="BS67" s="284">
        <f>BQ67-BR67</f>
        <v/>
      </c>
      <c r="BT67" s="285">
        <f>BS67/BR67</f>
        <v/>
      </c>
      <c r="BU67" s="282" t="n">
        <v>-0.0027</v>
      </c>
      <c r="BV67" s="282" t="n"/>
      <c r="BX67" s="12">
        <f>C67</f>
        <v/>
      </c>
      <c r="BY67" s="283" t="n">
        <v>1803010.7019</v>
      </c>
      <c r="BZ67" s="284">
        <f>BY68</f>
        <v/>
      </c>
      <c r="CA67" s="284">
        <f>BY67-BZ67</f>
        <v/>
      </c>
      <c r="CB67" s="285">
        <f>CA67/BZ67</f>
        <v/>
      </c>
      <c r="CC67" s="282" t="n">
        <v>-0.0273</v>
      </c>
      <c r="CD67" s="286" t="n"/>
      <c r="CF67" s="12">
        <f>C67</f>
        <v/>
      </c>
      <c r="CG67" s="287" t="n">
        <v>1342903.9</v>
      </c>
      <c r="CH67" s="284">
        <f>CG68</f>
        <v/>
      </c>
      <c r="CI67" s="284">
        <f>CG67-CH67</f>
        <v/>
      </c>
      <c r="CJ67" s="285">
        <f>CI67/CH67</f>
        <v/>
      </c>
      <c r="CK67" s="282" t="n">
        <v>-0.0476</v>
      </c>
      <c r="CL67" s="286" t="n"/>
      <c r="CN67" s="12">
        <f>C67</f>
        <v/>
      </c>
      <c r="CO67" s="287" t="n">
        <v>534346.48</v>
      </c>
      <c r="CP67" s="284">
        <f>CO68</f>
        <v/>
      </c>
      <c r="CQ67" s="284">
        <f>CO67-CP67</f>
        <v/>
      </c>
      <c r="CR67" s="285">
        <f>CQ67/CP67</f>
        <v/>
      </c>
      <c r="CS67" s="286" t="n">
        <v>-0.0468</v>
      </c>
      <c r="CT67" s="286" t="n"/>
      <c r="CV67" s="12">
        <f>C67</f>
        <v/>
      </c>
      <c r="CW67" s="288" t="n">
        <v>824740.4</v>
      </c>
      <c r="CX67" s="284">
        <f>CW68</f>
        <v/>
      </c>
      <c r="CY67" s="284">
        <f>CW67-CX67</f>
        <v/>
      </c>
      <c r="CZ67" s="285">
        <f>CY67/CX67</f>
        <v/>
      </c>
      <c r="DA67" s="282" t="n">
        <v>-0.0594</v>
      </c>
      <c r="DB67" s="282" t="n"/>
      <c r="DC67" s="256" t="n"/>
      <c r="DD67" s="12">
        <f>C67</f>
        <v/>
      </c>
      <c r="DE67" s="283" t="n">
        <v>5693935.9972</v>
      </c>
      <c r="DF67" s="13">
        <f>DE68</f>
        <v/>
      </c>
      <c r="DG67" s="284">
        <f>DE67-DF67</f>
        <v/>
      </c>
      <c r="DH67" s="285">
        <f>DG67/DF67</f>
        <v/>
      </c>
      <c r="DI67" s="282" t="n">
        <v>-0.0302</v>
      </c>
      <c r="DJ67" s="282" t="n"/>
      <c r="DK67" s="0" t="n"/>
      <c r="DL67" s="12">
        <f>C67</f>
        <v/>
      </c>
      <c r="DM67" s="288" t="n">
        <v>1887800.72</v>
      </c>
      <c r="DN67" s="284">
        <f>DM68</f>
        <v/>
      </c>
      <c r="DO67" s="284">
        <f>DM67-DN67</f>
        <v/>
      </c>
      <c r="DP67" s="285">
        <f>DO67/DN67</f>
        <v/>
      </c>
      <c r="DQ67" s="282" t="n">
        <v>-0.0102</v>
      </c>
      <c r="DR67" s="282" t="n"/>
      <c r="DT67" s="12">
        <f>C67</f>
        <v/>
      </c>
      <c r="DU67" s="287" t="n">
        <v>4228468.43</v>
      </c>
      <c r="DV67" s="284">
        <f>DU68</f>
        <v/>
      </c>
      <c r="DW67" s="284">
        <f>DU67-DV67</f>
        <v/>
      </c>
      <c r="DX67" s="285">
        <f>DW67/DV67</f>
        <v/>
      </c>
      <c r="DY67" s="282" t="n">
        <v>-0.0164</v>
      </c>
      <c r="DZ67" s="282" t="n"/>
      <c r="EB67" s="12">
        <f>C67</f>
        <v/>
      </c>
      <c r="EC67" s="288" t="n">
        <v>4936466.82</v>
      </c>
      <c r="ED67" s="284">
        <f>EC68</f>
        <v/>
      </c>
      <c r="EE67" s="284">
        <f>EC67-ED67</f>
        <v/>
      </c>
      <c r="EF67" s="285">
        <f>EE67/ED67</f>
        <v/>
      </c>
      <c r="EG67" s="282" t="n">
        <v>-0.0158</v>
      </c>
      <c r="EH67" s="282" t="n"/>
      <c r="EJ67" s="12">
        <f>C67</f>
        <v/>
      </c>
      <c r="EK67" s="283" t="n">
        <v>1166522.9669</v>
      </c>
      <c r="EL67" s="284">
        <f>EK68</f>
        <v/>
      </c>
      <c r="EM67" s="284">
        <f>EK67-EL67</f>
        <v/>
      </c>
      <c r="EN67" s="285">
        <f>EM67/EL67</f>
        <v/>
      </c>
      <c r="EO67" s="282" t="n">
        <v>0.0011</v>
      </c>
      <c r="EP67" s="282" t="n"/>
      <c r="ER67" s="12">
        <f>C67</f>
        <v/>
      </c>
      <c r="ES67" s="12" t="n">
        <v>733294.04</v>
      </c>
      <c r="ET67" s="284">
        <f>ES68</f>
        <v/>
      </c>
      <c r="EU67" s="284">
        <f>ES67-ET67</f>
        <v/>
      </c>
      <c r="EV67" s="285">
        <f>EU67/ET67</f>
        <v/>
      </c>
      <c r="EW67" s="282" t="n">
        <v>-0.0017</v>
      </c>
      <c r="EX67" s="282" t="n"/>
      <c r="EZ67" s="12">
        <f>C67</f>
        <v/>
      </c>
      <c r="FA67" s="287" t="n">
        <v>580508</v>
      </c>
      <c r="FB67" s="284">
        <f>FA68</f>
        <v/>
      </c>
      <c r="FC67" s="284">
        <f>FA67-FB67</f>
        <v/>
      </c>
      <c r="FD67" s="285">
        <f>FC67/FB67</f>
        <v/>
      </c>
      <c r="FE67" s="282" t="n">
        <v>-0.0205</v>
      </c>
      <c r="FF67" s="282" t="n"/>
      <c r="FH67" s="12">
        <f>C67</f>
        <v/>
      </c>
      <c r="FI67" s="283" t="n">
        <v>1058595.3365</v>
      </c>
      <c r="FJ67" s="284">
        <f>FI68</f>
        <v/>
      </c>
      <c r="FK67" s="284">
        <f>FI67-FJ67</f>
        <v/>
      </c>
      <c r="FL67" s="285">
        <f>FK67/FJ67</f>
        <v/>
      </c>
      <c r="FM67" s="286" t="n">
        <v>-0.0351</v>
      </c>
      <c r="FN67" s="286" t="n"/>
      <c r="FP67" s="12">
        <f>C67</f>
        <v/>
      </c>
      <c r="FQ67" s="287" t="n">
        <v>1850218.73</v>
      </c>
      <c r="FR67" s="284">
        <f>FQ68</f>
        <v/>
      </c>
      <c r="FS67" s="284">
        <f>FQ67-FR67</f>
        <v/>
      </c>
      <c r="FT67" s="285">
        <f>FS67/FR67</f>
        <v/>
      </c>
      <c r="FU67" s="282" t="n">
        <v>0.009900000000000001</v>
      </c>
      <c r="FV67" s="282" t="n"/>
      <c r="FX67" s="12">
        <f>C67</f>
        <v/>
      </c>
      <c r="FY67" s="287" t="n">
        <v>7421282.05</v>
      </c>
      <c r="FZ67" s="284">
        <f>FY68</f>
        <v/>
      </c>
      <c r="GA67" s="284">
        <f>FY67-FZ67</f>
        <v/>
      </c>
      <c r="GB67" s="285">
        <f>GA67/FZ67</f>
        <v/>
      </c>
      <c r="GC67" s="282" t="n">
        <v>-0.0057</v>
      </c>
      <c r="GD67" s="282" t="n"/>
      <c r="GF67" s="12">
        <f>C67</f>
        <v/>
      </c>
      <c r="GG67" s="287" t="n">
        <v>4141769.49</v>
      </c>
      <c r="GH67" s="284">
        <f>GG68</f>
        <v/>
      </c>
      <c r="GI67" s="284">
        <f>GG67-GH67</f>
        <v/>
      </c>
      <c r="GJ67" s="285">
        <f>GI67/GH67</f>
        <v/>
      </c>
      <c r="GK67" s="282" t="n">
        <v>-0.0049</v>
      </c>
      <c r="GL67" s="282" t="n"/>
      <c r="GN67" s="12">
        <f>C67</f>
        <v/>
      </c>
      <c r="GO67" s="283" t="n">
        <v>1992478.1217</v>
      </c>
      <c r="GP67" s="284">
        <f>GO68</f>
        <v/>
      </c>
      <c r="GQ67" s="284">
        <f>GO67-GP67</f>
        <v/>
      </c>
      <c r="GR67" s="285">
        <f>GQ67/GP67</f>
        <v/>
      </c>
      <c r="GS67" s="282" t="n">
        <v>0.0033</v>
      </c>
      <c r="GT67" s="282" t="n"/>
      <c r="GV67" s="12">
        <f>C67</f>
        <v/>
      </c>
      <c r="GW67" s="288" t="n">
        <v>605349.4</v>
      </c>
      <c r="GX67" s="284">
        <f>GW68</f>
        <v/>
      </c>
      <c r="GY67" s="284">
        <f>GW67-GX67</f>
        <v/>
      </c>
      <c r="GZ67" s="285">
        <f>GY67/GX67</f>
        <v/>
      </c>
      <c r="HA67" s="282" t="n">
        <v>0.007</v>
      </c>
      <c r="HB67" s="282" t="n"/>
      <c r="HD67" s="12">
        <f>C67</f>
        <v/>
      </c>
      <c r="HE67" s="283" t="n">
        <v>899564.6746</v>
      </c>
      <c r="HF67" s="284">
        <f>HE68</f>
        <v/>
      </c>
      <c r="HG67" s="284">
        <f>HE67-HF67</f>
        <v/>
      </c>
      <c r="HH67" s="285">
        <f>HG67/HF67</f>
        <v/>
      </c>
      <c r="HI67" s="286" t="n">
        <v>-0.0071</v>
      </c>
      <c r="HJ67" s="282" t="n"/>
      <c r="HL67" s="12">
        <f>C67</f>
        <v/>
      </c>
      <c r="HM67" s="287" t="n">
        <v>117904.25</v>
      </c>
      <c r="HN67" s="284">
        <f>HM68</f>
        <v/>
      </c>
      <c r="HO67" s="284">
        <f>HM67-HN67</f>
        <v/>
      </c>
      <c r="HP67" s="285">
        <f>HO67/HN67</f>
        <v/>
      </c>
      <c r="HQ67" s="282" t="n">
        <v>-0.0053</v>
      </c>
      <c r="HR67" s="282" t="n"/>
      <c r="HT67" s="12">
        <f>C67</f>
        <v/>
      </c>
      <c r="HU67" s="283" t="n">
        <v>134068.8265</v>
      </c>
      <c r="HV67" s="284">
        <f>HU68</f>
        <v/>
      </c>
      <c r="HW67" s="284">
        <f>HU67-HV67</f>
        <v/>
      </c>
      <c r="HX67" s="285">
        <f>HW67/HV67</f>
        <v/>
      </c>
      <c r="HY67" s="282" t="n">
        <v>-0.0055</v>
      </c>
      <c r="HZ67" s="282" t="n"/>
      <c r="IB67" s="12">
        <f>C67</f>
        <v/>
      </c>
      <c r="IC67" s="287" t="n">
        <v>278109.79</v>
      </c>
      <c r="ID67" s="284">
        <f>IC68</f>
        <v/>
      </c>
      <c r="IE67" s="284">
        <f>IC67-ID67</f>
        <v/>
      </c>
      <c r="IF67" s="285">
        <f>IE67/ID67</f>
        <v/>
      </c>
      <c r="IG67" s="286" t="n">
        <v>-0.0057</v>
      </c>
      <c r="IH67" s="282" t="n"/>
      <c r="IJ67" s="12">
        <f>C67</f>
        <v/>
      </c>
      <c r="IK67" s="283" t="n">
        <v>983516.29</v>
      </c>
      <c r="IL67" s="284">
        <f>IK68</f>
        <v/>
      </c>
      <c r="IM67" s="284">
        <f>IK67-IL67</f>
        <v/>
      </c>
      <c r="IN67" s="285">
        <f>IM67/IL67</f>
        <v/>
      </c>
      <c r="IO67" s="282" t="n">
        <v>0.0047</v>
      </c>
      <c r="IP67" s="282" t="n"/>
      <c r="IR67" s="12">
        <f>C67</f>
        <v/>
      </c>
      <c r="IS67" s="288" t="n">
        <v>153289</v>
      </c>
      <c r="IT67" s="284">
        <f>IS68</f>
        <v/>
      </c>
      <c r="IU67" s="284">
        <f>IS67-IT67</f>
        <v/>
      </c>
      <c r="IV67" s="285">
        <f>IU67/IT67</f>
        <v/>
      </c>
      <c r="IW67" s="282" t="n">
        <v>0.0012</v>
      </c>
      <c r="IX67" s="282" t="n"/>
      <c r="IZ67" s="12">
        <f>C67</f>
        <v/>
      </c>
      <c r="JA67" s="288" t="n">
        <v>5819029.15</v>
      </c>
      <c r="JB67" s="284">
        <f>JA68</f>
        <v/>
      </c>
      <c r="JC67" s="284">
        <f>JA67-JB67</f>
        <v/>
      </c>
      <c r="JD67" s="285">
        <f>JC67/JB67</f>
        <v/>
      </c>
      <c r="JE67" s="282" t="n">
        <v>-0.0055</v>
      </c>
      <c r="JF67" s="282" t="n"/>
      <c r="JH67" s="12">
        <f>C67</f>
        <v/>
      </c>
      <c r="JI67" s="288" t="n">
        <v>1194447.99</v>
      </c>
      <c r="JJ67" s="284">
        <f>JI68</f>
        <v/>
      </c>
      <c r="JK67" s="284">
        <f>JI67-JJ67</f>
        <v/>
      </c>
      <c r="JL67" s="285">
        <f>JK67/JJ67</f>
        <v/>
      </c>
      <c r="JM67" s="282" t="n">
        <v>-0.0037</v>
      </c>
      <c r="JN67" s="282" t="n"/>
      <c r="JP67" s="12">
        <f>C67</f>
        <v/>
      </c>
      <c r="JQ67" s="283" t="n">
        <v>1032490.4148</v>
      </c>
      <c r="JR67" s="284">
        <f>JQ68</f>
        <v/>
      </c>
      <c r="JS67" s="284">
        <f>JQ67-JR67</f>
        <v/>
      </c>
      <c r="JT67" s="285">
        <f>JS67/JR67</f>
        <v/>
      </c>
      <c r="JU67" s="282" t="n">
        <v>-0.009299999999999999</v>
      </c>
      <c r="JV67" s="286" t="n"/>
      <c r="JX67" s="12">
        <f>C67</f>
        <v/>
      </c>
      <c r="JY67" s="287" t="n">
        <v>1024398.8</v>
      </c>
      <c r="JZ67" s="284">
        <f>JY68</f>
        <v/>
      </c>
      <c r="KA67" s="284">
        <f>JY67-JZ67</f>
        <v/>
      </c>
      <c r="KB67" s="285">
        <f>KA67/JZ67</f>
        <v/>
      </c>
      <c r="KC67" s="282" t="n">
        <v>-0.0108</v>
      </c>
      <c r="KD67" s="286" t="n"/>
      <c r="KF67" s="12">
        <f>C67</f>
        <v/>
      </c>
      <c r="KG67" s="283" t="n">
        <v>608355.9219</v>
      </c>
      <c r="KH67" s="284">
        <f>KG68</f>
        <v/>
      </c>
      <c r="KI67" s="284">
        <f>KG67-KH67</f>
        <v/>
      </c>
      <c r="KJ67" s="285">
        <f>KI67/KH67</f>
        <v/>
      </c>
      <c r="KK67" s="286" t="n">
        <v>-0.0066</v>
      </c>
      <c r="KL67" s="286" t="n"/>
      <c r="KN67" s="12">
        <f>C67</f>
        <v/>
      </c>
      <c r="KO67" s="288" t="n">
        <v>6978875.95</v>
      </c>
      <c r="KP67" s="284">
        <f>KO68</f>
        <v/>
      </c>
      <c r="KQ67" s="284">
        <f>KO67-KP67</f>
        <v/>
      </c>
      <c r="KR67" s="285">
        <f>KQ67/KP67</f>
        <v/>
      </c>
      <c r="KS67" s="282" t="n">
        <v>-0.0113</v>
      </c>
      <c r="KT67" s="282" t="n"/>
      <c r="KV67" s="12">
        <f>C67</f>
        <v/>
      </c>
      <c r="KW67" s="283" t="n">
        <v>1085772.9726</v>
      </c>
      <c r="KX67" s="284">
        <f>KW68</f>
        <v/>
      </c>
      <c r="KY67" s="284">
        <f>KW67-KX67</f>
        <v/>
      </c>
      <c r="KZ67" s="285">
        <f>KY67/KX67</f>
        <v/>
      </c>
      <c r="LA67" s="286" t="n">
        <v>0</v>
      </c>
      <c r="LB67" s="282" t="n"/>
      <c r="LD67" s="12">
        <f>C67</f>
        <v/>
      </c>
      <c r="LE67" s="287" t="n">
        <v>383657.7</v>
      </c>
      <c r="LF67" s="284">
        <f>LE68</f>
        <v/>
      </c>
      <c r="LG67" s="284">
        <f>LE67-LF67</f>
        <v/>
      </c>
      <c r="LH67" s="285">
        <f>LG67/LF67</f>
        <v/>
      </c>
      <c r="LI67" s="282" t="n">
        <v>-0.0246</v>
      </c>
      <c r="LJ67" s="282" t="n"/>
      <c r="LL67" s="12">
        <f>C67</f>
        <v/>
      </c>
      <c r="LM67" s="287" t="n">
        <v>3320215.02</v>
      </c>
      <c r="LN67" s="284">
        <f>LM68</f>
        <v/>
      </c>
      <c r="LO67" s="284">
        <f>LM67-LN67</f>
        <v/>
      </c>
      <c r="LP67" s="285">
        <f>LO67/LN67</f>
        <v/>
      </c>
      <c r="LQ67" s="282" t="n">
        <v>-0.008999999999999999</v>
      </c>
      <c r="LR67" s="282" t="n"/>
      <c r="LT67" s="12">
        <f>C67</f>
        <v/>
      </c>
      <c r="LU67" s="283" t="n">
        <v>2363662.904</v>
      </c>
      <c r="LV67" s="284">
        <f>LU68</f>
        <v/>
      </c>
      <c r="LW67" s="284">
        <f>LU67-LV67</f>
        <v/>
      </c>
      <c r="LX67" s="285">
        <f>LW67/LV67</f>
        <v/>
      </c>
      <c r="LY67" s="282" t="n">
        <v>-0.013</v>
      </c>
      <c r="LZ67" s="282" t="n"/>
      <c r="MB67" s="12">
        <f>C67</f>
        <v/>
      </c>
      <c r="MC67" s="288" t="n">
        <v>1140717.69</v>
      </c>
      <c r="MD67" s="284">
        <f>MC68</f>
        <v/>
      </c>
      <c r="ME67" s="284">
        <f>MC67-MD67</f>
        <v/>
      </c>
      <c r="MF67" s="285">
        <f>ME67/MD67</f>
        <v/>
      </c>
      <c r="MG67" s="282" t="n">
        <v>-0.0008</v>
      </c>
      <c r="MH67" s="282" t="n"/>
      <c r="MI67" s="282" t="n"/>
      <c r="MJ67" s="282" t="n"/>
      <c r="MK67" s="12">
        <f>C67</f>
        <v/>
      </c>
      <c r="ML67" s="283" t="n">
        <v>158385.5354</v>
      </c>
      <c r="MM67" s="284">
        <f>ML68</f>
        <v/>
      </c>
      <c r="MN67" s="284">
        <f>ML67-MM67</f>
        <v/>
      </c>
      <c r="MO67" s="285">
        <f>MN67/MM67</f>
        <v/>
      </c>
      <c r="MP67" s="282" t="n">
        <v>-0.003</v>
      </c>
      <c r="MQ67" s="286" t="n"/>
      <c r="MR67" s="286" t="n"/>
      <c r="MS67" s="289" t="n"/>
      <c r="MT67" s="290">
        <f>C67</f>
        <v/>
      </c>
      <c r="MU67" s="289" t="n">
        <v>136314.8</v>
      </c>
      <c r="MV67" s="289">
        <f>MU68</f>
        <v/>
      </c>
      <c r="MW67" s="289">
        <f>MU67-MV67</f>
        <v/>
      </c>
      <c r="MX67" s="291">
        <f>MW67/MV67</f>
        <v/>
      </c>
      <c r="MY67" s="282" t="n">
        <v>-0.0103</v>
      </c>
      <c r="MZ67" s="282" t="n"/>
      <c r="NA67" s="282" t="n"/>
      <c r="NB67" s="289" t="n"/>
      <c r="NC67" s="289">
        <f>C67</f>
        <v/>
      </c>
      <c r="ND67" s="289" t="n">
        <v>33491.48</v>
      </c>
      <c r="NE67" s="289">
        <f>ND68</f>
        <v/>
      </c>
      <c r="NF67" s="289">
        <f>ND67-NE67</f>
        <v/>
      </c>
      <c r="NG67" s="291">
        <f>NF67/NE67</f>
        <v/>
      </c>
      <c r="NH67" s="282" t="n">
        <v>-0.0279</v>
      </c>
      <c r="NI67" s="282" t="n"/>
      <c r="NJ67" s="282" t="n"/>
      <c r="NK67" s="282" t="n"/>
      <c r="NL67" s="188" t="n"/>
      <c r="NM67" s="188">
        <f>C67</f>
        <v/>
      </c>
      <c r="NN67" s="188" t="n">
        <v>2765311.08</v>
      </c>
      <c r="NO67" s="9">
        <f>NN68</f>
        <v/>
      </c>
      <c r="NP67" s="188">
        <f>NN67-NO67</f>
        <v/>
      </c>
      <c r="NQ67" s="271">
        <f>NP67/NO67</f>
        <v/>
      </c>
      <c r="NR67" s="272" t="n">
        <v>0.0009</v>
      </c>
      <c r="NS67" s="188" t="n"/>
      <c r="NT67" s="273" t="n"/>
      <c r="NU67" s="188">
        <f>C67</f>
        <v/>
      </c>
      <c r="NV67" s="188" t="n">
        <v>224526.5</v>
      </c>
      <c r="NW67" s="188">
        <f>NV68</f>
        <v/>
      </c>
      <c r="NX67" s="188">
        <f>NV67-NW67</f>
        <v/>
      </c>
      <c r="NY67" s="271">
        <f>NX67/NW67</f>
        <v/>
      </c>
      <c r="NZ67" s="282" t="n">
        <v>-0.003</v>
      </c>
      <c r="OA67" s="0" t="n"/>
      <c r="OC67" s="12">
        <f>C67</f>
        <v/>
      </c>
      <c r="OD67" s="287" t="n">
        <v>16348.97</v>
      </c>
      <c r="OE67" s="284">
        <f>OD68</f>
        <v/>
      </c>
      <c r="OF67" s="284">
        <f>OD67-OE67</f>
        <v/>
      </c>
      <c r="OG67" s="285">
        <f>OF67/OE67</f>
        <v/>
      </c>
      <c r="OH67" s="282" t="n">
        <v>-0.0012</v>
      </c>
      <c r="OI67" s="282" t="n"/>
      <c r="OK67" s="12">
        <f>C67</f>
        <v/>
      </c>
      <c r="OL67" s="287" t="n">
        <v>15597.65</v>
      </c>
      <c r="OM67" s="284">
        <f>OL68</f>
        <v/>
      </c>
      <c r="ON67" s="284">
        <f>OL67-OM67</f>
        <v/>
      </c>
      <c r="OO67" s="285">
        <f>ON67/OM67</f>
        <v/>
      </c>
      <c r="OP67" s="282" t="n">
        <v>-0.0003</v>
      </c>
      <c r="OQ67" s="282" t="n"/>
      <c r="OT67" s="201">
        <f>OK67</f>
        <v/>
      </c>
      <c r="OU67" s="199" t="n">
        <v>154512.4066</v>
      </c>
      <c r="OV67" s="9">
        <f>OU68</f>
        <v/>
      </c>
      <c r="OW67" s="671">
        <f>OU67-OV67</f>
        <v/>
      </c>
      <c r="OX67" s="182">
        <f>OW67/OV67</f>
        <v/>
      </c>
      <c r="OY67" s="0" t="n">
        <v>-0.0042</v>
      </c>
    </row>
    <row r="68" ht="17" customFormat="1" customHeight="1" s="9">
      <c r="A68" s="631" t="n"/>
      <c r="B68" s="631" t="n"/>
      <c r="C68" s="680" t="inlineStr">
        <is>
          <t>2026//8/10</t>
        </is>
      </c>
      <c r="D68" s="20" t="n">
        <v>2486118.77</v>
      </c>
      <c r="E68" s="20">
        <f>D69</f>
        <v/>
      </c>
      <c r="F68" s="20">
        <f>D68-E68</f>
        <v/>
      </c>
      <c r="G68" s="163">
        <f>F68/E68</f>
        <v/>
      </c>
      <c r="H68" s="19" t="n">
        <v>0.0017</v>
      </c>
      <c r="I68" s="163" t="n"/>
      <c r="J68" s="163" t="n"/>
      <c r="K68" s="20">
        <f>C68</f>
        <v/>
      </c>
      <c r="L68" s="20" t="n">
        <v>1152604.4</v>
      </c>
      <c r="M68" s="20">
        <f>L69</f>
        <v/>
      </c>
      <c r="N68" s="20">
        <f>L68-M68</f>
        <v/>
      </c>
      <c r="O68" s="163">
        <f>N68/M68</f>
        <v/>
      </c>
      <c r="P68" s="19" t="n">
        <v>0.002</v>
      </c>
      <c r="Q68" s="163" t="n"/>
      <c r="R68" s="20" t="n"/>
      <c r="S68" s="20">
        <f>C68</f>
        <v/>
      </c>
      <c r="T68" s="20" t="n">
        <v>677856.6800000001</v>
      </c>
      <c r="U68" s="20">
        <f>T69</f>
        <v/>
      </c>
      <c r="V68" s="20">
        <f>T68-U68</f>
        <v/>
      </c>
      <c r="W68" s="163">
        <f>V68/U68</f>
        <v/>
      </c>
      <c r="X68" s="19" t="n">
        <v>0.0029</v>
      </c>
      <c r="Y68" s="163" t="n"/>
      <c r="Z68" s="20" t="n"/>
      <c r="AA68" s="20">
        <f>S68</f>
        <v/>
      </c>
      <c r="AB68" s="20" t="n">
        <v>536616.86</v>
      </c>
      <c r="AC68" s="20">
        <f>AB69</f>
        <v/>
      </c>
      <c r="AD68" s="20">
        <f>AB68-AC68</f>
        <v/>
      </c>
      <c r="AE68" s="163">
        <f>AD68/AC68</f>
        <v/>
      </c>
      <c r="AF68" s="19" t="n">
        <v>0.0063</v>
      </c>
      <c r="AG68" s="163" t="n"/>
      <c r="AH68" s="20" t="n"/>
      <c r="AI68" s="20">
        <f>C68</f>
        <v/>
      </c>
      <c r="AJ68" s="20" t="n">
        <v>802921.76</v>
      </c>
      <c r="AK68" s="20">
        <f>AJ69</f>
        <v/>
      </c>
      <c r="AL68" s="20">
        <f>AJ68-AK68</f>
        <v/>
      </c>
      <c r="AM68" s="163">
        <f>AL68/AK68</f>
        <v/>
      </c>
      <c r="AN68" s="19" t="n">
        <v>0.0058</v>
      </c>
      <c r="AO68" s="19" t="n"/>
      <c r="AP68" s="20" t="n"/>
      <c r="AQ68" s="20">
        <f>C68</f>
        <v/>
      </c>
      <c r="AR68" s="634" t="n">
        <v>1857445.4936</v>
      </c>
      <c r="AS68" s="20">
        <f>AR69</f>
        <v/>
      </c>
      <c r="AT68" s="20">
        <f>AR68-AS68</f>
        <v/>
      </c>
      <c r="AU68" s="163">
        <f>AT68/AS68</f>
        <v/>
      </c>
      <c r="AV68" s="19" t="n">
        <v>-0.0075</v>
      </c>
      <c r="AW68" s="19" t="n"/>
      <c r="AX68" s="5" t="n"/>
      <c r="AY68" s="188" t="n"/>
      <c r="AZ68" s="188">
        <f>C68</f>
        <v/>
      </c>
      <c r="BA68" s="188" t="n">
        <v>633531.6676</v>
      </c>
      <c r="BB68" s="188">
        <f>BA69</f>
        <v/>
      </c>
      <c r="BC68" s="188">
        <f>BA68-BB68</f>
        <v/>
      </c>
      <c r="BD68" s="271">
        <f>BC68/BB68</f>
        <v/>
      </c>
      <c r="BE68" s="19" t="n">
        <v>0.0022</v>
      </c>
      <c r="BF68" s="19" t="n"/>
      <c r="BG68" s="647" t="n"/>
      <c r="BH68" s="9">
        <f>C68</f>
        <v/>
      </c>
      <c r="BI68" s="221" t="n">
        <v>1269426.5525</v>
      </c>
      <c r="BJ68" s="184">
        <f>BI69</f>
        <v/>
      </c>
      <c r="BK68" s="184">
        <f>BI68-BJ68</f>
        <v/>
      </c>
      <c r="BL68" s="190">
        <f>BK68/BJ68</f>
        <v/>
      </c>
      <c r="BM68" s="191" t="n">
        <v>0.0047</v>
      </c>
      <c r="BN68" s="182" t="n"/>
      <c r="BP68" s="9">
        <f>C68</f>
        <v/>
      </c>
      <c r="BQ68" s="672" t="n">
        <v>1291562.3921</v>
      </c>
      <c r="BR68" s="13">
        <f>BQ69</f>
        <v/>
      </c>
      <c r="BS68" s="13">
        <f>BQ68-BR68</f>
        <v/>
      </c>
      <c r="BT68" s="193">
        <f>BS68/BR68</f>
        <v/>
      </c>
      <c r="BU68" s="182" t="n">
        <v>-0.0027</v>
      </c>
      <c r="BV68" s="182" t="n"/>
      <c r="BX68" s="9">
        <f>C68</f>
        <v/>
      </c>
      <c r="BY68" s="222" t="n">
        <v>1833210.7019</v>
      </c>
      <c r="BZ68" s="13">
        <f>BY69</f>
        <v/>
      </c>
      <c r="CA68" s="13">
        <f>BY68-BZ68</f>
        <v/>
      </c>
      <c r="CB68" s="193">
        <f>CA68/BZ68</f>
        <v/>
      </c>
      <c r="CC68" s="182" t="n">
        <v>0.0194</v>
      </c>
      <c r="CD68" s="194" t="n"/>
      <c r="CF68" s="9">
        <f>C68</f>
        <v/>
      </c>
      <c r="CG68" s="185" t="n">
        <v>1326703.9</v>
      </c>
      <c r="CH68" s="13">
        <f>CG69</f>
        <v/>
      </c>
      <c r="CI68" s="13">
        <f>CG68-CH68</f>
        <v/>
      </c>
      <c r="CJ68" s="193">
        <f>CI68/CH68</f>
        <v/>
      </c>
      <c r="CK68" s="182" t="n">
        <v>0.0166</v>
      </c>
      <c r="CL68" s="194" t="n"/>
      <c r="CN68" s="9">
        <f>C68</f>
        <v/>
      </c>
      <c r="CO68" s="185" t="n">
        <v>530546.48</v>
      </c>
      <c r="CP68" s="13">
        <f>CO69</f>
        <v/>
      </c>
      <c r="CQ68" s="13">
        <f>CO68-CP68</f>
        <v/>
      </c>
      <c r="CR68" s="193">
        <f>CQ68/CP68</f>
        <v/>
      </c>
      <c r="CS68" s="194" t="n">
        <v>0.0166</v>
      </c>
      <c r="CT68" s="194" t="n"/>
      <c r="CV68" s="9">
        <f>C68</f>
        <v/>
      </c>
      <c r="CW68" s="185" t="n">
        <v>822790.4</v>
      </c>
      <c r="CX68" s="13">
        <f>CW69</f>
        <v/>
      </c>
      <c r="CY68" s="13">
        <f>CW68-CX68</f>
        <v/>
      </c>
      <c r="CZ68" s="193">
        <f>CY68/CX68</f>
        <v/>
      </c>
      <c r="DA68" s="182" t="n">
        <v>0.0289</v>
      </c>
      <c r="DB68" s="182" t="n"/>
      <c r="DC68" s="256" t="n"/>
      <c r="DD68" s="9">
        <f>C68</f>
        <v/>
      </c>
      <c r="DE68" s="222" t="n">
        <v>5618035.9972</v>
      </c>
      <c r="DF68" s="13">
        <f>DE69</f>
        <v/>
      </c>
      <c r="DG68" s="13">
        <f>DE68-DF68</f>
        <v/>
      </c>
      <c r="DH68" s="193">
        <f>DG68/DF68</f>
        <v/>
      </c>
      <c r="DI68" s="182" t="n">
        <v>0.0325</v>
      </c>
      <c r="DJ68" s="182" t="n"/>
      <c r="DK68" s="0" t="n"/>
      <c r="DL68" s="9">
        <f>C68</f>
        <v/>
      </c>
      <c r="DM68" s="185" t="n">
        <v>1885800.72</v>
      </c>
      <c r="DN68" s="13">
        <f>DM69</f>
        <v/>
      </c>
      <c r="DO68" s="13">
        <f>DM68-DN68</f>
        <v/>
      </c>
      <c r="DP68" s="193">
        <f>DO68/DN68</f>
        <v/>
      </c>
      <c r="DQ68" s="182" t="n">
        <v>-0.0018</v>
      </c>
      <c r="DR68" s="182" t="n"/>
      <c r="DT68" s="9">
        <f>C68</f>
        <v/>
      </c>
      <c r="DU68" s="185" t="n">
        <v>4277968.43</v>
      </c>
      <c r="DV68" s="13">
        <f>DU69</f>
        <v/>
      </c>
      <c r="DW68" s="13">
        <f>DU68-DV68</f>
        <v/>
      </c>
      <c r="DX68" s="193">
        <f>DW68/DV68</f>
        <v/>
      </c>
      <c r="DY68" s="182" t="n">
        <v>-0.0008</v>
      </c>
      <c r="DZ68" s="182" t="n"/>
      <c r="EB68" s="9">
        <f>C68</f>
        <v/>
      </c>
      <c r="EC68" s="185" t="n">
        <v>4957466.82</v>
      </c>
      <c r="ED68" s="13">
        <f>EC69</f>
        <v/>
      </c>
      <c r="EE68" s="13">
        <f>EC68-ED68</f>
        <v/>
      </c>
      <c r="EF68" s="193">
        <f>EE68/ED68</f>
        <v/>
      </c>
      <c r="EG68" s="182" t="n">
        <v>-0.0027</v>
      </c>
      <c r="EH68" s="182" t="n"/>
      <c r="EJ68" s="9">
        <f>C68</f>
        <v/>
      </c>
      <c r="EK68" s="222" t="n">
        <v>1174922.9669</v>
      </c>
      <c r="EL68" s="13">
        <f>EK69</f>
        <v/>
      </c>
      <c r="EM68" s="13">
        <f>EK68-EL68</f>
        <v/>
      </c>
      <c r="EN68" s="193">
        <f>EM68/EL68</f>
        <v/>
      </c>
      <c r="EO68" s="182" t="n">
        <v>-0.0279</v>
      </c>
      <c r="EP68" s="182" t="n"/>
      <c r="ER68" s="9">
        <f>C68</f>
        <v/>
      </c>
      <c r="ES68" s="9" t="n">
        <v>731294.04</v>
      </c>
      <c r="ET68" s="13">
        <f>ES69</f>
        <v/>
      </c>
      <c r="EU68" s="13">
        <f>ES68-ET68</f>
        <v/>
      </c>
      <c r="EV68" s="193">
        <f>EU68/ET68</f>
        <v/>
      </c>
      <c r="EW68" s="182" t="n">
        <v>-0.0254</v>
      </c>
      <c r="EX68" s="182" t="n"/>
      <c r="EZ68" s="9">
        <f>C68</f>
        <v/>
      </c>
      <c r="FA68" s="185" t="n">
        <v>580508</v>
      </c>
      <c r="FB68" s="13">
        <f>FA69</f>
        <v/>
      </c>
      <c r="FC68" s="13">
        <f>FA68-FB68</f>
        <v/>
      </c>
      <c r="FD68" s="193">
        <f>FC68/FB68</f>
        <v/>
      </c>
      <c r="FE68" s="182" t="n">
        <v>0.0156</v>
      </c>
      <c r="FF68" s="182" t="n"/>
      <c r="FH68" s="9">
        <f>C68</f>
        <v/>
      </c>
      <c r="FI68" s="672" t="n">
        <v>1090695.3365</v>
      </c>
      <c r="FJ68" s="13">
        <f>FI69</f>
        <v/>
      </c>
      <c r="FK68" s="13">
        <f>FI68-FJ68</f>
        <v/>
      </c>
      <c r="FL68" s="193">
        <f>FK68/FJ68</f>
        <v/>
      </c>
      <c r="FM68" s="194" t="n">
        <v>0.0028</v>
      </c>
      <c r="FN68" s="194" t="n"/>
      <c r="FP68" s="9">
        <f>C68</f>
        <v/>
      </c>
      <c r="FQ68" s="185" t="n">
        <v>1860118.73</v>
      </c>
      <c r="FR68" s="13">
        <f>FQ69</f>
        <v/>
      </c>
      <c r="FS68" s="13">
        <f>FQ68-FR68</f>
        <v/>
      </c>
      <c r="FT68" s="193">
        <f>FS68/FR68</f>
        <v/>
      </c>
      <c r="FU68" s="182" t="n">
        <v>-0.0098</v>
      </c>
      <c r="FV68" s="182" t="n"/>
      <c r="FX68" s="9">
        <f>C68</f>
        <v/>
      </c>
      <c r="FY68" s="185" t="n">
        <v>7465182.05</v>
      </c>
      <c r="FZ68" s="13">
        <f>FY69</f>
        <v/>
      </c>
      <c r="GA68" s="13">
        <f>FY68-FZ68</f>
        <v/>
      </c>
      <c r="GB68" s="193">
        <f>GA68/FZ68</f>
        <v/>
      </c>
      <c r="GC68" s="182" t="n">
        <v>0.0202</v>
      </c>
      <c r="GD68" s="182" t="n"/>
      <c r="GF68" s="9">
        <f>C68</f>
        <v/>
      </c>
      <c r="GG68" s="185" t="n">
        <v>4184069.49</v>
      </c>
      <c r="GH68" s="13">
        <f>GG69</f>
        <v/>
      </c>
      <c r="GI68" s="13">
        <f>GG68-GH68</f>
        <v/>
      </c>
      <c r="GJ68" s="193">
        <f>GI68/GH68</f>
        <v/>
      </c>
      <c r="GK68" s="182" t="n">
        <v>0.0227</v>
      </c>
      <c r="GL68" s="182" t="n"/>
      <c r="GN68" s="9">
        <f>C68</f>
        <v/>
      </c>
      <c r="GO68" s="222" t="n">
        <v>2009338.1217</v>
      </c>
      <c r="GP68" s="13">
        <f>GO69</f>
        <v/>
      </c>
      <c r="GQ68" s="13">
        <f>GO68-GP68</f>
        <v/>
      </c>
      <c r="GR68" s="193">
        <f>GQ68/GP68</f>
        <v/>
      </c>
      <c r="GS68" s="182" t="n">
        <v>0.009900000000000001</v>
      </c>
      <c r="GT68" s="182" t="n"/>
      <c r="GV68" s="9">
        <f>C68</f>
        <v/>
      </c>
      <c r="GW68" s="185" t="n">
        <v>606749.4</v>
      </c>
      <c r="GX68" s="13">
        <f>GW69</f>
        <v/>
      </c>
      <c r="GY68" s="13">
        <f>GW68-GX68</f>
        <v/>
      </c>
      <c r="GZ68" s="193">
        <f>GY68/GX68</f>
        <v/>
      </c>
      <c r="HA68" s="182" t="n">
        <v>-0.0046</v>
      </c>
      <c r="HB68" s="182" t="n"/>
      <c r="HD68" s="9">
        <f>C68</f>
        <v/>
      </c>
      <c r="HE68" s="222" t="n">
        <v>903764.6746</v>
      </c>
      <c r="HF68" s="13">
        <f>HE69</f>
        <v/>
      </c>
      <c r="HG68" s="13">
        <f>HE68-HF68</f>
        <v/>
      </c>
      <c r="HH68" s="193">
        <f>HG68/HF68</f>
        <v/>
      </c>
      <c r="HI68" s="194" t="n">
        <v>0.0144</v>
      </c>
      <c r="HJ68" s="182" t="n"/>
      <c r="HL68" s="9">
        <f>C68</f>
        <v/>
      </c>
      <c r="HM68" s="185" t="n">
        <v>118804.25</v>
      </c>
      <c r="HN68" s="13">
        <f>HM69</f>
        <v/>
      </c>
      <c r="HO68" s="13">
        <f>HM68-HN68</f>
        <v/>
      </c>
      <c r="HP68" s="193">
        <f>HO68/HN68</f>
        <v/>
      </c>
      <c r="HQ68" s="182" t="n">
        <v>0.0081</v>
      </c>
      <c r="HR68" s="182" t="n"/>
      <c r="HT68" s="9">
        <f>C68</f>
        <v/>
      </c>
      <c r="HU68" s="222" t="n">
        <v>133968.8265</v>
      </c>
      <c r="HV68" s="13">
        <f>HU69</f>
        <v/>
      </c>
      <c r="HW68" s="13">
        <f>HU68-HV68</f>
        <v/>
      </c>
      <c r="HX68" s="193">
        <f>HW68/HV68</f>
        <v/>
      </c>
      <c r="HY68" s="182" t="n">
        <v>0.013</v>
      </c>
      <c r="HZ68" s="182" t="n"/>
      <c r="IB68" s="9">
        <f>C68</f>
        <v/>
      </c>
      <c r="IC68" s="185" t="n">
        <v>278059.79</v>
      </c>
      <c r="ID68" s="13">
        <f>IC69</f>
        <v/>
      </c>
      <c r="IE68" s="13">
        <f>IC68-ID68</f>
        <v/>
      </c>
      <c r="IF68" s="193">
        <f>IE68/ID68</f>
        <v/>
      </c>
      <c r="IG68" s="194" t="n">
        <v>0.0166</v>
      </c>
      <c r="IH68" s="182" t="n"/>
      <c r="IJ68" s="9">
        <f>C68</f>
        <v/>
      </c>
      <c r="IK68" s="222" t="n">
        <v>993196.29</v>
      </c>
      <c r="IL68" s="13">
        <f>IK69</f>
        <v/>
      </c>
      <c r="IM68" s="13">
        <f>IK68-IL68</f>
        <v/>
      </c>
      <c r="IN68" s="193">
        <f>IM68/IL68</f>
        <v/>
      </c>
      <c r="IO68" s="182" t="n">
        <v>0.0047</v>
      </c>
      <c r="IP68" s="182" t="n"/>
      <c r="IR68" s="9">
        <f>C68</f>
        <v/>
      </c>
      <c r="IS68" s="185" t="n">
        <v>154289</v>
      </c>
      <c r="IT68" s="13">
        <f>IS69</f>
        <v/>
      </c>
      <c r="IU68" s="13">
        <f>IS68-IT68</f>
        <v/>
      </c>
      <c r="IV68" s="193">
        <f>IU68/IT68</f>
        <v/>
      </c>
      <c r="IW68" s="182" t="n">
        <v>-0.0142</v>
      </c>
      <c r="IX68" s="182" t="n"/>
      <c r="IZ68" s="9">
        <f>C68</f>
        <v/>
      </c>
      <c r="JA68" s="185" t="n">
        <v>5803629.15</v>
      </c>
      <c r="JB68" s="13">
        <f>JA69</f>
        <v/>
      </c>
      <c r="JC68" s="13">
        <f>JA68-JB68</f>
        <v/>
      </c>
      <c r="JD68" s="193">
        <f>JC68/JB68</f>
        <v/>
      </c>
      <c r="JE68" s="182" t="n">
        <v>0.0027</v>
      </c>
      <c r="JF68" s="182" t="n"/>
      <c r="JH68" s="9">
        <f>C68</f>
        <v/>
      </c>
      <c r="JI68" s="185" t="n">
        <v>1245267.99</v>
      </c>
      <c r="JJ68" s="13">
        <f>JI69</f>
        <v/>
      </c>
      <c r="JK68" s="13">
        <f>JI68-JJ68</f>
        <v/>
      </c>
      <c r="JL68" s="193">
        <f>JK68/JJ68</f>
        <v/>
      </c>
      <c r="JM68" s="182" t="n">
        <v>0.0063</v>
      </c>
      <c r="JN68" s="182" t="n"/>
      <c r="JP68" s="9">
        <f>C68</f>
        <v/>
      </c>
      <c r="JQ68" s="222" t="n">
        <v>1036490.4148</v>
      </c>
      <c r="JR68" s="13">
        <f>JQ69</f>
        <v/>
      </c>
      <c r="JS68" s="13">
        <f>JQ68-JR68</f>
        <v/>
      </c>
      <c r="JT68" s="193">
        <f>JS68/JR68</f>
        <v/>
      </c>
      <c r="JU68" s="182" t="n">
        <v>-0.0031</v>
      </c>
      <c r="JV68" s="194" t="n"/>
      <c r="JX68" s="9">
        <f>C68</f>
        <v/>
      </c>
      <c r="JY68" s="185" t="n">
        <v>1019498.8</v>
      </c>
      <c r="JZ68" s="13">
        <f>JY69</f>
        <v/>
      </c>
      <c r="KA68" s="13">
        <f>JY68-JZ68</f>
        <v/>
      </c>
      <c r="KB68" s="193">
        <f>KA68/JZ68</f>
        <v/>
      </c>
      <c r="KC68" s="182" t="n">
        <v>0.0131</v>
      </c>
      <c r="KD68" s="194" t="n"/>
      <c r="KF68" s="9">
        <f>C68</f>
        <v/>
      </c>
      <c r="KG68" s="222" t="n">
        <v>610955.9219</v>
      </c>
      <c r="KH68" s="13">
        <f>KG69</f>
        <v/>
      </c>
      <c r="KI68" s="13">
        <f>KG68-KH68</f>
        <v/>
      </c>
      <c r="KJ68" s="193">
        <f>KI68/KH68</f>
        <v/>
      </c>
      <c r="KK68" s="194" t="n">
        <v>0.009299999999999999</v>
      </c>
      <c r="KL68" s="194" t="n"/>
      <c r="KN68" s="9">
        <f>C68</f>
        <v/>
      </c>
      <c r="KO68" s="185" t="n">
        <v>6982875.95</v>
      </c>
      <c r="KP68" s="13">
        <f>KO69</f>
        <v/>
      </c>
      <c r="KQ68" s="13">
        <f>KO68-KP68</f>
        <v/>
      </c>
      <c r="KR68" s="193">
        <f>KQ68/KP68</f>
        <v/>
      </c>
      <c r="KS68" s="182" t="n">
        <v>0.0065</v>
      </c>
      <c r="KT68" s="182" t="n"/>
      <c r="KV68" s="9">
        <f>C68</f>
        <v/>
      </c>
      <c r="KW68" s="222" t="n">
        <v>1087372.9726</v>
      </c>
      <c r="KX68" s="13">
        <f>KW69</f>
        <v/>
      </c>
      <c r="KY68" s="13">
        <f>KW68-KX68</f>
        <v/>
      </c>
      <c r="KZ68" s="193">
        <f>KY68/KX68</f>
        <v/>
      </c>
      <c r="LA68" s="194" t="n">
        <v>0.009900000000000001</v>
      </c>
      <c r="LB68" s="182" t="n"/>
      <c r="LD68" s="9">
        <f>C68</f>
        <v/>
      </c>
      <c r="LE68" s="185" t="n">
        <v>384307.7</v>
      </c>
      <c r="LF68" s="13">
        <f>LE69</f>
        <v/>
      </c>
      <c r="LG68" s="13">
        <f>LE68-LF68</f>
        <v/>
      </c>
      <c r="LH68" s="193">
        <f>LG68/LF68</f>
        <v/>
      </c>
      <c r="LI68" s="182" t="n">
        <v>0.0077</v>
      </c>
      <c r="LJ68" s="182" t="n"/>
      <c r="LL68" s="9">
        <f>C68</f>
        <v/>
      </c>
      <c r="LM68" s="672" t="n">
        <v>3330835.02</v>
      </c>
      <c r="LN68" s="13">
        <f>LM69</f>
        <v/>
      </c>
      <c r="LO68" s="13">
        <f>LM68-LN68</f>
        <v/>
      </c>
      <c r="LP68" s="193">
        <f>LO68/LN68</f>
        <v/>
      </c>
      <c r="LQ68" s="182" t="n">
        <v>0.023</v>
      </c>
      <c r="LR68" s="182" t="n"/>
      <c r="LT68" s="9">
        <f>C68</f>
        <v/>
      </c>
      <c r="LU68" s="222" t="n">
        <v>2364062.904</v>
      </c>
      <c r="LV68" s="13">
        <f>LU69</f>
        <v/>
      </c>
      <c r="LW68" s="13">
        <f>LU68-LV68</f>
        <v/>
      </c>
      <c r="LX68" s="193">
        <f>LW68/LV68</f>
        <v/>
      </c>
      <c r="LY68" s="182" t="n">
        <v>0.0268</v>
      </c>
      <c r="LZ68" s="182" t="n"/>
      <c r="MB68" s="9">
        <f>C68</f>
        <v/>
      </c>
      <c r="MC68" s="185" t="n">
        <v>1115667.69</v>
      </c>
      <c r="MD68" s="13">
        <f>MC69</f>
        <v/>
      </c>
      <c r="ME68" s="13">
        <f>MC68-MD68</f>
        <v/>
      </c>
      <c r="MF68" s="193">
        <f>ME68/MD68</f>
        <v/>
      </c>
      <c r="MG68" s="182" t="n">
        <v>0.0227</v>
      </c>
      <c r="MH68" s="182" t="n"/>
      <c r="MI68" s="182" t="n"/>
      <c r="MJ68" s="182" t="n"/>
      <c r="MK68" s="9">
        <f>C68</f>
        <v/>
      </c>
      <c r="ML68" s="223" t="n">
        <v>159225.5354</v>
      </c>
      <c r="MM68" s="13">
        <f>ML69</f>
        <v/>
      </c>
      <c r="MN68" s="13">
        <f>ML68-MM68</f>
        <v/>
      </c>
      <c r="MO68" s="193">
        <f>MN68/MM68</f>
        <v/>
      </c>
      <c r="MP68" s="182" t="n">
        <v>-0.0078</v>
      </c>
      <c r="MQ68" s="194" t="n"/>
      <c r="MR68" s="194" t="n"/>
      <c r="MS68" s="188" t="n"/>
      <c r="MT68" s="274">
        <f>C68</f>
        <v/>
      </c>
      <c r="MU68" s="188" t="n">
        <v>137714.8</v>
      </c>
      <c r="MV68" s="188">
        <f>MU69</f>
        <v/>
      </c>
      <c r="MW68" s="188">
        <f>MU68-MV68</f>
        <v/>
      </c>
      <c r="MX68" s="271">
        <f>MW68/MV68</f>
        <v/>
      </c>
      <c r="MY68" s="182" t="n">
        <v>0.0118</v>
      </c>
      <c r="MZ68" s="182" t="n"/>
      <c r="NA68" s="182" t="n"/>
      <c r="NB68" s="188" t="n"/>
      <c r="NC68" s="188">
        <f>C68</f>
        <v/>
      </c>
      <c r="ND68" s="188" t="n">
        <v>33891.48</v>
      </c>
      <c r="NE68" s="188">
        <f>ND69</f>
        <v/>
      </c>
      <c r="NF68" s="188">
        <f>ND68-NE68</f>
        <v/>
      </c>
      <c r="NG68" s="271">
        <f>NF68/NE68</f>
        <v/>
      </c>
      <c r="NH68" s="182" t="n">
        <v>0.0221</v>
      </c>
      <c r="NI68" s="182" t="n"/>
      <c r="NJ68" s="182" t="n"/>
      <c r="NK68" s="182" t="n"/>
      <c r="NL68" s="188" t="n"/>
      <c r="NM68" s="188">
        <f>C68</f>
        <v/>
      </c>
      <c r="NN68" s="188" t="n">
        <v>2754811.08</v>
      </c>
      <c r="NO68" s="9">
        <f>NN69</f>
        <v/>
      </c>
      <c r="NP68" s="188">
        <f>NN68-NO68</f>
        <v/>
      </c>
      <c r="NQ68" s="271">
        <f>NP68/NO68</f>
        <v/>
      </c>
      <c r="NR68" s="272" t="n">
        <v>0.0035</v>
      </c>
      <c r="NS68" s="188" t="n"/>
      <c r="NT68" s="273" t="n"/>
      <c r="NU68" s="188">
        <f>C68</f>
        <v/>
      </c>
      <c r="NV68" s="188" t="n">
        <v>224626.5</v>
      </c>
      <c r="NW68" s="188">
        <f>NV69</f>
        <v/>
      </c>
      <c r="NX68" s="188">
        <f>NV68-NW68</f>
        <v/>
      </c>
      <c r="NY68" s="271">
        <f>NX68/NW68</f>
        <v/>
      </c>
      <c r="NZ68" s="182" t="n">
        <v>0.003</v>
      </c>
      <c r="OA68" s="0" t="n"/>
      <c r="OC68" s="9">
        <f>C68</f>
        <v/>
      </c>
      <c r="OD68" s="185" t="n">
        <v>15989.97</v>
      </c>
      <c r="OE68" s="13">
        <f>OD69</f>
        <v/>
      </c>
      <c r="OF68" s="13">
        <f>OD68-OE68</f>
        <v/>
      </c>
      <c r="OG68" s="193">
        <f>OF68/OE68</f>
        <v/>
      </c>
      <c r="OH68" s="182" t="n">
        <v>0.0038</v>
      </c>
      <c r="OI68" s="182" t="n"/>
      <c r="OK68" s="9">
        <f>C68</f>
        <v/>
      </c>
      <c r="OL68" s="185" t="n">
        <v>15501.65</v>
      </c>
      <c r="OM68" s="13">
        <f>OL69</f>
        <v/>
      </c>
      <c r="ON68" s="13">
        <f>OL68-OM68</f>
        <v/>
      </c>
      <c r="OO68" s="193">
        <f>ON68/OM68</f>
        <v/>
      </c>
      <c r="OP68" s="182" t="n">
        <v>0.0004</v>
      </c>
      <c r="OQ68" s="182" t="n"/>
      <c r="OT68" s="201">
        <f>OK68</f>
        <v/>
      </c>
      <c r="OU68" s="199" t="n">
        <v>154392.4066</v>
      </c>
      <c r="OV68" s="9">
        <f>OU69</f>
        <v/>
      </c>
      <c r="OW68" s="671">
        <f>OU68-OV68</f>
        <v/>
      </c>
      <c r="OX68" s="182">
        <f>OW68/OV68</f>
        <v/>
      </c>
      <c r="OY68" s="0" t="n">
        <v>0.0038</v>
      </c>
    </row>
    <row r="69" ht="17" customFormat="1" customHeight="1" s="9">
      <c r="A69" s="631" t="n"/>
      <c r="B69" s="631" t="n"/>
      <c r="C69" s="680" t="inlineStr">
        <is>
          <t>2026//8/7</t>
        </is>
      </c>
      <c r="D69" s="20" t="n">
        <v>2512848.77</v>
      </c>
      <c r="E69" s="20">
        <f>D70</f>
        <v/>
      </c>
      <c r="F69" s="20">
        <f>D69-E69</f>
        <v/>
      </c>
      <c r="G69" s="163">
        <f>F69/E69</f>
        <v/>
      </c>
      <c r="H69" s="19" t="n">
        <v>0.0089</v>
      </c>
      <c r="I69" s="163" t="n"/>
      <c r="J69" s="163" t="n"/>
      <c r="K69" s="20">
        <f>C69</f>
        <v/>
      </c>
      <c r="L69" s="20" t="n">
        <v>1155934.4</v>
      </c>
      <c r="M69" s="20">
        <f>L70</f>
        <v/>
      </c>
      <c r="N69" s="20">
        <f>L69-M69</f>
        <v/>
      </c>
      <c r="O69" s="163">
        <f>N69/M69</f>
        <v/>
      </c>
      <c r="P69" s="19" t="n">
        <v>0.008699999999999999</v>
      </c>
      <c r="Q69" s="163" t="n"/>
      <c r="R69" s="20" t="n"/>
      <c r="S69" s="20">
        <f>C69</f>
        <v/>
      </c>
      <c r="T69" s="20" t="n">
        <v>689466.6800000001</v>
      </c>
      <c r="U69" s="20">
        <f>T70</f>
        <v/>
      </c>
      <c r="V69" s="20">
        <f>T69-U69</f>
        <v/>
      </c>
      <c r="W69" s="163">
        <f>V69/U69</f>
        <v/>
      </c>
      <c r="X69" s="19" t="n">
        <v>0.0122</v>
      </c>
      <c r="Y69" s="163" t="n"/>
      <c r="Z69" s="20" t="n"/>
      <c r="AA69" s="20">
        <f>S69</f>
        <v/>
      </c>
      <c r="AB69" s="20" t="n">
        <v>557256.86</v>
      </c>
      <c r="AC69" s="20">
        <f>AB70</f>
        <v/>
      </c>
      <c r="AD69" s="20">
        <f>AB69-AC69</f>
        <v/>
      </c>
      <c r="AE69" s="163">
        <f>AD69/AC69</f>
        <v/>
      </c>
      <c r="AF69" s="19" t="n">
        <v>0.0198</v>
      </c>
      <c r="AG69" s="163" t="n"/>
      <c r="AH69" s="20" t="n"/>
      <c r="AI69" s="20">
        <f>C69</f>
        <v/>
      </c>
      <c r="AJ69" s="20" t="n">
        <v>895721.76</v>
      </c>
      <c r="AK69" s="20">
        <f>AJ70</f>
        <v/>
      </c>
      <c r="AL69" s="20">
        <f>AJ69-AK69</f>
        <v/>
      </c>
      <c r="AM69" s="163">
        <f>AL69/AK69</f>
        <v/>
      </c>
      <c r="AN69" s="19" t="n">
        <v>0.0203</v>
      </c>
      <c r="AO69" s="19" t="n"/>
      <c r="AP69" s="20" t="n"/>
      <c r="AQ69" s="20">
        <f>C69</f>
        <v/>
      </c>
      <c r="AR69" s="634" t="n">
        <v>1833945.4936</v>
      </c>
      <c r="AS69" s="20">
        <f>AR70</f>
        <v/>
      </c>
      <c r="AT69" s="20">
        <f>AR69-AS69</f>
        <v/>
      </c>
      <c r="AU69" s="163">
        <f>AT69/AS69</f>
        <v/>
      </c>
      <c r="AV69" s="19" t="n">
        <v>0.013</v>
      </c>
      <c r="AW69" s="19" t="n"/>
      <c r="AX69" s="5" t="n"/>
      <c r="AY69" s="188" t="n"/>
      <c r="AZ69" s="188">
        <f>C69</f>
        <v/>
      </c>
      <c r="BA69" s="188" t="n">
        <v>637851.6676</v>
      </c>
      <c r="BB69" s="188">
        <f>BA70</f>
        <v/>
      </c>
      <c r="BC69" s="188">
        <f>BA69-BB69</f>
        <v/>
      </c>
      <c r="BD69" s="271">
        <f>BC69/BB69</f>
        <v/>
      </c>
      <c r="BE69" s="19" t="n">
        <v>0.0094</v>
      </c>
      <c r="BF69" s="19" t="n"/>
      <c r="BG69" s="647" t="n"/>
      <c r="BH69" s="9">
        <f>C69</f>
        <v/>
      </c>
      <c r="BI69" s="221" t="n">
        <v>1266026.5525</v>
      </c>
      <c r="BJ69" s="184">
        <f>BI70</f>
        <v/>
      </c>
      <c r="BK69" s="184">
        <f>BI69-BJ69</f>
        <v/>
      </c>
      <c r="BL69" s="190">
        <f>BK69/BJ69</f>
        <v/>
      </c>
      <c r="BM69" s="191" t="n">
        <v>0.0131</v>
      </c>
      <c r="BN69" s="182" t="n"/>
      <c r="BP69" s="9">
        <f>C69</f>
        <v/>
      </c>
      <c r="BQ69" s="672" t="n">
        <v>1276162.3921</v>
      </c>
      <c r="BR69" s="13">
        <f>BQ70</f>
        <v/>
      </c>
      <c r="BS69" s="13">
        <f>BQ69-BR69</f>
        <v/>
      </c>
      <c r="BT69" s="193">
        <f>BS69/BR69</f>
        <v/>
      </c>
      <c r="BU69" s="182" t="n">
        <v>-0.0108</v>
      </c>
      <c r="BV69" s="182" t="n"/>
      <c r="BX69" s="9">
        <f>C69</f>
        <v/>
      </c>
      <c r="BY69" s="222" t="n">
        <v>1831610.7019</v>
      </c>
      <c r="BZ69" s="13">
        <f>BY70</f>
        <v/>
      </c>
      <c r="CA69" s="13">
        <f>BY69-BZ69</f>
        <v/>
      </c>
      <c r="CB69" s="193">
        <f>CA69/BZ69</f>
        <v/>
      </c>
      <c r="CC69" s="182" t="n">
        <v>0.0098</v>
      </c>
      <c r="CD69" s="194" t="n"/>
      <c r="CF69" s="9">
        <f>C69</f>
        <v/>
      </c>
      <c r="CG69" s="185" t="n">
        <v>1317353.9</v>
      </c>
      <c r="CH69" s="13">
        <f>CG70</f>
        <v/>
      </c>
      <c r="CI69" s="13">
        <f>CG69-CH69</f>
        <v/>
      </c>
      <c r="CJ69" s="193">
        <f>CI69/CH69</f>
        <v/>
      </c>
      <c r="CK69" s="182" t="n">
        <v>0.0355</v>
      </c>
      <c r="CL69" s="194" t="n"/>
      <c r="CN69" s="9">
        <f>C69</f>
        <v/>
      </c>
      <c r="CO69" s="185" t="n">
        <v>531046.48</v>
      </c>
      <c r="CP69" s="13">
        <f>CO70</f>
        <v/>
      </c>
      <c r="CQ69" s="13">
        <f>CO69-CP69</f>
        <v/>
      </c>
      <c r="CR69" s="193">
        <f>CQ69/CP69</f>
        <v/>
      </c>
      <c r="CS69" s="194" t="n">
        <v>0.0332</v>
      </c>
      <c r="CT69" s="194" t="n"/>
      <c r="CV69" s="9">
        <f>C69</f>
        <v/>
      </c>
      <c r="CW69" s="185" t="n">
        <v>791840.4</v>
      </c>
      <c r="CX69" s="13">
        <f>CW70</f>
        <v/>
      </c>
      <c r="CY69" s="13">
        <f>CW69-CX69</f>
        <v/>
      </c>
      <c r="CZ69" s="193">
        <f>CY69/CX69</f>
        <v/>
      </c>
      <c r="DA69" s="182" t="n">
        <v>0.0399</v>
      </c>
      <c r="DB69" s="182" t="n"/>
      <c r="DC69" s="256" t="n"/>
      <c r="DD69" s="9">
        <f>C69</f>
        <v/>
      </c>
      <c r="DE69" s="222" t="n">
        <v>5563435.9972</v>
      </c>
      <c r="DF69" s="13">
        <f>DE70</f>
        <v/>
      </c>
      <c r="DG69" s="13">
        <f>DE69-DF69</f>
        <v/>
      </c>
      <c r="DH69" s="193">
        <f>DG69/DF69</f>
        <v/>
      </c>
      <c r="DI69" s="182" t="n">
        <v>0.0279</v>
      </c>
      <c r="DJ69" s="182" t="n"/>
      <c r="DK69" s="0" t="n"/>
      <c r="DL69" s="9">
        <f>C69</f>
        <v/>
      </c>
      <c r="DM69" s="185" t="n">
        <v>1868600.72</v>
      </c>
      <c r="DN69" s="13">
        <f>DM70</f>
        <v/>
      </c>
      <c r="DO69" s="13">
        <f>DM69-DN69</f>
        <v/>
      </c>
      <c r="DP69" s="193">
        <f>DO69/DN69</f>
        <v/>
      </c>
      <c r="DQ69" s="182" t="n">
        <v>0.0344</v>
      </c>
      <c r="DR69" s="182" t="n"/>
      <c r="DT69" s="9">
        <f>C69</f>
        <v/>
      </c>
      <c r="DU69" s="185" t="n">
        <v>4287418.43</v>
      </c>
      <c r="DV69" s="13">
        <f>DU70</f>
        <v/>
      </c>
      <c r="DW69" s="13">
        <f>DU69-DV69</f>
        <v/>
      </c>
      <c r="DX69" s="193">
        <f>DW69/DV69</f>
        <v/>
      </c>
      <c r="DY69" s="182" t="n">
        <v>0.0314</v>
      </c>
      <c r="DZ69" s="182" t="n"/>
      <c r="EB69" s="9">
        <f>C69</f>
        <v/>
      </c>
      <c r="EC69" s="185" t="n">
        <v>4925066.82</v>
      </c>
      <c r="ED69" s="13">
        <f>EC70</f>
        <v/>
      </c>
      <c r="EE69" s="13">
        <f>EC69-ED69</f>
        <v/>
      </c>
      <c r="EF69" s="193">
        <f>EE69/ED69</f>
        <v/>
      </c>
      <c r="EG69" s="182" t="n">
        <v>0.0256</v>
      </c>
      <c r="EH69" s="182" t="n"/>
      <c r="EJ69" s="9">
        <f>C69</f>
        <v/>
      </c>
      <c r="EK69" s="222" t="n">
        <v>1165322.9669</v>
      </c>
      <c r="EL69" s="13">
        <f>EK70</f>
        <v/>
      </c>
      <c r="EM69" s="13">
        <f>EK69-EL69</f>
        <v/>
      </c>
      <c r="EN69" s="193">
        <f>EM69/EL69</f>
        <v/>
      </c>
      <c r="EO69" s="182" t="n">
        <v>0.0114</v>
      </c>
      <c r="EP69" s="182" t="n"/>
      <c r="ER69" s="9">
        <f>C69</f>
        <v/>
      </c>
      <c r="ES69" s="9" t="n">
        <v>727094.04</v>
      </c>
      <c r="ET69" s="13">
        <f>ES70</f>
        <v/>
      </c>
      <c r="EU69" s="13">
        <f>ES69-ET69</f>
        <v/>
      </c>
      <c r="EV69" s="193">
        <f>EU69/ET69</f>
        <v/>
      </c>
      <c r="EW69" s="182" t="n">
        <v>0.0094</v>
      </c>
      <c r="EX69" s="182" t="n"/>
      <c r="EZ69" s="9">
        <f>C69</f>
        <v/>
      </c>
      <c r="FA69" s="185" t="n">
        <v>580108</v>
      </c>
      <c r="FB69" s="13">
        <f>FA70</f>
        <v/>
      </c>
      <c r="FC69" s="13">
        <f>FA69-FB69</f>
        <v/>
      </c>
      <c r="FD69" s="193">
        <f>FC69/FB69</f>
        <v/>
      </c>
      <c r="FE69" s="182" t="n">
        <v>0.0167</v>
      </c>
      <c r="FF69" s="182" t="n"/>
      <c r="FH69" s="9">
        <f>C69</f>
        <v/>
      </c>
      <c r="FI69" s="672" t="n">
        <v>1091995.3365</v>
      </c>
      <c r="FJ69" s="13">
        <f>FI70</f>
        <v/>
      </c>
      <c r="FK69" s="13">
        <f>FI69-FJ69</f>
        <v/>
      </c>
      <c r="FL69" s="193">
        <f>FK69/FJ69</f>
        <v/>
      </c>
      <c r="FM69" s="194" t="n">
        <v>0.0358</v>
      </c>
      <c r="FN69" s="194" t="n"/>
      <c r="FP69" s="9">
        <f>C69</f>
        <v/>
      </c>
      <c r="FQ69" s="185" t="n">
        <v>1852018.73</v>
      </c>
      <c r="FR69" s="13">
        <f>FQ70</f>
        <v/>
      </c>
      <c r="FS69" s="13">
        <f>FQ69-FR69</f>
        <v/>
      </c>
      <c r="FT69" s="193">
        <f>FS69/FR69</f>
        <v/>
      </c>
      <c r="FU69" s="182" t="n">
        <v>0.0119</v>
      </c>
      <c r="FV69" s="182" t="n"/>
      <c r="FX69" s="9">
        <f>C69</f>
        <v/>
      </c>
      <c r="FY69" s="185" t="n">
        <v>7649582.05</v>
      </c>
      <c r="FZ69" s="13">
        <f>FY70</f>
        <v/>
      </c>
      <c r="GA69" s="13">
        <f>FY69-FZ69</f>
        <v/>
      </c>
      <c r="GB69" s="193">
        <f>GA69/FZ69</f>
        <v/>
      </c>
      <c r="GC69" s="182" t="n">
        <v>0.0453</v>
      </c>
      <c r="GD69" s="182" t="n"/>
      <c r="GF69" s="9">
        <f>C69</f>
        <v/>
      </c>
      <c r="GG69" s="185" t="n">
        <v>4279669.49</v>
      </c>
      <c r="GH69" s="13">
        <f>GG70</f>
        <v/>
      </c>
      <c r="GI69" s="13">
        <f>GG69-GH69</f>
        <v/>
      </c>
      <c r="GJ69" s="193">
        <f>GI69/GH69</f>
        <v/>
      </c>
      <c r="GK69" s="182" t="n">
        <v>0.0449</v>
      </c>
      <c r="GL69" s="182" t="n"/>
      <c r="GN69" s="9">
        <f>C69</f>
        <v/>
      </c>
      <c r="GO69" s="222" t="n">
        <v>2010838.1217</v>
      </c>
      <c r="GP69" s="13">
        <f>GO70</f>
        <v/>
      </c>
      <c r="GQ69" s="13">
        <f>GO69-GP69</f>
        <v/>
      </c>
      <c r="GR69" s="193">
        <f>GQ69/GP69</f>
        <v/>
      </c>
      <c r="GS69" s="182" t="n">
        <v>0.06560000000000001</v>
      </c>
      <c r="GT69" s="182" t="n"/>
      <c r="GV69" s="9">
        <f>C69</f>
        <v/>
      </c>
      <c r="GW69" s="185" t="n">
        <v>612349.4</v>
      </c>
      <c r="GX69" s="13">
        <f>GW70</f>
        <v/>
      </c>
      <c r="GY69" s="13">
        <f>GW69-GX69</f>
        <v/>
      </c>
      <c r="GZ69" s="193">
        <f>GY69/GX69</f>
        <v/>
      </c>
      <c r="HA69" s="182" t="n">
        <v>0.0249</v>
      </c>
      <c r="HB69" s="182" t="n"/>
      <c r="HD69" s="9">
        <f>C69</f>
        <v/>
      </c>
      <c r="HE69" s="222" t="n">
        <v>918164.6746</v>
      </c>
      <c r="HF69" s="13">
        <f>HE70</f>
        <v/>
      </c>
      <c r="HG69" s="13">
        <f>HE69-HF69</f>
        <v/>
      </c>
      <c r="HH69" s="193">
        <f>HG69/HF69</f>
        <v/>
      </c>
      <c r="HI69" s="194" t="n">
        <v>0.0146</v>
      </c>
      <c r="HJ69" s="182" t="n"/>
      <c r="HL69" s="9">
        <f>C69</f>
        <v/>
      </c>
      <c r="HM69" s="185" t="n">
        <v>119854.25</v>
      </c>
      <c r="HN69" s="13">
        <f>HM70</f>
        <v/>
      </c>
      <c r="HO69" s="13">
        <f>HM69-HN69</f>
        <v/>
      </c>
      <c r="HP69" s="193">
        <f>HO69/HN69</f>
        <v/>
      </c>
      <c r="HQ69" s="182" t="n">
        <v>0.0009</v>
      </c>
      <c r="HR69" s="182" t="n"/>
      <c r="HT69" s="9">
        <f>C69</f>
        <v/>
      </c>
      <c r="HU69" s="222" t="n">
        <v>124668.8265</v>
      </c>
      <c r="HV69" s="13">
        <f>HU70</f>
        <v/>
      </c>
      <c r="HW69" s="13">
        <f>HU69-HV69</f>
        <v/>
      </c>
      <c r="HX69" s="193">
        <f>HW69/HV69</f>
        <v/>
      </c>
      <c r="HY69" s="182" t="n">
        <v>-0.0019</v>
      </c>
      <c r="HZ69" s="182" t="n"/>
      <c r="IB69" s="9">
        <f>C69</f>
        <v/>
      </c>
      <c r="IC69" s="185" t="n">
        <v>279684.79</v>
      </c>
      <c r="ID69" s="13">
        <f>IC70</f>
        <v/>
      </c>
      <c r="IE69" s="13">
        <f>IC69-ID69</f>
        <v/>
      </c>
      <c r="IF69" s="193">
        <f>IE69/ID69</f>
        <v/>
      </c>
      <c r="IG69" s="194" t="n">
        <v>0</v>
      </c>
      <c r="IH69" s="182" t="n"/>
      <c r="IJ69" s="9">
        <f>C69</f>
        <v/>
      </c>
      <c r="IK69" s="222" t="n">
        <v>1005276.29</v>
      </c>
      <c r="IL69" s="13">
        <f>IK70</f>
        <v/>
      </c>
      <c r="IM69" s="13">
        <f>IK69-IL69</f>
        <v/>
      </c>
      <c r="IN69" s="193">
        <f>IM69/IL69</f>
        <v/>
      </c>
      <c r="IO69" s="182" t="n">
        <v>0</v>
      </c>
      <c r="IP69" s="182" t="n"/>
      <c r="IR69" s="9">
        <f>C69</f>
        <v/>
      </c>
      <c r="IS69" s="185" t="n">
        <v>157789</v>
      </c>
      <c r="IT69" s="13">
        <f>IS70</f>
        <v/>
      </c>
      <c r="IU69" s="13">
        <f>IS69-IT69</f>
        <v/>
      </c>
      <c r="IV69" s="193">
        <f>IU69/IT69</f>
        <v/>
      </c>
      <c r="IW69" s="182" t="n">
        <v>-0.0011</v>
      </c>
      <c r="IX69" s="182" t="n"/>
      <c r="IZ69" s="9">
        <f>C69</f>
        <v/>
      </c>
      <c r="JA69" s="185" t="n">
        <v>5805129.15</v>
      </c>
      <c r="JB69" s="13">
        <f>JA70</f>
        <v/>
      </c>
      <c r="JC69" s="13">
        <f>JA69-JB69</f>
        <v/>
      </c>
      <c r="JD69" s="193">
        <f>JC69/JB69</f>
        <v/>
      </c>
      <c r="JE69" s="182" t="n">
        <v>0</v>
      </c>
      <c r="JF69" s="182" t="n"/>
      <c r="JH69" s="9">
        <f>C69</f>
        <v/>
      </c>
      <c r="JI69" s="185" t="n">
        <v>1279107.99</v>
      </c>
      <c r="JJ69" s="13">
        <f>JI70</f>
        <v/>
      </c>
      <c r="JK69" s="13">
        <f>JI69-JJ69</f>
        <v/>
      </c>
      <c r="JL69" s="193">
        <f>JK69/JJ69</f>
        <v/>
      </c>
      <c r="JM69" s="182" t="n">
        <v>-0.008699999999999999</v>
      </c>
      <c r="JN69" s="182" t="n"/>
      <c r="JP69" s="9">
        <f>C69</f>
        <v/>
      </c>
      <c r="JQ69" s="222" t="n">
        <v>1037390.4148</v>
      </c>
      <c r="JR69" s="13">
        <f>JQ70</f>
        <v/>
      </c>
      <c r="JS69" s="13">
        <f>JQ69-JR69</f>
        <v/>
      </c>
      <c r="JT69" s="193">
        <f>JS69/JR69</f>
        <v/>
      </c>
      <c r="JU69" s="182" t="n">
        <v>-0.0123</v>
      </c>
      <c r="JV69" s="194" t="n"/>
      <c r="JX69" s="9">
        <f>C69</f>
        <v/>
      </c>
      <c r="JY69" s="185" t="n">
        <v>1024798.8</v>
      </c>
      <c r="JZ69" s="13">
        <f>JY70</f>
        <v/>
      </c>
      <c r="KA69" s="13">
        <f>JY69-JZ69</f>
        <v/>
      </c>
      <c r="KB69" s="193">
        <f>KA69/JZ69</f>
        <v/>
      </c>
      <c r="KC69" s="182" t="n">
        <v>0.0016</v>
      </c>
      <c r="KD69" s="194" t="n"/>
      <c r="KF69" s="9">
        <f>C69</f>
        <v/>
      </c>
      <c r="KG69" s="222" t="n">
        <v>631555.9219</v>
      </c>
      <c r="KH69" s="13">
        <f>KG70</f>
        <v/>
      </c>
      <c r="KI69" s="13">
        <f>KG69-KH69</f>
        <v/>
      </c>
      <c r="KJ69" s="193">
        <f>KI69/KH69</f>
        <v/>
      </c>
      <c r="KK69" s="194" t="n">
        <v>0.0047</v>
      </c>
      <c r="KL69" s="194" t="n"/>
      <c r="KN69" s="9">
        <f>C69</f>
        <v/>
      </c>
      <c r="KO69" s="185" t="n">
        <v>6982875.95</v>
      </c>
      <c r="KP69" s="13">
        <f>KO70</f>
        <v/>
      </c>
      <c r="KQ69" s="13">
        <f>KO69-KP69</f>
        <v/>
      </c>
      <c r="KR69" s="193">
        <f>KQ69/KP69</f>
        <v/>
      </c>
      <c r="KS69" s="182" t="n">
        <v>0.0049</v>
      </c>
      <c r="KT69" s="182" t="n"/>
      <c r="KV69" s="9">
        <f>C69</f>
        <v/>
      </c>
      <c r="KW69" s="222" t="n">
        <v>1087972.9726</v>
      </c>
      <c r="KX69" s="13">
        <f>KW70</f>
        <v/>
      </c>
      <c r="KY69" s="13">
        <f>KW69-KX69</f>
        <v/>
      </c>
      <c r="KZ69" s="193">
        <f>KY69/KX69</f>
        <v/>
      </c>
      <c r="LA69" s="194" t="n">
        <v>0.0492</v>
      </c>
      <c r="LB69" s="182" t="n"/>
      <c r="LD69" s="9">
        <f>C69</f>
        <v/>
      </c>
      <c r="LE69" s="185" t="n">
        <v>386807.7</v>
      </c>
      <c r="LF69" s="13">
        <f>LE70</f>
        <v/>
      </c>
      <c r="LG69" s="13">
        <f>LE69-LF69</f>
        <v/>
      </c>
      <c r="LH69" s="193">
        <f>LG69/LF69</f>
        <v/>
      </c>
      <c r="LI69" s="182" t="n">
        <v>0.0353</v>
      </c>
      <c r="LJ69" s="182" t="n"/>
      <c r="LL69" s="9">
        <f>C69</f>
        <v/>
      </c>
      <c r="LM69" s="672" t="n">
        <v>3355315.02</v>
      </c>
      <c r="LN69" s="13">
        <f>LM70</f>
        <v/>
      </c>
      <c r="LO69" s="13">
        <f>LM69-LN69</f>
        <v/>
      </c>
      <c r="LP69" s="193">
        <f>LO69/LN69</f>
        <v/>
      </c>
      <c r="LQ69" s="182" t="n">
        <v>0.0023</v>
      </c>
      <c r="LR69" s="182" t="n"/>
      <c r="LT69" s="9">
        <f>C69</f>
        <v/>
      </c>
      <c r="LU69" s="222" t="n">
        <v>2367862.904</v>
      </c>
      <c r="LV69" s="13">
        <f>LU70</f>
        <v/>
      </c>
      <c r="LW69" s="13">
        <f>LU69-LV69</f>
        <v/>
      </c>
      <c r="LX69" s="193">
        <f>LW69/LV69</f>
        <v/>
      </c>
      <c r="LY69" s="182" t="n">
        <v>0.0045</v>
      </c>
      <c r="LZ69" s="182" t="n"/>
      <c r="MB69" s="9">
        <f>C69</f>
        <v/>
      </c>
      <c r="MC69" s="185" t="n">
        <v>1099817.69</v>
      </c>
      <c r="MD69" s="13">
        <f>MC70</f>
        <v/>
      </c>
      <c r="ME69" s="13">
        <f>MC69-MD69</f>
        <v/>
      </c>
      <c r="MF69" s="193">
        <f>ME69/MD69</f>
        <v/>
      </c>
      <c r="MG69" s="182" t="n">
        <v>-0.0072</v>
      </c>
      <c r="MH69" s="182" t="n"/>
      <c r="MI69" s="182" t="n"/>
      <c r="MJ69" s="182" t="n"/>
      <c r="MK69" s="9">
        <f>C69</f>
        <v/>
      </c>
      <c r="ML69" s="223" t="n">
        <v>162105.5354</v>
      </c>
      <c r="MM69" s="13">
        <f>ML70</f>
        <v/>
      </c>
      <c r="MN69" s="13">
        <f>ML69-MM69</f>
        <v/>
      </c>
      <c r="MO69" s="193">
        <f>MN69/MM69</f>
        <v/>
      </c>
      <c r="MP69" s="182" t="n">
        <v>0.0049</v>
      </c>
      <c r="MQ69" s="194" t="n"/>
      <c r="MR69" s="194" t="n"/>
      <c r="MS69" s="188" t="n"/>
      <c r="MT69" s="274">
        <f>C69</f>
        <v/>
      </c>
      <c r="MU69" s="188" t="n">
        <v>136714.8</v>
      </c>
      <c r="MV69" s="188">
        <f>MU70</f>
        <v/>
      </c>
      <c r="MW69" s="188">
        <f>MU69-MV69</f>
        <v/>
      </c>
      <c r="MX69" s="271">
        <f>MW69/MV69</f>
        <v/>
      </c>
      <c r="MY69" s="182" t="n">
        <v>0.0049</v>
      </c>
      <c r="MZ69" s="182" t="n"/>
      <c r="NA69" s="182" t="n"/>
      <c r="NB69" s="188" t="n"/>
      <c r="NC69" s="188">
        <f>C69</f>
        <v/>
      </c>
      <c r="ND69" s="188" t="n">
        <v>33891.48</v>
      </c>
      <c r="NE69" s="188">
        <f>ND70</f>
        <v/>
      </c>
      <c r="NF69" s="188">
        <f>ND69-NE69</f>
        <v/>
      </c>
      <c r="NG69" s="271">
        <f>NF69/NE69</f>
        <v/>
      </c>
      <c r="NH69" s="182" t="n">
        <v>0.016</v>
      </c>
      <c r="NI69" s="182" t="n"/>
      <c r="NJ69" s="182" t="n"/>
      <c r="NK69" s="182" t="n"/>
      <c r="NL69" s="188" t="n"/>
      <c r="NM69" s="188">
        <f>C69</f>
        <v/>
      </c>
      <c r="NN69" s="188" t="n">
        <v>2775011.08</v>
      </c>
      <c r="NO69" s="9">
        <f>NN70</f>
        <v/>
      </c>
      <c r="NP69" s="188">
        <f>NN69-NO69</f>
        <v/>
      </c>
      <c r="NQ69" s="271">
        <f>NP69/NO69</f>
        <v/>
      </c>
      <c r="NR69" s="272" t="n">
        <v>-0.0069</v>
      </c>
      <c r="NS69" s="188" t="n"/>
      <c r="NT69" s="273" t="n"/>
      <c r="NU69" s="188">
        <f>C69</f>
        <v/>
      </c>
      <c r="NV69" s="188" t="n">
        <v>231676.5</v>
      </c>
      <c r="NW69" s="188">
        <f>NV70</f>
        <v/>
      </c>
      <c r="NX69" s="188">
        <f>NV69-NW69</f>
        <v/>
      </c>
      <c r="NY69" s="271">
        <f>NX69/NW69</f>
        <v/>
      </c>
      <c r="NZ69" s="182" t="n">
        <v>0.0162</v>
      </c>
      <c r="OA69" s="0" t="n"/>
      <c r="OC69" s="9">
        <f>C69</f>
        <v/>
      </c>
      <c r="OD69" s="185" t="n">
        <v>15904.97</v>
      </c>
      <c r="OE69" s="13">
        <f>OD70</f>
        <v/>
      </c>
      <c r="OF69" s="13">
        <f>OD69-OE69</f>
        <v/>
      </c>
      <c r="OG69" s="193">
        <f>OF69/OE69</f>
        <v/>
      </c>
      <c r="OH69" s="182" t="n">
        <v>0.0038</v>
      </c>
      <c r="OI69" s="182" t="n"/>
      <c r="OK69" s="9">
        <f>C69</f>
        <v/>
      </c>
      <c r="OL69" s="185" t="n">
        <v>15442.65</v>
      </c>
      <c r="OM69" s="13">
        <f>OL70</f>
        <v/>
      </c>
      <c r="ON69" s="13">
        <f>OL69-OM69</f>
        <v/>
      </c>
      <c r="OO69" s="193">
        <f>ON69/OM69</f>
        <v/>
      </c>
      <c r="OP69" s="182" t="n">
        <v>0.0005</v>
      </c>
      <c r="OQ69" s="182" t="n"/>
      <c r="OT69" s="201">
        <f>OK69</f>
        <v/>
      </c>
      <c r="OU69" s="199" t="n">
        <v>154272.4066</v>
      </c>
      <c r="OV69" s="9">
        <f>OU70</f>
        <v/>
      </c>
      <c r="OW69" s="671">
        <f>OU69-OV69</f>
        <v/>
      </c>
      <c r="OX69" s="182">
        <f>OW69/OV69</f>
        <v/>
      </c>
      <c r="OY69" s="0" t="n">
        <v>0.0028</v>
      </c>
    </row>
    <row r="70" ht="17" customFormat="1" customHeight="1" s="9">
      <c r="A70" s="631" t="n"/>
      <c r="B70" s="631" t="n"/>
      <c r="C70" s="680" t="inlineStr">
        <is>
          <t>2026//8/6</t>
        </is>
      </c>
      <c r="D70" s="20" t="n">
        <v>2570538.77</v>
      </c>
      <c r="E70" s="20">
        <f>D71</f>
        <v/>
      </c>
      <c r="F70" s="20">
        <f>D70-E70</f>
        <v/>
      </c>
      <c r="G70" s="163">
        <f>F70/E70</f>
        <v/>
      </c>
      <c r="H70" s="19" t="n"/>
      <c r="I70" s="163" t="n"/>
      <c r="J70" s="163" t="n"/>
      <c r="K70" s="20">
        <f>C70</f>
        <v/>
      </c>
      <c r="L70" s="20" t="n">
        <v>1163134.4</v>
      </c>
      <c r="M70" s="20">
        <f>L71</f>
        <v/>
      </c>
      <c r="N70" s="20">
        <f>L70-M70</f>
        <v/>
      </c>
      <c r="O70" s="163">
        <f>N70/M70</f>
        <v/>
      </c>
      <c r="P70" s="19" t="n"/>
      <c r="Q70" s="163" t="n"/>
      <c r="R70" s="20" t="n"/>
      <c r="S70" s="20">
        <f>C70</f>
        <v/>
      </c>
      <c r="T70" s="20" t="n">
        <v>710796.6800000001</v>
      </c>
      <c r="U70" s="20">
        <f>T71</f>
        <v/>
      </c>
      <c r="V70" s="20">
        <f>T70-U70</f>
        <v/>
      </c>
      <c r="W70" s="163">
        <f>V70/U70</f>
        <v/>
      </c>
      <c r="X70" s="19" t="n"/>
      <c r="Y70" s="163" t="n"/>
      <c r="Z70" s="20" t="n"/>
      <c r="AA70" s="20">
        <f>S70</f>
        <v/>
      </c>
      <c r="AB70" s="20" t="n">
        <v>573216.86</v>
      </c>
      <c r="AC70" s="20">
        <f>AB71</f>
        <v/>
      </c>
      <c r="AD70" s="20">
        <f>AB70-AC70</f>
        <v/>
      </c>
      <c r="AE70" s="163">
        <f>AD70/AC70</f>
        <v/>
      </c>
      <c r="AF70" s="19" t="n"/>
      <c r="AG70" s="163" t="n"/>
      <c r="AH70" s="20" t="n"/>
      <c r="AI70" s="20">
        <f>C70</f>
        <v/>
      </c>
      <c r="AJ70" s="20" t="n">
        <v>1055721.76</v>
      </c>
      <c r="AK70" s="20">
        <f>AJ71</f>
        <v/>
      </c>
      <c r="AL70" s="20">
        <f>AJ70-AK70</f>
        <v/>
      </c>
      <c r="AM70" s="163">
        <f>AL70/AK70</f>
        <v/>
      </c>
      <c r="AN70" s="19" t="n"/>
      <c r="AO70" s="19" t="n"/>
      <c r="AP70" s="20" t="n"/>
      <c r="AQ70" s="20">
        <f>C70</f>
        <v/>
      </c>
      <c r="AR70" s="634" t="n">
        <v>1876845.4936</v>
      </c>
      <c r="AS70" s="20">
        <f>AR71</f>
        <v/>
      </c>
      <c r="AT70" s="20">
        <f>AR70-AS70</f>
        <v/>
      </c>
      <c r="AU70" s="163">
        <f>AT70/AS70</f>
        <v/>
      </c>
      <c r="AV70" s="19" t="n">
        <v>-0.0056</v>
      </c>
      <c r="AW70" s="19" t="n"/>
      <c r="AX70" s="5" t="n"/>
      <c r="AY70" s="188" t="n"/>
      <c r="AZ70" s="188">
        <f>C70</f>
        <v/>
      </c>
      <c r="BA70" s="188" t="n">
        <v>648831.6676</v>
      </c>
      <c r="BB70" s="188">
        <f>BA71</f>
        <v/>
      </c>
      <c r="BC70" s="188">
        <f>BA70-BB70</f>
        <v/>
      </c>
      <c r="BD70" s="271">
        <f>BC70/BB70</f>
        <v/>
      </c>
      <c r="BE70" s="19" t="n">
        <v>-0.002</v>
      </c>
      <c r="BF70" s="19" t="n"/>
      <c r="BG70" s="647" t="n"/>
      <c r="BH70" s="9">
        <f>C70</f>
        <v/>
      </c>
      <c r="BI70" s="221" t="n">
        <v>1250426.5525</v>
      </c>
      <c r="BJ70" s="184">
        <f>BI71</f>
        <v/>
      </c>
      <c r="BK70" s="184">
        <f>BI70-BJ70</f>
        <v/>
      </c>
      <c r="BL70" s="190">
        <f>BK70/BJ70</f>
        <v/>
      </c>
      <c r="BM70" s="191" t="n">
        <v>-0.0053</v>
      </c>
      <c r="BN70" s="182" t="n"/>
      <c r="BP70" s="9">
        <f>C70</f>
        <v/>
      </c>
      <c r="BQ70" s="672" t="n">
        <v>1260062.3921</v>
      </c>
      <c r="BR70" s="13">
        <f>BQ71</f>
        <v/>
      </c>
      <c r="BS70" s="13">
        <f>BQ70-BR70</f>
        <v/>
      </c>
      <c r="BT70" s="193">
        <f>BS70/BR70</f>
        <v/>
      </c>
      <c r="BU70" s="182" t="n">
        <v>-0.012</v>
      </c>
      <c r="BV70" s="182" t="n"/>
      <c r="BX70" s="9">
        <f>C70</f>
        <v/>
      </c>
      <c r="BY70" s="222" t="n">
        <v>1833210.7019</v>
      </c>
      <c r="BZ70" s="13">
        <f>BY71</f>
        <v/>
      </c>
      <c r="CA70" s="13">
        <f>BY70-BZ70</f>
        <v/>
      </c>
      <c r="CB70" s="193">
        <f>CA70/BZ70</f>
        <v/>
      </c>
      <c r="CC70" s="182" t="n">
        <v>0.0124</v>
      </c>
      <c r="CD70" s="194" t="n"/>
      <c r="CF70" s="9">
        <f>C70</f>
        <v/>
      </c>
      <c r="CG70" s="185" t="n">
        <v>1323403.9</v>
      </c>
      <c r="CH70" s="13">
        <f>CG71</f>
        <v/>
      </c>
      <c r="CI70" s="13">
        <f>CG70-CH70</f>
        <v/>
      </c>
      <c r="CJ70" s="193">
        <f>CI70/CH70</f>
        <v/>
      </c>
      <c r="CK70" s="182" t="n"/>
      <c r="CL70" s="194" t="n"/>
      <c r="CN70" s="9">
        <f>C70</f>
        <v/>
      </c>
      <c r="CO70" s="185" t="n">
        <v>529546.48</v>
      </c>
      <c r="CP70" s="13">
        <f>CO71</f>
        <v/>
      </c>
      <c r="CQ70" s="13">
        <f>CO70-CP70</f>
        <v/>
      </c>
      <c r="CR70" s="193">
        <f>CQ70/CP70</f>
        <v/>
      </c>
      <c r="CS70" s="194" t="n"/>
      <c r="CT70" s="194" t="n"/>
      <c r="CV70" s="9">
        <f>C70</f>
        <v/>
      </c>
      <c r="CW70" s="185" t="n">
        <v>751090.4</v>
      </c>
      <c r="CX70" s="13">
        <f>CW71</f>
        <v/>
      </c>
      <c r="CY70" s="13">
        <f>CW70-CX70</f>
        <v/>
      </c>
      <c r="CZ70" s="193">
        <f>CY70/CX70</f>
        <v/>
      </c>
      <c r="DA70" s="182" t="n"/>
      <c r="DB70" s="182" t="n"/>
      <c r="DC70" s="256" t="n"/>
      <c r="DD70" s="9">
        <f>C70</f>
        <v/>
      </c>
      <c r="DE70" s="222" t="n">
        <v>5519935.9972</v>
      </c>
      <c r="DF70" s="13">
        <f>DE71</f>
        <v/>
      </c>
      <c r="DG70" s="13">
        <f>DE70-DF70</f>
        <v/>
      </c>
      <c r="DH70" s="193">
        <f>DG70/DF70</f>
        <v/>
      </c>
      <c r="DI70" s="182" t="n">
        <v>0.0243</v>
      </c>
      <c r="DJ70" s="182" t="n"/>
      <c r="DK70" s="0" t="n"/>
      <c r="DL70" s="9">
        <f>C70</f>
        <v/>
      </c>
      <c r="DM70" s="185" t="n">
        <v>1897400.72</v>
      </c>
      <c r="DN70" s="13">
        <f>DM71</f>
        <v/>
      </c>
      <c r="DO70" s="13">
        <f>DM70-DN70</f>
        <v/>
      </c>
      <c r="DP70" s="193">
        <f>DO70/DN70</f>
        <v/>
      </c>
      <c r="DQ70" s="182" t="n"/>
      <c r="DR70" s="182" t="n"/>
      <c r="DT70" s="9">
        <f>C70</f>
        <v/>
      </c>
      <c r="DU70" s="185" t="n">
        <v>4320718.43</v>
      </c>
      <c r="DV70" s="13">
        <f>DU71</f>
        <v/>
      </c>
      <c r="DW70" s="13">
        <f>DU70-DV70</f>
        <v/>
      </c>
      <c r="DX70" s="193">
        <f>DW70/DV70</f>
        <v/>
      </c>
      <c r="DY70" s="182" t="n"/>
      <c r="DZ70" s="182" t="n"/>
      <c r="EB70" s="9">
        <f>C70</f>
        <v/>
      </c>
      <c r="EC70" s="185" t="n">
        <v>5028866.82</v>
      </c>
      <c r="ED70" s="13">
        <f>EC71</f>
        <v/>
      </c>
      <c r="EE70" s="13">
        <f>EC70-ED70</f>
        <v/>
      </c>
      <c r="EF70" s="193">
        <f>EE70/ED70</f>
        <v/>
      </c>
      <c r="EG70" s="182" t="n"/>
      <c r="EH70" s="182" t="n"/>
      <c r="EJ70" s="9">
        <f>C70</f>
        <v/>
      </c>
      <c r="EK70" s="222" t="n">
        <v>1166522.9669</v>
      </c>
      <c r="EL70" s="13">
        <f>EK71</f>
        <v/>
      </c>
      <c r="EM70" s="13">
        <f>EK70-EL70</f>
        <v/>
      </c>
      <c r="EN70" s="193">
        <f>EM70/EL70</f>
        <v/>
      </c>
      <c r="EO70" s="182" t="n">
        <v>-0.0038</v>
      </c>
      <c r="EP70" s="182" t="n"/>
      <c r="ER70" s="9">
        <f>C70</f>
        <v/>
      </c>
      <c r="ES70" s="9" t="n">
        <v>727294.04</v>
      </c>
      <c r="ET70" s="13">
        <f>ES71</f>
        <v/>
      </c>
      <c r="EU70" s="13">
        <f>ES70-ET70</f>
        <v/>
      </c>
      <c r="EV70" s="193">
        <f>EU70/ET70</f>
        <v/>
      </c>
      <c r="EW70" s="182" t="n"/>
      <c r="EX70" s="182" t="n"/>
      <c r="EZ70" s="9">
        <f>C70</f>
        <v/>
      </c>
      <c r="FA70" s="185" t="n">
        <v>582408</v>
      </c>
      <c r="FB70" s="13">
        <f>FA71</f>
        <v/>
      </c>
      <c r="FC70" s="13">
        <f>FA70-FB70</f>
        <v/>
      </c>
      <c r="FD70" s="193">
        <f>FC70/FB70</f>
        <v/>
      </c>
      <c r="FE70" s="182" t="n"/>
      <c r="FF70" s="182" t="n"/>
      <c r="FH70" s="9">
        <f>C70</f>
        <v/>
      </c>
      <c r="FI70" s="672" t="n">
        <v>1090095.3365</v>
      </c>
      <c r="FJ70" s="13">
        <f>FI71</f>
        <v/>
      </c>
      <c r="FK70" s="13">
        <f>FI70-FJ70</f>
        <v/>
      </c>
      <c r="FL70" s="193">
        <f>FK70/FJ70</f>
        <v/>
      </c>
      <c r="FM70" s="194" t="n">
        <v>0.0182</v>
      </c>
      <c r="FN70" s="194" t="n"/>
      <c r="FP70" s="9">
        <f>C70</f>
        <v/>
      </c>
      <c r="FQ70" s="185" t="n">
        <v>1859068.73</v>
      </c>
      <c r="FR70" s="13">
        <f>FQ71</f>
        <v/>
      </c>
      <c r="FS70" s="13">
        <f>FQ70-FR70</f>
        <v/>
      </c>
      <c r="FT70" s="193">
        <f>FS70/FR70</f>
        <v/>
      </c>
      <c r="FU70" s="182" t="n"/>
      <c r="FV70" s="182" t="n"/>
      <c r="FX70" s="9">
        <f>C70</f>
        <v/>
      </c>
      <c r="FY70" s="185" t="n">
        <v>7813382.05</v>
      </c>
      <c r="FZ70" s="13">
        <f>FY71</f>
        <v/>
      </c>
      <c r="GA70" s="13">
        <f>FY70-FZ70</f>
        <v/>
      </c>
      <c r="GB70" s="193">
        <f>GA70/FZ70</f>
        <v/>
      </c>
      <c r="GC70" s="182" t="n"/>
      <c r="GD70" s="182" t="n"/>
      <c r="GF70" s="9">
        <f>C70</f>
        <v/>
      </c>
      <c r="GG70" s="185" t="n">
        <v>4455369.49</v>
      </c>
      <c r="GH70" s="13">
        <f>GG71</f>
        <v/>
      </c>
      <c r="GI70" s="13">
        <f>GG70-GH70</f>
        <v/>
      </c>
      <c r="GJ70" s="193">
        <f>GI70/GH70</f>
        <v/>
      </c>
      <c r="GK70" s="182" t="n"/>
      <c r="GL70" s="182" t="n"/>
      <c r="GN70" s="9">
        <f>C70</f>
        <v/>
      </c>
      <c r="GO70" s="222" t="n">
        <v>2060578.1217</v>
      </c>
      <c r="GP70" s="13">
        <f>GO71</f>
        <v/>
      </c>
      <c r="GQ70" s="13">
        <f>GO70-GP70</f>
        <v/>
      </c>
      <c r="GR70" s="193">
        <f>GQ70/GP70</f>
        <v/>
      </c>
      <c r="GS70" s="182" t="n">
        <v>-0.0139</v>
      </c>
      <c r="GT70" s="182" t="n"/>
      <c r="GV70" s="9">
        <f>C70</f>
        <v/>
      </c>
      <c r="GW70" s="185" t="n">
        <v>615949.4</v>
      </c>
      <c r="GX70" s="13">
        <f>GW71</f>
        <v/>
      </c>
      <c r="GY70" s="13">
        <f>GW70-GX70</f>
        <v/>
      </c>
      <c r="GZ70" s="193">
        <f>GY70/GX70</f>
        <v/>
      </c>
      <c r="HA70" s="182" t="n"/>
      <c r="HB70" s="182" t="n"/>
      <c r="HD70" s="9">
        <f>C70</f>
        <v/>
      </c>
      <c r="HE70" s="222" t="n">
        <v>923764.6746</v>
      </c>
      <c r="HF70" s="13">
        <f>HE71</f>
        <v/>
      </c>
      <c r="HG70" s="13">
        <f>HE70-HF70</f>
        <v/>
      </c>
      <c r="HH70" s="193">
        <f>HG70/HF70</f>
        <v/>
      </c>
      <c r="HI70" s="194" t="n">
        <v>-0.0113</v>
      </c>
      <c r="HJ70" s="182" t="n"/>
      <c r="HL70" s="9">
        <f>C70</f>
        <v/>
      </c>
      <c r="HM70" s="185" t="n">
        <v>119904.25</v>
      </c>
      <c r="HN70" s="13">
        <f>HM71</f>
        <v/>
      </c>
      <c r="HO70" s="13">
        <f>HM70-HN70</f>
        <v/>
      </c>
      <c r="HP70" s="193">
        <f>HO70/HN70</f>
        <v/>
      </c>
      <c r="HQ70" s="182" t="n"/>
      <c r="HR70" s="182" t="n"/>
      <c r="HT70" s="9">
        <f>C70</f>
        <v/>
      </c>
      <c r="HU70" s="222" t="n">
        <v>128968.8265</v>
      </c>
      <c r="HV70" s="13">
        <f>HU71</f>
        <v/>
      </c>
      <c r="HW70" s="13">
        <f>HU70-HV70</f>
        <v/>
      </c>
      <c r="HX70" s="193">
        <f>HW70/HV70</f>
        <v/>
      </c>
      <c r="HY70" s="182" t="n">
        <v>0.0056</v>
      </c>
      <c r="HZ70" s="182" t="n"/>
      <c r="IB70" s="9">
        <f>C70</f>
        <v/>
      </c>
      <c r="IC70" s="185" t="n">
        <v>280309.79</v>
      </c>
      <c r="ID70" s="13">
        <f>IC71</f>
        <v/>
      </c>
      <c r="IE70" s="13">
        <f>IC70-ID70</f>
        <v/>
      </c>
      <c r="IF70" s="193">
        <f>IE70/ID70</f>
        <v/>
      </c>
      <c r="IG70" s="194" t="n"/>
      <c r="IH70" s="182" t="n"/>
      <c r="IJ70" s="9">
        <f>C70</f>
        <v/>
      </c>
      <c r="IK70" s="222" t="n">
        <v>1011036.29</v>
      </c>
      <c r="IL70" s="13">
        <f>IK71</f>
        <v/>
      </c>
      <c r="IM70" s="13">
        <f>IK70-IL70</f>
        <v/>
      </c>
      <c r="IN70" s="193">
        <f>IM70/IL70</f>
        <v/>
      </c>
      <c r="IO70" s="182" t="n">
        <v>-0.008399999999999999</v>
      </c>
      <c r="IP70" s="182" t="n"/>
      <c r="IR70" s="9">
        <f>C70</f>
        <v/>
      </c>
      <c r="IS70" s="185" t="n">
        <v>162389</v>
      </c>
      <c r="IT70" s="13">
        <f>IS71</f>
        <v/>
      </c>
      <c r="IU70" s="13">
        <f>IS70-IT70</f>
        <v/>
      </c>
      <c r="IV70" s="193">
        <f>IU70/IT70</f>
        <v/>
      </c>
      <c r="IW70" s="182" t="n"/>
      <c r="IX70" s="182" t="n"/>
      <c r="IZ70" s="9">
        <f>C70</f>
        <v/>
      </c>
      <c r="JA70" s="185" t="n">
        <v>5803129.15</v>
      </c>
      <c r="JB70" s="13">
        <f>JA71</f>
        <v/>
      </c>
      <c r="JC70" s="13">
        <f>JA70-JB70</f>
        <v/>
      </c>
      <c r="JD70" s="193">
        <f>JC70/JB70</f>
        <v/>
      </c>
      <c r="JE70" s="182" t="n"/>
      <c r="JF70" s="182" t="n"/>
      <c r="JH70" s="9">
        <f>C70</f>
        <v/>
      </c>
      <c r="JI70" s="185" t="n">
        <v>1219527.99</v>
      </c>
      <c r="JJ70" s="13">
        <f>JI71</f>
        <v/>
      </c>
      <c r="JK70" s="13">
        <f>JI70-JJ70</f>
        <v/>
      </c>
      <c r="JL70" s="193">
        <f>JK70/JJ70</f>
        <v/>
      </c>
      <c r="JM70" s="182" t="n"/>
      <c r="JN70" s="182" t="n"/>
      <c r="JP70" s="9">
        <f>C70</f>
        <v/>
      </c>
      <c r="JQ70" s="222" t="n">
        <v>1044590.4148</v>
      </c>
      <c r="JR70" s="13">
        <f>JQ71</f>
        <v/>
      </c>
      <c r="JS70" s="13">
        <f>JQ70-JR70</f>
        <v/>
      </c>
      <c r="JT70" s="193">
        <f>JS70/JR70</f>
        <v/>
      </c>
      <c r="JU70" s="182" t="n">
        <v>-0.0015</v>
      </c>
      <c r="JV70" s="194" t="n"/>
      <c r="JX70" s="9">
        <f>C70</f>
        <v/>
      </c>
      <c r="JY70" s="185" t="n">
        <v>1024998.8</v>
      </c>
      <c r="JZ70" s="13">
        <f>JY71</f>
        <v/>
      </c>
      <c r="KA70" s="13">
        <f>JY70-JZ70</f>
        <v/>
      </c>
      <c r="KB70" s="193">
        <f>KA70/JZ70</f>
        <v/>
      </c>
      <c r="KC70" s="182" t="n"/>
      <c r="KD70" s="194" t="n"/>
      <c r="KF70" s="9">
        <f>C70</f>
        <v/>
      </c>
      <c r="KG70" s="222" t="n">
        <v>646755.9219</v>
      </c>
      <c r="KH70" s="13">
        <f>KG71</f>
        <v/>
      </c>
      <c r="KI70" s="13">
        <f>KG70-KH70</f>
        <v/>
      </c>
      <c r="KJ70" s="193">
        <f>KI70/KH70</f>
        <v/>
      </c>
      <c r="KK70" s="194" t="n">
        <v>-0.0196</v>
      </c>
      <c r="KL70" s="194" t="n"/>
      <c r="KN70" s="9">
        <f>C70</f>
        <v/>
      </c>
      <c r="KO70" s="185" t="n">
        <v>6982875.95</v>
      </c>
      <c r="KP70" s="13">
        <f>KO71</f>
        <v/>
      </c>
      <c r="KQ70" s="13">
        <f>KO70-KP70</f>
        <v/>
      </c>
      <c r="KR70" s="193">
        <f>KQ70/KP70</f>
        <v/>
      </c>
      <c r="KS70" s="182" t="n"/>
      <c r="KT70" s="182" t="n"/>
      <c r="KV70" s="9">
        <f>C70</f>
        <v/>
      </c>
      <c r="KW70" s="222" t="n">
        <v>1092972.9726</v>
      </c>
      <c r="KX70" s="13">
        <f>KW71</f>
        <v/>
      </c>
      <c r="KY70" s="13">
        <f>KW70-KX70</f>
        <v/>
      </c>
      <c r="KZ70" s="193">
        <f>KY70/KX70</f>
        <v/>
      </c>
      <c r="LA70" s="194" t="n">
        <v>-0.0045</v>
      </c>
      <c r="LB70" s="182" t="n"/>
      <c r="LD70" s="9">
        <f>C70</f>
        <v/>
      </c>
      <c r="LE70" s="185" t="n">
        <v>389457.7</v>
      </c>
      <c r="LF70" s="13">
        <f>LE71</f>
        <v/>
      </c>
      <c r="LG70" s="13">
        <f>LE70-LF70</f>
        <v/>
      </c>
      <c r="LH70" s="193">
        <f>LG70/LF70</f>
        <v/>
      </c>
      <c r="LI70" s="182" t="n"/>
      <c r="LJ70" s="182" t="n"/>
      <c r="LL70" s="9">
        <f>C70</f>
        <v/>
      </c>
      <c r="LM70" s="672" t="n">
        <v>3329935.02</v>
      </c>
      <c r="LN70" s="13">
        <f>LM71</f>
        <v/>
      </c>
      <c r="LO70" s="13">
        <f>LM70-LN70</f>
        <v/>
      </c>
      <c r="LP70" s="193">
        <f>LO70/LN70</f>
        <v/>
      </c>
      <c r="LQ70" s="182" t="n"/>
      <c r="LR70" s="182" t="n"/>
      <c r="LT70" s="9">
        <f>C70</f>
        <v/>
      </c>
      <c r="LU70" s="222" t="n">
        <v>2369662.904</v>
      </c>
      <c r="LV70" s="13">
        <f>LU71</f>
        <v/>
      </c>
      <c r="LW70" s="13">
        <f>LU70-LV70</f>
        <v/>
      </c>
      <c r="LX70" s="193">
        <f>LW70/LV70</f>
        <v/>
      </c>
      <c r="LY70" s="182" t="n">
        <v>-0.0074</v>
      </c>
      <c r="LZ70" s="182" t="n"/>
      <c r="MB70" s="9">
        <f>C70</f>
        <v/>
      </c>
      <c r="MC70" s="185" t="n">
        <v>1079567.69</v>
      </c>
      <c r="MD70" s="13">
        <f>MC71</f>
        <v/>
      </c>
      <c r="ME70" s="13">
        <f>MC70-MD70</f>
        <v/>
      </c>
      <c r="MF70" s="193">
        <f>ME70/MD70</f>
        <v/>
      </c>
      <c r="MG70" s="182" t="n"/>
      <c r="MH70" s="182" t="n"/>
      <c r="MI70" s="182" t="n"/>
      <c r="MJ70" s="182" t="n"/>
      <c r="MK70" s="9">
        <f>C70</f>
        <v/>
      </c>
      <c r="ML70" s="223" t="n">
        <v>163065.5354</v>
      </c>
      <c r="MM70" s="13">
        <f>ML71</f>
        <v/>
      </c>
      <c r="MN70" s="13">
        <f>ML70-MM70</f>
        <v/>
      </c>
      <c r="MO70" s="193">
        <f>MN70/MM70</f>
        <v/>
      </c>
      <c r="MP70" s="182" t="n">
        <v>-0.0029</v>
      </c>
      <c r="MQ70" s="194" t="n"/>
      <c r="MR70" s="194" t="n"/>
      <c r="MS70" s="188" t="n"/>
      <c r="MT70" s="274">
        <f>C70</f>
        <v/>
      </c>
      <c r="MU70" s="188" t="n">
        <v>137814.8</v>
      </c>
      <c r="MV70" s="188">
        <f>MU71</f>
        <v/>
      </c>
      <c r="MW70" s="188">
        <f>MU70-MV70</f>
        <v/>
      </c>
      <c r="MX70" s="271">
        <f>MW70/MV70</f>
        <v/>
      </c>
      <c r="MY70" s="182" t="n"/>
      <c r="MZ70" s="182" t="n"/>
      <c r="NA70" s="182" t="n"/>
      <c r="NB70" s="188" t="n"/>
      <c r="NC70" s="188">
        <f>C70</f>
        <v/>
      </c>
      <c r="ND70" s="188" t="n">
        <v>33891.48</v>
      </c>
      <c r="NE70" s="188">
        <f>ND71</f>
        <v/>
      </c>
      <c r="NF70" s="188">
        <f>ND70-NE70</f>
        <v/>
      </c>
      <c r="NG70" s="271">
        <f>NF70/NE70</f>
        <v/>
      </c>
      <c r="NH70" s="182" t="n"/>
      <c r="NI70" s="182" t="n"/>
      <c r="NJ70" s="182" t="n"/>
      <c r="NK70" s="182" t="n"/>
      <c r="NL70" s="188" t="n"/>
      <c r="NM70" s="188">
        <f>C70</f>
        <v/>
      </c>
      <c r="NN70" s="188" t="n">
        <v>2783311.08</v>
      </c>
      <c r="NO70" s="9">
        <f>NN71</f>
        <v/>
      </c>
      <c r="NP70" s="188">
        <f>NN70-NO70</f>
        <v/>
      </c>
      <c r="NQ70" s="271">
        <f>NP70/NO70</f>
        <v/>
      </c>
      <c r="NR70" s="272" t="n"/>
      <c r="NS70" s="188" t="n"/>
      <c r="NT70" s="273" t="n"/>
      <c r="NU70" s="188">
        <f>C70</f>
        <v/>
      </c>
      <c r="NV70" s="188" t="n">
        <v>233526.5</v>
      </c>
      <c r="NW70" s="188">
        <f>NV71</f>
        <v/>
      </c>
      <c r="NX70" s="188">
        <f>NV70-NW70</f>
        <v/>
      </c>
      <c r="NY70" s="271">
        <f>NX70/NW70</f>
        <v/>
      </c>
      <c r="NZ70" s="182" t="n"/>
      <c r="OA70" s="9" t="n"/>
      <c r="OC70" s="9">
        <f>C70</f>
        <v/>
      </c>
      <c r="OD70" s="185" t="n">
        <v>15941.97</v>
      </c>
      <c r="OE70" s="13">
        <f>OD71</f>
        <v/>
      </c>
      <c r="OF70" s="13">
        <f>OD70-OE70</f>
        <v/>
      </c>
      <c r="OG70" s="193">
        <f>OF70/OE70</f>
        <v/>
      </c>
      <c r="OH70" s="182" t="n"/>
      <c r="OI70" s="182" t="n"/>
      <c r="OK70" s="9">
        <f>C70</f>
        <v/>
      </c>
      <c r="OL70" s="185" t="n">
        <v>15436.65</v>
      </c>
      <c r="OM70" s="13">
        <f>OL71</f>
        <v/>
      </c>
      <c r="ON70" s="13">
        <f>OL70-OM70</f>
        <v/>
      </c>
      <c r="OO70" s="193">
        <f>ON70/OM70</f>
        <v/>
      </c>
      <c r="OP70" s="182" t="n"/>
      <c r="OQ70" s="182" t="n"/>
      <c r="OT70" s="201">
        <f>OK70</f>
        <v/>
      </c>
      <c r="OU70" s="199" t="n">
        <v>154152.4066</v>
      </c>
      <c r="OV70" s="9">
        <f>OU71</f>
        <v/>
      </c>
      <c r="OW70" s="671">
        <f>OU70-OV70</f>
        <v/>
      </c>
      <c r="OX70" s="182">
        <f>OW70/OV70</f>
        <v/>
      </c>
      <c r="OY70" s="0" t="n">
        <v>0.0105</v>
      </c>
    </row>
    <row r="71" ht="17" customFormat="1" customHeight="1" s="10">
      <c r="A71" s="674" t="n"/>
      <c r="B71" s="674" t="n"/>
      <c r="C71" s="678" t="inlineStr">
        <is>
          <t>2026//8/5</t>
        </is>
      </c>
      <c r="D71" s="226" t="n">
        <v>2593758.77</v>
      </c>
      <c r="E71" s="226">
        <f>D72</f>
        <v/>
      </c>
      <c r="F71" s="226">
        <f>D71-E71</f>
        <v/>
      </c>
      <c r="G71" s="227">
        <f>F71/E71</f>
        <v/>
      </c>
      <c r="H71" s="228" t="n">
        <v>0.0135</v>
      </c>
      <c r="I71" s="227" t="n"/>
      <c r="J71" s="227" t="n"/>
      <c r="K71" s="226">
        <f>C71</f>
        <v/>
      </c>
      <c r="L71" s="226" t="n">
        <v>1160794.4</v>
      </c>
      <c r="M71" s="226">
        <f>L72</f>
        <v/>
      </c>
      <c r="N71" s="226">
        <f>L71-M71</f>
        <v/>
      </c>
      <c r="O71" s="227">
        <f>N71/M71</f>
        <v/>
      </c>
      <c r="P71" s="228" t="n">
        <v>0.0119</v>
      </c>
      <c r="Q71" s="227" t="n"/>
      <c r="R71" s="226" t="n"/>
      <c r="S71" s="226">
        <f>C71</f>
        <v/>
      </c>
      <c r="T71" s="226" t="n">
        <v>714756.6800000001</v>
      </c>
      <c r="U71" s="226">
        <f>T72</f>
        <v/>
      </c>
      <c r="V71" s="226">
        <f>T71-U71</f>
        <v/>
      </c>
      <c r="W71" s="227">
        <f>V71/U71</f>
        <v/>
      </c>
      <c r="X71" s="228" t="n">
        <v>0.0154</v>
      </c>
      <c r="Y71" s="227" t="n"/>
      <c r="Z71" s="226" t="n"/>
      <c r="AA71" s="226">
        <f>S71</f>
        <v/>
      </c>
      <c r="AB71" s="226" t="n">
        <v>610496.86</v>
      </c>
      <c r="AC71" s="226">
        <f>AB72</f>
        <v/>
      </c>
      <c r="AD71" s="226">
        <f>AB71-AC71</f>
        <v/>
      </c>
      <c r="AE71" s="227">
        <f>AD71/AC71</f>
        <v/>
      </c>
      <c r="AF71" s="228" t="n">
        <v>0.0282</v>
      </c>
      <c r="AG71" s="227" t="n"/>
      <c r="AH71" s="226" t="n"/>
      <c r="AI71" s="226">
        <f>C71</f>
        <v/>
      </c>
      <c r="AJ71" s="226" t="n">
        <v>1187321.76</v>
      </c>
      <c r="AK71" s="226">
        <f>AJ72</f>
        <v/>
      </c>
      <c r="AL71" s="226">
        <f>AJ71-AK71</f>
        <v/>
      </c>
      <c r="AM71" s="227">
        <f>AL71/AK71</f>
        <v/>
      </c>
      <c r="AN71" s="228" t="n">
        <v>0.0313</v>
      </c>
      <c r="AO71" s="228" t="n"/>
      <c r="AP71" s="226" t="n"/>
      <c r="AQ71" s="226">
        <f>C71</f>
        <v/>
      </c>
      <c r="AR71" s="679" t="n">
        <v>1897845.4936</v>
      </c>
      <c r="AS71" s="226">
        <f>AR72</f>
        <v/>
      </c>
      <c r="AT71" s="226">
        <f>AR71-AS71</f>
        <v/>
      </c>
      <c r="AU71" s="227">
        <f>AT71/AS71</f>
        <v/>
      </c>
      <c r="AV71" s="228" t="n">
        <v>0.0131</v>
      </c>
      <c r="AW71" s="228" t="n"/>
      <c r="AX71" s="230" t="n"/>
      <c r="AY71" s="240" t="n"/>
      <c r="AZ71" s="240">
        <f>C71</f>
        <v/>
      </c>
      <c r="BA71" s="240" t="n">
        <v>651801.6676</v>
      </c>
      <c r="BB71" s="240">
        <f>BA72</f>
        <v/>
      </c>
      <c r="BC71" s="240">
        <f>BA71-BB71</f>
        <v/>
      </c>
      <c r="BD71" s="292">
        <f>BC71/BB71</f>
        <v/>
      </c>
      <c r="BE71" s="228" t="n">
        <v>0.0123</v>
      </c>
      <c r="BF71" s="228" t="n"/>
      <c r="BG71" s="675" t="n"/>
      <c r="BH71" s="233">
        <f>C71</f>
        <v/>
      </c>
      <c r="BI71" s="251" t="n">
        <v>1249826.5525</v>
      </c>
      <c r="BJ71" s="233">
        <f>BI72</f>
        <v/>
      </c>
      <c r="BK71" s="233">
        <f>BI71-BJ71</f>
        <v/>
      </c>
      <c r="BL71" s="234">
        <f>BK71/BJ71</f>
        <v/>
      </c>
      <c r="BM71" s="235" t="n">
        <v>0.0237</v>
      </c>
      <c r="BN71" s="236" t="n"/>
      <c r="BO71" s="293" t="n"/>
      <c r="BP71" s="233">
        <f>C71</f>
        <v/>
      </c>
      <c r="BQ71" s="677" t="n">
        <v>1257362.3921</v>
      </c>
      <c r="BR71" s="14">
        <f>BQ72</f>
        <v/>
      </c>
      <c r="BS71" s="14">
        <f>BQ71-BR71</f>
        <v/>
      </c>
      <c r="BT71" s="237">
        <f>BS71/BR71</f>
        <v/>
      </c>
      <c r="BU71" s="236" t="n">
        <v>0.0261</v>
      </c>
      <c r="BV71" s="236" t="n"/>
      <c r="BW71" s="293" t="n"/>
      <c r="BX71" s="233">
        <f>C71</f>
        <v/>
      </c>
      <c r="BY71" s="253" t="n">
        <v>1812910.7019</v>
      </c>
      <c r="BZ71" s="14">
        <f>BY72</f>
        <v/>
      </c>
      <c r="CA71" s="14">
        <f>BY71-BZ71</f>
        <v/>
      </c>
      <c r="CB71" s="237">
        <f>CA71/BZ71</f>
        <v/>
      </c>
      <c r="CC71" s="236" t="n">
        <v>0.0319</v>
      </c>
      <c r="CD71" s="238" t="n"/>
      <c r="CE71" s="293" t="n"/>
      <c r="CF71" s="233">
        <f>C71</f>
        <v/>
      </c>
      <c r="CG71" s="241" t="n">
        <v>1316253.9</v>
      </c>
      <c r="CH71" s="14">
        <f>CG72</f>
        <v/>
      </c>
      <c r="CI71" s="14">
        <f>CG71-CH71</f>
        <v/>
      </c>
      <c r="CJ71" s="237">
        <f>CI71/CH71</f>
        <v/>
      </c>
      <c r="CK71" s="236" t="n">
        <v>0.052</v>
      </c>
      <c r="CL71" s="238" t="n"/>
      <c r="CM71" s="293" t="n"/>
      <c r="CN71" s="233">
        <f>C71</f>
        <v/>
      </c>
      <c r="CO71" s="241" t="n">
        <v>530646.48</v>
      </c>
      <c r="CP71" s="14">
        <f>CO72</f>
        <v/>
      </c>
      <c r="CQ71" s="14">
        <f>CO71-CP71</f>
        <v/>
      </c>
      <c r="CR71" s="237">
        <f>CQ71/CP71</f>
        <v/>
      </c>
      <c r="CS71" s="238" t="n">
        <v>0.0521</v>
      </c>
      <c r="CT71" s="238" t="n"/>
      <c r="CU71" s="293" t="n"/>
      <c r="CV71" s="233">
        <f>C71</f>
        <v/>
      </c>
      <c r="CW71" s="241" t="n">
        <v>728290.4</v>
      </c>
      <c r="CX71" s="14">
        <f>CW72</f>
        <v/>
      </c>
      <c r="CY71" s="14">
        <f>CW71-CX71</f>
        <v/>
      </c>
      <c r="CZ71" s="237">
        <f>CY71/CX71</f>
        <v/>
      </c>
      <c r="DA71" s="236" t="n">
        <v>0.0751</v>
      </c>
      <c r="DB71" s="236" t="n"/>
      <c r="DC71" s="255" t="n"/>
      <c r="DD71" s="233">
        <f>C71</f>
        <v/>
      </c>
      <c r="DE71" s="253" t="n">
        <v>5568535.9972</v>
      </c>
      <c r="DF71" s="14">
        <f>DE72</f>
        <v/>
      </c>
      <c r="DG71" s="14">
        <f>DE71-DF71</f>
        <v/>
      </c>
      <c r="DH71" s="237">
        <f>DG71/DF71</f>
        <v/>
      </c>
      <c r="DI71" s="236" t="n">
        <v>0.0953</v>
      </c>
      <c r="DJ71" s="236" t="n"/>
      <c r="DK71" s="293" t="n"/>
      <c r="DL71" s="233">
        <f>C71</f>
        <v/>
      </c>
      <c r="DM71" s="241" t="n">
        <v>1926600.72</v>
      </c>
      <c r="DN71" s="14">
        <f>DM72</f>
        <v/>
      </c>
      <c r="DO71" s="14">
        <f>DM71-DN71</f>
        <v/>
      </c>
      <c r="DP71" s="237">
        <f>DO71/DN71</f>
        <v/>
      </c>
      <c r="DQ71" s="236" t="n">
        <v>0.066</v>
      </c>
      <c r="DR71" s="236" t="n"/>
      <c r="DS71" s="293" t="n"/>
      <c r="DT71" s="233">
        <f>C71</f>
        <v/>
      </c>
      <c r="DU71" s="241" t="n">
        <v>4349518.43</v>
      </c>
      <c r="DV71" s="14">
        <f>DU72</f>
        <v/>
      </c>
      <c r="DW71" s="14">
        <f>DU71-DV71</f>
        <v/>
      </c>
      <c r="DX71" s="237">
        <f>DW71/DV71</f>
        <v/>
      </c>
      <c r="DY71" s="236" t="n">
        <v>0.061</v>
      </c>
      <c r="DZ71" s="236" t="n"/>
      <c r="EA71" s="293" t="n"/>
      <c r="EB71" s="233">
        <f>C71</f>
        <v/>
      </c>
      <c r="EC71" s="241" t="n">
        <v>5076866.82</v>
      </c>
      <c r="ED71" s="14">
        <f>EC72</f>
        <v/>
      </c>
      <c r="EE71" s="14">
        <f>EC71-ED71</f>
        <v/>
      </c>
      <c r="EF71" s="237">
        <f>EE71/ED71</f>
        <v/>
      </c>
      <c r="EG71" s="236" t="n">
        <v>0.0469</v>
      </c>
      <c r="EH71" s="236" t="n"/>
      <c r="EI71" s="293" t="n"/>
      <c r="EJ71" s="233">
        <f>C71</f>
        <v/>
      </c>
      <c r="EK71" s="253" t="n">
        <v>1159122.9669</v>
      </c>
      <c r="EL71" s="14">
        <f>EK72</f>
        <v/>
      </c>
      <c r="EM71" s="14">
        <f>EK71-EL71</f>
        <v/>
      </c>
      <c r="EN71" s="237">
        <f>EM71/EL71</f>
        <v/>
      </c>
      <c r="EO71" s="236" t="n">
        <v>0.0165</v>
      </c>
      <c r="EP71" s="236" t="n"/>
      <c r="EQ71" s="293" t="n"/>
      <c r="ER71" s="233">
        <f>C71</f>
        <v/>
      </c>
      <c r="ES71" s="10" t="n">
        <v>729694.04</v>
      </c>
      <c r="ET71" s="14">
        <f>ES72</f>
        <v/>
      </c>
      <c r="EU71" s="14">
        <f>ES71-ET71</f>
        <v/>
      </c>
      <c r="EV71" s="237">
        <f>EU71/ET71</f>
        <v/>
      </c>
      <c r="EW71" s="236" t="n">
        <v>0.0156</v>
      </c>
      <c r="EX71" s="236" t="n"/>
      <c r="EY71" s="293" t="n"/>
      <c r="EZ71" s="233">
        <f>C71</f>
        <v/>
      </c>
      <c r="FA71" s="241" t="n">
        <v>586008</v>
      </c>
      <c r="FB71" s="14">
        <f>FA72</f>
        <v/>
      </c>
      <c r="FC71" s="14">
        <f>FA71-FB71</f>
        <v/>
      </c>
      <c r="FD71" s="237">
        <f>FC71/FB71</f>
        <v/>
      </c>
      <c r="FE71" s="236" t="n">
        <v>0.0179</v>
      </c>
      <c r="FF71" s="236" t="n"/>
      <c r="FH71" s="233">
        <f>C71</f>
        <v/>
      </c>
      <c r="FI71" s="677" t="n">
        <v>1083695.3365</v>
      </c>
      <c r="FJ71" s="14">
        <f>FI72</f>
        <v/>
      </c>
      <c r="FK71" s="14">
        <f>FI71-FJ71</f>
        <v/>
      </c>
      <c r="FL71" s="237">
        <f>FK71/FJ71</f>
        <v/>
      </c>
      <c r="FM71" s="238" t="n">
        <v>0.0347</v>
      </c>
      <c r="FN71" s="238" t="n"/>
      <c r="FO71" s="293" t="n"/>
      <c r="FP71" s="233">
        <f>C71</f>
        <v/>
      </c>
      <c r="FQ71" s="241" t="n">
        <v>1849618.73</v>
      </c>
      <c r="FR71" s="14">
        <f>FQ72</f>
        <v/>
      </c>
      <c r="FS71" s="14">
        <f>FQ71-FR71</f>
        <v/>
      </c>
      <c r="FT71" s="237">
        <f>FS71/FR71</f>
        <v/>
      </c>
      <c r="FU71" s="236" t="n">
        <v>0.0273</v>
      </c>
      <c r="FV71" s="236" t="n"/>
      <c r="FW71" s="293" t="n"/>
      <c r="FX71" s="233">
        <f>C71</f>
        <v/>
      </c>
      <c r="FY71" s="241" t="n">
        <v>7793482.05</v>
      </c>
      <c r="FZ71" s="14">
        <f>FY72</f>
        <v/>
      </c>
      <c r="GA71" s="14">
        <f>FY71-FZ71</f>
        <v/>
      </c>
      <c r="GB71" s="237">
        <f>GA71/FZ71</f>
        <v/>
      </c>
      <c r="GC71" s="236" t="n">
        <v>0.008999999999999999</v>
      </c>
      <c r="GD71" s="236" t="n"/>
      <c r="GE71" s="293" t="n"/>
      <c r="GF71" s="233">
        <f>C71</f>
        <v/>
      </c>
      <c r="GG71" s="241" t="n">
        <v>4437269.49</v>
      </c>
      <c r="GH71" s="14">
        <f>GG72</f>
        <v/>
      </c>
      <c r="GI71" s="14">
        <f>GG71-GH71</f>
        <v/>
      </c>
      <c r="GJ71" s="237">
        <f>GI71/GH71</f>
        <v/>
      </c>
      <c r="GK71" s="236" t="n">
        <v>0.0104</v>
      </c>
      <c r="GL71" s="236" t="n"/>
      <c r="GM71" s="293" t="n"/>
      <c r="GN71" s="233">
        <f>C71</f>
        <v/>
      </c>
      <c r="GO71" s="253" t="n">
        <v>2029978.1217</v>
      </c>
      <c r="GP71" s="14">
        <f>GO72</f>
        <v/>
      </c>
      <c r="GQ71" s="14">
        <f>GO71-GP71</f>
        <v/>
      </c>
      <c r="GR71" s="237">
        <f>GQ71/GP71</f>
        <v/>
      </c>
      <c r="GS71" s="236" t="n">
        <v>0.0105</v>
      </c>
      <c r="GT71" s="236" t="n"/>
      <c r="GU71" s="293" t="n"/>
      <c r="GV71" s="233">
        <f>C71</f>
        <v/>
      </c>
      <c r="GW71" s="241" t="n">
        <v>619749.4</v>
      </c>
      <c r="GX71" s="14">
        <f>GW72</f>
        <v/>
      </c>
      <c r="GY71" s="14">
        <f>GW71-GX71</f>
        <v/>
      </c>
      <c r="GZ71" s="237">
        <f>GY71/GX71</f>
        <v/>
      </c>
      <c r="HA71" s="236" t="n">
        <v>0.0154</v>
      </c>
      <c r="HB71" s="236" t="n"/>
      <c r="HC71" s="293" t="n"/>
      <c r="HD71" s="233">
        <f>C71</f>
        <v/>
      </c>
      <c r="HE71" s="253" t="n">
        <v>934364.6746</v>
      </c>
      <c r="HF71" s="14">
        <f>HE72</f>
        <v/>
      </c>
      <c r="HG71" s="14">
        <f>HE71-HF71</f>
        <v/>
      </c>
      <c r="HH71" s="237">
        <f>HG71/HF71</f>
        <v/>
      </c>
      <c r="HI71" s="238" t="n">
        <v>0.0253</v>
      </c>
      <c r="HJ71" s="236" t="n"/>
      <c r="HK71" s="293" t="n"/>
      <c r="HL71" s="233">
        <f>C71</f>
        <v/>
      </c>
      <c r="HM71" s="241" t="n">
        <v>119704.25</v>
      </c>
      <c r="HN71" s="14">
        <f>HM72</f>
        <v/>
      </c>
      <c r="HO71" s="14">
        <f>HM71-HN71</f>
        <v/>
      </c>
      <c r="HP71" s="237">
        <f>HO71/HN71</f>
        <v/>
      </c>
      <c r="HQ71" s="236" t="n">
        <v>0.0118</v>
      </c>
      <c r="HR71" s="236" t="n"/>
      <c r="HS71" s="293" t="n"/>
      <c r="HT71" s="233">
        <f>C71</f>
        <v/>
      </c>
      <c r="HU71" s="253" t="n">
        <v>133468.8265</v>
      </c>
      <c r="HV71" s="14">
        <f>HU72</f>
        <v/>
      </c>
      <c r="HW71" s="14">
        <f>HU71-HV71</f>
        <v/>
      </c>
      <c r="HX71" s="237">
        <f>HW71/HV71</f>
        <v/>
      </c>
      <c r="HY71" s="236" t="n">
        <v>0.0075</v>
      </c>
      <c r="HZ71" s="236" t="n"/>
      <c r="IA71" s="293" t="n"/>
      <c r="IB71" s="233">
        <f>C71</f>
        <v/>
      </c>
      <c r="IC71" s="241" t="n">
        <v>281234.79</v>
      </c>
      <c r="ID71" s="14">
        <f>IC72</f>
        <v/>
      </c>
      <c r="IE71" s="14">
        <f>IC71-ID71</f>
        <v/>
      </c>
      <c r="IF71" s="237">
        <f>IE71/ID71</f>
        <v/>
      </c>
      <c r="IG71" s="238" t="n">
        <v>0.0177</v>
      </c>
      <c r="IH71" s="236" t="n"/>
      <c r="II71" s="293" t="n"/>
      <c r="IJ71" s="233">
        <f>C71</f>
        <v/>
      </c>
      <c r="IK71" s="253" t="n">
        <v>1010716.29</v>
      </c>
      <c r="IL71" s="14">
        <f>IK72</f>
        <v/>
      </c>
      <c r="IM71" s="14">
        <f>IK71-IL71</f>
        <v/>
      </c>
      <c r="IN71" s="237">
        <f>IM71/IL71</f>
        <v/>
      </c>
      <c r="IO71" s="236" t="n">
        <v>-0.0074</v>
      </c>
      <c r="IP71" s="236" t="n"/>
      <c r="IQ71" s="293" t="n"/>
      <c r="IR71" s="233">
        <f>C71</f>
        <v/>
      </c>
      <c r="IS71" s="241" t="n">
        <v>161689</v>
      </c>
      <c r="IT71" s="14">
        <f>IS72</f>
        <v/>
      </c>
      <c r="IU71" s="14">
        <f>IS71-IT71</f>
        <v/>
      </c>
      <c r="IV71" s="237">
        <f>IU71/IT71</f>
        <v/>
      </c>
      <c r="IW71" s="236" t="n">
        <v>0.0201</v>
      </c>
      <c r="IX71" s="236" t="n"/>
      <c r="IY71" s="293" t="n"/>
      <c r="IZ71" s="233">
        <f>C71</f>
        <v/>
      </c>
      <c r="JA71" s="241" t="n">
        <v>5771129.15</v>
      </c>
      <c r="JB71" s="14">
        <f>JA72</f>
        <v/>
      </c>
      <c r="JC71" s="14">
        <f>JA71-JB71</f>
        <v/>
      </c>
      <c r="JD71" s="237">
        <f>JC71/JB71</f>
        <v/>
      </c>
      <c r="JE71" s="236" t="n">
        <v>0.0045</v>
      </c>
      <c r="JF71" s="236" t="n"/>
      <c r="JG71" s="293" t="n"/>
      <c r="JH71" s="233">
        <f>C71</f>
        <v/>
      </c>
      <c r="JI71" s="241" t="n">
        <v>1210227.99</v>
      </c>
      <c r="JJ71" s="14">
        <f>JI72</f>
        <v/>
      </c>
      <c r="JK71" s="14">
        <f>JI71-JJ71</f>
        <v/>
      </c>
      <c r="JL71" s="237">
        <f>JK71/JJ71</f>
        <v/>
      </c>
      <c r="JM71" s="236" t="n">
        <v>-0.0123</v>
      </c>
      <c r="JN71" s="236" t="n"/>
      <c r="JP71" s="233">
        <f>C71</f>
        <v/>
      </c>
      <c r="JQ71" s="253" t="n">
        <v>1050490.4148</v>
      </c>
      <c r="JR71" s="14">
        <f>JQ72</f>
        <v/>
      </c>
      <c r="JS71" s="14">
        <f>JQ71-JR71</f>
        <v/>
      </c>
      <c r="JT71" s="237">
        <f>JS71/JR71</f>
        <v/>
      </c>
      <c r="JU71" s="236" t="n">
        <v>0.0219</v>
      </c>
      <c r="JV71" s="238" t="n"/>
      <c r="JX71" s="233">
        <f>C71</f>
        <v/>
      </c>
      <c r="JY71" s="241" t="n">
        <v>1019298.8</v>
      </c>
      <c r="JZ71" s="14">
        <f>JY72</f>
        <v/>
      </c>
      <c r="KA71" s="14">
        <f>JY71-JZ71</f>
        <v/>
      </c>
      <c r="KB71" s="237">
        <f>KA71/JZ71</f>
        <v/>
      </c>
      <c r="KC71" s="236" t="n">
        <v>0.0109</v>
      </c>
      <c r="KD71" s="238" t="n"/>
      <c r="KF71" s="233">
        <f>C71</f>
        <v/>
      </c>
      <c r="KG71" s="253" t="n">
        <v>646755.9219</v>
      </c>
      <c r="KH71" s="14">
        <f>KG72</f>
        <v/>
      </c>
      <c r="KI71" s="14">
        <f>KG71-KH71</f>
        <v/>
      </c>
      <c r="KJ71" s="237">
        <f>KI71/KH71</f>
        <v/>
      </c>
      <c r="KK71" s="238" t="n">
        <v>0.0013</v>
      </c>
      <c r="KL71" s="238" t="n"/>
      <c r="KM71" s="293" t="n"/>
      <c r="KN71" s="233">
        <f>C71</f>
        <v/>
      </c>
      <c r="KO71" s="241" t="n">
        <v>6982875.95</v>
      </c>
      <c r="KP71" s="14">
        <f>KO72</f>
        <v/>
      </c>
      <c r="KQ71" s="14">
        <f>KO71-KP71</f>
        <v/>
      </c>
      <c r="KR71" s="237">
        <f>KQ71/KP71</f>
        <v/>
      </c>
      <c r="KS71" s="236" t="n">
        <v>0.0113</v>
      </c>
      <c r="KT71" s="236" t="n"/>
      <c r="KU71" s="293" t="n"/>
      <c r="KV71" s="233">
        <f>C71</f>
        <v/>
      </c>
      <c r="KW71" s="253" t="n">
        <v>1095472.9726</v>
      </c>
      <c r="KX71" s="14">
        <f>KW72</f>
        <v/>
      </c>
      <c r="KY71" s="14">
        <f>KW71-KX71</f>
        <v/>
      </c>
      <c r="KZ71" s="237">
        <f>KY71/KX71</f>
        <v/>
      </c>
      <c r="LA71" s="238" t="n">
        <v>0.0166</v>
      </c>
      <c r="LB71" s="236" t="n"/>
      <c r="LC71" s="293" t="n"/>
      <c r="LD71" s="233">
        <f>C71</f>
        <v/>
      </c>
      <c r="LE71" s="241" t="n">
        <v>376507.7</v>
      </c>
      <c r="LF71" s="14">
        <f>LE72</f>
        <v/>
      </c>
      <c r="LG71" s="14">
        <f>LE71-LF71</f>
        <v/>
      </c>
      <c r="LH71" s="237">
        <f>LG71/LF71</f>
        <v/>
      </c>
      <c r="LI71" s="236" t="n">
        <v>0.0374</v>
      </c>
      <c r="LJ71" s="236" t="n"/>
      <c r="LK71" s="293" t="n"/>
      <c r="LL71" s="233">
        <f>C71</f>
        <v/>
      </c>
      <c r="LM71" s="677" t="n">
        <v>3293215.02</v>
      </c>
      <c r="LN71" s="14">
        <f>LM72</f>
        <v/>
      </c>
      <c r="LO71" s="14">
        <f>LM71-LN71</f>
        <v/>
      </c>
      <c r="LP71" s="237">
        <f>LO71/LN71</f>
        <v/>
      </c>
      <c r="LQ71" s="236" t="n">
        <v>-0.0091</v>
      </c>
      <c r="LR71" s="236" t="n"/>
      <c r="LS71" s="293" t="n"/>
      <c r="LT71" s="233">
        <f>C71</f>
        <v/>
      </c>
      <c r="LU71" s="253" t="n">
        <v>2342462.904</v>
      </c>
      <c r="LV71" s="14">
        <f>LU72</f>
        <v/>
      </c>
      <c r="LW71" s="14">
        <f>LU71-LV71</f>
        <v/>
      </c>
      <c r="LX71" s="237">
        <f>LW71/LV71</f>
        <v/>
      </c>
      <c r="LY71" s="236" t="n">
        <v>-0.0074</v>
      </c>
      <c r="LZ71" s="236" t="n"/>
      <c r="MA71" s="293" t="n"/>
      <c r="MB71" s="233">
        <f>C71</f>
        <v/>
      </c>
      <c r="MC71" s="241" t="n">
        <v>1088867.69</v>
      </c>
      <c r="MD71" s="14">
        <f>MC72</f>
        <v/>
      </c>
      <c r="ME71" s="14">
        <f>MC71-MD71</f>
        <v/>
      </c>
      <c r="MF71" s="237">
        <f>ME71/MD71</f>
        <v/>
      </c>
      <c r="MG71" s="236" t="n">
        <v>0.0017</v>
      </c>
      <c r="MH71" s="236" t="n"/>
      <c r="MI71" s="236" t="n"/>
      <c r="MJ71" s="236" t="n"/>
      <c r="MK71" s="233">
        <f>C71</f>
        <v/>
      </c>
      <c r="ML71" s="254" t="n">
        <v>162825.5354</v>
      </c>
      <c r="MM71" s="14">
        <f>ML72</f>
        <v/>
      </c>
      <c r="MN71" s="14">
        <f>ML71-MM71</f>
        <v/>
      </c>
      <c r="MO71" s="237">
        <f>MN71/MM71</f>
        <v/>
      </c>
      <c r="MP71" s="236" t="n">
        <v>0.0282</v>
      </c>
      <c r="MQ71" s="234" t="n"/>
      <c r="MR71" s="234" t="n"/>
      <c r="MS71" s="240" t="n"/>
      <c r="MT71" s="294">
        <f>C71</f>
        <v/>
      </c>
      <c r="MU71" s="240" t="n">
        <v>139114.8</v>
      </c>
      <c r="MV71" s="240">
        <f>MU72</f>
        <v/>
      </c>
      <c r="MW71" s="240">
        <f>MU71-MV71</f>
        <v/>
      </c>
      <c r="MX71" s="292">
        <f>MW71/MV71</f>
        <v/>
      </c>
      <c r="MY71" s="236" t="n">
        <v>0.0092</v>
      </c>
      <c r="MZ71" s="236" t="n"/>
      <c r="NA71" s="236" t="n"/>
      <c r="NB71" s="240" t="n"/>
      <c r="NC71" s="240">
        <f>C71</f>
        <v/>
      </c>
      <c r="ND71" s="240" t="n">
        <v>33891.48</v>
      </c>
      <c r="NE71" s="240">
        <f>ND72</f>
        <v/>
      </c>
      <c r="NF71" s="240">
        <f>ND71-NE71</f>
        <v/>
      </c>
      <c r="NG71" s="292">
        <f>NF71/NE71</f>
        <v/>
      </c>
      <c r="NH71" s="236" t="n">
        <v>0.0289</v>
      </c>
      <c r="NI71" s="236" t="n"/>
      <c r="NJ71" s="236" t="n"/>
      <c r="NK71" s="236" t="n"/>
      <c r="NL71" s="240" t="n"/>
      <c r="NM71" s="240">
        <f>C71</f>
        <v/>
      </c>
      <c r="NN71" s="240" t="n">
        <v>2787511.08</v>
      </c>
      <c r="NO71" s="10">
        <f>NN72</f>
        <v/>
      </c>
      <c r="NP71" s="240">
        <f>NN71-NO71</f>
        <v/>
      </c>
      <c r="NQ71" s="292">
        <f>NP71/NO71</f>
        <v/>
      </c>
      <c r="NR71" s="269" t="n">
        <v>-0.0102</v>
      </c>
      <c r="NS71" s="240" t="n"/>
      <c r="NT71" s="270" t="n"/>
      <c r="NU71" s="240">
        <f>C71</f>
        <v/>
      </c>
      <c r="NV71" s="240" t="n">
        <v>242226.5</v>
      </c>
      <c r="NW71" s="240">
        <f>NV72</f>
        <v/>
      </c>
      <c r="NX71" s="240">
        <f>NV71-NW71</f>
        <v/>
      </c>
      <c r="NY71" s="292">
        <f>NX71/NW71</f>
        <v/>
      </c>
      <c r="NZ71" s="234" t="n">
        <v>-0.0129</v>
      </c>
      <c r="OA71" s="293" t="n"/>
      <c r="OB71" s="293" t="n"/>
      <c r="OC71" s="233">
        <f>C71</f>
        <v/>
      </c>
      <c r="OD71" s="241" t="n">
        <v>15704.97</v>
      </c>
      <c r="OE71" s="14">
        <f>OD72</f>
        <v/>
      </c>
      <c r="OF71" s="14">
        <f>OD71-OE71</f>
        <v/>
      </c>
      <c r="OG71" s="237">
        <f>OF71/OE71</f>
        <v/>
      </c>
      <c r="OH71" s="236" t="n">
        <v>0.0002</v>
      </c>
      <c r="OI71" s="236" t="n"/>
      <c r="OJ71" s="293" t="n"/>
      <c r="OK71" s="233">
        <f>C71</f>
        <v/>
      </c>
      <c r="OL71" s="241" t="n">
        <v>15374.65</v>
      </c>
      <c r="OM71" s="14">
        <f>OL72</f>
        <v/>
      </c>
      <c r="ON71" s="14">
        <f>OL71-OM71</f>
        <v/>
      </c>
      <c r="OO71" s="237">
        <f>ON71/OM71</f>
        <v/>
      </c>
      <c r="OP71" s="236" t="n">
        <v>0.0001</v>
      </c>
      <c r="OQ71" s="236" t="n"/>
      <c r="OT71" s="201">
        <f>OK71</f>
        <v/>
      </c>
      <c r="OU71" s="199" t="n">
        <v>154032.4066</v>
      </c>
      <c r="OV71" s="9">
        <f>OU72</f>
        <v/>
      </c>
      <c r="OW71" s="671">
        <f>OU71-OV71</f>
        <v/>
      </c>
      <c r="OX71" s="182">
        <f>OW71/OV71</f>
        <v/>
      </c>
      <c r="OY71" s="0" t="n">
        <v>-0.0038</v>
      </c>
    </row>
    <row r="72" ht="17" customFormat="1" customHeight="1" s="9">
      <c r="A72" s="631" t="n"/>
      <c r="B72" s="631" t="n"/>
      <c r="C72" s="680" t="inlineStr">
        <is>
          <t>2026//8/4</t>
        </is>
      </c>
      <c r="D72" s="20" t="n">
        <v>2653068.77</v>
      </c>
      <c r="E72" s="20">
        <f>D73</f>
        <v/>
      </c>
      <c r="F72" s="20">
        <f>D72-E72</f>
        <v/>
      </c>
      <c r="G72" s="163">
        <f>F72/E72</f>
        <v/>
      </c>
      <c r="H72" s="19" t="n">
        <v>0.0113</v>
      </c>
      <c r="I72" s="163" t="n"/>
      <c r="J72" s="163" t="n"/>
      <c r="K72" s="20">
        <f>C72</f>
        <v/>
      </c>
      <c r="L72" s="20" t="n">
        <v>1171684.4</v>
      </c>
      <c r="M72" s="20">
        <f>L73</f>
        <v/>
      </c>
      <c r="N72" s="20">
        <f>L72-M72</f>
        <v/>
      </c>
      <c r="O72" s="163">
        <f>N72/M72</f>
        <v/>
      </c>
      <c r="P72" s="19" t="n">
        <v>0.0125</v>
      </c>
      <c r="Q72" s="163" t="n"/>
      <c r="R72" s="20" t="n"/>
      <c r="S72" s="20">
        <f>C72</f>
        <v/>
      </c>
      <c r="T72" s="20" t="n">
        <v>763536.6800000001</v>
      </c>
      <c r="U72" s="20">
        <f>T73</f>
        <v/>
      </c>
      <c r="V72" s="20">
        <f>T72-U72</f>
        <v/>
      </c>
      <c r="W72" s="163">
        <f>V72/U72</f>
        <v/>
      </c>
      <c r="X72" s="19" t="n">
        <v>-0.0023</v>
      </c>
      <c r="Y72" s="163" t="n"/>
      <c r="Z72" s="20" t="n"/>
      <c r="AA72" s="20">
        <f>S72</f>
        <v/>
      </c>
      <c r="AB72" s="20" t="n">
        <v>625296.86</v>
      </c>
      <c r="AC72" s="20">
        <f>AB73</f>
        <v/>
      </c>
      <c r="AD72" s="20">
        <f>AB72-AC72</f>
        <v/>
      </c>
      <c r="AE72" s="163">
        <f>AD72/AC72</f>
        <v/>
      </c>
      <c r="AF72" s="19" t="n">
        <v>0.0244</v>
      </c>
      <c r="AG72" s="163" t="n"/>
      <c r="AH72" s="20" t="n"/>
      <c r="AI72" s="20">
        <f>C72</f>
        <v/>
      </c>
      <c r="AJ72" s="20" t="n">
        <v>1225121.76</v>
      </c>
      <c r="AK72" s="20">
        <f>AJ73</f>
        <v/>
      </c>
      <c r="AL72" s="20">
        <f>AJ72-AK72</f>
        <v/>
      </c>
      <c r="AM72" s="163">
        <f>AL72/AK72</f>
        <v/>
      </c>
      <c r="AN72" s="19" t="n">
        <v>0.0265</v>
      </c>
      <c r="AO72" s="19" t="n"/>
      <c r="AP72" s="20" t="n"/>
      <c r="AQ72" s="20">
        <f>C72</f>
        <v/>
      </c>
      <c r="AR72" s="634" t="n">
        <v>1940445.4936</v>
      </c>
      <c r="AS72" s="20">
        <f>AR73</f>
        <v/>
      </c>
      <c r="AT72" s="20">
        <f>AR72-AS72</f>
        <v/>
      </c>
      <c r="AU72" s="163">
        <f>AT72/AS72</f>
        <v/>
      </c>
      <c r="AV72" s="19" t="n">
        <v>0.0568</v>
      </c>
      <c r="AW72" s="19" t="n"/>
      <c r="AX72" s="5" t="n"/>
      <c r="AY72" s="188" t="n"/>
      <c r="AZ72" s="188">
        <f>C72</f>
        <v/>
      </c>
      <c r="BA72" s="188" t="n">
        <v>661251.6676</v>
      </c>
      <c r="BB72" s="188">
        <f>BA73</f>
        <v/>
      </c>
      <c r="BC72" s="188">
        <f>BA72-BB72</f>
        <v/>
      </c>
      <c r="BD72" s="271">
        <f>BC72/BB72</f>
        <v/>
      </c>
      <c r="BE72" s="19" t="n">
        <v>0.0123</v>
      </c>
      <c r="BF72" s="19" t="n"/>
      <c r="BG72" s="647" t="n"/>
      <c r="BH72" s="184">
        <f>C72</f>
        <v/>
      </c>
      <c r="BI72" s="221" t="n">
        <v>1238826.5525</v>
      </c>
      <c r="BJ72" s="184">
        <f>BI73</f>
        <v/>
      </c>
      <c r="BK72" s="184">
        <f>BI72-BJ72</f>
        <v/>
      </c>
      <c r="BL72" s="190">
        <f>BK72/BJ72</f>
        <v/>
      </c>
      <c r="BM72" s="191" t="n">
        <v>0.0198</v>
      </c>
      <c r="BN72" s="182" t="n"/>
      <c r="BO72" s="295" t="n"/>
      <c r="BP72" s="184">
        <f>C72</f>
        <v/>
      </c>
      <c r="BQ72" s="672" t="n">
        <v>1238862.3921</v>
      </c>
      <c r="BR72" s="13">
        <f>BQ73</f>
        <v/>
      </c>
      <c r="BS72" s="13">
        <f>BQ72-BR72</f>
        <v/>
      </c>
      <c r="BT72" s="193">
        <f>BS72/BR72</f>
        <v/>
      </c>
      <c r="BU72" s="182" t="n">
        <v>0.0196</v>
      </c>
      <c r="BV72" s="182" t="n"/>
      <c r="BW72" s="295" t="n"/>
      <c r="BX72" s="184">
        <f>C72</f>
        <v/>
      </c>
      <c r="BY72" s="222" t="n">
        <v>1804610.7019</v>
      </c>
      <c r="BZ72" s="13">
        <f>BY73</f>
        <v/>
      </c>
      <c r="CA72" s="13">
        <f>BY72-BZ72</f>
        <v/>
      </c>
      <c r="CB72" s="193">
        <f>CA72/BZ72</f>
        <v/>
      </c>
      <c r="CC72" s="182" t="n">
        <v>0.0064</v>
      </c>
      <c r="CD72" s="194" t="n"/>
      <c r="CE72" s="295" t="n"/>
      <c r="CF72" s="184">
        <f>C72</f>
        <v/>
      </c>
      <c r="CG72" s="185" t="n">
        <v>1301953.9</v>
      </c>
      <c r="CH72" s="13">
        <f>CG73</f>
        <v/>
      </c>
      <c r="CI72" s="13">
        <f>CG72-CH72</f>
        <v/>
      </c>
      <c r="CJ72" s="193">
        <f>CI72/CH72</f>
        <v/>
      </c>
      <c r="CK72" s="182" t="n">
        <v>0.0174</v>
      </c>
      <c r="CL72" s="194" t="n"/>
      <c r="CM72" s="295" t="n"/>
      <c r="CN72" s="184">
        <f>C72</f>
        <v/>
      </c>
      <c r="CO72" s="185" t="n">
        <v>527346.48</v>
      </c>
      <c r="CP72" s="13">
        <f>CO73</f>
        <v/>
      </c>
      <c r="CQ72" s="13">
        <f>CO72-CP72</f>
        <v/>
      </c>
      <c r="CR72" s="193">
        <f>CQ72/CP72</f>
        <v/>
      </c>
      <c r="CS72" s="194" t="n">
        <v>0.0132</v>
      </c>
      <c r="CT72" s="194" t="n"/>
      <c r="CU72" s="295" t="n"/>
      <c r="CV72" s="184">
        <f>C72</f>
        <v/>
      </c>
      <c r="CW72" s="185" t="n">
        <v>705940.4</v>
      </c>
      <c r="CX72" s="13">
        <f>CW73</f>
        <v/>
      </c>
      <c r="CY72" s="13">
        <f>CW72-CX72</f>
        <v/>
      </c>
      <c r="CZ72" s="193">
        <f>CY72/CX72</f>
        <v/>
      </c>
      <c r="DA72" s="182" t="n">
        <v>-0.0059</v>
      </c>
      <c r="DB72" s="182" t="n"/>
      <c r="DC72" s="256" t="n"/>
      <c r="DD72" s="184">
        <f>C72</f>
        <v/>
      </c>
      <c r="DE72" s="222" t="n">
        <v>5691535.9972</v>
      </c>
      <c r="DF72" s="13">
        <f>DE73</f>
        <v/>
      </c>
      <c r="DG72" s="13">
        <f>DE72-DF72</f>
        <v/>
      </c>
      <c r="DH72" s="193">
        <f>DG72/DF72</f>
        <v/>
      </c>
      <c r="DI72" s="182" t="n">
        <v>0.0579</v>
      </c>
      <c r="DJ72" s="182" t="n"/>
      <c r="DK72" s="295" t="n"/>
      <c r="DL72" s="184">
        <f>C72</f>
        <v/>
      </c>
      <c r="DM72" s="185" t="n">
        <v>1968200.72</v>
      </c>
      <c r="DN72" s="13">
        <f>DM73</f>
        <v/>
      </c>
      <c r="DO72" s="13">
        <f>DM72-DN72</f>
        <v/>
      </c>
      <c r="DP72" s="193">
        <f>DO72/DN72</f>
        <v/>
      </c>
      <c r="DQ72" s="182" t="n">
        <v>0.0521</v>
      </c>
      <c r="DR72" s="182" t="n"/>
      <c r="DS72" s="295" t="n"/>
      <c r="DT72" s="184">
        <f>C72</f>
        <v/>
      </c>
      <c r="DU72" s="185" t="n">
        <v>4379218.43</v>
      </c>
      <c r="DV72" s="13">
        <f>DU73</f>
        <v/>
      </c>
      <c r="DW72" s="13">
        <f>DU72-DV72</f>
        <v/>
      </c>
      <c r="DX72" s="193">
        <f>DW72/DV72</f>
        <v/>
      </c>
      <c r="DY72" s="182" t="n">
        <v>0.0557</v>
      </c>
      <c r="DZ72" s="182" t="n"/>
      <c r="EA72" s="295" t="n"/>
      <c r="EB72" s="184">
        <f>C72</f>
        <v/>
      </c>
      <c r="EC72" s="185" t="n">
        <v>5285966.82</v>
      </c>
      <c r="ED72" s="13">
        <f>EC73</f>
        <v/>
      </c>
      <c r="EE72" s="13">
        <f>EC72-ED72</f>
        <v/>
      </c>
      <c r="EF72" s="193">
        <f>EE72/ED72</f>
        <v/>
      </c>
      <c r="EG72" s="182" t="n">
        <v>0.0428</v>
      </c>
      <c r="EH72" s="182" t="n"/>
      <c r="EI72" s="295" t="n"/>
      <c r="EJ72" s="184">
        <f>C72</f>
        <v/>
      </c>
      <c r="EK72" s="222" t="n">
        <v>1153122.9669</v>
      </c>
      <c r="EL72" s="13">
        <f>EK73</f>
        <v/>
      </c>
      <c r="EM72" s="13">
        <f>EK72-EL72</f>
        <v/>
      </c>
      <c r="EN72" s="193">
        <f>EM72/EL72</f>
        <v/>
      </c>
      <c r="EO72" s="182" t="n">
        <v>0.0587</v>
      </c>
      <c r="EP72" s="182" t="n"/>
      <c r="EQ72" s="295" t="n"/>
      <c r="ER72" s="184">
        <f>C72</f>
        <v/>
      </c>
      <c r="ES72" s="9" t="n">
        <v>732494.04</v>
      </c>
      <c r="ET72" s="13">
        <f>ES73</f>
        <v/>
      </c>
      <c r="EU72" s="13">
        <f>ES72-ET72</f>
        <v/>
      </c>
      <c r="EV72" s="193">
        <f>EU72/ET72</f>
        <v/>
      </c>
      <c r="EW72" s="182" t="n">
        <v>0.0578</v>
      </c>
      <c r="EX72" s="182" t="n"/>
      <c r="EY72" s="295" t="n"/>
      <c r="EZ72" s="184">
        <f>C72</f>
        <v/>
      </c>
      <c r="FA72" s="185" t="n">
        <v>587008</v>
      </c>
      <c r="FB72" s="13">
        <f>FA73</f>
        <v/>
      </c>
      <c r="FC72" s="13">
        <f>FA72-FB72</f>
        <v/>
      </c>
      <c r="FD72" s="193">
        <f>FC72/FB72</f>
        <v/>
      </c>
      <c r="FE72" s="182" t="n">
        <v>0.0136</v>
      </c>
      <c r="FF72" s="182" t="n"/>
      <c r="FH72" s="184">
        <f>C72</f>
        <v/>
      </c>
      <c r="FI72" s="672" t="n">
        <v>1092395.3365</v>
      </c>
      <c r="FJ72" s="13">
        <f>FI73</f>
        <v/>
      </c>
      <c r="FK72" s="13">
        <f>FI72-FJ72</f>
        <v/>
      </c>
      <c r="FL72" s="193">
        <f>FK72/FJ72</f>
        <v/>
      </c>
      <c r="FM72" s="194" t="n">
        <v>0.0383</v>
      </c>
      <c r="FN72" s="194" t="n"/>
      <c r="FO72" s="295" t="n"/>
      <c r="FP72" s="184">
        <f>C72</f>
        <v/>
      </c>
      <c r="FQ72" s="185" t="n">
        <v>1848268.73</v>
      </c>
      <c r="FR72" s="13">
        <f>FQ73</f>
        <v/>
      </c>
      <c r="FS72" s="13">
        <f>FQ72-FR72</f>
        <v/>
      </c>
      <c r="FT72" s="193">
        <f>FS72/FR72</f>
        <v/>
      </c>
      <c r="FU72" s="182" t="n">
        <v>0.0259</v>
      </c>
      <c r="FV72" s="182" t="n"/>
      <c r="FW72" s="295" t="n"/>
      <c r="FX72" s="184">
        <f>C72</f>
        <v/>
      </c>
      <c r="FY72" s="185" t="n">
        <v>7850682.05</v>
      </c>
      <c r="FZ72" s="13">
        <f>FY73</f>
        <v/>
      </c>
      <c r="GA72" s="13">
        <f>FY72-FZ72</f>
        <v/>
      </c>
      <c r="GB72" s="193">
        <f>GA72/FZ72</f>
        <v/>
      </c>
      <c r="GC72" s="182" t="n">
        <v>0.0183</v>
      </c>
      <c r="GD72" s="182" t="n"/>
      <c r="GE72" s="295" t="n"/>
      <c r="GF72" s="184">
        <f>C72</f>
        <v/>
      </c>
      <c r="GG72" s="185" t="n">
        <v>4504269.49</v>
      </c>
      <c r="GH72" s="13">
        <f>GG73</f>
        <v/>
      </c>
      <c r="GI72" s="13">
        <f>GG72-GH72</f>
        <v/>
      </c>
      <c r="GJ72" s="193">
        <f>GI72/GH72</f>
        <v/>
      </c>
      <c r="GK72" s="182" t="n">
        <v>0.0241</v>
      </c>
      <c r="GL72" s="182" t="n"/>
      <c r="GM72" s="295" t="n"/>
      <c r="GN72" s="184">
        <f>C72</f>
        <v/>
      </c>
      <c r="GO72" s="222" t="n">
        <v>2015458.1217</v>
      </c>
      <c r="GP72" s="13">
        <f>GO73</f>
        <v/>
      </c>
      <c r="GQ72" s="13">
        <f>GO72-GP72</f>
        <v/>
      </c>
      <c r="GR72" s="193">
        <f>GQ72/GP72</f>
        <v/>
      </c>
      <c r="GS72" s="182" t="n">
        <v>0.0338</v>
      </c>
      <c r="GT72" s="182" t="n"/>
      <c r="GU72" s="295" t="n"/>
      <c r="GV72" s="184">
        <f>C72</f>
        <v/>
      </c>
      <c r="GW72" s="185" t="n">
        <v>614149.4</v>
      </c>
      <c r="GX72" s="13">
        <f>GW73</f>
        <v/>
      </c>
      <c r="GY72" s="13">
        <f>GW72-GX72</f>
        <v/>
      </c>
      <c r="GZ72" s="193">
        <f>GY72/GX72</f>
        <v/>
      </c>
      <c r="HA72" s="182" t="n">
        <v>0.012</v>
      </c>
      <c r="HB72" s="182" t="n"/>
      <c r="HC72" s="295" t="n"/>
      <c r="HD72" s="184">
        <f>C72</f>
        <v/>
      </c>
      <c r="HE72" s="222" t="n">
        <v>937364.6746</v>
      </c>
      <c r="HF72" s="13">
        <f>HE73</f>
        <v/>
      </c>
      <c r="HG72" s="13">
        <f>HE72-HF72</f>
        <v/>
      </c>
      <c r="HH72" s="193">
        <f>HG72/HF72</f>
        <v/>
      </c>
      <c r="HI72" s="194" t="n">
        <v>0.008500000000000001</v>
      </c>
      <c r="HJ72" s="182" t="n"/>
      <c r="HK72" s="295" t="n"/>
      <c r="HL72" s="184">
        <f>C72</f>
        <v/>
      </c>
      <c r="HM72" s="185" t="n">
        <v>117404.25</v>
      </c>
      <c r="HN72" s="13">
        <f>HM73</f>
        <v/>
      </c>
      <c r="HO72" s="13">
        <f>HM72-HN72</f>
        <v/>
      </c>
      <c r="HP72" s="193">
        <f>HO72/HN72</f>
        <v/>
      </c>
      <c r="HQ72" s="182" t="n">
        <v>-0.0036</v>
      </c>
      <c r="HR72" s="182" t="n"/>
      <c r="HS72" s="295" t="n"/>
      <c r="HT72" s="184">
        <f>C72</f>
        <v/>
      </c>
      <c r="HU72" s="222" t="n">
        <v>132268.8265</v>
      </c>
      <c r="HV72" s="13">
        <f>HU73</f>
        <v/>
      </c>
      <c r="HW72" s="13">
        <f>HU72-HV72</f>
        <v/>
      </c>
      <c r="HX72" s="193">
        <f>HW72/HV72</f>
        <v/>
      </c>
      <c r="HY72" s="182" t="n">
        <v>-0.0112</v>
      </c>
      <c r="HZ72" s="182" t="n"/>
      <c r="IA72" s="295" t="n"/>
      <c r="IB72" s="184">
        <f>C72</f>
        <v/>
      </c>
      <c r="IC72" s="185" t="n">
        <v>279659.79</v>
      </c>
      <c r="ID72" s="13">
        <f>IC73</f>
        <v/>
      </c>
      <c r="IE72" s="13">
        <f>IC72-ID72</f>
        <v/>
      </c>
      <c r="IF72" s="193">
        <f>IE72/ID72</f>
        <v/>
      </c>
      <c r="IG72" s="194" t="n">
        <v>-0.0067</v>
      </c>
      <c r="IH72" s="182" t="n"/>
      <c r="II72" s="295" t="n"/>
      <c r="IJ72" s="184">
        <f>C72</f>
        <v/>
      </c>
      <c r="IK72" s="222" t="n">
        <v>1022956.29</v>
      </c>
      <c r="IL72" s="13">
        <f>IK73</f>
        <v/>
      </c>
      <c r="IM72" s="13">
        <f>IK72-IL72</f>
        <v/>
      </c>
      <c r="IN72" s="193">
        <f>IM72/IL72</f>
        <v/>
      </c>
      <c r="IO72" s="182" t="n">
        <v>-0.0092</v>
      </c>
      <c r="IP72" s="182" t="n"/>
      <c r="IQ72" s="295" t="n"/>
      <c r="IR72" s="184">
        <f>C72</f>
        <v/>
      </c>
      <c r="IS72" s="185" t="n">
        <v>161089</v>
      </c>
      <c r="IT72" s="13">
        <f>IS73</f>
        <v/>
      </c>
      <c r="IU72" s="13">
        <f>IS72-IT72</f>
        <v/>
      </c>
      <c r="IV72" s="193">
        <f>IU72/IT72</f>
        <v/>
      </c>
      <c r="IW72" s="182" t="n">
        <v>0.0469</v>
      </c>
      <c r="IX72" s="182" t="n"/>
      <c r="IY72" s="295" t="n"/>
      <c r="IZ72" s="184">
        <f>C72</f>
        <v/>
      </c>
      <c r="JA72" s="185" t="n">
        <v>5747029.15</v>
      </c>
      <c r="JB72" s="13">
        <f>JA73</f>
        <v/>
      </c>
      <c r="JC72" s="13">
        <f>JA72-JB72</f>
        <v/>
      </c>
      <c r="JD72" s="193">
        <f>JC72/JB72</f>
        <v/>
      </c>
      <c r="JE72" s="182" t="n">
        <v>-0.0009</v>
      </c>
      <c r="JF72" s="182" t="n"/>
      <c r="JG72" s="295" t="n"/>
      <c r="JH72" s="184">
        <f>C72</f>
        <v/>
      </c>
      <c r="JI72" s="185" t="n">
        <v>1231647.99</v>
      </c>
      <c r="JJ72" s="13">
        <f>JI73</f>
        <v/>
      </c>
      <c r="JK72" s="13">
        <f>JI72-JJ72</f>
        <v/>
      </c>
      <c r="JL72" s="193">
        <f>JK72/JJ72</f>
        <v/>
      </c>
      <c r="JM72" s="182" t="n">
        <v>-0.0241</v>
      </c>
      <c r="JN72" s="182" t="n"/>
      <c r="JP72" s="184">
        <f>C72</f>
        <v/>
      </c>
      <c r="JQ72" s="222" t="n">
        <v>1048790.4148</v>
      </c>
      <c r="JR72" s="13">
        <f>JQ73</f>
        <v/>
      </c>
      <c r="JS72" s="13">
        <f>JQ72-JR72</f>
        <v/>
      </c>
      <c r="JT72" s="193">
        <f>JS72/JR72</f>
        <v/>
      </c>
      <c r="JU72" s="182" t="n">
        <v>0.0127</v>
      </c>
      <c r="JV72" s="194" t="n"/>
      <c r="JX72" s="184">
        <f>C72</f>
        <v/>
      </c>
      <c r="JY72" s="185" t="n">
        <v>1020448.8</v>
      </c>
      <c r="JZ72" s="13">
        <f>JY73</f>
        <v/>
      </c>
      <c r="KA72" s="13">
        <f>JY72-JZ72</f>
        <v/>
      </c>
      <c r="KB72" s="193">
        <f>KA72/JZ72</f>
        <v/>
      </c>
      <c r="KC72" s="182" t="n">
        <v>-0.0011</v>
      </c>
      <c r="KD72" s="194" t="n"/>
      <c r="KF72" s="184">
        <f>C72</f>
        <v/>
      </c>
      <c r="KG72" s="222" t="n">
        <v>646755.9219</v>
      </c>
      <c r="KH72" s="13">
        <f>KG73</f>
        <v/>
      </c>
      <c r="KI72" s="13">
        <f>KG72-KH72</f>
        <v/>
      </c>
      <c r="KJ72" s="193">
        <f>KI72/KH72</f>
        <v/>
      </c>
      <c r="KK72" s="194" t="n">
        <v>-0.0059</v>
      </c>
      <c r="KL72" s="194" t="n"/>
      <c r="KM72" s="295" t="n"/>
      <c r="KN72" s="184">
        <f>C72</f>
        <v/>
      </c>
      <c r="KO72" s="185" t="n">
        <v>6982875.95</v>
      </c>
      <c r="KP72" s="13">
        <f>KO73</f>
        <v/>
      </c>
      <c r="KQ72" s="13">
        <f>KO72-KP72</f>
        <v/>
      </c>
      <c r="KR72" s="193">
        <f>KQ72/KP72</f>
        <v/>
      </c>
      <c r="KS72" s="182" t="n">
        <v>0.0033</v>
      </c>
      <c r="KT72" s="182" t="n"/>
      <c r="KU72" s="295" t="n"/>
      <c r="KV72" s="184">
        <f>C72</f>
        <v/>
      </c>
      <c r="KW72" s="222" t="n">
        <v>1102472.9726</v>
      </c>
      <c r="KX72" s="13">
        <f>KW73</f>
        <v/>
      </c>
      <c r="KY72" s="13">
        <f>KW72-KX72</f>
        <v/>
      </c>
      <c r="KZ72" s="193">
        <f>KY72/KX72</f>
        <v/>
      </c>
      <c r="LA72" s="194" t="n">
        <v>0.0138</v>
      </c>
      <c r="LB72" s="182" t="n"/>
      <c r="LC72" s="295" t="n"/>
      <c r="LD72" s="184">
        <f>C72</f>
        <v/>
      </c>
      <c r="LE72" s="185" t="n">
        <v>371257.7</v>
      </c>
      <c r="LF72" s="13">
        <f>LE73</f>
        <v/>
      </c>
      <c r="LG72" s="13">
        <f>LE72-LF72</f>
        <v/>
      </c>
      <c r="LH72" s="193">
        <f>LG72/LF72</f>
        <v/>
      </c>
      <c r="LI72" s="182" t="n">
        <v>0.0206</v>
      </c>
      <c r="LJ72" s="182" t="n"/>
      <c r="LK72" s="295" t="n"/>
      <c r="LL72" s="184">
        <f>C72</f>
        <v/>
      </c>
      <c r="LM72" s="672" t="n">
        <v>3260095.02</v>
      </c>
      <c r="LN72" s="13">
        <f>LM73</f>
        <v/>
      </c>
      <c r="LO72" s="13">
        <f>LM72-LN72</f>
        <v/>
      </c>
      <c r="LP72" s="193">
        <f>LO72/LN72</f>
        <v/>
      </c>
      <c r="LQ72" s="182" t="n">
        <v>-0.0156</v>
      </c>
      <c r="LR72" s="182" t="n"/>
      <c r="LS72" s="295" t="n"/>
      <c r="LT72" s="184">
        <f>C72</f>
        <v/>
      </c>
      <c r="LU72" s="222" t="n">
        <v>2326262.904</v>
      </c>
      <c r="LV72" s="13">
        <f>LU73</f>
        <v/>
      </c>
      <c r="LW72" s="13">
        <f>LU72-LV72</f>
        <v/>
      </c>
      <c r="LX72" s="193">
        <f>LW72/LV72</f>
        <v/>
      </c>
      <c r="LY72" s="182" t="n">
        <v>-0.0159</v>
      </c>
      <c r="LZ72" s="182" t="n"/>
      <c r="MA72" s="295" t="n"/>
      <c r="MB72" s="184">
        <f>C72</f>
        <v/>
      </c>
      <c r="MC72" s="185" t="n">
        <v>1120017.69</v>
      </c>
      <c r="MD72" s="13">
        <f>MC73</f>
        <v/>
      </c>
      <c r="ME72" s="13">
        <f>MC72-MD72</f>
        <v/>
      </c>
      <c r="MF72" s="193">
        <f>ME72/MD72</f>
        <v/>
      </c>
      <c r="MG72" s="182" t="n">
        <v>-0.0034</v>
      </c>
      <c r="MH72" s="182" t="n"/>
      <c r="MI72" s="182" t="n"/>
      <c r="MJ72" s="182" t="n"/>
      <c r="MK72" s="184">
        <f>C72</f>
        <v/>
      </c>
      <c r="ML72" s="296" t="n">
        <v>159225.5354</v>
      </c>
      <c r="MM72" s="13">
        <f>ML73</f>
        <v/>
      </c>
      <c r="MN72" s="13">
        <f>ML72-MM72</f>
        <v/>
      </c>
      <c r="MO72" s="193">
        <f>MN72/MM72</f>
        <v/>
      </c>
      <c r="MP72" s="182" t="n">
        <v>0.0344</v>
      </c>
      <c r="MQ72" s="190" t="n"/>
      <c r="MR72" s="190" t="n"/>
      <c r="MS72" s="188" t="n"/>
      <c r="MT72" s="274">
        <f>C72</f>
        <v/>
      </c>
      <c r="MU72" s="188" t="n">
        <v>139214.8</v>
      </c>
      <c r="MV72" s="188">
        <f>MU73</f>
        <v/>
      </c>
      <c r="MW72" s="188">
        <f>MU72-MV72</f>
        <v/>
      </c>
      <c r="MX72" s="271">
        <f>MW72/MV72</f>
        <v/>
      </c>
      <c r="MY72" s="182" t="n">
        <v>0.0036</v>
      </c>
      <c r="MZ72" s="182" t="n"/>
      <c r="NA72" s="182" t="n"/>
      <c r="NB72" s="188" t="n"/>
      <c r="NC72" s="188">
        <f>C72</f>
        <v/>
      </c>
      <c r="ND72" s="188" t="n">
        <v>33891.48</v>
      </c>
      <c r="NE72" s="188">
        <f>ND73</f>
        <v/>
      </c>
      <c r="NF72" s="188">
        <f>ND72-NE72</f>
        <v/>
      </c>
      <c r="NG72" s="271">
        <f>NF72/NE72</f>
        <v/>
      </c>
      <c r="NH72" s="182" t="n">
        <v>0.0069</v>
      </c>
      <c r="NI72" s="182" t="n"/>
      <c r="NJ72" s="182" t="n"/>
      <c r="NK72" s="182" t="n"/>
      <c r="NL72" s="188" t="n"/>
      <c r="NM72" s="188">
        <f>C72</f>
        <v/>
      </c>
      <c r="NN72" s="188" t="n">
        <v>2858011.08</v>
      </c>
      <c r="NO72" s="9">
        <f>NN73</f>
        <v/>
      </c>
      <c r="NP72" s="188">
        <f>NN72-NO72</f>
        <v/>
      </c>
      <c r="NQ72" s="271">
        <f>NP72/NO72</f>
        <v/>
      </c>
      <c r="NR72" s="272" t="n">
        <v>-0.0224</v>
      </c>
      <c r="NS72" s="188" t="n"/>
      <c r="NT72" s="273" t="n"/>
      <c r="NU72" s="188">
        <f>C72</f>
        <v/>
      </c>
      <c r="NV72" s="188" t="n">
        <v>252076.5</v>
      </c>
      <c r="NW72" s="188">
        <f>NV73</f>
        <v/>
      </c>
      <c r="NX72" s="188">
        <f>NV72-NW72</f>
        <v/>
      </c>
      <c r="NY72" s="271">
        <f>NX72/NW72</f>
        <v/>
      </c>
      <c r="NZ72" s="190" t="n">
        <v>-0.003</v>
      </c>
      <c r="OA72" s="295" t="n"/>
      <c r="OB72" s="295" t="n"/>
      <c r="OC72" s="184">
        <f>C72</f>
        <v/>
      </c>
      <c r="OD72" s="185" t="n">
        <v>15853.97</v>
      </c>
      <c r="OE72" s="13">
        <f>OD73</f>
        <v/>
      </c>
      <c r="OF72" s="13">
        <f>OD72-OE72</f>
        <v/>
      </c>
      <c r="OG72" s="193">
        <f>OF72/OE72</f>
        <v/>
      </c>
      <c r="OH72" s="182" t="n">
        <v>0.0013</v>
      </c>
      <c r="OI72" s="182" t="n"/>
      <c r="OJ72" s="295" t="n"/>
      <c r="OK72" s="184">
        <f>C72</f>
        <v/>
      </c>
      <c r="OL72" s="185" t="n">
        <v>15153.65</v>
      </c>
      <c r="OM72" s="13">
        <f>OL73</f>
        <v/>
      </c>
      <c r="ON72" s="13">
        <f>OL72-OM72</f>
        <v/>
      </c>
      <c r="OO72" s="193">
        <f>ON72/OM72</f>
        <v/>
      </c>
      <c r="OP72" s="182" t="n">
        <v>0.0005</v>
      </c>
      <c r="OQ72" s="182" t="n"/>
      <c r="OT72" s="201">
        <f>OK72</f>
        <v/>
      </c>
      <c r="OU72" s="199" t="n">
        <v>153912.4066</v>
      </c>
      <c r="OV72" s="9">
        <f>OU73</f>
        <v/>
      </c>
      <c r="OW72" s="671">
        <f>OU72-OV72</f>
        <v/>
      </c>
      <c r="OX72" s="182">
        <f>OW72/OV72</f>
        <v/>
      </c>
      <c r="OY72" s="0" t="n">
        <v>0.0053</v>
      </c>
    </row>
    <row r="73" ht="17" customFormat="1" customHeight="1" s="9">
      <c r="A73" s="631" t="n"/>
      <c r="B73" s="631" t="n"/>
      <c r="C73" s="680" t="inlineStr">
        <is>
          <t>2026//8/3</t>
        </is>
      </c>
      <c r="D73" s="20" t="n">
        <v>2705808.77</v>
      </c>
      <c r="E73" s="20">
        <f>D74</f>
        <v/>
      </c>
      <c r="F73" s="20">
        <f>D73-E73</f>
        <v/>
      </c>
      <c r="G73" s="163">
        <f>F73/E73</f>
        <v/>
      </c>
      <c r="H73" s="19" t="n">
        <v>-0.0116</v>
      </c>
      <c r="I73" s="163" t="n"/>
      <c r="J73" s="163" t="n"/>
      <c r="K73" s="20">
        <f>C73</f>
        <v/>
      </c>
      <c r="L73" s="20" t="n">
        <v>1179604.4</v>
      </c>
      <c r="M73" s="20">
        <f>L74</f>
        <v/>
      </c>
      <c r="N73" s="20">
        <f>L73-M73</f>
        <v/>
      </c>
      <c r="O73" s="163">
        <f>N73/M73</f>
        <v/>
      </c>
      <c r="P73" s="19" t="n">
        <v>-0.0102</v>
      </c>
      <c r="Q73" s="163" t="n"/>
      <c r="R73" s="20" t="n"/>
      <c r="S73" s="20">
        <f>C73</f>
        <v/>
      </c>
      <c r="T73" s="20" t="n">
        <v>767766.6800000001</v>
      </c>
      <c r="U73" s="20">
        <f>T74</f>
        <v/>
      </c>
      <c r="V73" s="20">
        <f>T73-U73</f>
        <v/>
      </c>
      <c r="W73" s="163">
        <f>V73/U73</f>
        <v/>
      </c>
      <c r="X73" s="19" t="n">
        <v>-0.0142</v>
      </c>
      <c r="Y73" s="163" t="n"/>
      <c r="Z73" s="20" t="n"/>
      <c r="AA73" s="20">
        <f>S73</f>
        <v/>
      </c>
      <c r="AB73" s="20" t="n">
        <v>631176.86</v>
      </c>
      <c r="AC73" s="20">
        <f>AB74</f>
        <v/>
      </c>
      <c r="AD73" s="20">
        <f>AB73-AC73</f>
        <v/>
      </c>
      <c r="AE73" s="163">
        <f>AD73/AC73</f>
        <v/>
      </c>
      <c r="AF73" s="19" t="n">
        <v>-0.0107</v>
      </c>
      <c r="AG73" s="163" t="n"/>
      <c r="AH73" s="20" t="n"/>
      <c r="AI73" s="20">
        <f>C73</f>
        <v/>
      </c>
      <c r="AJ73" s="20" t="n">
        <v>1174121.76</v>
      </c>
      <c r="AK73" s="20">
        <f>AJ74</f>
        <v/>
      </c>
      <c r="AL73" s="20">
        <f>AJ73-AK73</f>
        <v/>
      </c>
      <c r="AM73" s="163">
        <f>AL73/AK73</f>
        <v/>
      </c>
      <c r="AN73" s="19" t="n">
        <v>0.001</v>
      </c>
      <c r="AO73" s="19" t="n"/>
      <c r="AP73" s="20" t="n"/>
      <c r="AQ73" s="20">
        <f>C73</f>
        <v/>
      </c>
      <c r="AR73" s="634" t="n">
        <v>2035945.4936</v>
      </c>
      <c r="AS73" s="20">
        <f>AR74</f>
        <v/>
      </c>
      <c r="AT73" s="20">
        <f>AR73-AS73</f>
        <v/>
      </c>
      <c r="AU73" s="163">
        <f>AT73/AS73</f>
        <v/>
      </c>
      <c r="AV73" s="19" t="n">
        <v>-0.0128</v>
      </c>
      <c r="AW73" s="19" t="n"/>
      <c r="AX73" s="5" t="n"/>
      <c r="AY73" s="188" t="n"/>
      <c r="AZ73" s="188">
        <f>C73</f>
        <v/>
      </c>
      <c r="BA73" s="188" t="n">
        <v>670521.6676</v>
      </c>
      <c r="BB73" s="188">
        <f>BA74</f>
        <v/>
      </c>
      <c r="BC73" s="188">
        <f>BA73-BB73</f>
        <v/>
      </c>
      <c r="BD73" s="271">
        <f>BC73/BB73</f>
        <v/>
      </c>
      <c r="BE73" s="19" t="n">
        <v>-0.0103</v>
      </c>
      <c r="BF73" s="19" t="n"/>
      <c r="BG73" s="647" t="n"/>
      <c r="BH73" s="184">
        <f>C73</f>
        <v/>
      </c>
      <c r="BI73" s="221" t="n">
        <v>1218926.5525</v>
      </c>
      <c r="BJ73" s="184">
        <f>BI74</f>
        <v/>
      </c>
      <c r="BK73" s="184">
        <f>BI73-BJ73</f>
        <v/>
      </c>
      <c r="BL73" s="190">
        <f>BK73/BJ73</f>
        <v/>
      </c>
      <c r="BM73" s="191" t="n">
        <v>0.017</v>
      </c>
      <c r="BN73" s="182" t="n"/>
      <c r="BO73" s="295" t="n"/>
      <c r="BP73" s="184">
        <f>C73</f>
        <v/>
      </c>
      <c r="BQ73" s="296" t="n">
        <v>1249262.3921</v>
      </c>
      <c r="BR73" s="13">
        <f>BQ74</f>
        <v/>
      </c>
      <c r="BS73" s="13">
        <f>BQ73-BR73</f>
        <v/>
      </c>
      <c r="BT73" s="193">
        <f>BS73/BR73</f>
        <v/>
      </c>
      <c r="BU73" s="182" t="n">
        <v>0.0028</v>
      </c>
      <c r="BV73" s="182" t="n"/>
      <c r="BW73" s="295" t="n"/>
      <c r="BX73" s="184">
        <f>C73</f>
        <v/>
      </c>
      <c r="BY73" s="222" t="n">
        <v>1808660.7019</v>
      </c>
      <c r="BZ73" s="13">
        <f>BY74</f>
        <v/>
      </c>
      <c r="CA73" s="13">
        <f>BY73-BZ73</f>
        <v/>
      </c>
      <c r="CB73" s="193">
        <f>CA73/BZ73</f>
        <v/>
      </c>
      <c r="CC73" s="182" t="n">
        <v>-0.0038</v>
      </c>
      <c r="CD73" s="194" t="n"/>
      <c r="CE73" s="295" t="n"/>
      <c r="CF73" s="184">
        <f>C73</f>
        <v/>
      </c>
      <c r="CG73" s="185" t="n">
        <v>1292253.9</v>
      </c>
      <c r="CH73" s="13">
        <f>CG74</f>
        <v/>
      </c>
      <c r="CI73" s="13">
        <f>CG73-CH73</f>
        <v/>
      </c>
      <c r="CJ73" s="193">
        <f>CI73/CH73</f>
        <v/>
      </c>
      <c r="CK73" s="182" t="n">
        <v>-0.0078</v>
      </c>
      <c r="CL73" s="194" t="n"/>
      <c r="CM73" s="295" t="n"/>
      <c r="CN73" s="184">
        <f>C73</f>
        <v/>
      </c>
      <c r="CO73" s="185" t="n">
        <v>525546.48</v>
      </c>
      <c r="CP73" s="13">
        <f>CO74</f>
        <v/>
      </c>
      <c r="CQ73" s="13">
        <f>CO73-CP73</f>
        <v/>
      </c>
      <c r="CR73" s="193">
        <f>CQ73/CP73</f>
        <v/>
      </c>
      <c r="CS73" s="194" t="n">
        <v>-0.0063</v>
      </c>
      <c r="CT73" s="194" t="n"/>
      <c r="CU73" s="295" t="n"/>
      <c r="CV73" s="184">
        <f>C73</f>
        <v/>
      </c>
      <c r="CW73" s="185" t="n">
        <v>699490.4</v>
      </c>
      <c r="CX73" s="13">
        <f>CW74</f>
        <v/>
      </c>
      <c r="CY73" s="13">
        <f>CW73-CX73</f>
        <v/>
      </c>
      <c r="CZ73" s="193">
        <f>CY73/CX73</f>
        <v/>
      </c>
      <c r="DA73" s="182" t="n">
        <v>-0.007900000000000001</v>
      </c>
      <c r="DB73" s="182" t="n"/>
      <c r="DC73" s="256" t="n"/>
      <c r="DD73" s="184">
        <f>C73</f>
        <v/>
      </c>
      <c r="DE73" s="222" t="n">
        <v>5861035.9972</v>
      </c>
      <c r="DF73" s="13">
        <f>DE74</f>
        <v/>
      </c>
      <c r="DG73" s="13">
        <f>DE73-DF73</f>
        <v/>
      </c>
      <c r="DH73" s="193">
        <f>DG73/DF73</f>
        <v/>
      </c>
      <c r="DI73" s="182" t="n">
        <v>-0.097</v>
      </c>
      <c r="DJ73" s="182" t="n"/>
      <c r="DK73" s="295" t="n"/>
      <c r="DL73" s="184">
        <f>C73</f>
        <v/>
      </c>
      <c r="DM73" s="185" t="n">
        <v>2029800.72</v>
      </c>
      <c r="DN73" s="13">
        <f>DM74</f>
        <v/>
      </c>
      <c r="DO73" s="13">
        <f>DM73-DN73</f>
        <v/>
      </c>
      <c r="DP73" s="193">
        <f>DO73/DN73</f>
        <v/>
      </c>
      <c r="DQ73" s="182" t="n">
        <v>-0.0716</v>
      </c>
      <c r="DR73" s="182" t="n"/>
      <c r="DS73" s="295" t="n"/>
      <c r="DT73" s="184">
        <f>C73</f>
        <v/>
      </c>
      <c r="DU73" s="185" t="n">
        <v>4458418.43</v>
      </c>
      <c r="DV73" s="13">
        <f>DU74</f>
        <v/>
      </c>
      <c r="DW73" s="13">
        <f>DU73-DV73</f>
        <v/>
      </c>
      <c r="DX73" s="193">
        <f>DW73/DV73</f>
        <v/>
      </c>
      <c r="DY73" s="182" t="n">
        <v>-0.0664</v>
      </c>
      <c r="DZ73" s="182" t="n"/>
      <c r="EA73" s="295" t="n"/>
      <c r="EB73" s="184">
        <f>C73</f>
        <v/>
      </c>
      <c r="EC73" s="185" t="n">
        <v>5384066.82</v>
      </c>
      <c r="ED73" s="13">
        <f>EC74</f>
        <v/>
      </c>
      <c r="EE73" s="13">
        <f>EC73-ED73</f>
        <v/>
      </c>
      <c r="EF73" s="193">
        <f>EE73/ED73</f>
        <v/>
      </c>
      <c r="EG73" s="182" t="n">
        <v>-0.0532</v>
      </c>
      <c r="EH73" s="182" t="n"/>
      <c r="EI73" s="295" t="n"/>
      <c r="EJ73" s="184">
        <f>C73</f>
        <v/>
      </c>
      <c r="EK73" s="222" t="n">
        <v>1154722.9669</v>
      </c>
      <c r="EL73" s="13">
        <f>EK74</f>
        <v/>
      </c>
      <c r="EM73" s="13">
        <f>EK73-EL73</f>
        <v/>
      </c>
      <c r="EN73" s="193">
        <f>EM73/EL73</f>
        <v/>
      </c>
      <c r="EO73" s="182" t="n">
        <v>-0.0249</v>
      </c>
      <c r="EP73" s="182" t="n"/>
      <c r="EQ73" s="295" t="n"/>
      <c r="ER73" s="184">
        <f>C73</f>
        <v/>
      </c>
      <c r="ES73" s="9" t="n">
        <v>735094.04</v>
      </c>
      <c r="ET73" s="13">
        <f>ES74</f>
        <v/>
      </c>
      <c r="EU73" s="13">
        <f>ES73-ET73</f>
        <v/>
      </c>
      <c r="EV73" s="193">
        <f>EU73/ET73</f>
        <v/>
      </c>
      <c r="EW73" s="182" t="n">
        <v>-0.0242</v>
      </c>
      <c r="EX73" s="182" t="n"/>
      <c r="EY73" s="295" t="n"/>
      <c r="EZ73" s="184">
        <f>C73</f>
        <v/>
      </c>
      <c r="FA73" s="185" t="n">
        <v>591508</v>
      </c>
      <c r="FB73" s="13">
        <f>FA74</f>
        <v/>
      </c>
      <c r="FC73" s="13">
        <f>FA73-FB73</f>
        <v/>
      </c>
      <c r="FD73" s="193">
        <f>FC73/FB73</f>
        <v/>
      </c>
      <c r="FE73" s="182" t="n">
        <v>0.0073</v>
      </c>
      <c r="FF73" s="182" t="n"/>
      <c r="FH73" s="184">
        <f>C73</f>
        <v/>
      </c>
      <c r="FI73" s="672" t="n">
        <v>1089695.3365</v>
      </c>
      <c r="FJ73" s="13">
        <f>FI74</f>
        <v/>
      </c>
      <c r="FK73" s="13">
        <f>FI73-FJ73</f>
        <v/>
      </c>
      <c r="FL73" s="193">
        <f>FK73/FJ73</f>
        <v/>
      </c>
      <c r="FM73" s="194" t="n">
        <v>0.0216</v>
      </c>
      <c r="FN73" s="194" t="n"/>
      <c r="FO73" s="295" t="n"/>
      <c r="FP73" s="184">
        <f>C73</f>
        <v/>
      </c>
      <c r="FQ73" s="185" t="n">
        <v>1853968.73</v>
      </c>
      <c r="FR73" s="13">
        <f>FQ74</f>
        <v/>
      </c>
      <c r="FS73" s="13">
        <f>FQ73-FR73</f>
        <v/>
      </c>
      <c r="FT73" s="193">
        <f>FS73/FR73</f>
        <v/>
      </c>
      <c r="FU73" s="182" t="n">
        <v>0.0094</v>
      </c>
      <c r="FV73" s="182" t="n"/>
      <c r="FW73" s="295" t="n"/>
      <c r="FX73" s="184">
        <f>C73</f>
        <v/>
      </c>
      <c r="FY73" s="185" t="n">
        <v>7912682.05</v>
      </c>
      <c r="FZ73" s="13">
        <f>FY74</f>
        <v/>
      </c>
      <c r="GA73" s="13">
        <f>FY73-FZ73</f>
        <v/>
      </c>
      <c r="GB73" s="193">
        <f>GA73/FZ73</f>
        <v/>
      </c>
      <c r="GC73" s="182" t="n">
        <v>-0.0061</v>
      </c>
      <c r="GD73" s="182" t="n"/>
      <c r="GE73" s="295" t="n"/>
      <c r="GF73" s="184">
        <f>C73</f>
        <v/>
      </c>
      <c r="GG73" s="185" t="n">
        <v>4579569.49</v>
      </c>
      <c r="GH73" s="13">
        <f>GG74</f>
        <v/>
      </c>
      <c r="GI73" s="13">
        <f>GG73-GH73</f>
        <v/>
      </c>
      <c r="GJ73" s="193">
        <f>GI73/GH73</f>
        <v/>
      </c>
      <c r="GK73" s="182" t="n">
        <v>-0.008</v>
      </c>
      <c r="GL73" s="182" t="n"/>
      <c r="GM73" s="295" t="n"/>
      <c r="GN73" s="184">
        <f>C73</f>
        <v/>
      </c>
      <c r="GO73" s="222" t="n">
        <v>2020018.1217</v>
      </c>
      <c r="GP73" s="13">
        <f>GO74</f>
        <v/>
      </c>
      <c r="GQ73" s="13">
        <f>GO73-GP73</f>
        <v/>
      </c>
      <c r="GR73" s="193">
        <f>GQ73/GP73</f>
        <v/>
      </c>
      <c r="GS73" s="182" t="n">
        <v>-0.0166</v>
      </c>
      <c r="GT73" s="182" t="n"/>
      <c r="GU73" s="295" t="n"/>
      <c r="GV73" s="184">
        <f>C73</f>
        <v/>
      </c>
      <c r="GW73" s="185" t="n">
        <v>610349.4</v>
      </c>
      <c r="GX73" s="13">
        <f>GW74</f>
        <v/>
      </c>
      <c r="GY73" s="13">
        <f>GW73-GX73</f>
        <v/>
      </c>
      <c r="GZ73" s="193">
        <f>GY73/GX73</f>
        <v/>
      </c>
      <c r="HA73" s="182" t="n">
        <v>0.0196</v>
      </c>
      <c r="HB73" s="182" t="n"/>
      <c r="HC73" s="295" t="n"/>
      <c r="HD73" s="184">
        <f>C73</f>
        <v/>
      </c>
      <c r="HE73" s="222" t="n">
        <v>937164.6746</v>
      </c>
      <c r="HF73" s="13">
        <f>HE74</f>
        <v/>
      </c>
      <c r="HG73" s="13">
        <f>HE73-HF73</f>
        <v/>
      </c>
      <c r="HH73" s="193">
        <f>HG73/HF73</f>
        <v/>
      </c>
      <c r="HI73" s="194" t="n">
        <v>-0.0063</v>
      </c>
      <c r="HJ73" s="182" t="n"/>
      <c r="HK73" s="295" t="n"/>
      <c r="HL73" s="184">
        <f>C73</f>
        <v/>
      </c>
      <c r="HM73" s="185" t="n">
        <v>117404.25</v>
      </c>
      <c r="HN73" s="13">
        <f>HM74</f>
        <v/>
      </c>
      <c r="HO73" s="13">
        <f>HM73-HN73</f>
        <v/>
      </c>
      <c r="HP73" s="193">
        <f>HO73/HN73</f>
        <v/>
      </c>
      <c r="HQ73" s="182" t="n">
        <v>0.0027</v>
      </c>
      <c r="HR73" s="182" t="n"/>
      <c r="HS73" s="295" t="n"/>
      <c r="HT73" s="184">
        <f>C73</f>
        <v/>
      </c>
      <c r="HU73" s="222" t="n">
        <v>130468.8265</v>
      </c>
      <c r="HV73" s="13">
        <f>HU74</f>
        <v/>
      </c>
      <c r="HW73" s="13">
        <f>HU73-HV73</f>
        <v/>
      </c>
      <c r="HX73" s="193">
        <f>HW73/HV73</f>
        <v/>
      </c>
      <c r="HY73" s="182" t="n">
        <v>0.0056</v>
      </c>
      <c r="HZ73" s="182" t="n"/>
      <c r="IA73" s="295" t="n"/>
      <c r="IB73" s="184">
        <f>C73</f>
        <v/>
      </c>
      <c r="IC73" s="185" t="n">
        <v>279484.79</v>
      </c>
      <c r="ID73" s="13">
        <f>IC74</f>
        <v/>
      </c>
      <c r="IE73" s="13">
        <f>IC73-ID73</f>
        <v/>
      </c>
      <c r="IF73" s="193">
        <f>IE73/ID73</f>
        <v/>
      </c>
      <c r="IG73" s="194" t="n">
        <v>0.0051</v>
      </c>
      <c r="IH73" s="182" t="n"/>
      <c r="II73" s="295" t="n"/>
      <c r="IJ73" s="184">
        <f>C73</f>
        <v/>
      </c>
      <c r="IK73" s="222" t="n">
        <v>1016156.29</v>
      </c>
      <c r="IL73" s="13">
        <f>IK74</f>
        <v/>
      </c>
      <c r="IM73" s="13">
        <f>IK73-IL73</f>
        <v/>
      </c>
      <c r="IN73" s="193">
        <f>IM73/IL73</f>
        <v/>
      </c>
      <c r="IO73" s="182" t="n">
        <v>0.0131</v>
      </c>
      <c r="IP73" s="182" t="n"/>
      <c r="IQ73" s="295" t="n"/>
      <c r="IR73" s="184">
        <f>C73</f>
        <v/>
      </c>
      <c r="IS73" s="185" t="n">
        <v>152989</v>
      </c>
      <c r="IT73" s="13">
        <f>IS74</f>
        <v/>
      </c>
      <c r="IU73" s="13">
        <f>IS73-IT73</f>
        <v/>
      </c>
      <c r="IV73" s="193">
        <f>IU73/IT73</f>
        <v/>
      </c>
      <c r="IW73" s="182" t="n">
        <v>-0.0036</v>
      </c>
      <c r="IX73" s="182" t="n"/>
      <c r="IY73" s="295" t="n"/>
      <c r="IZ73" s="184">
        <f>C73</f>
        <v/>
      </c>
      <c r="JA73" s="185" t="n">
        <v>5702929.15</v>
      </c>
      <c r="JB73" s="13">
        <f>JA74</f>
        <v/>
      </c>
      <c r="JC73" s="13">
        <f>JA73-JB73</f>
        <v/>
      </c>
      <c r="JD73" s="193">
        <f>JC73/JB73</f>
        <v/>
      </c>
      <c r="JE73" s="182" t="n">
        <v>-0.0018</v>
      </c>
      <c r="JF73" s="182" t="n"/>
      <c r="JG73" s="295" t="n"/>
      <c r="JH73" s="184">
        <f>C73</f>
        <v/>
      </c>
      <c r="JI73" s="185" t="n">
        <v>1296507.99</v>
      </c>
      <c r="JJ73" s="13">
        <f>JI74</f>
        <v/>
      </c>
      <c r="JK73" s="13">
        <f>JI73-JJ73</f>
        <v/>
      </c>
      <c r="JL73" s="193">
        <f>JK73/JJ73</f>
        <v/>
      </c>
      <c r="JM73" s="182" t="n">
        <v>-0.006</v>
      </c>
      <c r="JN73" s="182" t="n"/>
      <c r="JP73" s="184">
        <f>C73</f>
        <v/>
      </c>
      <c r="JQ73" s="222" t="n">
        <v>1049290.4148</v>
      </c>
      <c r="JR73" s="13">
        <f>JQ74</f>
        <v/>
      </c>
      <c r="JS73" s="13">
        <f>JQ73-JR73</f>
        <v/>
      </c>
      <c r="JT73" s="193">
        <f>JS73/JR73</f>
        <v/>
      </c>
      <c r="JU73" s="182" t="n">
        <v>0.0016</v>
      </c>
      <c r="JV73" s="194" t="n"/>
      <c r="JX73" s="184">
        <f>C73</f>
        <v/>
      </c>
      <c r="JY73" s="185" t="n">
        <v>1016798.8</v>
      </c>
      <c r="JZ73" s="13">
        <f>JY74</f>
        <v/>
      </c>
      <c r="KA73" s="13">
        <f>JY73-JZ73</f>
        <v/>
      </c>
      <c r="KB73" s="193">
        <f>KA73/JZ73</f>
        <v/>
      </c>
      <c r="KC73" s="182" t="n">
        <v>-0.0049</v>
      </c>
      <c r="KD73" s="194" t="n"/>
      <c r="KF73" s="184">
        <f>C73</f>
        <v/>
      </c>
      <c r="KG73" s="222" t="n">
        <v>646755.9219</v>
      </c>
      <c r="KH73" s="13">
        <f>KG74</f>
        <v/>
      </c>
      <c r="KI73" s="13">
        <f>KG73-KH73</f>
        <v/>
      </c>
      <c r="KJ73" s="193">
        <f>KI73/KH73</f>
        <v/>
      </c>
      <c r="KK73" s="194" t="n">
        <v>0.008500000000000001</v>
      </c>
      <c r="KL73" s="194" t="n"/>
      <c r="KM73" s="295" t="n"/>
      <c r="KN73" s="184">
        <f>C73</f>
        <v/>
      </c>
      <c r="KO73" s="185" t="n">
        <v>6982875.95</v>
      </c>
      <c r="KP73" s="13">
        <f>KO74</f>
        <v/>
      </c>
      <c r="KQ73" s="13">
        <f>KO73-KP73</f>
        <v/>
      </c>
      <c r="KR73" s="193">
        <f>KQ73/KP73</f>
        <v/>
      </c>
      <c r="KS73" s="182" t="n">
        <v>0.009900000000000001</v>
      </c>
      <c r="KT73" s="182" t="n"/>
      <c r="KU73" s="295" t="n"/>
      <c r="KV73" s="184">
        <f>C73</f>
        <v/>
      </c>
      <c r="KW73" s="222" t="n">
        <v>1102472.9726</v>
      </c>
      <c r="KX73" s="13">
        <f>KW74</f>
        <v/>
      </c>
      <c r="KY73" s="13">
        <f>KW73-KX73</f>
        <v/>
      </c>
      <c r="KZ73" s="193">
        <f>KY73/KX73</f>
        <v/>
      </c>
      <c r="LA73" s="194" t="n">
        <v>-0.0195</v>
      </c>
      <c r="LB73" s="182" t="n"/>
      <c r="LC73" s="295" t="n"/>
      <c r="LD73" s="184">
        <f>C73</f>
        <v/>
      </c>
      <c r="LE73" s="185" t="n">
        <v>371157.7</v>
      </c>
      <c r="LF73" s="13">
        <f>LE74</f>
        <v/>
      </c>
      <c r="LG73" s="13">
        <f>LE73-LF73</f>
        <v/>
      </c>
      <c r="LH73" s="193">
        <f>LG73/LF73</f>
        <v/>
      </c>
      <c r="LI73" s="182" t="n">
        <v>0.0116</v>
      </c>
      <c r="LJ73" s="182" t="n"/>
      <c r="LK73" s="295" t="n"/>
      <c r="LL73" s="184">
        <f>C73</f>
        <v/>
      </c>
      <c r="LM73" s="672" t="n">
        <v>3287995.02</v>
      </c>
      <c r="LN73" s="13">
        <f>LM74</f>
        <v/>
      </c>
      <c r="LO73" s="13">
        <f>LM73-LN73</f>
        <v/>
      </c>
      <c r="LP73" s="193">
        <f>LO73/LN73</f>
        <v/>
      </c>
      <c r="LQ73" s="182" t="n">
        <v>-0.011</v>
      </c>
      <c r="LR73" s="182" t="n"/>
      <c r="LS73" s="295" t="n"/>
      <c r="LT73" s="184">
        <f>C73</f>
        <v/>
      </c>
      <c r="LU73" s="222" t="n">
        <v>2334062.904</v>
      </c>
      <c r="LV73" s="13">
        <f>LU74</f>
        <v/>
      </c>
      <c r="LW73" s="13">
        <f>LU73-LV73</f>
        <v/>
      </c>
      <c r="LX73" s="193">
        <f>LW73/LV73</f>
        <v/>
      </c>
      <c r="LY73" s="182" t="n">
        <v>-0.01</v>
      </c>
      <c r="LZ73" s="182" t="n"/>
      <c r="MA73" s="295" t="n"/>
      <c r="MB73" s="184">
        <f>C73</f>
        <v/>
      </c>
      <c r="MC73" s="185" t="n">
        <v>1160467.69</v>
      </c>
      <c r="MD73" s="13">
        <f>MC74</f>
        <v/>
      </c>
      <c r="ME73" s="13">
        <f>MC73-MD73</f>
        <v/>
      </c>
      <c r="MF73" s="193">
        <f>ME73/MD73</f>
        <v/>
      </c>
      <c r="MG73" s="182" t="n">
        <v>-0.0192</v>
      </c>
      <c r="MH73" s="182" t="n"/>
      <c r="MI73" s="182" t="n"/>
      <c r="MJ73" s="182" t="n"/>
      <c r="MK73" s="184">
        <f>C73</f>
        <v/>
      </c>
      <c r="ML73" s="223" t="n">
        <v>158385.5354</v>
      </c>
      <c r="MM73" s="13">
        <f>ML74</f>
        <v/>
      </c>
      <c r="MN73" s="13">
        <f>ML73-MM73</f>
        <v/>
      </c>
      <c r="MO73" s="193">
        <f>MN73/MM73</f>
        <v/>
      </c>
      <c r="MP73" s="182" t="n">
        <v>-0.0113</v>
      </c>
      <c r="MQ73" s="190" t="n"/>
      <c r="MR73" s="190" t="n"/>
      <c r="MS73" s="188" t="n"/>
      <c r="MT73" s="274">
        <f>C73</f>
        <v/>
      </c>
      <c r="MU73" s="188" t="n">
        <v>140014.8</v>
      </c>
      <c r="MV73" s="188">
        <f>MU74</f>
        <v/>
      </c>
      <c r="MW73" s="188">
        <f>MU73-MV73</f>
        <v/>
      </c>
      <c r="MX73" s="271">
        <f>MW73/MV73</f>
        <v/>
      </c>
      <c r="MY73" s="182" t="n">
        <v>-0.0021</v>
      </c>
      <c r="MZ73" s="182" t="n"/>
      <c r="NA73" s="182" t="n"/>
      <c r="NB73" s="188" t="n"/>
      <c r="NC73" s="188">
        <f>C73</f>
        <v/>
      </c>
      <c r="ND73" s="188" t="n">
        <v>33891.48</v>
      </c>
      <c r="NE73" s="188">
        <f>ND74</f>
        <v/>
      </c>
      <c r="NF73" s="188">
        <f>ND73-NE73</f>
        <v/>
      </c>
      <c r="NG73" s="271">
        <f>NF73/NE73</f>
        <v/>
      </c>
      <c r="NH73" s="182" t="n">
        <v>-0.0083</v>
      </c>
      <c r="NI73" s="182" t="n"/>
      <c r="NJ73" s="182" t="n"/>
      <c r="NK73" s="182" t="n"/>
      <c r="NL73" s="188" t="n"/>
      <c r="NM73" s="188">
        <f>C73</f>
        <v/>
      </c>
      <c r="NN73" s="188" t="n">
        <v>2884511.08</v>
      </c>
      <c r="NO73" s="9">
        <f>NN74</f>
        <v/>
      </c>
      <c r="NP73" s="188">
        <f>NN73-NO73</f>
        <v/>
      </c>
      <c r="NQ73" s="271">
        <f>NP73/NO73</f>
        <v/>
      </c>
      <c r="NR73" s="272" t="n">
        <v>-0.0008</v>
      </c>
      <c r="NS73" s="188" t="n"/>
      <c r="NT73" s="273" t="n"/>
      <c r="NU73" s="188">
        <f>C73</f>
        <v/>
      </c>
      <c r="NV73" s="188" t="n">
        <v>254976.5</v>
      </c>
      <c r="NW73" s="188">
        <f>NV74</f>
        <v/>
      </c>
      <c r="NX73" s="188">
        <f>NV73-NW73</f>
        <v/>
      </c>
      <c r="NY73" s="271">
        <f>NX73/NW73</f>
        <v/>
      </c>
      <c r="NZ73" s="190" t="n">
        <v>-0.003</v>
      </c>
      <c r="OA73" s="295" t="n"/>
      <c r="OB73" s="295" t="n"/>
      <c r="OC73" s="184">
        <f>C73</f>
        <v/>
      </c>
      <c r="OD73" s="185" t="n">
        <v>15872.97</v>
      </c>
      <c r="OE73" s="13">
        <f>OD74</f>
        <v/>
      </c>
      <c r="OF73" s="13">
        <f>OD73-OE73</f>
        <v/>
      </c>
      <c r="OG73" s="193">
        <f>OF73/OE73</f>
        <v/>
      </c>
      <c r="OH73" s="182" t="n">
        <v>0.0013</v>
      </c>
      <c r="OI73" s="182" t="n"/>
      <c r="OJ73" s="295" t="n"/>
      <c r="OK73" s="184">
        <f>C73</f>
        <v/>
      </c>
      <c r="OL73" s="185" t="n">
        <v>15072.65</v>
      </c>
      <c r="OM73" s="13">
        <f>OL74</f>
        <v/>
      </c>
      <c r="ON73" s="13">
        <f>OL73-OM73</f>
        <v/>
      </c>
      <c r="OO73" s="193">
        <f>ON73/OM73</f>
        <v/>
      </c>
      <c r="OP73" s="182" t="n">
        <v>0</v>
      </c>
      <c r="OQ73" s="182" t="n"/>
      <c r="OT73" s="201">
        <f>OK73</f>
        <v/>
      </c>
      <c r="OU73" s="199" t="n">
        <v>153792.4066</v>
      </c>
      <c r="OV73" s="9">
        <f>OU74</f>
        <v/>
      </c>
      <c r="OW73" s="671">
        <f>OU73-OV73</f>
        <v/>
      </c>
      <c r="OX73" s="182">
        <f>OW73/OV73</f>
        <v/>
      </c>
      <c r="OY73" s="0" t="n">
        <v>0.0034</v>
      </c>
    </row>
    <row r="74" ht="17" customFormat="1" customHeight="1" s="9">
      <c r="A74" s="631" t="n"/>
      <c r="B74" s="631" t="n"/>
      <c r="C74" s="680" t="inlineStr">
        <is>
          <t>2026//7/31</t>
        </is>
      </c>
      <c r="D74" s="20" t="n">
        <v>2646678.77</v>
      </c>
      <c r="E74" s="20">
        <f>D75</f>
        <v/>
      </c>
      <c r="F74" s="20">
        <f>D74-E74</f>
        <v/>
      </c>
      <c r="G74" s="163">
        <f>F74/E74</f>
        <v/>
      </c>
      <c r="H74" s="19" t="n">
        <v>0.0104</v>
      </c>
      <c r="I74" s="163" t="n"/>
      <c r="J74" s="163" t="n"/>
      <c r="K74" s="20">
        <f>C74</f>
        <v/>
      </c>
      <c r="L74" s="20" t="n">
        <v>1166284.4</v>
      </c>
      <c r="M74" s="20">
        <f>L75</f>
        <v/>
      </c>
      <c r="N74" s="20">
        <f>L74-M74</f>
        <v/>
      </c>
      <c r="O74" s="163">
        <f>N74/M74</f>
        <v/>
      </c>
      <c r="P74" s="19" t="n">
        <v>0.0092</v>
      </c>
      <c r="Q74" s="163" t="n"/>
      <c r="R74" s="20" t="n"/>
      <c r="S74" s="20">
        <f>C74</f>
        <v/>
      </c>
      <c r="T74" s="20" t="n">
        <v>721416.6800000001</v>
      </c>
      <c r="U74" s="20">
        <f>T75</f>
        <v/>
      </c>
      <c r="V74" s="20">
        <f>T74-U74</f>
        <v/>
      </c>
      <c r="W74" s="163">
        <f>V74/U74</f>
        <v/>
      </c>
      <c r="X74" s="19" t="n">
        <v>0.0023</v>
      </c>
      <c r="Y74" s="163" t="n"/>
      <c r="Z74" s="20" t="n"/>
      <c r="AA74" s="20">
        <f>S74</f>
        <v/>
      </c>
      <c r="AB74" s="20" t="n">
        <v>618816.86</v>
      </c>
      <c r="AC74" s="20">
        <f>AB75</f>
        <v/>
      </c>
      <c r="AD74" s="20">
        <f>AB74-AC74</f>
        <v/>
      </c>
      <c r="AE74" s="163">
        <f>AD74/AC74</f>
        <v/>
      </c>
      <c r="AF74" s="19" t="n">
        <v>0.0224</v>
      </c>
      <c r="AG74" s="163" t="n"/>
      <c r="AH74" s="20" t="n"/>
      <c r="AI74" s="20">
        <f>C74</f>
        <v/>
      </c>
      <c r="AJ74" s="20" t="n">
        <v>1140121.76</v>
      </c>
      <c r="AK74" s="20">
        <f>AJ75</f>
        <v/>
      </c>
      <c r="AL74" s="20">
        <f>AJ74-AK74</f>
        <v/>
      </c>
      <c r="AM74" s="163">
        <f>AL74/AK74</f>
        <v/>
      </c>
      <c r="AN74" s="19" t="n">
        <v>0.0236</v>
      </c>
      <c r="AO74" s="19" t="n"/>
      <c r="AP74" s="20" t="n"/>
      <c r="AQ74" s="20">
        <f>C74</f>
        <v/>
      </c>
      <c r="AR74" s="634" t="n">
        <v>2039745.4936</v>
      </c>
      <c r="AS74" s="20">
        <f>AR75</f>
        <v/>
      </c>
      <c r="AT74" s="20">
        <f>AR74-AS74</f>
        <v/>
      </c>
      <c r="AU74" s="163">
        <f>AT74/AS74</f>
        <v/>
      </c>
      <c r="AV74" s="19" t="n">
        <v>0.03</v>
      </c>
      <c r="AW74" s="19" t="n"/>
      <c r="AX74" s="5" t="n"/>
      <c r="AY74" s="188" t="n"/>
      <c r="AZ74" s="188">
        <f>C74</f>
        <v/>
      </c>
      <c r="BA74" s="188" t="n">
        <v>660891.6676</v>
      </c>
      <c r="BB74" s="188">
        <f>BA75</f>
        <v/>
      </c>
      <c r="BC74" s="188">
        <f>BA74-BB74</f>
        <v/>
      </c>
      <c r="BD74" s="271">
        <f>BC74/BB74</f>
        <v/>
      </c>
      <c r="BE74" s="19" t="n">
        <v>0.011</v>
      </c>
      <c r="BF74" s="19" t="n"/>
      <c r="BG74" s="647" t="n"/>
      <c r="BH74" s="184">
        <f>C74</f>
        <v/>
      </c>
      <c r="BI74" s="221" t="n">
        <v>1207426.5525</v>
      </c>
      <c r="BJ74" s="184">
        <f>BI75</f>
        <v/>
      </c>
      <c r="BK74" s="184">
        <f>BI74-BJ74</f>
        <v/>
      </c>
      <c r="BL74" s="190">
        <f>BK74/BJ74</f>
        <v/>
      </c>
      <c r="BM74" s="191" t="n">
        <v>0.018</v>
      </c>
      <c r="BN74" s="182" t="n"/>
      <c r="BO74" s="295" t="n"/>
      <c r="BP74" s="184">
        <f>C74</f>
        <v/>
      </c>
      <c r="BQ74" s="672" t="n">
        <v>1192962.3921</v>
      </c>
      <c r="BR74" s="13">
        <f>BQ75</f>
        <v/>
      </c>
      <c r="BS74" s="13">
        <f>BQ74-BR74</f>
        <v/>
      </c>
      <c r="BT74" s="193">
        <f>BS74/BR74</f>
        <v/>
      </c>
      <c r="BU74" s="182" t="n">
        <v>0.06270000000000001</v>
      </c>
      <c r="BV74" s="182" t="n"/>
      <c r="BW74" s="295" t="n"/>
      <c r="BX74" s="184">
        <f>C74</f>
        <v/>
      </c>
      <c r="BY74" s="222" t="n">
        <v>1820710.7019</v>
      </c>
      <c r="BZ74" s="13">
        <f>BY75</f>
        <v/>
      </c>
      <c r="CA74" s="13">
        <f>BY74-BZ74</f>
        <v/>
      </c>
      <c r="CB74" s="193">
        <f>CA74/BZ74</f>
        <v/>
      </c>
      <c r="CC74" s="182" t="n">
        <v>-0.0013</v>
      </c>
      <c r="CD74" s="194" t="n"/>
      <c r="CE74" s="295" t="n"/>
      <c r="CF74" s="184">
        <f>C74</f>
        <v/>
      </c>
      <c r="CG74" s="185" t="n">
        <v>1287003.9</v>
      </c>
      <c r="CH74" s="13">
        <f>CG75</f>
        <v/>
      </c>
      <c r="CI74" s="13">
        <f>CG74-CH74</f>
        <v/>
      </c>
      <c r="CJ74" s="193">
        <f>CI74/CH74</f>
        <v/>
      </c>
      <c r="CK74" s="182" t="n">
        <v>0.0258</v>
      </c>
      <c r="CL74" s="194" t="n"/>
      <c r="CM74" s="295" t="n"/>
      <c r="CN74" s="184">
        <f>C74</f>
        <v/>
      </c>
      <c r="CO74" s="185" t="n">
        <v>523946.48</v>
      </c>
      <c r="CP74" s="13">
        <f>CO75</f>
        <v/>
      </c>
      <c r="CQ74" s="13">
        <f>CO74-CP74</f>
        <v/>
      </c>
      <c r="CR74" s="193">
        <f>CQ74/CP74</f>
        <v/>
      </c>
      <c r="CS74" s="194" t="n">
        <v>0.0251</v>
      </c>
      <c r="CT74" s="194" t="n"/>
      <c r="CU74" s="295" t="n"/>
      <c r="CV74" s="184">
        <f>C74</f>
        <v/>
      </c>
      <c r="CW74" s="185" t="n">
        <v>686990.4</v>
      </c>
      <c r="CX74" s="13">
        <f>CW75</f>
        <v/>
      </c>
      <c r="CY74" s="13">
        <f>CW74-CX74</f>
        <v/>
      </c>
      <c r="CZ74" s="193">
        <f>CY74/CX74</f>
        <v/>
      </c>
      <c r="DA74" s="182" t="n">
        <v>0.0305</v>
      </c>
      <c r="DB74" s="182" t="n"/>
      <c r="DC74" s="256" t="n"/>
      <c r="DD74" s="184">
        <f>C74</f>
        <v/>
      </c>
      <c r="DE74" s="222" t="n">
        <v>5657035.9972</v>
      </c>
      <c r="DF74" s="13">
        <f>DE75</f>
        <v/>
      </c>
      <c r="DG74" s="13">
        <f>DE74-DF74</f>
        <v/>
      </c>
      <c r="DH74" s="193">
        <f>DG74/DF74</f>
        <v/>
      </c>
      <c r="DI74" s="182" t="n">
        <v>0.0308</v>
      </c>
      <c r="DJ74" s="182" t="n"/>
      <c r="DK74" s="295" t="n"/>
      <c r="DL74" s="184">
        <f>C74</f>
        <v/>
      </c>
      <c r="DM74" s="185" t="n">
        <v>1932200.72</v>
      </c>
      <c r="DN74" s="13">
        <f>DM75</f>
        <v/>
      </c>
      <c r="DO74" s="13">
        <f>DM74-DN74</f>
        <v/>
      </c>
      <c r="DP74" s="193">
        <f>DO74/DN74</f>
        <v/>
      </c>
      <c r="DQ74" s="182" t="n">
        <v>0.0355</v>
      </c>
      <c r="DR74" s="182" t="n"/>
      <c r="DS74" s="295" t="n"/>
      <c r="DT74" s="184">
        <f>C74</f>
        <v/>
      </c>
      <c r="DU74" s="185" t="n">
        <v>4381018.43</v>
      </c>
      <c r="DV74" s="13">
        <f>DU75</f>
        <v/>
      </c>
      <c r="DW74" s="13">
        <f>DU74-DV74</f>
        <v/>
      </c>
      <c r="DX74" s="193">
        <f>DW74/DV74</f>
        <v/>
      </c>
      <c r="DY74" s="182" t="n">
        <v>0.0353</v>
      </c>
      <c r="DZ74" s="182" t="n"/>
      <c r="EA74" s="295" t="n"/>
      <c r="EB74" s="184">
        <f>C74</f>
        <v/>
      </c>
      <c r="EC74" s="185" t="n">
        <v>5143466.82</v>
      </c>
      <c r="ED74" s="13">
        <f>EC75</f>
        <v/>
      </c>
      <c r="EE74" s="13">
        <f>EC74-ED74</f>
        <v/>
      </c>
      <c r="EF74" s="193">
        <f>EE74/ED74</f>
        <v/>
      </c>
      <c r="EG74" s="182" t="n">
        <v>0.0354</v>
      </c>
      <c r="EH74" s="182" t="n"/>
      <c r="EI74" s="295" t="n"/>
      <c r="EJ74" s="184">
        <f>C74</f>
        <v/>
      </c>
      <c r="EK74" s="222" t="n">
        <v>1151122.9669</v>
      </c>
      <c r="EL74" s="13">
        <f>EK75</f>
        <v/>
      </c>
      <c r="EM74" s="13">
        <f>EK74-EL74</f>
        <v/>
      </c>
      <c r="EN74" s="193">
        <f>EM74/EL74</f>
        <v/>
      </c>
      <c r="EO74" s="182" t="n">
        <v>0.0569</v>
      </c>
      <c r="EP74" s="182" t="n"/>
      <c r="EQ74" s="295" t="n"/>
      <c r="ER74" s="184">
        <f>C74</f>
        <v/>
      </c>
      <c r="ES74" s="9" t="n">
        <v>738294.04</v>
      </c>
      <c r="ET74" s="13">
        <f>ES75</f>
        <v/>
      </c>
      <c r="EU74" s="13">
        <f>ES74-ET74</f>
        <v/>
      </c>
      <c r="EV74" s="193">
        <f>EU74/ET74</f>
        <v/>
      </c>
      <c r="EW74" s="182" t="n">
        <v>0.0578</v>
      </c>
      <c r="EX74" s="182" t="n"/>
      <c r="EY74" s="295" t="n"/>
      <c r="EZ74" s="184">
        <f>C74</f>
        <v/>
      </c>
      <c r="FA74" s="185" t="n">
        <v>585808</v>
      </c>
      <c r="FB74" s="13">
        <f>FA75</f>
        <v/>
      </c>
      <c r="FC74" s="13">
        <f>FA74-FB74</f>
        <v/>
      </c>
      <c r="FD74" s="193">
        <f>FC74/FB74</f>
        <v/>
      </c>
      <c r="FE74" s="182" t="n">
        <v>0.0186</v>
      </c>
      <c r="FF74" s="182" t="n"/>
      <c r="FH74" s="184">
        <f>C74</f>
        <v/>
      </c>
      <c r="FI74" s="672" t="n">
        <v>1084695.3365</v>
      </c>
      <c r="FJ74" s="13">
        <f>FI75</f>
        <v/>
      </c>
      <c r="FK74" s="13">
        <f>FI74-FJ74</f>
        <v/>
      </c>
      <c r="FL74" s="193">
        <f>FK74/FJ74</f>
        <v/>
      </c>
      <c r="FM74" s="194" t="n">
        <v>0.0382</v>
      </c>
      <c r="FN74" s="194" t="n"/>
      <c r="FO74" s="295" t="n"/>
      <c r="FP74" s="184">
        <f>C74</f>
        <v/>
      </c>
      <c r="FQ74" s="185" t="n">
        <v>1840918.73</v>
      </c>
      <c r="FR74" s="13">
        <f>FQ75</f>
        <v/>
      </c>
      <c r="FS74" s="13">
        <f>FQ74-FR74</f>
        <v/>
      </c>
      <c r="FT74" s="193">
        <f>FS74/FR74</f>
        <v/>
      </c>
      <c r="FU74" s="182" t="n">
        <v>0.0587</v>
      </c>
      <c r="FV74" s="182" t="n"/>
      <c r="FW74" s="295" t="n"/>
      <c r="FX74" s="184">
        <f>C74</f>
        <v/>
      </c>
      <c r="FY74" s="185" t="n">
        <v>7899582.05</v>
      </c>
      <c r="FZ74" s="13">
        <f>FY75</f>
        <v/>
      </c>
      <c r="GA74" s="13">
        <f>FY74-FZ74</f>
        <v/>
      </c>
      <c r="GB74" s="193">
        <f>GA74/FZ74</f>
        <v/>
      </c>
      <c r="GC74" s="182" t="n">
        <v>0.0154</v>
      </c>
      <c r="GD74" s="182" t="n"/>
      <c r="GE74" s="295" t="n"/>
      <c r="GF74" s="184">
        <f>C74</f>
        <v/>
      </c>
      <c r="GG74" s="185" t="n">
        <v>4568569.49</v>
      </c>
      <c r="GH74" s="13">
        <f>GG75</f>
        <v/>
      </c>
      <c r="GI74" s="13">
        <f>GG74-GH74</f>
        <v/>
      </c>
      <c r="GJ74" s="193">
        <f>GI74/GH74</f>
        <v/>
      </c>
      <c r="GK74" s="182" t="n">
        <v>0.0027</v>
      </c>
      <c r="GL74" s="182" t="n"/>
      <c r="GM74" s="295" t="n"/>
      <c r="GN74" s="184">
        <f>C74</f>
        <v/>
      </c>
      <c r="GO74" s="222" t="n">
        <v>2002318.1217</v>
      </c>
      <c r="GP74" s="13">
        <f>GO75</f>
        <v/>
      </c>
      <c r="GQ74" s="13">
        <f>GO74-GP74</f>
        <v/>
      </c>
      <c r="GR74" s="193">
        <f>GQ74/GP74</f>
        <v/>
      </c>
      <c r="GS74" s="182" t="n">
        <v>0.0157</v>
      </c>
      <c r="GT74" s="182" t="n"/>
      <c r="GU74" s="295" t="n"/>
      <c r="GV74" s="184">
        <f>C74</f>
        <v/>
      </c>
      <c r="GW74" s="185" t="n">
        <v>614349.4</v>
      </c>
      <c r="GX74" s="13">
        <f>GW75</f>
        <v/>
      </c>
      <c r="GY74" s="13">
        <f>GW74-GX74</f>
        <v/>
      </c>
      <c r="GZ74" s="193">
        <f>GY74/GX74</f>
        <v/>
      </c>
      <c r="HA74" s="182" t="n">
        <v>0.0149</v>
      </c>
      <c r="HB74" s="182" t="n"/>
      <c r="HC74" s="295" t="n"/>
      <c r="HD74" s="184">
        <f>C74</f>
        <v/>
      </c>
      <c r="HE74" s="222" t="n">
        <v>937964.6746</v>
      </c>
      <c r="HF74" s="13">
        <f>HE75</f>
        <v/>
      </c>
      <c r="HG74" s="13">
        <f>HE74-HF74</f>
        <v/>
      </c>
      <c r="HH74" s="193">
        <f>HG74/HF74</f>
        <v/>
      </c>
      <c r="HI74" s="194" t="n">
        <v>0.0053</v>
      </c>
      <c r="HJ74" s="182" t="n"/>
      <c r="HK74" s="295" t="n"/>
      <c r="HL74" s="184">
        <f>C74</f>
        <v/>
      </c>
      <c r="HM74" s="185" t="n">
        <v>115904.25</v>
      </c>
      <c r="HN74" s="13">
        <f>HM75</f>
        <v/>
      </c>
      <c r="HO74" s="13">
        <f>HM74-HN74</f>
        <v/>
      </c>
      <c r="HP74" s="193">
        <f>HO74/HN74</f>
        <v/>
      </c>
      <c r="HQ74" s="182" t="n">
        <v>0.0185</v>
      </c>
      <c r="HR74" s="182" t="n"/>
      <c r="HS74" s="295" t="n"/>
      <c r="HT74" s="184">
        <f>C74</f>
        <v/>
      </c>
      <c r="HU74" s="222" t="n">
        <v>134368.8265</v>
      </c>
      <c r="HV74" s="13">
        <f>HU75</f>
        <v/>
      </c>
      <c r="HW74" s="13">
        <f>HU74-HV74</f>
        <v/>
      </c>
      <c r="HX74" s="193">
        <f>HW74/HV74</f>
        <v/>
      </c>
      <c r="HY74" s="182" t="n">
        <v>0</v>
      </c>
      <c r="HZ74" s="182" t="n"/>
      <c r="IA74" s="295" t="n"/>
      <c r="IB74" s="184">
        <f>C74</f>
        <v/>
      </c>
      <c r="IC74" s="185" t="n">
        <v>278659.79</v>
      </c>
      <c r="ID74" s="13">
        <f>IC75</f>
        <v/>
      </c>
      <c r="IE74" s="13">
        <f>IC74-ID74</f>
        <v/>
      </c>
      <c r="IF74" s="193">
        <f>IE74/ID74</f>
        <v/>
      </c>
      <c r="IG74" s="194" t="n">
        <v>0.0119</v>
      </c>
      <c r="IH74" s="182" t="n"/>
      <c r="II74" s="295" t="n"/>
      <c r="IJ74" s="184">
        <f>C74</f>
        <v/>
      </c>
      <c r="IK74" s="222" t="n">
        <v>1017036.29</v>
      </c>
      <c r="IL74" s="13">
        <f>IK75</f>
        <v/>
      </c>
      <c r="IM74" s="13">
        <f>IK74-IL74</f>
        <v/>
      </c>
      <c r="IN74" s="193">
        <f>IM74/IL74</f>
        <v/>
      </c>
      <c r="IO74" s="182" t="n">
        <v>0</v>
      </c>
      <c r="IP74" s="182" t="n"/>
      <c r="IQ74" s="295" t="n"/>
      <c r="IR74" s="184">
        <f>C74</f>
        <v/>
      </c>
      <c r="IS74" s="185" t="n">
        <v>149989</v>
      </c>
      <c r="IT74" s="13">
        <f>IS75</f>
        <v/>
      </c>
      <c r="IU74" s="13">
        <f>IS74-IT74</f>
        <v/>
      </c>
      <c r="IV74" s="193">
        <f>IU74/IT74</f>
        <v/>
      </c>
      <c r="IW74" s="182" t="n">
        <v>0.0712</v>
      </c>
      <c r="IX74" s="182" t="n"/>
      <c r="IY74" s="295" t="n"/>
      <c r="IZ74" s="184">
        <f>C74</f>
        <v/>
      </c>
      <c r="JA74" s="185" t="n">
        <v>5693629.15</v>
      </c>
      <c r="JB74" s="13">
        <f>JA75</f>
        <v/>
      </c>
      <c r="JC74" s="13">
        <f>JA74-JB74</f>
        <v/>
      </c>
      <c r="JD74" s="193">
        <f>JC74/JB74</f>
        <v/>
      </c>
      <c r="JE74" s="182" t="n">
        <v>0.0009</v>
      </c>
      <c r="JF74" s="182" t="n"/>
      <c r="JG74" s="295" t="n"/>
      <c r="JH74" s="184">
        <f>C74</f>
        <v/>
      </c>
      <c r="JI74" s="185" t="n">
        <v>1309527.99</v>
      </c>
      <c r="JJ74" s="13">
        <f>JI75</f>
        <v/>
      </c>
      <c r="JK74" s="13">
        <f>JI74-JJ74</f>
        <v/>
      </c>
      <c r="JL74" s="193">
        <f>JK74/JJ74</f>
        <v/>
      </c>
      <c r="JM74" s="182" t="n">
        <v>-0.0048</v>
      </c>
      <c r="JN74" s="182" t="n"/>
      <c r="JP74" s="184">
        <f>C74</f>
        <v/>
      </c>
      <c r="JQ74" s="222" t="n">
        <v>1050390.4148</v>
      </c>
      <c r="JR74" s="13">
        <f>JQ75</f>
        <v/>
      </c>
      <c r="JS74" s="13">
        <f>JQ74-JR74</f>
        <v/>
      </c>
      <c r="JT74" s="193">
        <f>JS74/JR74</f>
        <v/>
      </c>
      <c r="JU74" s="182" t="n">
        <v>0.0378</v>
      </c>
      <c r="JV74" s="194" t="n"/>
      <c r="JX74" s="184">
        <f>C74</f>
        <v/>
      </c>
      <c r="JY74" s="185" t="n">
        <v>1016448.8</v>
      </c>
      <c r="JZ74" s="13">
        <f>JY75</f>
        <v/>
      </c>
      <c r="KA74" s="13">
        <f>JY74-JZ74</f>
        <v/>
      </c>
      <c r="KB74" s="193">
        <f>KA74/JZ74</f>
        <v/>
      </c>
      <c r="KC74" s="182" t="n">
        <v>0.0022</v>
      </c>
      <c r="KD74" s="194" t="n"/>
      <c r="KF74" s="184">
        <f>C74</f>
        <v/>
      </c>
      <c r="KG74" s="222" t="n">
        <v>646755.9219</v>
      </c>
      <c r="KH74" s="13">
        <f>KG75</f>
        <v/>
      </c>
      <c r="KI74" s="13">
        <f>KG74-KH74</f>
        <v/>
      </c>
      <c r="KJ74" s="193">
        <f>KI74/KH74</f>
        <v/>
      </c>
      <c r="KK74" s="194" t="n">
        <v>-0.0065</v>
      </c>
      <c r="KL74" s="194" t="n"/>
      <c r="KM74" s="295" t="n"/>
      <c r="KN74" s="184">
        <f>C74</f>
        <v/>
      </c>
      <c r="KO74" s="185" t="n">
        <v>6982875.95</v>
      </c>
      <c r="KP74" s="13">
        <f>KO75</f>
        <v/>
      </c>
      <c r="KQ74" s="13">
        <f>KO74-KP74</f>
        <v/>
      </c>
      <c r="KR74" s="193">
        <f>KQ74/KP74</f>
        <v/>
      </c>
      <c r="KS74" s="182" t="n">
        <v>0</v>
      </c>
      <c r="KT74" s="182" t="n"/>
      <c r="KU74" s="295" t="n"/>
      <c r="KV74" s="184">
        <f>C74</f>
        <v/>
      </c>
      <c r="KW74" s="222" t="n">
        <v>1102672.9726</v>
      </c>
      <c r="KX74" s="13">
        <f>KW75</f>
        <v/>
      </c>
      <c r="KY74" s="13">
        <f>KW74-KX74</f>
        <v/>
      </c>
      <c r="KZ74" s="193">
        <f>KY74/KX74</f>
        <v/>
      </c>
      <c r="LA74" s="194" t="n">
        <v>-0.0045</v>
      </c>
      <c r="LB74" s="182" t="n"/>
      <c r="LC74" s="295" t="n"/>
      <c r="LD74" s="184">
        <f>C74</f>
        <v/>
      </c>
      <c r="LE74" s="297" t="n">
        <v>370757.7</v>
      </c>
      <c r="LF74" s="13">
        <f>LE75</f>
        <v/>
      </c>
      <c r="LG74" s="13">
        <f>LE74-LF74</f>
        <v/>
      </c>
      <c r="LH74" s="193">
        <f>LG74/LF74</f>
        <v/>
      </c>
      <c r="LI74" s="182" t="n">
        <v>0.0219</v>
      </c>
      <c r="LJ74" s="182" t="n"/>
      <c r="LK74" s="295" t="n"/>
      <c r="LL74" s="184">
        <f>C74</f>
        <v/>
      </c>
      <c r="LM74" s="672" t="n">
        <v>3289795.02</v>
      </c>
      <c r="LN74" s="13">
        <f>LM75</f>
        <v/>
      </c>
      <c r="LO74" s="13">
        <f>LM74-LN74</f>
        <v/>
      </c>
      <c r="LP74" s="193">
        <f>LO74/LN74</f>
        <v/>
      </c>
      <c r="LQ74" s="182" t="n">
        <v>0.0022</v>
      </c>
      <c r="LR74" s="182" t="n"/>
      <c r="LS74" s="295" t="n"/>
      <c r="LT74" s="184">
        <f>C74</f>
        <v/>
      </c>
      <c r="LU74" s="222" t="n">
        <v>2330862.904</v>
      </c>
      <c r="LV74" s="13">
        <f>LU75</f>
        <v/>
      </c>
      <c r="LW74" s="13">
        <f>LU74-LV74</f>
        <v/>
      </c>
      <c r="LX74" s="193">
        <f>LW74/LV74</f>
        <v/>
      </c>
      <c r="LY74" s="182" t="n">
        <v>-0.0029</v>
      </c>
      <c r="LZ74" s="182" t="n"/>
      <c r="MA74" s="295" t="n"/>
      <c r="MB74" s="184">
        <f>C74</f>
        <v/>
      </c>
      <c r="MC74" s="185" t="n">
        <v>1191867.69</v>
      </c>
      <c r="MD74" s="13">
        <f>MC75</f>
        <v/>
      </c>
      <c r="ME74" s="13">
        <f>MC74-MD74</f>
        <v/>
      </c>
      <c r="MF74" s="193">
        <f>ME74/MD74</f>
        <v/>
      </c>
      <c r="MG74" s="182" t="n">
        <v>-0.0017</v>
      </c>
      <c r="MH74" s="182" t="n"/>
      <c r="MI74" s="182" t="n"/>
      <c r="MJ74" s="182" t="n"/>
      <c r="MK74" s="184">
        <f>C74</f>
        <v/>
      </c>
      <c r="ML74" s="223" t="n">
        <v>157185.5354</v>
      </c>
      <c r="MM74" s="13">
        <f>ML75</f>
        <v/>
      </c>
      <c r="MN74" s="13">
        <f>ML74-MM74</f>
        <v/>
      </c>
      <c r="MO74" s="193">
        <f>MN74/MM74</f>
        <v/>
      </c>
      <c r="MP74" s="182" t="n">
        <v>0.0589</v>
      </c>
      <c r="MQ74" s="190" t="n"/>
      <c r="MR74" s="190" t="n"/>
      <c r="MS74" s="188" t="n"/>
      <c r="MT74" s="274">
        <f>C74</f>
        <v/>
      </c>
      <c r="MU74" s="188" t="n">
        <v>141514.8</v>
      </c>
      <c r="MV74" s="188">
        <f>MU75</f>
        <v/>
      </c>
      <c r="MW74" s="188">
        <f>MU74-MV74</f>
        <v/>
      </c>
      <c r="MX74" s="271">
        <f>MW74/MV74</f>
        <v/>
      </c>
      <c r="MY74" s="182" t="n">
        <v>0.0086</v>
      </c>
      <c r="MZ74" s="182" t="n"/>
      <c r="NA74" s="182" t="n"/>
      <c r="NB74" s="188" t="n"/>
      <c r="NC74" s="188">
        <f>C74</f>
        <v/>
      </c>
      <c r="ND74" s="188" t="n">
        <v>33691.48</v>
      </c>
      <c r="NE74" s="188">
        <f>ND75</f>
        <v/>
      </c>
      <c r="NF74" s="188">
        <f>ND74-NE74</f>
        <v/>
      </c>
      <c r="NG74" s="271">
        <f>NF74/NE74</f>
        <v/>
      </c>
      <c r="NH74" s="182" t="n">
        <v>0.0123</v>
      </c>
      <c r="NI74" s="182" t="n"/>
      <c r="NJ74" s="182" t="n"/>
      <c r="NK74" s="182" t="n"/>
      <c r="NL74" s="188" t="n"/>
      <c r="NM74" s="188">
        <f>C74</f>
        <v/>
      </c>
      <c r="NN74" s="188" t="n">
        <v>2892611.08</v>
      </c>
      <c r="NO74" s="9">
        <f>NN75</f>
        <v/>
      </c>
      <c r="NP74" s="188">
        <f>NN74-NO74</f>
        <v/>
      </c>
      <c r="NQ74" s="271">
        <f>NP74/NO74</f>
        <v/>
      </c>
      <c r="NR74" s="272" t="n">
        <v>-0.0025</v>
      </c>
      <c r="NS74" s="188" t="n"/>
      <c r="NT74" s="273" t="n"/>
      <c r="NU74" s="188">
        <f>C74</f>
        <v/>
      </c>
      <c r="NV74" s="188" t="n">
        <v>256226.5</v>
      </c>
      <c r="NW74" s="188">
        <f>NV75</f>
        <v/>
      </c>
      <c r="NX74" s="188">
        <f>NV74-NW74</f>
        <v/>
      </c>
      <c r="NY74" s="271">
        <f>NX74/NW74</f>
        <v/>
      </c>
      <c r="NZ74" s="190" t="n">
        <v>0.008999999999999999</v>
      </c>
      <c r="OA74" s="295" t="n"/>
      <c r="OB74" s="295" t="n"/>
      <c r="OC74" s="184">
        <f>C74</f>
        <v/>
      </c>
      <c r="OD74" s="185" t="n">
        <v>16072.97</v>
      </c>
      <c r="OE74" s="13">
        <f>OD75</f>
        <v/>
      </c>
      <c r="OF74" s="13">
        <f>OD74-OE74</f>
        <v/>
      </c>
      <c r="OG74" s="193">
        <f>OF74/OE74</f>
        <v/>
      </c>
      <c r="OH74" s="182" t="n">
        <v>0.0034</v>
      </c>
      <c r="OI74" s="182" t="n"/>
      <c r="OJ74" s="295" t="n"/>
      <c r="OK74" s="184">
        <f>C74</f>
        <v/>
      </c>
      <c r="OL74" s="185" t="n">
        <v>15009.65</v>
      </c>
      <c r="OM74" s="13">
        <f>OL75</f>
        <v/>
      </c>
      <c r="ON74" s="13">
        <f>OL74-OM74</f>
        <v/>
      </c>
      <c r="OO74" s="193">
        <f>ON74/OM74</f>
        <v/>
      </c>
      <c r="OP74" s="182" t="n">
        <v>0.0008</v>
      </c>
      <c r="OQ74" s="182" t="n"/>
      <c r="OT74" s="201">
        <f>OK74</f>
        <v/>
      </c>
      <c r="OU74" s="199" t="n">
        <v>153672.4066</v>
      </c>
      <c r="OV74" s="9">
        <f>OU75</f>
        <v/>
      </c>
      <c r="OW74" s="671">
        <f>OU74-OV74</f>
        <v/>
      </c>
      <c r="OX74" s="182">
        <f>OW74/OV74</f>
        <v/>
      </c>
      <c r="OY74" s="0" t="n">
        <v>-0.0005</v>
      </c>
    </row>
    <row r="75" ht="17" customFormat="1" customHeight="1" s="13">
      <c r="A75" s="631" t="n"/>
      <c r="B75" s="631" t="n"/>
      <c r="C75" s="680" t="inlineStr">
        <is>
          <t>2026//7/30</t>
        </is>
      </c>
      <c r="D75" s="215" t="n">
        <v>2648388.77</v>
      </c>
      <c r="E75" s="20">
        <f>D76</f>
        <v/>
      </c>
      <c r="F75" s="20">
        <f>D75-E75</f>
        <v/>
      </c>
      <c r="G75" s="163">
        <f>F75/E75</f>
        <v/>
      </c>
      <c r="H75" s="19" t="n">
        <v>-0.0112</v>
      </c>
      <c r="I75" s="163" t="n"/>
      <c r="J75" s="163" t="n"/>
      <c r="K75" s="20">
        <f>C75</f>
        <v/>
      </c>
      <c r="L75" s="215" t="n">
        <v>1165834.4</v>
      </c>
      <c r="M75" s="20">
        <f>L76</f>
        <v/>
      </c>
      <c r="N75" s="20">
        <f>L75-M75</f>
        <v/>
      </c>
      <c r="O75" s="163">
        <f>N75/M75</f>
        <v/>
      </c>
      <c r="P75" s="19" t="n">
        <v>-0.0111</v>
      </c>
      <c r="Q75" s="163" t="n"/>
      <c r="R75" s="20" t="n"/>
      <c r="S75" s="20">
        <f>C75</f>
        <v/>
      </c>
      <c r="T75" s="20" t="n">
        <v>714486.6800000001</v>
      </c>
      <c r="U75" s="20">
        <f>T76</f>
        <v/>
      </c>
      <c r="V75" s="20">
        <f>T75-U75</f>
        <v/>
      </c>
      <c r="W75" s="163">
        <f>V75/U75</f>
        <v/>
      </c>
      <c r="X75" s="19" t="n">
        <v>0.001</v>
      </c>
      <c r="Y75" s="163" t="n"/>
      <c r="Z75" s="20" t="n"/>
      <c r="AA75" s="20">
        <f>S75</f>
        <v/>
      </c>
      <c r="AB75" s="20" t="n">
        <v>598816.86</v>
      </c>
      <c r="AC75" s="20">
        <f>AB76</f>
        <v/>
      </c>
      <c r="AD75" s="20">
        <f>AB75-AC75</f>
        <v/>
      </c>
      <c r="AE75" s="163">
        <f>AD75/AC75</f>
        <v/>
      </c>
      <c r="AF75" s="19" t="n">
        <v>-0.0271</v>
      </c>
      <c r="AG75" s="163" t="n"/>
      <c r="AH75" s="20" t="n"/>
      <c r="AI75" s="20">
        <f>C75</f>
        <v/>
      </c>
      <c r="AJ75" s="20" t="n">
        <v>1133121.76</v>
      </c>
      <c r="AK75" s="20">
        <f>AJ76</f>
        <v/>
      </c>
      <c r="AL75" s="20">
        <f>AJ75-AK75</f>
        <v/>
      </c>
      <c r="AM75" s="163">
        <f>AL75/AK75</f>
        <v/>
      </c>
      <c r="AN75" s="19" t="n">
        <v>-0.0278</v>
      </c>
      <c r="AO75" s="19" t="n"/>
      <c r="AP75" s="20" t="n"/>
      <c r="AQ75" s="20">
        <f>C75</f>
        <v/>
      </c>
      <c r="AR75" s="634" t="n">
        <v>2199645.4936</v>
      </c>
      <c r="AS75" s="20">
        <f>AR76</f>
        <v/>
      </c>
      <c r="AT75" s="20">
        <f>AR75-AS75</f>
        <v/>
      </c>
      <c r="AU75" s="163">
        <f>AT75/AS75</f>
        <v/>
      </c>
      <c r="AV75" s="19" t="n">
        <v>-0.0388</v>
      </c>
      <c r="AW75" s="19" t="n"/>
      <c r="AX75" s="5" t="n"/>
      <c r="AY75" s="188" t="n"/>
      <c r="AZ75" s="188">
        <f>C75</f>
        <v/>
      </c>
      <c r="BA75" s="188" t="n">
        <v>654411.6676</v>
      </c>
      <c r="BB75" s="188">
        <f>BA76</f>
        <v/>
      </c>
      <c r="BC75" s="188">
        <f>BA75-BB75</f>
        <v/>
      </c>
      <c r="BD75" s="271">
        <f>BC75/BB75</f>
        <v/>
      </c>
      <c r="BE75" s="19" t="n">
        <v>-0.0121</v>
      </c>
      <c r="BF75" s="19" t="n"/>
      <c r="BG75" s="683" t="n"/>
      <c r="BH75" s="184">
        <f>C75</f>
        <v/>
      </c>
      <c r="BI75" s="299" t="n">
        <v>1214126.5525</v>
      </c>
      <c r="BJ75" s="184">
        <f>BI76</f>
        <v/>
      </c>
      <c r="BK75" s="184">
        <f>BI75-BJ75</f>
        <v/>
      </c>
      <c r="BL75" s="190">
        <f>BK75/BJ75</f>
        <v/>
      </c>
      <c r="BM75" s="190" t="n">
        <v>-0.0268</v>
      </c>
      <c r="BN75" s="193" t="n"/>
      <c r="BO75" s="295" t="n"/>
      <c r="BP75" s="184">
        <f>C75</f>
        <v/>
      </c>
      <c r="BQ75" s="684" t="n">
        <v>1170262.3921</v>
      </c>
      <c r="BR75" s="13">
        <f>BQ76</f>
        <v/>
      </c>
      <c r="BS75" s="13">
        <f>BQ75-BR75</f>
        <v/>
      </c>
      <c r="BT75" s="193">
        <f>BS75/BR75</f>
        <v/>
      </c>
      <c r="BU75" s="193" t="n">
        <v>0.0015</v>
      </c>
      <c r="BV75" s="193" t="n"/>
      <c r="BW75" s="295" t="n"/>
      <c r="BX75" s="184">
        <f>C75</f>
        <v/>
      </c>
      <c r="BY75" s="301" t="n">
        <v>1824160.7019</v>
      </c>
      <c r="BZ75" s="13">
        <f>BY76</f>
        <v/>
      </c>
      <c r="CA75" s="13">
        <f>BY75-BZ75</f>
        <v/>
      </c>
      <c r="CB75" s="193">
        <f>CA75/BZ75</f>
        <v/>
      </c>
      <c r="CC75" s="193" t="n">
        <v>-0.0038</v>
      </c>
      <c r="CD75" s="193" t="n"/>
      <c r="CE75" s="295" t="n"/>
      <c r="CF75" s="184">
        <f>C75</f>
        <v/>
      </c>
      <c r="CG75" s="297" t="n">
        <v>1284403.9</v>
      </c>
      <c r="CH75" s="13">
        <f>CG76</f>
        <v/>
      </c>
      <c r="CI75" s="13">
        <f>CG75-CH75</f>
        <v/>
      </c>
      <c r="CJ75" s="193">
        <f>CI75/CH75</f>
        <v/>
      </c>
      <c r="CK75" s="193" t="n">
        <v>-0.0119</v>
      </c>
      <c r="CL75" s="193" t="n"/>
      <c r="CM75" s="295" t="n"/>
      <c r="CN75" s="184">
        <f>C75</f>
        <v/>
      </c>
      <c r="CO75" s="13" t="n">
        <v>524846.48</v>
      </c>
      <c r="CP75" s="13">
        <f>CO76</f>
        <v/>
      </c>
      <c r="CQ75" s="13">
        <f>CO75-CP75</f>
        <v/>
      </c>
      <c r="CR75" s="193">
        <f>CQ75/CP75</f>
        <v/>
      </c>
      <c r="CS75" s="193" t="n">
        <v>-0.008699999999999999</v>
      </c>
      <c r="CT75" s="193" t="n"/>
      <c r="CU75" s="295" t="n"/>
      <c r="CV75" s="184">
        <f>C75</f>
        <v/>
      </c>
      <c r="CW75" s="13" t="n">
        <v>673840.4</v>
      </c>
      <c r="CX75" s="13">
        <f>CW76</f>
        <v/>
      </c>
      <c r="CY75" s="13">
        <f>CW75-CX75</f>
        <v/>
      </c>
      <c r="CZ75" s="193">
        <f>CY75/CX75</f>
        <v/>
      </c>
      <c r="DA75" s="193" t="n">
        <v>0</v>
      </c>
      <c r="DB75" s="193" t="n"/>
      <c r="DC75" s="256" t="n"/>
      <c r="DD75" s="184">
        <f>C75</f>
        <v/>
      </c>
      <c r="DE75" s="301" t="n">
        <v>5830135.9972</v>
      </c>
      <c r="DF75" s="13">
        <f>DE76</f>
        <v/>
      </c>
      <c r="DG75" s="13">
        <f>DE75-DF75</f>
        <v/>
      </c>
      <c r="DH75" s="193">
        <f>DG75/DF75</f>
        <v/>
      </c>
      <c r="DI75" s="193" t="n">
        <v>-0.0793</v>
      </c>
      <c r="DJ75" s="193" t="n"/>
      <c r="DK75" s="295" t="n"/>
      <c r="DL75" s="184">
        <f>C75</f>
        <v/>
      </c>
      <c r="DM75" s="13" t="n">
        <v>2003000.72</v>
      </c>
      <c r="DN75" s="13">
        <f>DM76</f>
        <v/>
      </c>
      <c r="DO75" s="13">
        <f>DM75-DN75</f>
        <v/>
      </c>
      <c r="DP75" s="193">
        <f>DO75/DN75</f>
        <v/>
      </c>
      <c r="DQ75" s="193" t="n">
        <v>-0.0672</v>
      </c>
      <c r="DR75" s="193" t="n"/>
      <c r="DS75" s="295" t="n"/>
      <c r="DT75" s="184">
        <f>C75</f>
        <v/>
      </c>
      <c r="DU75" s="13" t="n">
        <v>4447618.43</v>
      </c>
      <c r="DV75" s="13">
        <f>DU76</f>
        <v/>
      </c>
      <c r="DW75" s="13">
        <f>DU75-DV75</f>
        <v/>
      </c>
      <c r="DX75" s="193">
        <f>DW75/DV75</f>
        <v/>
      </c>
      <c r="DY75" s="193" t="n">
        <v>-0.0771</v>
      </c>
      <c r="DZ75" s="193" t="n"/>
      <c r="EA75" s="295" t="n"/>
      <c r="EB75" s="184">
        <f>C75</f>
        <v/>
      </c>
      <c r="EC75" s="13" t="n">
        <v>5390066.82</v>
      </c>
      <c r="ED75" s="13">
        <f>EC76</f>
        <v/>
      </c>
      <c r="EE75" s="13">
        <f>EC75-ED75</f>
        <v/>
      </c>
      <c r="EF75" s="193">
        <f>EE75/ED75</f>
        <v/>
      </c>
      <c r="EG75" s="193" t="n">
        <v>-0.0602</v>
      </c>
      <c r="EH75" s="193" t="n"/>
      <c r="EI75" s="295" t="n"/>
      <c r="EJ75" s="184">
        <f>C75</f>
        <v/>
      </c>
      <c r="EK75" s="301" t="n">
        <v>1174522.9669</v>
      </c>
      <c r="EL75" s="13">
        <f>EK76</f>
        <v/>
      </c>
      <c r="EM75" s="13">
        <f>EK75-EL75</f>
        <v/>
      </c>
      <c r="EN75" s="193">
        <f>EM75/EL75</f>
        <v/>
      </c>
      <c r="EO75" s="193" t="n">
        <v>-0.0629</v>
      </c>
      <c r="EP75" s="193" t="n"/>
      <c r="EQ75" s="295" t="n"/>
      <c r="ER75" s="184">
        <f>C75</f>
        <v/>
      </c>
      <c r="ES75" s="13" t="n">
        <v>753494.04</v>
      </c>
      <c r="ET75" s="13">
        <f>ES76</f>
        <v/>
      </c>
      <c r="EU75" s="13">
        <f>ES75-ET75</f>
        <v/>
      </c>
      <c r="EV75" s="193">
        <f>EU75/ET75</f>
        <v/>
      </c>
      <c r="EW75" s="193" t="n">
        <v>-0.063</v>
      </c>
      <c r="EX75" s="193" t="n"/>
      <c r="EY75" s="295" t="n"/>
      <c r="EZ75" s="184">
        <f>C75</f>
        <v/>
      </c>
      <c r="FA75" s="13" t="n">
        <v>590408</v>
      </c>
      <c r="FB75" s="13">
        <f>FA76</f>
        <v/>
      </c>
      <c r="FC75" s="13">
        <f>FA75-FB75</f>
        <v/>
      </c>
      <c r="FD75" s="193">
        <f>FC75/FB75</f>
        <v/>
      </c>
      <c r="FE75" s="193" t="n">
        <v>-0.0192</v>
      </c>
      <c r="FF75" s="193" t="n"/>
      <c r="FH75" s="184">
        <f>C75</f>
        <v/>
      </c>
      <c r="FI75" s="684" t="n">
        <v>1106695.3365</v>
      </c>
      <c r="FJ75" s="13">
        <f>FI76</f>
        <v/>
      </c>
      <c r="FK75" s="13">
        <f>FI75-FJ75</f>
        <v/>
      </c>
      <c r="FL75" s="193">
        <f>FK75/FJ75</f>
        <v/>
      </c>
      <c r="FM75" s="193" t="n">
        <v>-0.0467</v>
      </c>
      <c r="FN75" s="193" t="n"/>
      <c r="FO75" s="295" t="n"/>
      <c r="FP75" s="184">
        <f>C75</f>
        <v/>
      </c>
      <c r="FQ75" s="13" t="n">
        <v>1877068.73</v>
      </c>
      <c r="FR75" s="13">
        <f>FQ76</f>
        <v/>
      </c>
      <c r="FS75" s="13">
        <f>FQ75-FR75</f>
        <v/>
      </c>
      <c r="FT75" s="193">
        <f>FS75/FR75</f>
        <v/>
      </c>
      <c r="FU75" s="193" t="n">
        <v>-0.0248</v>
      </c>
      <c r="FV75" s="193" t="n"/>
      <c r="FW75" s="295" t="n"/>
      <c r="FX75" s="184">
        <f>C75</f>
        <v/>
      </c>
      <c r="FY75" s="13" t="n">
        <v>7948482.05</v>
      </c>
      <c r="FZ75" s="13">
        <f>FY76</f>
        <v/>
      </c>
      <c r="GA75" s="13">
        <f>FY75-FZ75</f>
        <v/>
      </c>
      <c r="GB75" s="193">
        <f>GA75/FZ75</f>
        <v/>
      </c>
      <c r="GC75" s="193" t="n">
        <v>-0.0031</v>
      </c>
      <c r="GD75" s="193" t="n"/>
      <c r="GE75" s="295" t="n"/>
      <c r="GF75" s="184">
        <f>C75</f>
        <v/>
      </c>
      <c r="GG75" s="13" t="n">
        <v>4580369.49</v>
      </c>
      <c r="GH75" s="13">
        <f>GG76</f>
        <v/>
      </c>
      <c r="GI75" s="13">
        <f>GG75-GH75</f>
        <v/>
      </c>
      <c r="GJ75" s="193">
        <f>GI75/GH75</f>
        <v/>
      </c>
      <c r="GK75" s="193" t="n">
        <v>0.008</v>
      </c>
      <c r="GL75" s="193" t="n"/>
      <c r="GM75" s="295" t="n"/>
      <c r="GN75" s="184">
        <f>C75</f>
        <v/>
      </c>
      <c r="GO75" s="301" t="n">
        <v>2022298.1217</v>
      </c>
      <c r="GP75" s="13">
        <f>GO76</f>
        <v/>
      </c>
      <c r="GQ75" s="13">
        <f>GO75-GP75</f>
        <v/>
      </c>
      <c r="GR75" s="193">
        <f>GQ75/GP75</f>
        <v/>
      </c>
      <c r="GS75" s="193" t="n">
        <v>-0.0235</v>
      </c>
      <c r="GT75" s="193" t="n"/>
      <c r="GU75" s="295" t="n"/>
      <c r="GV75" s="184">
        <f>C75</f>
        <v/>
      </c>
      <c r="GW75" s="13" t="n">
        <v>617349.4</v>
      </c>
      <c r="GX75" s="13">
        <f>GW76</f>
        <v/>
      </c>
      <c r="GY75" s="13">
        <f>GW75-GX75</f>
        <v/>
      </c>
      <c r="GZ75" s="193">
        <f>GY75/GX75</f>
        <v/>
      </c>
      <c r="HA75" s="193" t="n">
        <v>-0.0147</v>
      </c>
      <c r="HB75" s="193" t="n"/>
      <c r="HC75" s="295" t="n"/>
      <c r="HD75" s="184">
        <f>C75</f>
        <v/>
      </c>
      <c r="HE75" s="301" t="n">
        <v>927964.6746</v>
      </c>
      <c r="HF75" s="13">
        <f>HE76</f>
        <v/>
      </c>
      <c r="HG75" s="13">
        <f>HE75-HF75</f>
        <v/>
      </c>
      <c r="HH75" s="193">
        <f>HG75/HF75</f>
        <v/>
      </c>
      <c r="HI75" s="193" t="n">
        <v>-0.0011</v>
      </c>
      <c r="HJ75" s="193" t="n"/>
      <c r="HK75" s="295" t="n"/>
      <c r="HL75" s="184">
        <f>C75</f>
        <v/>
      </c>
      <c r="HM75" s="13" t="n">
        <v>115504.25</v>
      </c>
      <c r="HN75" s="13">
        <f>HM76</f>
        <v/>
      </c>
      <c r="HO75" s="13">
        <f>HM75-HN75</f>
        <v/>
      </c>
      <c r="HP75" s="193">
        <f>HO75/HN75</f>
        <v/>
      </c>
      <c r="HQ75" s="193" t="n">
        <v>-0.0055</v>
      </c>
      <c r="HR75" s="193" t="n"/>
      <c r="HS75" s="295" t="n"/>
      <c r="HT75" s="184">
        <f>C75</f>
        <v/>
      </c>
      <c r="HU75" s="301" t="n">
        <v>132268.8265</v>
      </c>
      <c r="HV75" s="13">
        <f>HU76</f>
        <v/>
      </c>
      <c r="HW75" s="13">
        <f>HU75-HV75</f>
        <v/>
      </c>
      <c r="HX75" s="193">
        <f>HW75/HV75</f>
        <v/>
      </c>
      <c r="HY75" s="193" t="n">
        <v>-0.0037</v>
      </c>
      <c r="HZ75" s="193" t="n"/>
      <c r="IA75" s="295" t="n"/>
      <c r="IB75" s="184">
        <f>C75</f>
        <v/>
      </c>
      <c r="IC75" s="13" t="n">
        <v>279459.79</v>
      </c>
      <c r="ID75" s="13">
        <f>IC76</f>
        <v/>
      </c>
      <c r="IE75" s="13">
        <f>IC75-ID75</f>
        <v/>
      </c>
      <c r="IF75" s="193">
        <f>IE75/ID75</f>
        <v/>
      </c>
      <c r="IG75" s="193" t="n">
        <v>-0.0034</v>
      </c>
      <c r="IH75" s="193" t="n"/>
      <c r="II75" s="295" t="n"/>
      <c r="IJ75" s="184">
        <f>C75</f>
        <v/>
      </c>
      <c r="IK75" s="301" t="n">
        <v>1026956.29</v>
      </c>
      <c r="IL75" s="13">
        <f>IK76</f>
        <v/>
      </c>
      <c r="IM75" s="13">
        <f>IK75-IL75</f>
        <v/>
      </c>
      <c r="IN75" s="193">
        <f>IM75/IL75</f>
        <v/>
      </c>
      <c r="IO75" s="193" t="n">
        <v>0.0019</v>
      </c>
      <c r="IP75" s="193" t="n"/>
      <c r="IQ75" s="295" t="n"/>
      <c r="IR75" s="184">
        <f>C75</f>
        <v/>
      </c>
      <c r="IS75" s="13" t="n">
        <v>152089</v>
      </c>
      <c r="IT75" s="13">
        <f>IS76</f>
        <v/>
      </c>
      <c r="IU75" s="13">
        <f>IS75-IT75</f>
        <v/>
      </c>
      <c r="IV75" s="193">
        <f>IU75/IT75</f>
        <v/>
      </c>
      <c r="IW75" s="193" t="n">
        <v>-0.0365</v>
      </c>
      <c r="IX75" s="193" t="n"/>
      <c r="IY75" s="295" t="n"/>
      <c r="IZ75" s="184">
        <f>C75</f>
        <v/>
      </c>
      <c r="JA75" s="297" t="n">
        <v>5691029.15</v>
      </c>
      <c r="JB75" s="13">
        <f>JA76</f>
        <v/>
      </c>
      <c r="JC75" s="13">
        <f>JA75-JB75</f>
        <v/>
      </c>
      <c r="JD75" s="193">
        <f>JC75/JB75</f>
        <v/>
      </c>
      <c r="JE75" s="193" t="n">
        <v>0</v>
      </c>
      <c r="JF75" s="193" t="n"/>
      <c r="JG75" s="295" t="n"/>
      <c r="JH75" s="184">
        <f>C75</f>
        <v/>
      </c>
      <c r="JI75" s="297" t="n">
        <v>1317507.99</v>
      </c>
      <c r="JJ75" s="13">
        <f>JI76</f>
        <v/>
      </c>
      <c r="JK75" s="13">
        <f>JI75-JJ75</f>
        <v/>
      </c>
      <c r="JL75" s="193">
        <f>JK75/JJ75</f>
        <v/>
      </c>
      <c r="JM75" s="193" t="n">
        <v>0.0256</v>
      </c>
      <c r="JN75" s="193" t="n"/>
      <c r="JP75" s="184">
        <f>C75</f>
        <v/>
      </c>
      <c r="JQ75" s="296" t="n">
        <v>1051690.4148</v>
      </c>
      <c r="JR75" s="13">
        <f>JQ76</f>
        <v/>
      </c>
      <c r="JS75" s="13">
        <f>JQ75-JR75</f>
        <v/>
      </c>
      <c r="JT75" s="193">
        <f>JS75/JR75</f>
        <v/>
      </c>
      <c r="JU75" s="193" t="n">
        <v>0.0116</v>
      </c>
      <c r="JV75" s="193" t="n"/>
      <c r="JX75" s="184">
        <f>C75</f>
        <v/>
      </c>
      <c r="JY75" s="13" t="n">
        <v>1016448.8</v>
      </c>
      <c r="JZ75" s="13">
        <f>JY76</f>
        <v/>
      </c>
      <c r="KA75" s="13">
        <f>JY75-JZ75</f>
        <v/>
      </c>
      <c r="KB75" s="193">
        <f>KA75/JZ75</f>
        <v/>
      </c>
      <c r="KC75" s="193" t="n">
        <v>-0.006</v>
      </c>
      <c r="KD75" s="193" t="n"/>
      <c r="KF75" s="184">
        <f>C75</f>
        <v/>
      </c>
      <c r="KG75" s="301" t="n">
        <v>646755.9219</v>
      </c>
      <c r="KH75" s="13">
        <f>KG76</f>
        <v/>
      </c>
      <c r="KI75" s="13">
        <f>KG75-KH75</f>
        <v/>
      </c>
      <c r="KJ75" s="193">
        <f>KI75/KH75</f>
        <v/>
      </c>
      <c r="KK75" s="193" t="n">
        <v>0.0033</v>
      </c>
      <c r="KL75" s="193" t="n"/>
      <c r="KM75" s="295" t="n"/>
      <c r="KN75" s="184">
        <f>C75</f>
        <v/>
      </c>
      <c r="KO75" s="13" t="n">
        <v>6982875.95</v>
      </c>
      <c r="KP75" s="13">
        <f>KO76</f>
        <v/>
      </c>
      <c r="KQ75" s="13">
        <f>KO75-KP75</f>
        <v/>
      </c>
      <c r="KR75" s="193">
        <f>KQ75/KP75</f>
        <v/>
      </c>
      <c r="KS75" s="193" t="n">
        <v>-0.0098</v>
      </c>
      <c r="KT75" s="193" t="n"/>
      <c r="KU75" s="295" t="n"/>
      <c r="KV75" s="184">
        <f>C75</f>
        <v/>
      </c>
      <c r="KW75" s="301" t="n">
        <v>1102772.9726</v>
      </c>
      <c r="KX75" s="13">
        <f>KW76</f>
        <v/>
      </c>
      <c r="KY75" s="13">
        <f>KW75-KX75</f>
        <v/>
      </c>
      <c r="KZ75" s="193">
        <f>KY75/KX75</f>
        <v/>
      </c>
      <c r="LA75" s="193" t="n">
        <v>-0.0176</v>
      </c>
      <c r="LB75" s="193" t="n"/>
      <c r="LC75" s="295" t="n"/>
      <c r="LD75" s="184">
        <f>C75</f>
        <v/>
      </c>
      <c r="LE75" s="13" t="n">
        <v>371407.7</v>
      </c>
      <c r="LF75" s="13">
        <f>LE76</f>
        <v/>
      </c>
      <c r="LG75" s="13">
        <f>LE75-LF75</f>
        <v/>
      </c>
      <c r="LH75" s="193">
        <f>LG75/LF75</f>
        <v/>
      </c>
      <c r="LI75" s="193" t="n">
        <v>-0.0166</v>
      </c>
      <c r="LJ75" s="193" t="n"/>
      <c r="LK75" s="295" t="n"/>
      <c r="LL75" s="184">
        <f>C75</f>
        <v/>
      </c>
      <c r="LM75" s="684" t="n">
        <v>3248395.02</v>
      </c>
      <c r="LN75" s="13">
        <f>LM76</f>
        <v/>
      </c>
      <c r="LO75" s="13">
        <f>LM75-LN75</f>
        <v/>
      </c>
      <c r="LP75" s="193">
        <f>LO75/LN75</f>
        <v/>
      </c>
      <c r="LQ75" s="193" t="n">
        <v>0.0367</v>
      </c>
      <c r="LR75" s="193" t="n"/>
      <c r="LS75" s="295" t="n"/>
      <c r="LT75" s="184">
        <f>C75</f>
        <v/>
      </c>
      <c r="LU75" s="301" t="n">
        <v>2324462.904</v>
      </c>
      <c r="LV75" s="13">
        <f>LU76</f>
        <v/>
      </c>
      <c r="LW75" s="13">
        <f>LU75-LV75</f>
        <v/>
      </c>
      <c r="LX75" s="193">
        <f>LW75/LV75</f>
        <v/>
      </c>
      <c r="LY75" s="193" t="n">
        <v>0.0295</v>
      </c>
      <c r="LZ75" s="193" t="n"/>
      <c r="MA75" s="295" t="n"/>
      <c r="MB75" s="184">
        <f>C75</f>
        <v/>
      </c>
      <c r="MC75" s="13" t="n">
        <v>1194067.69</v>
      </c>
      <c r="MD75" s="13">
        <f>MC76</f>
        <v/>
      </c>
      <c r="ME75" s="13">
        <f>MC75-MD75</f>
        <v/>
      </c>
      <c r="MF75" s="193">
        <f>ME75/MD75</f>
        <v/>
      </c>
      <c r="MG75" s="193" t="n">
        <v>0.0008</v>
      </c>
      <c r="MH75" s="193" t="n"/>
      <c r="MI75" s="193" t="n"/>
      <c r="MJ75" s="193" t="n"/>
      <c r="MK75" s="184">
        <f>C75</f>
        <v/>
      </c>
      <c r="ML75" s="301" t="n">
        <v>158385.5354</v>
      </c>
      <c r="MM75" s="13">
        <f>ML76</f>
        <v/>
      </c>
      <c r="MN75" s="13">
        <f>ML75-MM75</f>
        <v/>
      </c>
      <c r="MO75" s="193">
        <f>MN75/MM75</f>
        <v/>
      </c>
      <c r="MP75" s="193" t="n">
        <v>-0.0286</v>
      </c>
      <c r="MQ75" s="190" t="n"/>
      <c r="MR75" s="190" t="n"/>
      <c r="MS75" s="188" t="n"/>
      <c r="MT75" s="274">
        <f>C75</f>
        <v/>
      </c>
      <c r="MU75" s="188" t="n">
        <v>142014.8</v>
      </c>
      <c r="MV75" s="188">
        <f>MU76</f>
        <v/>
      </c>
      <c r="MW75" s="188">
        <f>MU75-MV75</f>
        <v/>
      </c>
      <c r="MX75" s="271">
        <f>MW75/MV75</f>
        <v/>
      </c>
      <c r="MY75" s="193" t="n">
        <v>0.0043</v>
      </c>
      <c r="MZ75" s="193" t="n"/>
      <c r="NA75" s="193" t="n"/>
      <c r="NB75" s="188" t="n"/>
      <c r="NC75" s="188">
        <f>C75</f>
        <v/>
      </c>
      <c r="ND75" s="188" t="n">
        <v>33691.48</v>
      </c>
      <c r="NE75" s="188">
        <f>ND76</f>
        <v/>
      </c>
      <c r="NF75" s="188">
        <f>ND75-NE75</f>
        <v/>
      </c>
      <c r="NG75" s="271">
        <f>NF75/NE75</f>
        <v/>
      </c>
      <c r="NH75" s="193" t="n">
        <v>-0.0023</v>
      </c>
      <c r="NI75" s="193" t="n"/>
      <c r="NJ75" s="193" t="n"/>
      <c r="NK75" s="193" t="n"/>
      <c r="NL75" s="188" t="n"/>
      <c r="NM75" s="188">
        <f>C75</f>
        <v/>
      </c>
      <c r="NN75" s="188" t="n">
        <v>2896811.08</v>
      </c>
      <c r="NO75" s="9">
        <f>NN76</f>
        <v/>
      </c>
      <c r="NP75" s="188">
        <f>NN75-NO75</f>
        <v/>
      </c>
      <c r="NQ75" s="271">
        <f>NP75/NO75</f>
        <v/>
      </c>
      <c r="NR75" s="272" t="n">
        <v>0.0168</v>
      </c>
      <c r="NS75" s="188" t="n"/>
      <c r="NT75" s="273" t="n"/>
      <c r="NU75" s="188">
        <f>C75</f>
        <v/>
      </c>
      <c r="NV75" s="188" t="n">
        <v>256826.5</v>
      </c>
      <c r="NW75" s="188">
        <f>NV76</f>
        <v/>
      </c>
      <c r="NX75" s="188">
        <f>NV75-NW75</f>
        <v/>
      </c>
      <c r="NY75" s="271">
        <f>NX75/NW75</f>
        <v/>
      </c>
      <c r="NZ75" s="190" t="n">
        <v>0.006</v>
      </c>
      <c r="OA75" s="295" t="n"/>
      <c r="OB75" s="295" t="n"/>
      <c r="OC75" s="184">
        <f>C75</f>
        <v/>
      </c>
      <c r="OD75" s="13" t="n">
        <v>16888.97</v>
      </c>
      <c r="OE75" s="13">
        <f>OD76</f>
        <v/>
      </c>
      <c r="OF75" s="13">
        <f>OD75-OE75</f>
        <v/>
      </c>
      <c r="OG75" s="193">
        <f>OF75/OE75</f>
        <v/>
      </c>
      <c r="OH75" s="193" t="n">
        <v>0.0028</v>
      </c>
      <c r="OI75" s="193" t="n"/>
      <c r="OJ75" s="295" t="n"/>
      <c r="OK75" s="184">
        <f>C75</f>
        <v/>
      </c>
      <c r="OL75" s="13" t="n">
        <v>14931.65</v>
      </c>
      <c r="OM75" s="13">
        <f>OL76</f>
        <v/>
      </c>
      <c r="ON75" s="13">
        <f>OL75-OM75</f>
        <v/>
      </c>
      <c r="OO75" s="193">
        <f>ON75/OM75</f>
        <v/>
      </c>
      <c r="OP75" s="193" t="n">
        <v>0.0008</v>
      </c>
      <c r="OQ75" s="193" t="n"/>
      <c r="OT75" s="201">
        <f>OK75</f>
        <v/>
      </c>
      <c r="OU75" s="199" t="n">
        <v>153552.4066</v>
      </c>
      <c r="OV75" s="9">
        <f>OU76</f>
        <v/>
      </c>
      <c r="OW75" s="671">
        <f>OU75-OV75</f>
        <v/>
      </c>
      <c r="OX75" s="182">
        <f>OW75/OV75</f>
        <v/>
      </c>
      <c r="OY75" s="0" t="n">
        <v>-0.0197</v>
      </c>
    </row>
    <row r="76" ht="17" customFormat="1" customHeight="1" s="14">
      <c r="A76" s="674" t="n"/>
      <c r="B76" s="674" t="n"/>
      <c r="C76" s="678" t="inlineStr">
        <is>
          <t>2026//7/29</t>
        </is>
      </c>
      <c r="D76" s="226" t="n">
        <v>2594748.77</v>
      </c>
      <c r="E76" s="226">
        <f>D77</f>
        <v/>
      </c>
      <c r="F76" s="226">
        <f>D76-E76</f>
        <v/>
      </c>
      <c r="G76" s="227">
        <f>F76/E76</f>
        <v/>
      </c>
      <c r="H76" s="228" t="n">
        <v>0.0065</v>
      </c>
      <c r="I76" s="227" t="n"/>
      <c r="J76" s="227" t="n"/>
      <c r="K76" s="226">
        <f>C76</f>
        <v/>
      </c>
      <c r="L76" s="225" t="n">
        <v>1157464.4</v>
      </c>
      <c r="M76" s="226">
        <f>L77</f>
        <v/>
      </c>
      <c r="N76" s="226">
        <f>L76-M76</f>
        <v/>
      </c>
      <c r="O76" s="227">
        <f>N76/M76</f>
        <v/>
      </c>
      <c r="P76" s="228" t="n">
        <v>0.0071</v>
      </c>
      <c r="Q76" s="227" t="n"/>
      <c r="R76" s="226" t="n"/>
      <c r="S76" s="226">
        <f>C76</f>
        <v/>
      </c>
      <c r="T76" s="225" t="n">
        <v>734016.6800000001</v>
      </c>
      <c r="U76" s="226">
        <f>T77</f>
        <v/>
      </c>
      <c r="V76" s="226">
        <f>T76-U76</f>
        <v/>
      </c>
      <c r="W76" s="227">
        <f>V76/U76</f>
        <v/>
      </c>
      <c r="X76" s="228" t="n">
        <v>0.0003</v>
      </c>
      <c r="Y76" s="227" t="n"/>
      <c r="Z76" s="226" t="n"/>
      <c r="AA76" s="226">
        <f>S76</f>
        <v/>
      </c>
      <c r="AB76" s="225" t="n">
        <v>623496.86</v>
      </c>
      <c r="AC76" s="226">
        <f>AB77</f>
        <v/>
      </c>
      <c r="AD76" s="226">
        <f>AB76-AC76</f>
        <v/>
      </c>
      <c r="AE76" s="227">
        <f>AD76/AC76</f>
        <v/>
      </c>
      <c r="AF76" s="228" t="n">
        <v>0.0103</v>
      </c>
      <c r="AG76" s="227" t="n"/>
      <c r="AH76" s="226" t="n"/>
      <c r="AI76" s="226">
        <f>C76</f>
        <v/>
      </c>
      <c r="AJ76" s="225" t="n">
        <v>1105521.76</v>
      </c>
      <c r="AK76" s="226">
        <f>AJ77</f>
        <v/>
      </c>
      <c r="AL76" s="226">
        <f>AJ76-AK76</f>
        <v/>
      </c>
      <c r="AM76" s="227">
        <f>AL76/AK76</f>
        <v/>
      </c>
      <c r="AN76" s="228" t="n">
        <v>0.0105</v>
      </c>
      <c r="AO76" s="228" t="n"/>
      <c r="AP76" s="226" t="n"/>
      <c r="AQ76" s="226">
        <f>C76</f>
        <v/>
      </c>
      <c r="AR76" s="229" t="n">
        <v>2004845.4936</v>
      </c>
      <c r="AS76" s="226">
        <f>AR77</f>
        <v/>
      </c>
      <c r="AT76" s="226">
        <f>AR76-AS76</f>
        <v/>
      </c>
      <c r="AU76" s="227">
        <f>AT76/AS76</f>
        <v/>
      </c>
      <c r="AV76" s="228" t="n">
        <v>0.014</v>
      </c>
      <c r="AW76" s="228" t="n"/>
      <c r="AX76" s="230" t="n"/>
      <c r="AY76" s="240" t="n"/>
      <c r="AZ76" s="240">
        <f>C76</f>
        <v/>
      </c>
      <c r="BA76" s="240" t="n">
        <v>642441.6676</v>
      </c>
      <c r="BB76" s="240">
        <f>BA77</f>
        <v/>
      </c>
      <c r="BC76" s="240">
        <f>BA76-BB76</f>
        <v/>
      </c>
      <c r="BD76" s="292">
        <f>BC76/BB76</f>
        <v/>
      </c>
      <c r="BE76" s="228" t="n">
        <v>0.0056</v>
      </c>
      <c r="BF76" s="228" t="n"/>
      <c r="BG76" s="685" t="n"/>
      <c r="BH76" s="233">
        <f>C76</f>
        <v/>
      </c>
      <c r="BI76" s="303" t="n">
        <v>1212126.5525</v>
      </c>
      <c r="BJ76" s="233">
        <f>BI77</f>
        <v/>
      </c>
      <c r="BK76" s="233">
        <f>BI76-BJ76</f>
        <v/>
      </c>
      <c r="BL76" s="234">
        <f>BK76/BJ76</f>
        <v/>
      </c>
      <c r="BM76" s="234" t="n">
        <v>0.0146</v>
      </c>
      <c r="BN76" s="237" t="n"/>
      <c r="BO76" s="304" t="n"/>
      <c r="BP76" s="14">
        <f>C76</f>
        <v/>
      </c>
      <c r="BQ76" s="686" t="n">
        <v>1176162.3921</v>
      </c>
      <c r="BR76" s="14">
        <f>BQ77</f>
        <v/>
      </c>
      <c r="BS76" s="14">
        <f>BQ76-BR76</f>
        <v/>
      </c>
      <c r="BT76" s="237">
        <f>BS76/BR76</f>
        <v/>
      </c>
      <c r="BU76" s="237" t="n">
        <v>0.0183</v>
      </c>
      <c r="BV76" s="237" t="n"/>
      <c r="BW76" s="304" t="n"/>
      <c r="BX76" s="14">
        <f>C76</f>
        <v/>
      </c>
      <c r="BY76" s="306" t="n">
        <v>1823560.7019</v>
      </c>
      <c r="BZ76" s="14">
        <f>BY77</f>
        <v/>
      </c>
      <c r="CA76" s="14">
        <f>BY76-BZ76</f>
        <v/>
      </c>
      <c r="CB76" s="237">
        <f>CA76/BZ76</f>
        <v/>
      </c>
      <c r="CC76" s="237" t="n">
        <v>0.0142</v>
      </c>
      <c r="CD76" s="237" t="n"/>
      <c r="CE76" s="304" t="n"/>
      <c r="CF76" s="14">
        <f>C76</f>
        <v/>
      </c>
      <c r="CG76" s="14" t="n">
        <v>1267903.9</v>
      </c>
      <c r="CH76" s="14">
        <f>CG77</f>
        <v/>
      </c>
      <c r="CI76" s="14">
        <f>CG76-CH76</f>
        <v/>
      </c>
      <c r="CJ76" s="237">
        <f>CI76/CH76</f>
        <v/>
      </c>
      <c r="CK76" s="237" t="n">
        <v>0.0184</v>
      </c>
      <c r="CL76" s="237" t="n"/>
      <c r="CM76" s="304" t="n"/>
      <c r="CN76" s="14">
        <f>C76</f>
        <v/>
      </c>
      <c r="CO76" s="14" t="n">
        <v>525346.48</v>
      </c>
      <c r="CP76" s="14">
        <f>CO77</f>
        <v/>
      </c>
      <c r="CQ76" s="14">
        <f>CO76-CP76</f>
        <v/>
      </c>
      <c r="CR76" s="237">
        <f>CQ76/CP76</f>
        <v/>
      </c>
      <c r="CS76" s="237" t="n">
        <v>0.0201</v>
      </c>
      <c r="CT76" s="237" t="n"/>
      <c r="CU76" s="304" t="n"/>
      <c r="CV76" s="14">
        <f>C76</f>
        <v/>
      </c>
      <c r="CW76" s="14" t="n">
        <v>677790.4</v>
      </c>
      <c r="CX76" s="14">
        <f>CW77</f>
        <v/>
      </c>
      <c r="CY76" s="14">
        <f>CW76-CX76</f>
        <v/>
      </c>
      <c r="CZ76" s="237">
        <f>CY76/CX76</f>
        <v/>
      </c>
      <c r="DA76" s="237" t="n">
        <v>0.0155</v>
      </c>
      <c r="DB76" s="237" t="n"/>
      <c r="DC76" s="255" t="n"/>
      <c r="DD76" s="14">
        <f>C76</f>
        <v/>
      </c>
      <c r="DE76" s="306" t="n">
        <v>5783335.9972</v>
      </c>
      <c r="DF76" s="14">
        <f>DE77</f>
        <v/>
      </c>
      <c r="DG76" s="14">
        <f>DE76-DF76</f>
        <v/>
      </c>
      <c r="DH76" s="237">
        <f>DG76/DF76</f>
        <v/>
      </c>
      <c r="DI76" s="237" t="n">
        <v>-0.0194</v>
      </c>
      <c r="DJ76" s="237" t="n"/>
      <c r="DK76" s="304" t="n"/>
      <c r="DL76" s="14">
        <f>C76</f>
        <v/>
      </c>
      <c r="DM76" s="14" t="n">
        <v>1935000.72</v>
      </c>
      <c r="DN76" s="14">
        <f>DM77</f>
        <v/>
      </c>
      <c r="DO76" s="14">
        <f>DM76-DN76</f>
        <v/>
      </c>
      <c r="DP76" s="237">
        <f>DO76/DN76</f>
        <v/>
      </c>
      <c r="DQ76" s="237" t="n">
        <v>-0.0134</v>
      </c>
      <c r="DR76" s="237" t="n"/>
      <c r="DS76" s="304" t="n"/>
      <c r="DT76" s="14">
        <f>C76</f>
        <v/>
      </c>
      <c r="DU76" s="14" t="n">
        <v>4338718.43</v>
      </c>
      <c r="DV76" s="14">
        <f>DU77</f>
        <v/>
      </c>
      <c r="DW76" s="14">
        <f>DU76-DV76</f>
        <v/>
      </c>
      <c r="DX76" s="237">
        <f>DW76/DV76</f>
        <v/>
      </c>
      <c r="DY76" s="237" t="n">
        <v>-0.0068</v>
      </c>
      <c r="DZ76" s="237" t="n"/>
      <c r="EA76" s="304" t="n"/>
      <c r="EB76" s="14">
        <f>C76</f>
        <v/>
      </c>
      <c r="EC76" s="14" t="n">
        <v>5047466.82</v>
      </c>
      <c r="ED76" s="14">
        <f>EC77</f>
        <v/>
      </c>
      <c r="EE76" s="14">
        <f>EC76-ED76</f>
        <v/>
      </c>
      <c r="EF76" s="237">
        <f>EE76/ED76</f>
        <v/>
      </c>
      <c r="EG76" s="237" t="n">
        <v>-0.005</v>
      </c>
      <c r="EH76" s="237" t="n"/>
      <c r="EI76" s="304" t="n"/>
      <c r="EJ76" s="14">
        <f>C76</f>
        <v/>
      </c>
      <c r="EK76" s="306" t="n">
        <v>1167722.9669</v>
      </c>
      <c r="EL76" s="14">
        <f>EK77</f>
        <v/>
      </c>
      <c r="EM76" s="14">
        <f>EK76-EL76</f>
        <v/>
      </c>
      <c r="EN76" s="237">
        <f>EM76/EL76</f>
        <v/>
      </c>
      <c r="EO76" s="237" t="n">
        <v>-0.0017</v>
      </c>
      <c r="EP76" s="237" t="n"/>
      <c r="EQ76" s="304" t="n"/>
      <c r="ER76" s="14">
        <f>C76</f>
        <v/>
      </c>
      <c r="ES76" s="14" t="n">
        <v>753494.04</v>
      </c>
      <c r="ET76" s="14">
        <f>ES77</f>
        <v/>
      </c>
      <c r="EU76" s="14">
        <f>ES76-ET76</f>
        <v/>
      </c>
      <c r="EV76" s="237">
        <f>EU76/ET76</f>
        <v/>
      </c>
      <c r="EW76" s="237" t="n">
        <v>-0.0035</v>
      </c>
      <c r="EX76" s="237" t="n"/>
      <c r="EY76" s="304" t="n"/>
      <c r="EZ76" s="14">
        <f>C76</f>
        <v/>
      </c>
      <c r="FA76" s="14" t="n">
        <v>582708</v>
      </c>
      <c r="FB76" s="14">
        <f>FA77</f>
        <v/>
      </c>
      <c r="FC76" s="14">
        <f>FA76-FB76</f>
        <v/>
      </c>
      <c r="FD76" s="237">
        <f>FC76/FB76</f>
        <v/>
      </c>
      <c r="FE76" s="237" t="n">
        <v>0.0158</v>
      </c>
      <c r="FF76" s="237" t="n"/>
      <c r="FH76" s="14">
        <f>C76</f>
        <v/>
      </c>
      <c r="FI76" s="686" t="n">
        <v>1100395.3365</v>
      </c>
      <c r="FJ76" s="14">
        <f>FI77</f>
        <v/>
      </c>
      <c r="FK76" s="14">
        <f>FI76-FJ76</f>
        <v/>
      </c>
      <c r="FL76" s="237">
        <f>FK76/FJ76</f>
        <v/>
      </c>
      <c r="FM76" s="237" t="n">
        <v>0.008</v>
      </c>
      <c r="FN76" s="237" t="n"/>
      <c r="FO76" s="304" t="n"/>
      <c r="FP76" s="14">
        <f>C76</f>
        <v/>
      </c>
      <c r="FQ76" s="14" t="n">
        <v>1850668.73</v>
      </c>
      <c r="FR76" s="14">
        <f>FQ77</f>
        <v/>
      </c>
      <c r="FS76" s="14">
        <f>FQ76-FR76</f>
        <v/>
      </c>
      <c r="FT76" s="237">
        <f>FS76/FR76</f>
        <v/>
      </c>
      <c r="FU76" s="237" t="n">
        <v>0.0033</v>
      </c>
      <c r="FV76" s="237" t="n"/>
      <c r="FW76" s="304" t="n"/>
      <c r="FX76" s="14">
        <f>C76</f>
        <v/>
      </c>
      <c r="FY76" s="14" t="n">
        <v>7945782.05</v>
      </c>
      <c r="FZ76" s="14">
        <f>FY77</f>
        <v/>
      </c>
      <c r="GA76" s="14">
        <f>FY76-FZ76</f>
        <v/>
      </c>
      <c r="GB76" s="237">
        <f>GA76/FZ76</f>
        <v/>
      </c>
      <c r="GC76" s="237" t="n">
        <v>0.0188</v>
      </c>
      <c r="GD76" s="237" t="n"/>
      <c r="GE76" s="304" t="n"/>
      <c r="GF76" s="14">
        <f>C76</f>
        <v/>
      </c>
      <c r="GG76" s="14" t="n">
        <v>4594469.49</v>
      </c>
      <c r="GH76" s="14">
        <f>GG77</f>
        <v/>
      </c>
      <c r="GI76" s="14">
        <f>GG76-GH76</f>
        <v/>
      </c>
      <c r="GJ76" s="237">
        <f>GI76/GH76</f>
        <v/>
      </c>
      <c r="GK76" s="237" t="n">
        <v>0.0191</v>
      </c>
      <c r="GL76" s="237" t="n"/>
      <c r="GM76" s="304" t="n"/>
      <c r="GN76" s="14">
        <f>C76</f>
        <v/>
      </c>
      <c r="GO76" s="306" t="n">
        <v>2025178.1217</v>
      </c>
      <c r="GP76" s="14">
        <f>GO77</f>
        <v/>
      </c>
      <c r="GQ76" s="14">
        <f>GO76-GP76</f>
        <v/>
      </c>
      <c r="GR76" s="237">
        <f>GQ76/GP76</f>
        <v/>
      </c>
      <c r="GS76" s="237" t="n">
        <v>0.0131</v>
      </c>
      <c r="GT76" s="237" t="n"/>
      <c r="GU76" s="304" t="n"/>
      <c r="GV76" s="14">
        <f>C76</f>
        <v/>
      </c>
      <c r="GW76" s="14" t="n">
        <v>614149.4</v>
      </c>
      <c r="GX76" s="14">
        <f>GW77</f>
        <v/>
      </c>
      <c r="GY76" s="14">
        <f>GW76-GX76</f>
        <v/>
      </c>
      <c r="GZ76" s="237">
        <f>GY76/GX76</f>
        <v/>
      </c>
      <c r="HA76" s="237" t="n">
        <v>0.0037</v>
      </c>
      <c r="HB76" s="237" t="n"/>
      <c r="HC76" s="304" t="n"/>
      <c r="HD76" s="14">
        <f>C76</f>
        <v/>
      </c>
      <c r="HE76" s="306" t="n">
        <v>925164.6746</v>
      </c>
      <c r="HF76" s="14">
        <f>HE77</f>
        <v/>
      </c>
      <c r="HG76" s="14">
        <f>HE76-HF76</f>
        <v/>
      </c>
      <c r="HH76" s="237">
        <f>HG76/HF76</f>
        <v/>
      </c>
      <c r="HI76" s="237" t="n">
        <v>0.014</v>
      </c>
      <c r="HJ76" s="237" t="n"/>
      <c r="HK76" s="304" t="n"/>
      <c r="HL76" s="14">
        <f>C76</f>
        <v/>
      </c>
      <c r="HM76" s="14" t="n">
        <v>115404.25</v>
      </c>
      <c r="HN76" s="14">
        <f>HM77</f>
        <v/>
      </c>
      <c r="HO76" s="14">
        <f>HM76-HN76</f>
        <v/>
      </c>
      <c r="HP76" s="237">
        <f>HO76/HN76</f>
        <v/>
      </c>
      <c r="HQ76" s="237" t="n">
        <v>0.0046</v>
      </c>
      <c r="HR76" s="237" t="n"/>
      <c r="HS76" s="304" t="n"/>
      <c r="HT76" s="14">
        <f>C76</f>
        <v/>
      </c>
      <c r="HU76" s="306" t="n">
        <v>130368.8265</v>
      </c>
      <c r="HV76" s="14">
        <f>HU77</f>
        <v/>
      </c>
      <c r="HW76" s="14">
        <f>HU76-HV76</f>
        <v/>
      </c>
      <c r="HX76" s="237">
        <f>HW76/HV76</f>
        <v/>
      </c>
      <c r="HY76" s="237" t="n">
        <v>0.0327</v>
      </c>
      <c r="HZ76" s="237" t="n"/>
      <c r="IA76" s="304" t="n"/>
      <c r="IB76" s="14">
        <f>C76</f>
        <v/>
      </c>
      <c r="IC76" s="14" t="n">
        <v>282034.79</v>
      </c>
      <c r="ID76" s="14">
        <f>IC77</f>
        <v/>
      </c>
      <c r="IE76" s="14">
        <f>IC76-ID76</f>
        <v/>
      </c>
      <c r="IF76" s="237">
        <f>IE76/ID76</f>
        <v/>
      </c>
      <c r="IG76" s="237" t="n">
        <v>0.0164</v>
      </c>
      <c r="IH76" s="237" t="n"/>
      <c r="II76" s="304" t="n"/>
      <c r="IJ76" s="14">
        <f>C76</f>
        <v/>
      </c>
      <c r="IK76" s="306" t="n">
        <v>1035116.29</v>
      </c>
      <c r="IL76" s="14">
        <f>IK77</f>
        <v/>
      </c>
      <c r="IM76" s="14">
        <f>IK76-IL76</f>
        <v/>
      </c>
      <c r="IN76" s="237">
        <f>IM76/IL76</f>
        <v/>
      </c>
      <c r="IO76" s="237" t="n">
        <v>0.0152</v>
      </c>
      <c r="IP76" s="237" t="n"/>
      <c r="IQ76" s="304" t="n"/>
      <c r="IR76" s="14">
        <f>C76</f>
        <v/>
      </c>
      <c r="IS76" s="14" t="n">
        <v>153189</v>
      </c>
      <c r="IT76" s="14">
        <f>IS77</f>
        <v/>
      </c>
      <c r="IU76" s="14">
        <f>IS76-IT76</f>
        <v/>
      </c>
      <c r="IV76" s="237">
        <f>IU76/IT76</f>
        <v/>
      </c>
      <c r="IW76" s="237" t="n">
        <v>-0.0122</v>
      </c>
      <c r="IX76" s="237" t="n"/>
      <c r="IY76" s="304" t="n"/>
      <c r="IZ76" s="14">
        <f>C76</f>
        <v/>
      </c>
      <c r="JA76" s="307" t="n">
        <v>5699729.15</v>
      </c>
      <c r="JB76" s="14">
        <f>JA77</f>
        <v/>
      </c>
      <c r="JC76" s="14">
        <f>JA76-JB76</f>
        <v/>
      </c>
      <c r="JD76" s="237">
        <f>JC76/JB76</f>
        <v/>
      </c>
      <c r="JE76" s="237" t="n">
        <v>0.0194</v>
      </c>
      <c r="JF76" s="237" t="n"/>
      <c r="JG76" s="304" t="n"/>
      <c r="JH76" s="14">
        <f>C76</f>
        <v/>
      </c>
      <c r="JI76" s="14" t="n">
        <v>1315587.99</v>
      </c>
      <c r="JJ76" s="14">
        <f>JI77</f>
        <v/>
      </c>
      <c r="JK76" s="14">
        <f>JI76-JJ76</f>
        <v/>
      </c>
      <c r="JL76" s="237">
        <f>JK76/JJ76</f>
        <v/>
      </c>
      <c r="JM76" s="237" t="n">
        <v>0.0012</v>
      </c>
      <c r="JN76" s="237" t="n"/>
      <c r="JP76" s="14">
        <f>C76</f>
        <v/>
      </c>
      <c r="JQ76" s="306" t="n">
        <v>1053690.4148</v>
      </c>
      <c r="JR76" s="14">
        <f>JQ77</f>
        <v/>
      </c>
      <c r="JS76" s="14">
        <f>JQ76-JR76</f>
        <v/>
      </c>
      <c r="JT76" s="237">
        <f>JS76/JR76</f>
        <v/>
      </c>
      <c r="JU76" s="237" t="n">
        <v>0.0274</v>
      </c>
      <c r="JV76" s="237" t="n"/>
      <c r="JX76" s="14">
        <f>C76</f>
        <v/>
      </c>
      <c r="JY76" s="14" t="n">
        <v>1016898.8</v>
      </c>
      <c r="JZ76" s="14">
        <f>JY77</f>
        <v/>
      </c>
      <c r="KA76" s="14">
        <f>JY76-JZ76</f>
        <v/>
      </c>
      <c r="KB76" s="237">
        <f>KA76/JZ76</f>
        <v/>
      </c>
      <c r="KC76" s="237" t="n">
        <v>0.0109</v>
      </c>
      <c r="KD76" s="237" t="n"/>
      <c r="KF76" s="14">
        <f>C76</f>
        <v/>
      </c>
      <c r="KG76" s="306" t="n">
        <v>646755.9219</v>
      </c>
      <c r="KH76" s="14">
        <f>KG77</f>
        <v/>
      </c>
      <c r="KI76" s="14">
        <f>KG76-KH76</f>
        <v/>
      </c>
      <c r="KJ76" s="237">
        <f>KI76/KH76</f>
        <v/>
      </c>
      <c r="KK76" s="237" t="n">
        <v>0.0207</v>
      </c>
      <c r="KL76" s="237" t="n"/>
      <c r="KM76" s="304" t="n"/>
      <c r="KN76" s="14">
        <f>C76</f>
        <v/>
      </c>
      <c r="KO76" s="14" t="n">
        <v>6982875.95</v>
      </c>
      <c r="KP76" s="14">
        <f>KO77</f>
        <v/>
      </c>
      <c r="KQ76" s="14">
        <f>KO76-KP76</f>
        <v/>
      </c>
      <c r="KR76" s="237">
        <f>KQ76/KP76</f>
        <v/>
      </c>
      <c r="KS76" s="237" t="n">
        <v>0.0319</v>
      </c>
      <c r="KT76" s="237" t="n"/>
      <c r="KU76" s="304" t="n"/>
      <c r="KV76" s="14">
        <f>C76</f>
        <v/>
      </c>
      <c r="KW76" s="306" t="n">
        <v>1102772.9726</v>
      </c>
      <c r="KX76" s="14">
        <f>KW77</f>
        <v/>
      </c>
      <c r="KY76" s="14">
        <f>KW76-KX76</f>
        <v/>
      </c>
      <c r="KZ76" s="237">
        <f>KY76/KX76</f>
        <v/>
      </c>
      <c r="LA76" s="237" t="n">
        <v>0.0059</v>
      </c>
      <c r="LB76" s="237" t="n"/>
      <c r="LC76" s="304" t="n"/>
      <c r="LD76" s="14">
        <f>C76</f>
        <v/>
      </c>
      <c r="LE76" s="14" t="n">
        <v>370857.7</v>
      </c>
      <c r="LF76" s="14">
        <f>LE77</f>
        <v/>
      </c>
      <c r="LG76" s="14">
        <f>LE76-LF76</f>
        <v/>
      </c>
      <c r="LH76" s="237">
        <f>LG76/LF76</f>
        <v/>
      </c>
      <c r="LI76" s="237" t="n">
        <v>0.0112</v>
      </c>
      <c r="LJ76" s="237" t="n"/>
      <c r="LK76" s="304" t="n"/>
      <c r="LL76" s="14">
        <f>C76</f>
        <v/>
      </c>
      <c r="LM76" s="686" t="n">
        <v>3276475.02</v>
      </c>
      <c r="LN76" s="14">
        <f>LM77</f>
        <v/>
      </c>
      <c r="LO76" s="14">
        <f>LM76-LN76</f>
        <v/>
      </c>
      <c r="LP76" s="237">
        <f>LO76/LN76</f>
        <v/>
      </c>
      <c r="LQ76" s="237" t="n">
        <v>0.014</v>
      </c>
      <c r="LR76" s="237" t="n"/>
      <c r="LS76" s="304" t="n"/>
      <c r="LT76" s="14">
        <f>C76</f>
        <v/>
      </c>
      <c r="LU76" s="306" t="n">
        <v>2328662.904</v>
      </c>
      <c r="LV76" s="14">
        <f>LU77</f>
        <v/>
      </c>
      <c r="LW76" s="14">
        <f>LU76-LV76</f>
        <v/>
      </c>
      <c r="LX76" s="237">
        <f>LW76/LV76</f>
        <v/>
      </c>
      <c r="LY76" s="237" t="n">
        <v>0.0089</v>
      </c>
      <c r="LZ76" s="237" t="n"/>
      <c r="MA76" s="304" t="n"/>
      <c r="MB76" s="14">
        <f>C76</f>
        <v/>
      </c>
      <c r="MC76" s="14" t="n">
        <v>1218567.69</v>
      </c>
      <c r="MD76" s="14">
        <f>MC77</f>
        <v/>
      </c>
      <c r="ME76" s="14">
        <f>MC76-MD76</f>
        <v/>
      </c>
      <c r="MF76" s="237">
        <f>ME76/MD76</f>
        <v/>
      </c>
      <c r="MG76" s="237" t="n">
        <v>0.0221</v>
      </c>
      <c r="MH76" s="237" t="n"/>
      <c r="MI76" s="237" t="n"/>
      <c r="MJ76" s="237" t="n"/>
      <c r="MK76" s="14">
        <f>C76</f>
        <v/>
      </c>
      <c r="ML76" s="306" t="n">
        <v>157905.5354</v>
      </c>
      <c r="MM76" s="14">
        <f>ML77</f>
        <v/>
      </c>
      <c r="MN76" s="14">
        <f>ML76-MM76</f>
        <v/>
      </c>
      <c r="MO76" s="237">
        <f>MN76/MM76</f>
        <v/>
      </c>
      <c r="MP76" s="237" t="n">
        <v>-0.0074</v>
      </c>
      <c r="MQ76" s="237" t="n"/>
      <c r="MR76" s="237" t="n"/>
      <c r="MS76" s="240" t="n"/>
      <c r="MT76" s="294">
        <f>C76</f>
        <v/>
      </c>
      <c r="MU76" s="240" t="n">
        <v>143114.8</v>
      </c>
      <c r="MV76" s="240">
        <f>MU77</f>
        <v/>
      </c>
      <c r="MW76" s="240">
        <f>MU76-MV76</f>
        <v/>
      </c>
      <c r="MX76" s="292">
        <f>MW76/MV76</f>
        <v/>
      </c>
      <c r="MY76" s="237" t="n">
        <v>0.0161</v>
      </c>
      <c r="MZ76" s="237" t="n"/>
      <c r="NA76" s="237" t="n"/>
      <c r="NB76" s="240" t="n"/>
      <c r="NC76" s="240">
        <f>C76</f>
        <v/>
      </c>
      <c r="ND76" s="240" t="n">
        <v>33691.48</v>
      </c>
      <c r="NE76" s="240">
        <f>ND77</f>
        <v/>
      </c>
      <c r="NF76" s="240">
        <f>ND76-NE76</f>
        <v/>
      </c>
      <c r="NG76" s="292">
        <f>NF76/NE76</f>
        <v/>
      </c>
      <c r="NH76" s="237" t="n">
        <v>0.0163</v>
      </c>
      <c r="NI76" s="237" t="n"/>
      <c r="NJ76" s="237" t="n"/>
      <c r="NK76" s="237" t="n"/>
      <c r="NL76" s="240" t="n"/>
      <c r="NM76" s="240">
        <f>C76</f>
        <v/>
      </c>
      <c r="NN76" s="240" t="n">
        <v>2939111.08</v>
      </c>
      <c r="NO76" s="10">
        <f>NN77</f>
        <v/>
      </c>
      <c r="NP76" s="240">
        <f>NN76-NO76</f>
        <v/>
      </c>
      <c r="NQ76" s="292">
        <f>NP76/NO76</f>
        <v/>
      </c>
      <c r="NR76" s="269" t="n">
        <v>0.0094</v>
      </c>
      <c r="NS76" s="240" t="n"/>
      <c r="NT76" s="270" t="n"/>
      <c r="NU76" s="240">
        <f>C76</f>
        <v/>
      </c>
      <c r="NV76" s="240" t="n">
        <v>257326.5</v>
      </c>
      <c r="NW76" s="240">
        <f>NV77</f>
        <v/>
      </c>
      <c r="NX76" s="240">
        <f>NV76-NW76</f>
        <v/>
      </c>
      <c r="NY76" s="292">
        <f>NX76/NW76</f>
        <v/>
      </c>
      <c r="NZ76" s="237" t="n">
        <v>0.0132</v>
      </c>
      <c r="OA76" s="304" t="n"/>
      <c r="OB76" s="304" t="n"/>
      <c r="OC76" s="14">
        <f>C76</f>
        <v/>
      </c>
      <c r="OD76" s="14" t="n">
        <v>16788.97</v>
      </c>
      <c r="OE76" s="14">
        <f>OD77</f>
        <v/>
      </c>
      <c r="OF76" s="14">
        <f>OD76-OE76</f>
        <v/>
      </c>
      <c r="OG76" s="237">
        <f>OF76/OE76</f>
        <v/>
      </c>
      <c r="OH76" s="237" t="n">
        <v>-0.0012</v>
      </c>
      <c r="OI76" s="237" t="n"/>
      <c r="OJ76" s="304" t="n"/>
      <c r="OK76" s="14">
        <f>C76</f>
        <v/>
      </c>
      <c r="OL76" s="14" t="n">
        <v>14809.65</v>
      </c>
      <c r="OM76" s="14">
        <f>OL77</f>
        <v/>
      </c>
      <c r="ON76" s="14">
        <f>OL76-OM76</f>
        <v/>
      </c>
      <c r="OO76" s="237">
        <f>ON76/OM76</f>
        <v/>
      </c>
      <c r="OP76" s="237" t="n">
        <v>0.0001</v>
      </c>
      <c r="OQ76" s="237" t="n"/>
      <c r="OT76" s="201">
        <f>OK76</f>
        <v/>
      </c>
      <c r="OU76" s="199" t="n">
        <v>153432.4066</v>
      </c>
      <c r="OV76" s="9">
        <f>OU77</f>
        <v/>
      </c>
      <c r="OW76" s="671">
        <f>OU76-OV76</f>
        <v/>
      </c>
      <c r="OX76" s="182">
        <f>OW76/OV76</f>
        <v/>
      </c>
      <c r="OY76" s="0" t="n">
        <v>0.0042</v>
      </c>
    </row>
    <row r="77" ht="17" customFormat="1" customHeight="1" s="13">
      <c r="A77" s="631" t="n"/>
      <c r="B77" s="631" t="n"/>
      <c r="C77" s="687" t="inlineStr">
        <is>
          <t>2026//7/28</t>
        </is>
      </c>
      <c r="D77" s="114" t="n">
        <v>2533458.77</v>
      </c>
      <c r="E77" s="114">
        <f>D78</f>
        <v/>
      </c>
      <c r="F77" s="309">
        <f>D77-E77</f>
        <v/>
      </c>
      <c r="G77" s="310">
        <f>F77/E77</f>
        <v/>
      </c>
      <c r="H77" s="19" t="n">
        <v>-0.0265</v>
      </c>
      <c r="I77" s="111" t="n"/>
      <c r="J77" s="111" t="n"/>
      <c r="K77" s="114">
        <f>C77</f>
        <v/>
      </c>
      <c r="L77" s="311" t="n">
        <v>1146034.4</v>
      </c>
      <c r="M77" s="114">
        <f>L78</f>
        <v/>
      </c>
      <c r="N77" s="309">
        <f>L77-M77</f>
        <v/>
      </c>
      <c r="O77" s="310">
        <f>N77/M77</f>
        <v/>
      </c>
      <c r="P77" s="19" t="n">
        <v>-0.0273</v>
      </c>
      <c r="Q77" s="111" t="n"/>
      <c r="R77" s="114" t="n"/>
      <c r="S77" s="114">
        <f>C77</f>
        <v/>
      </c>
      <c r="T77" s="311" t="n">
        <v>753096.6800000001</v>
      </c>
      <c r="U77" s="114">
        <f>T78</f>
        <v/>
      </c>
      <c r="V77" s="309">
        <f>T77-U77</f>
        <v/>
      </c>
      <c r="W77" s="310">
        <f>V77/U77</f>
        <v/>
      </c>
      <c r="X77" s="19" t="n">
        <v>-0.0105</v>
      </c>
      <c r="Y77" s="111" t="n"/>
      <c r="Z77" s="114" t="n"/>
      <c r="AA77" s="114">
        <f>S77</f>
        <v/>
      </c>
      <c r="AB77" s="311" t="n">
        <v>565416.86</v>
      </c>
      <c r="AC77" s="114">
        <f>AB78</f>
        <v/>
      </c>
      <c r="AD77" s="309">
        <f>AB77-AC77</f>
        <v/>
      </c>
      <c r="AE77" s="310">
        <f>AD77/AC77</f>
        <v/>
      </c>
      <c r="AF77" s="19" t="n">
        <v>-0.034</v>
      </c>
      <c r="AG77" s="111" t="n"/>
      <c r="AH77" s="114" t="n"/>
      <c r="AI77" s="114">
        <f>C77</f>
        <v/>
      </c>
      <c r="AJ77" s="311" t="n">
        <v>905121.76</v>
      </c>
      <c r="AK77" s="114">
        <f>AJ78</f>
        <v/>
      </c>
      <c r="AL77" s="309">
        <f>AJ77-AK77</f>
        <v/>
      </c>
      <c r="AM77" s="310">
        <f>AL77/AK77</f>
        <v/>
      </c>
      <c r="AN77" s="19" t="n">
        <v>-0.028</v>
      </c>
      <c r="AO77" s="19" t="n"/>
      <c r="AP77" s="114" t="n"/>
      <c r="AQ77" s="114">
        <f>C77</f>
        <v/>
      </c>
      <c r="AR77" s="658" t="n">
        <v>1897445.4936</v>
      </c>
      <c r="AS77" s="114">
        <f>AR78</f>
        <v/>
      </c>
      <c r="AT77" s="312">
        <f>AR77-AS77</f>
        <v/>
      </c>
      <c r="AU77" s="313">
        <f>AT77/AS77</f>
        <v/>
      </c>
      <c r="AV77" s="19" t="n">
        <v>-0.0712</v>
      </c>
      <c r="AW77" s="19" t="n"/>
      <c r="AX77" s="5" t="n"/>
      <c r="AY77" s="188" t="n"/>
      <c r="AZ77" s="188">
        <f>C77</f>
        <v/>
      </c>
      <c r="BA77" s="188" t="n">
        <v>633531.6676</v>
      </c>
      <c r="BB77" s="188">
        <f>BA78</f>
        <v/>
      </c>
      <c r="BC77" s="188">
        <f>BA77-BB77</f>
        <v/>
      </c>
      <c r="BD77" s="271">
        <f>BC77/BB77</f>
        <v/>
      </c>
      <c r="BE77" s="19" t="n">
        <v>-0.0262</v>
      </c>
      <c r="BF77" s="19" t="n"/>
      <c r="BG77" s="683" t="n"/>
      <c r="BH77" s="184">
        <f>C77</f>
        <v/>
      </c>
      <c r="BI77" s="314" t="n">
        <v>1205726.5525</v>
      </c>
      <c r="BJ77" s="184">
        <f>BI78</f>
        <v/>
      </c>
      <c r="BK77" s="184">
        <f>BI77-BJ77</f>
        <v/>
      </c>
      <c r="BL77" s="190">
        <f>BK77/BJ77</f>
        <v/>
      </c>
      <c r="BM77" s="190" t="n">
        <v>-0.0419</v>
      </c>
      <c r="BN77" s="193" t="n"/>
      <c r="BO77" s="315" t="n"/>
      <c r="BP77" s="13">
        <f>C77</f>
        <v/>
      </c>
      <c r="BQ77" s="688" t="n">
        <v>1192362.3921</v>
      </c>
      <c r="BR77" s="13">
        <f>BQ78</f>
        <v/>
      </c>
      <c r="BS77" s="13">
        <f>BQ77-BR77</f>
        <v/>
      </c>
      <c r="BT77" s="193">
        <f>BS77/BR77</f>
        <v/>
      </c>
      <c r="BU77" s="193" t="n">
        <v>-0.003</v>
      </c>
      <c r="BV77" s="193" t="n"/>
      <c r="BW77" s="315" t="n"/>
      <c r="BX77" s="13">
        <f>C77</f>
        <v/>
      </c>
      <c r="BY77" s="296" t="n">
        <v>1824610.7019</v>
      </c>
      <c r="BZ77" s="13">
        <f>BY78</f>
        <v/>
      </c>
      <c r="CA77" s="13">
        <f>BY77-BZ77</f>
        <v/>
      </c>
      <c r="CB77" s="193">
        <f>CA77/BZ77</f>
        <v/>
      </c>
      <c r="CC77" s="193" t="n">
        <v>-0.0115</v>
      </c>
      <c r="CD77" s="193" t="n"/>
      <c r="CE77" s="315" t="n"/>
      <c r="CF77" s="13">
        <f>C77</f>
        <v/>
      </c>
      <c r="CG77" s="297" t="n">
        <v>1266953.9</v>
      </c>
      <c r="CH77" s="13">
        <f>CG78</f>
        <v/>
      </c>
      <c r="CI77" s="13">
        <f>CG77-CH77</f>
        <v/>
      </c>
      <c r="CJ77" s="193">
        <f>CI77/CH77</f>
        <v/>
      </c>
      <c r="CK77" s="193" t="n">
        <v>-0.0225</v>
      </c>
      <c r="CL77" s="193" t="n"/>
      <c r="CM77" s="315" t="n"/>
      <c r="CN77" s="13">
        <f>C77</f>
        <v/>
      </c>
      <c r="CO77" s="297" t="n">
        <v>525046.48</v>
      </c>
      <c r="CP77" s="13">
        <f>CO78</f>
        <v/>
      </c>
      <c r="CQ77" s="13">
        <f>CO77-CP77</f>
        <v/>
      </c>
      <c r="CR77" s="193">
        <f>CQ77/CP77</f>
        <v/>
      </c>
      <c r="CS77" s="193" t="n">
        <v>-0.0214</v>
      </c>
      <c r="CT77" s="193" t="n"/>
      <c r="CU77" s="315" t="n"/>
      <c r="CV77" s="13">
        <f>C77</f>
        <v/>
      </c>
      <c r="CW77" s="297" t="n">
        <v>668340.4</v>
      </c>
      <c r="CX77" s="13">
        <f>CW78</f>
        <v/>
      </c>
      <c r="CY77" s="13">
        <f>CW77-CX77</f>
        <v/>
      </c>
      <c r="CZ77" s="193">
        <f>CY77/CX77</f>
        <v/>
      </c>
      <c r="DA77" s="193" t="n">
        <v>-0.0147</v>
      </c>
      <c r="DB77" s="193" t="n"/>
      <c r="DC77" s="256" t="n"/>
      <c r="DD77" s="13">
        <f>C77</f>
        <v/>
      </c>
      <c r="DE77" s="296" t="n">
        <v>5588935.9972</v>
      </c>
      <c r="DF77" s="13">
        <f>DE78</f>
        <v/>
      </c>
      <c r="DG77" s="13">
        <f>DE77-DF77</f>
        <v/>
      </c>
      <c r="DH77" s="193">
        <f>DG77/DF77</f>
        <v/>
      </c>
      <c r="DI77" s="193" t="n">
        <v>-0.0625</v>
      </c>
      <c r="DJ77" s="193" t="n"/>
      <c r="DK77" s="315" t="n"/>
      <c r="DL77" s="13">
        <f>C77</f>
        <v/>
      </c>
      <c r="DM77" s="297" t="n">
        <v>1905800.72</v>
      </c>
      <c r="DN77" s="13">
        <f>DM78</f>
        <v/>
      </c>
      <c r="DO77" s="13">
        <f>DM77-DN77</f>
        <v/>
      </c>
      <c r="DP77" s="193">
        <f>DO77/DN77</f>
        <v/>
      </c>
      <c r="DQ77" s="193" t="n">
        <v>-0.0738</v>
      </c>
      <c r="DR77" s="193" t="n"/>
      <c r="DS77" s="315" t="n"/>
      <c r="DT77" s="13">
        <f>C77</f>
        <v/>
      </c>
      <c r="DU77" s="297" t="n">
        <v>4300918.43</v>
      </c>
      <c r="DV77" s="13">
        <f>DU78</f>
        <v/>
      </c>
      <c r="DW77" s="13">
        <f>DU77-DV77</f>
        <v/>
      </c>
      <c r="DX77" s="193">
        <f>DW77/DV77</f>
        <v/>
      </c>
      <c r="DY77" s="193" t="n">
        <v>-0.0799</v>
      </c>
      <c r="DZ77" s="193" t="n"/>
      <c r="EA77" s="315" t="n"/>
      <c r="EB77" s="13">
        <f>C77</f>
        <v/>
      </c>
      <c r="EC77" s="297" t="n">
        <v>4817366.82</v>
      </c>
      <c r="ED77" s="13">
        <f>EC78</f>
        <v/>
      </c>
      <c r="EE77" s="13">
        <f>EC77-ED77</f>
        <v/>
      </c>
      <c r="EF77" s="193">
        <f>EE77/ED77</f>
        <v/>
      </c>
      <c r="EG77" s="193" t="n">
        <v>-0.0659</v>
      </c>
      <c r="EH77" s="193" t="n"/>
      <c r="EI77" s="315" t="n"/>
      <c r="EJ77" s="13">
        <f>C77</f>
        <v/>
      </c>
      <c r="EK77" s="296" t="n">
        <v>1165722.9669</v>
      </c>
      <c r="EL77" s="13">
        <f>EK78</f>
        <v/>
      </c>
      <c r="EM77" s="13">
        <f>EK77-EL77</f>
        <v/>
      </c>
      <c r="EN77" s="193">
        <f>EM77/EL77</f>
        <v/>
      </c>
      <c r="EO77" s="193" t="n">
        <v>-0.0698</v>
      </c>
      <c r="EP77" s="193" t="n"/>
      <c r="EQ77" s="317" t="n"/>
      <c r="ER77" s="318">
        <f>C77</f>
        <v/>
      </c>
      <c r="ES77" s="297" t="n">
        <v>750694.04</v>
      </c>
      <c r="ET77" s="13">
        <f>ES78</f>
        <v/>
      </c>
      <c r="EU77" s="13">
        <f>ES77-ET77</f>
        <v/>
      </c>
      <c r="EV77" s="193">
        <f>EU77/ET77</f>
        <v/>
      </c>
      <c r="EW77" s="193" t="n">
        <v>-0.0699</v>
      </c>
      <c r="EX77" s="193" t="n"/>
      <c r="EY77" s="315" t="n"/>
      <c r="EZ77" s="13">
        <f>C77</f>
        <v/>
      </c>
      <c r="FA77" s="297" t="n">
        <v>580608</v>
      </c>
      <c r="FB77" s="13">
        <f>FA78</f>
        <v/>
      </c>
      <c r="FC77" s="13">
        <f>FA77-FB77</f>
        <v/>
      </c>
      <c r="FD77" s="193">
        <f>FC77/FB77</f>
        <v/>
      </c>
      <c r="FE77" s="193" t="n">
        <v>-0.0245</v>
      </c>
      <c r="FF77" s="193" t="n"/>
      <c r="FH77" s="13">
        <f>C77</f>
        <v/>
      </c>
      <c r="FI77" s="688" t="n">
        <v>1103395.3365</v>
      </c>
      <c r="FJ77" s="13">
        <f>FI78</f>
        <v/>
      </c>
      <c r="FK77" s="13">
        <f>FI77-FJ77</f>
        <v/>
      </c>
      <c r="FL77" s="193">
        <f>FK77/FJ77</f>
        <v/>
      </c>
      <c r="FM77" s="193" t="n">
        <v>-0.0376</v>
      </c>
      <c r="FN77" s="193" t="n"/>
      <c r="FO77" s="315" t="n"/>
      <c r="FP77" s="13">
        <f>C77</f>
        <v/>
      </c>
      <c r="FQ77" s="297" t="n">
        <v>1834618.73</v>
      </c>
      <c r="FR77" s="13">
        <f>FQ78</f>
        <v/>
      </c>
      <c r="FS77" s="13">
        <f>FQ77-FR77</f>
        <v/>
      </c>
      <c r="FT77" s="193">
        <f>FS77/FR77</f>
        <v/>
      </c>
      <c r="FU77" s="193" t="n">
        <v>-0.0243</v>
      </c>
      <c r="FV77" s="193" t="n"/>
      <c r="FW77" s="315" t="n"/>
      <c r="FX77" s="13">
        <f>C77</f>
        <v/>
      </c>
      <c r="FY77" s="297" t="n">
        <v>7994182.05</v>
      </c>
      <c r="FZ77" s="13">
        <f>FY78</f>
        <v/>
      </c>
      <c r="GA77" s="13">
        <f>FY77-FZ77</f>
        <v/>
      </c>
      <c r="GB77" s="193">
        <f>GA77/FZ77</f>
        <v/>
      </c>
      <c r="GC77" s="193" t="n">
        <v>-0.009299999999999999</v>
      </c>
      <c r="GD77" s="193" t="n"/>
      <c r="GE77" s="315" t="n"/>
      <c r="GF77" s="13">
        <f>C77</f>
        <v/>
      </c>
      <c r="GG77" s="297" t="n">
        <v>4628569.49</v>
      </c>
      <c r="GH77" s="13">
        <f>GG78</f>
        <v/>
      </c>
      <c r="GI77" s="13">
        <f>GG77-GH77</f>
        <v/>
      </c>
      <c r="GJ77" s="193">
        <f>GI77/GH77</f>
        <v/>
      </c>
      <c r="GK77" s="193" t="n">
        <v>-0.0054</v>
      </c>
      <c r="GL77" s="193" t="n"/>
      <c r="GM77" s="315" t="n"/>
      <c r="GN77" s="13">
        <f>C77</f>
        <v/>
      </c>
      <c r="GO77" s="296" t="n">
        <v>2028178.1217</v>
      </c>
      <c r="GP77" s="13">
        <f>GO78</f>
        <v/>
      </c>
      <c r="GQ77" s="13">
        <f>GO77-GP77</f>
        <v/>
      </c>
      <c r="GR77" s="193">
        <f>GQ77/GP77</f>
        <v/>
      </c>
      <c r="GS77" s="193" t="n">
        <v>-0.0233</v>
      </c>
      <c r="GT77" s="193" t="n"/>
      <c r="GU77" s="315" t="n"/>
      <c r="GV77" s="13">
        <f>C77</f>
        <v/>
      </c>
      <c r="GW77" s="297" t="n">
        <v>610749.4</v>
      </c>
      <c r="GX77" s="13">
        <f>GW78</f>
        <v/>
      </c>
      <c r="GY77" s="13">
        <f>GW77-GX77</f>
        <v/>
      </c>
      <c r="GZ77" s="193">
        <f>GY77/GX77</f>
        <v/>
      </c>
      <c r="HA77" s="193" t="n">
        <v>-0.0205</v>
      </c>
      <c r="HB77" s="193" t="n"/>
      <c r="HC77" s="315" t="n"/>
      <c r="HD77" s="13">
        <f>C77</f>
        <v/>
      </c>
      <c r="HE77" s="296" t="n">
        <v>918464.6746</v>
      </c>
      <c r="HF77" s="13">
        <f>HE78</f>
        <v/>
      </c>
      <c r="HG77" s="13">
        <f>HE77-HF77</f>
        <v/>
      </c>
      <c r="HH77" s="193">
        <f>HG77/HF77</f>
        <v/>
      </c>
      <c r="HI77" s="193" t="n">
        <v>-0.0232</v>
      </c>
      <c r="HJ77" s="193" t="n"/>
      <c r="HK77" s="315" t="n"/>
      <c r="HL77" s="13">
        <f>C77</f>
        <v/>
      </c>
      <c r="HM77" s="13" t="n">
        <v>116704.25</v>
      </c>
      <c r="HN77" s="13">
        <f>HM78</f>
        <v/>
      </c>
      <c r="HO77" s="13">
        <f>HM77-HN77</f>
        <v/>
      </c>
      <c r="HP77" s="193">
        <f>HO77/HN77</f>
        <v/>
      </c>
      <c r="HQ77" s="193" t="n">
        <v>-0.0046</v>
      </c>
      <c r="HR77" s="193" t="n"/>
      <c r="HS77" s="315" t="n"/>
      <c r="HT77" s="13">
        <f>C77</f>
        <v/>
      </c>
      <c r="HU77" s="296" t="n">
        <v>127168.8265</v>
      </c>
      <c r="HV77" s="13">
        <f>HU78</f>
        <v/>
      </c>
      <c r="HW77" s="13">
        <f>HU77-HV77</f>
        <v/>
      </c>
      <c r="HX77" s="193">
        <f>HW77/HV77</f>
        <v/>
      </c>
      <c r="HY77" s="193" t="n">
        <v>0.0039</v>
      </c>
      <c r="HZ77" s="193" t="n"/>
      <c r="IA77" s="315" t="n"/>
      <c r="IB77" s="13">
        <f>C77</f>
        <v/>
      </c>
      <c r="IC77" s="297" t="n">
        <v>281109.79</v>
      </c>
      <c r="ID77" s="13">
        <f>IC78</f>
        <v/>
      </c>
      <c r="IE77" s="13">
        <f>IC77-ID77</f>
        <v/>
      </c>
      <c r="IF77" s="193">
        <f>IE77/ID77</f>
        <v/>
      </c>
      <c r="IG77" s="193" t="n">
        <v>0.0122</v>
      </c>
      <c r="IH77" s="193" t="n"/>
      <c r="II77" s="315" t="n"/>
      <c r="IJ77" s="13">
        <f>C77</f>
        <v/>
      </c>
      <c r="IK77" s="296" t="n">
        <v>1033356.29</v>
      </c>
      <c r="IL77" s="13">
        <f>IK78</f>
        <v/>
      </c>
      <c r="IM77" s="13">
        <f>IK77-IL77</f>
        <v/>
      </c>
      <c r="IN77" s="193">
        <f>IM77/IL77</f>
        <v/>
      </c>
      <c r="IO77" s="193" t="n">
        <v>-0.008500000000000001</v>
      </c>
      <c r="IP77" s="193" t="n"/>
      <c r="IQ77" s="315" t="n"/>
      <c r="IR77" s="13">
        <f>C77</f>
        <v/>
      </c>
      <c r="IS77" s="13" t="n">
        <v>158189</v>
      </c>
      <c r="IT77" s="13">
        <f>IS78</f>
        <v/>
      </c>
      <c r="IU77" s="13">
        <f>IS77-IT77</f>
        <v/>
      </c>
      <c r="IV77" s="193">
        <f>IU77/IT77</f>
        <v/>
      </c>
      <c r="IW77" s="193" t="n">
        <v>-0.0331</v>
      </c>
      <c r="IX77" s="193" t="n"/>
      <c r="IY77" s="315" t="n"/>
      <c r="IZ77" s="13">
        <f>C77</f>
        <v/>
      </c>
      <c r="JA77" s="297" t="n">
        <v>5727129.15</v>
      </c>
      <c r="JB77" s="13">
        <f>JA78</f>
        <v/>
      </c>
      <c r="JC77" s="13">
        <f>JA77-JB77</f>
        <v/>
      </c>
      <c r="JD77" s="193">
        <f>JC77/JB77</f>
        <v/>
      </c>
      <c r="JE77" s="193" t="n">
        <v>-0.0172</v>
      </c>
      <c r="JF77" s="193" t="n"/>
      <c r="JG77" s="315" t="n"/>
      <c r="JH77" s="13">
        <f>C77</f>
        <v/>
      </c>
      <c r="JI77" s="297" t="n">
        <v>1365087.99</v>
      </c>
      <c r="JJ77" s="13">
        <f>JI78</f>
        <v/>
      </c>
      <c r="JK77" s="13">
        <f>JI77-JJ77</f>
        <v/>
      </c>
      <c r="JL77" s="193">
        <f>JK77/JJ77</f>
        <v/>
      </c>
      <c r="JM77" s="193" t="n">
        <v>0.0161</v>
      </c>
      <c r="JN77" s="193" t="n"/>
      <c r="JP77" s="13">
        <f>C77</f>
        <v/>
      </c>
      <c r="JQ77" s="301" t="n">
        <v>1059290.4148</v>
      </c>
      <c r="JR77" s="13">
        <f>JQ78</f>
        <v/>
      </c>
      <c r="JS77" s="13">
        <f>JQ77-JR77</f>
        <v/>
      </c>
      <c r="JT77" s="193">
        <f>JS77/JR77</f>
        <v/>
      </c>
      <c r="JU77" s="193" t="n">
        <v>0.0069</v>
      </c>
      <c r="JV77" s="193" t="n"/>
      <c r="JX77" s="13">
        <f>C77</f>
        <v/>
      </c>
      <c r="JY77" s="13" t="n">
        <v>1017648.8</v>
      </c>
      <c r="JZ77" s="13">
        <f>JY78</f>
        <v/>
      </c>
      <c r="KA77" s="13">
        <f>JY77-JZ77</f>
        <v/>
      </c>
      <c r="KB77" s="193">
        <f>KA77/JZ77</f>
        <v/>
      </c>
      <c r="KC77" s="193" t="n">
        <v>-0.0198</v>
      </c>
      <c r="KD77" s="193" t="n"/>
      <c r="KF77" s="13">
        <f>C77</f>
        <v/>
      </c>
      <c r="KG77" s="296" t="n">
        <v>646755.9219</v>
      </c>
      <c r="KH77" s="13">
        <f>KG78</f>
        <v/>
      </c>
      <c r="KI77" s="13">
        <f>KG77-KH77</f>
        <v/>
      </c>
      <c r="KJ77" s="193">
        <f>KI77/KH77</f>
        <v/>
      </c>
      <c r="KK77" s="193" t="n">
        <v>0.0027</v>
      </c>
      <c r="KL77" s="193" t="n"/>
      <c r="KM77" s="315" t="n"/>
      <c r="KN77" s="13">
        <f>C77</f>
        <v/>
      </c>
      <c r="KO77" s="13" t="n">
        <v>6982775.95</v>
      </c>
      <c r="KP77" s="13">
        <f>KO78</f>
        <v/>
      </c>
      <c r="KQ77" s="13">
        <f>KO77-KP77</f>
        <v/>
      </c>
      <c r="KR77" s="193">
        <f>KQ77/KP77</f>
        <v/>
      </c>
      <c r="KS77" s="193" t="n">
        <v>-0.0017</v>
      </c>
      <c r="KT77" s="193" t="n"/>
      <c r="KU77" s="315" t="n"/>
      <c r="KV77" s="13">
        <f>C77</f>
        <v/>
      </c>
      <c r="KW77" s="296" t="n">
        <v>1102872.9726</v>
      </c>
      <c r="KX77" s="13">
        <f>KW78</f>
        <v/>
      </c>
      <c r="KY77" s="13">
        <f>KW77-KX77</f>
        <v/>
      </c>
      <c r="KZ77" s="193">
        <f>KY77/KX77</f>
        <v/>
      </c>
      <c r="LA77" s="193" t="n">
        <v>-0.0131</v>
      </c>
      <c r="LB77" s="193" t="n"/>
      <c r="LC77" s="315" t="n"/>
      <c r="LD77" s="13">
        <f>C77</f>
        <v/>
      </c>
      <c r="LE77" s="297" t="n">
        <v>369857.7</v>
      </c>
      <c r="LF77" s="13">
        <f>LE78</f>
        <v/>
      </c>
      <c r="LG77" s="13">
        <f>LE77-LF77</f>
        <v/>
      </c>
      <c r="LH77" s="193">
        <f>LG77/LF77</f>
        <v/>
      </c>
      <c r="LI77" s="193" t="n">
        <v>-0.0237</v>
      </c>
      <c r="LJ77" s="193" t="n"/>
      <c r="LK77" s="315" t="n"/>
      <c r="LL77" s="13">
        <f>C77</f>
        <v/>
      </c>
      <c r="LM77" s="688" t="n">
        <v>3314455.02</v>
      </c>
      <c r="LN77" s="13">
        <f>LM78</f>
        <v/>
      </c>
      <c r="LO77" s="13">
        <f>LM77-LN77</f>
        <v/>
      </c>
      <c r="LP77" s="193">
        <f>LO77/LN77</f>
        <v/>
      </c>
      <c r="LQ77" s="193" t="n">
        <v>0.0238</v>
      </c>
      <c r="LR77" s="193" t="n"/>
      <c r="LS77" s="315" t="n"/>
      <c r="LT77" s="13">
        <f>C77</f>
        <v/>
      </c>
      <c r="LU77" s="296" t="n">
        <v>2308262.904</v>
      </c>
      <c r="LV77" s="13">
        <f>LU78</f>
        <v/>
      </c>
      <c r="LW77" s="13">
        <f>LU77-LV77</f>
        <v/>
      </c>
      <c r="LX77" s="193">
        <f>LW77/LV77</f>
        <v/>
      </c>
      <c r="LY77" s="193" t="n">
        <v>0.0151</v>
      </c>
      <c r="LZ77" s="193" t="n"/>
      <c r="MA77" s="315" t="n"/>
      <c r="MB77" s="13">
        <f>C77</f>
        <v/>
      </c>
      <c r="MC77" s="297" t="n">
        <v>1229317.69</v>
      </c>
      <c r="MD77" s="13">
        <f>MC78</f>
        <v/>
      </c>
      <c r="ME77" s="13">
        <f>MC77-MD77</f>
        <v/>
      </c>
      <c r="MF77" s="193">
        <f>ME77/MD77</f>
        <v/>
      </c>
      <c r="MG77" s="193" t="n">
        <v>-0.011</v>
      </c>
      <c r="MH77" s="193" t="n"/>
      <c r="MI77" s="319" t="n"/>
      <c r="MJ77" s="318" t="n"/>
      <c r="MK77" s="318">
        <f>C77</f>
        <v/>
      </c>
      <c r="ML77" s="296" t="n">
        <v>156225.5354</v>
      </c>
      <c r="MM77" s="13">
        <f>ML78</f>
        <v/>
      </c>
      <c r="MN77" s="13">
        <f>ML77-MM77</f>
        <v/>
      </c>
      <c r="MO77" s="193">
        <f>MN77/MM77</f>
        <v/>
      </c>
      <c r="MP77" s="193" t="n">
        <v>-0.0335</v>
      </c>
      <c r="MQ77" s="320" t="n"/>
      <c r="MR77" s="320" t="n"/>
      <c r="MS77" s="188" t="n"/>
      <c r="MT77" s="274">
        <f>C77</f>
        <v/>
      </c>
      <c r="MU77" s="188" t="n">
        <v>142814.8</v>
      </c>
      <c r="MV77" s="188">
        <f>MU78</f>
        <v/>
      </c>
      <c r="MW77" s="188">
        <f>MU77-MV77</f>
        <v/>
      </c>
      <c r="MX77" s="271">
        <f>MW77/MV77</f>
        <v/>
      </c>
      <c r="MY77" s="193" t="n">
        <v>-0.0186</v>
      </c>
      <c r="MZ77" s="193" t="n"/>
      <c r="NA77" s="193" t="n"/>
      <c r="NB77" s="188" t="n"/>
      <c r="NC77" s="188">
        <f>C77</f>
        <v/>
      </c>
      <c r="ND77" s="188" t="n">
        <v>33691.48</v>
      </c>
      <c r="NE77" s="188">
        <f>ND78</f>
        <v/>
      </c>
      <c r="NF77" s="188">
        <f>ND77-NE77</f>
        <v/>
      </c>
      <c r="NG77" s="271">
        <f>NF77/NE77</f>
        <v/>
      </c>
      <c r="NH77" s="193" t="n">
        <v>-0.0191</v>
      </c>
      <c r="NI77" s="193" t="n"/>
      <c r="NJ77" s="193" t="n"/>
      <c r="NK77" s="193" t="n"/>
      <c r="NL77" s="188" t="n"/>
      <c r="NM77" s="188">
        <f>C77</f>
        <v/>
      </c>
      <c r="NN77" s="188" t="n">
        <v>2956811.08</v>
      </c>
      <c r="NO77" s="9">
        <f>NN78</f>
        <v/>
      </c>
      <c r="NP77" s="188">
        <f>NN77-NO77</f>
        <v/>
      </c>
      <c r="NQ77" s="271">
        <f>NP77/NO77</f>
        <v/>
      </c>
      <c r="NR77" s="272" t="n">
        <v>0.0077</v>
      </c>
      <c r="NS77" s="188" t="n"/>
      <c r="NT77" s="273" t="n"/>
      <c r="NU77" s="188">
        <f>C77</f>
        <v/>
      </c>
      <c r="NV77" s="188" t="n">
        <v>257726.5</v>
      </c>
      <c r="NW77" s="188">
        <f>NV78</f>
        <v/>
      </c>
      <c r="NX77" s="188">
        <f>NV77-NW77</f>
        <v/>
      </c>
      <c r="NY77" s="271">
        <f>NX77/NW77</f>
        <v/>
      </c>
      <c r="NZ77" s="193" t="n">
        <v>-0.0091</v>
      </c>
      <c r="OA77" s="315" t="n"/>
      <c r="OB77" s="315" t="n"/>
      <c r="OC77" s="13">
        <f>C77</f>
        <v/>
      </c>
      <c r="OD77" s="297" t="n">
        <v>16719.97</v>
      </c>
      <c r="OE77" s="13">
        <f>OD78</f>
        <v/>
      </c>
      <c r="OF77" s="13">
        <f>OD77-OE77</f>
        <v/>
      </c>
      <c r="OG77" s="193">
        <f>OF77/OE77</f>
        <v/>
      </c>
      <c r="OH77" s="193" t="n">
        <v>-0.0019</v>
      </c>
      <c r="OI77" s="193" t="n"/>
      <c r="OJ77" s="315" t="n"/>
      <c r="OK77" s="13">
        <f>C77</f>
        <v/>
      </c>
      <c r="OL77" s="297" t="n">
        <v>14756.65</v>
      </c>
      <c r="OM77" s="13">
        <f>OL78</f>
        <v/>
      </c>
      <c r="ON77" s="13">
        <f>OL77-OM77</f>
        <v/>
      </c>
      <c r="OO77" s="193">
        <f>ON77/OM77</f>
        <v/>
      </c>
      <c r="OP77" s="193" t="n">
        <v>-0.0002</v>
      </c>
      <c r="OQ77" s="193" t="n"/>
      <c r="OT77" s="201">
        <f>OK77</f>
        <v/>
      </c>
      <c r="OU77" s="199" t="n">
        <v>153312.4066</v>
      </c>
      <c r="OV77" s="9">
        <f>OU78</f>
        <v/>
      </c>
      <c r="OW77" s="671">
        <f>OU77-OV77</f>
        <v/>
      </c>
      <c r="OX77" s="182">
        <f>OW77/OV77</f>
        <v/>
      </c>
      <c r="OY77" s="0" t="n">
        <v>-0.059</v>
      </c>
    </row>
    <row r="78" ht="17" customFormat="1" customHeight="1" s="13">
      <c r="A78" s="631" t="n"/>
      <c r="B78" s="631" t="n"/>
      <c r="C78" s="687" t="inlineStr">
        <is>
          <t>2026//7/27</t>
        </is>
      </c>
      <c r="D78" s="311" t="n">
        <v>2464158.77</v>
      </c>
      <c r="E78" s="114">
        <f>D79</f>
        <v/>
      </c>
      <c r="F78" s="309">
        <f>D78-E78</f>
        <v/>
      </c>
      <c r="G78" s="310">
        <f>F78/E78</f>
        <v/>
      </c>
      <c r="H78" s="19" t="n">
        <v>0.0111</v>
      </c>
      <c r="I78" s="111" t="n"/>
      <c r="J78" s="111" t="n"/>
      <c r="K78" s="114">
        <f>C78</f>
        <v/>
      </c>
      <c r="L78" s="311" t="n">
        <v>1135684.4</v>
      </c>
      <c r="M78" s="114">
        <f>L79</f>
        <v/>
      </c>
      <c r="N78" s="309">
        <f>L78-M78</f>
        <v/>
      </c>
      <c r="O78" s="310">
        <f>N78/M78</f>
        <v/>
      </c>
      <c r="P78" s="19" t="n">
        <v>0.0121</v>
      </c>
      <c r="Q78" s="111" t="n"/>
      <c r="R78" s="114" t="n"/>
      <c r="S78" s="114">
        <f>C78</f>
        <v/>
      </c>
      <c r="T78" s="311" t="n">
        <v>761916.6800000001</v>
      </c>
      <c r="U78" s="114">
        <f>T79</f>
        <v/>
      </c>
      <c r="V78" s="309">
        <f>T78-U78</f>
        <v/>
      </c>
      <c r="W78" s="310">
        <f>V78/U78</f>
        <v/>
      </c>
      <c r="X78" s="19" t="n">
        <v>0.0013</v>
      </c>
      <c r="Y78" s="111" t="n"/>
      <c r="Z78" s="114" t="n"/>
      <c r="AA78" s="114">
        <f>S78</f>
        <v/>
      </c>
      <c r="AB78" s="311" t="n">
        <v>613656.86</v>
      </c>
      <c r="AC78" s="114">
        <f>AB79</f>
        <v/>
      </c>
      <c r="AD78" s="309">
        <f>AB78-AC78</f>
        <v/>
      </c>
      <c r="AE78" s="310">
        <f>AD78/AC78</f>
        <v/>
      </c>
      <c r="AF78" s="19" t="n">
        <v>0.024</v>
      </c>
      <c r="AG78" s="111" t="n"/>
      <c r="AH78" s="114" t="n"/>
      <c r="AI78" s="114">
        <f>C78</f>
        <v/>
      </c>
      <c r="AJ78" s="311" t="n">
        <v>941321.76</v>
      </c>
      <c r="AK78" s="114">
        <f>AJ79</f>
        <v/>
      </c>
      <c r="AL78" s="309">
        <f>AJ78-AK78</f>
        <v/>
      </c>
      <c r="AM78" s="310">
        <f>AL78/AK78</f>
        <v/>
      </c>
      <c r="AN78" s="19" t="n">
        <v>0.0346</v>
      </c>
      <c r="AO78" s="19" t="n"/>
      <c r="AP78" s="114" t="n"/>
      <c r="AQ78" s="114">
        <f>C78</f>
        <v/>
      </c>
      <c r="AR78" s="661" t="n">
        <v>1697345.4936</v>
      </c>
      <c r="AS78" s="114">
        <f>AR79</f>
        <v/>
      </c>
      <c r="AT78" s="312">
        <f>AR78-AS78</f>
        <v/>
      </c>
      <c r="AU78" s="313">
        <f>AT78/AS78</f>
        <v/>
      </c>
      <c r="AV78" s="19" t="n">
        <v>0.0296</v>
      </c>
      <c r="AW78" s="19" t="n"/>
      <c r="AX78" s="5" t="n"/>
      <c r="AY78" s="188" t="n"/>
      <c r="AZ78" s="188">
        <f>C78</f>
        <v/>
      </c>
      <c r="BA78" s="188" t="n">
        <v>629031.6676</v>
      </c>
      <c r="BB78" s="188">
        <f>BA79</f>
        <v/>
      </c>
      <c r="BC78" s="188">
        <f>BA78-BB78</f>
        <v/>
      </c>
      <c r="BD78" s="271">
        <f>BC78/BB78</f>
        <v/>
      </c>
      <c r="BE78" s="19" t="n">
        <v>0.012</v>
      </c>
      <c r="BF78" s="19" t="n"/>
      <c r="BG78" s="683" t="n"/>
      <c r="BH78" s="184">
        <f>C78</f>
        <v/>
      </c>
      <c r="BI78" s="221" t="n">
        <v>1188026.5525</v>
      </c>
      <c r="BJ78" s="184">
        <f>BI79</f>
        <v/>
      </c>
      <c r="BK78" s="321">
        <f>BI78-BJ78</f>
        <v/>
      </c>
      <c r="BL78" s="322">
        <f>BK78/BJ78</f>
        <v/>
      </c>
      <c r="BM78" s="190" t="n">
        <v>0.0306</v>
      </c>
      <c r="BN78" s="193" t="n"/>
      <c r="BO78" s="315" t="n"/>
      <c r="BP78" s="13">
        <f>C78</f>
        <v/>
      </c>
      <c r="BQ78" s="672" t="n">
        <v>1200862.3921</v>
      </c>
      <c r="BR78" s="13">
        <f>BQ79</f>
        <v/>
      </c>
      <c r="BS78" s="323">
        <f>BQ78-BR78</f>
        <v/>
      </c>
      <c r="BT78" s="324">
        <f>BS78/BR78</f>
        <v/>
      </c>
      <c r="BU78" s="193" t="n">
        <v>0.0249</v>
      </c>
      <c r="BV78" s="193" t="n"/>
      <c r="BW78" s="315" t="n"/>
      <c r="BX78" s="13">
        <f>C78</f>
        <v/>
      </c>
      <c r="BY78" s="222" t="n">
        <v>1821460.7019</v>
      </c>
      <c r="BZ78" s="13">
        <f>BY79</f>
        <v/>
      </c>
      <c r="CA78" s="325">
        <f>BY78-BZ78</f>
        <v/>
      </c>
      <c r="CB78" s="326">
        <f>CA78/BZ78</f>
        <v/>
      </c>
      <c r="CC78" s="193" t="n">
        <v>0.0222</v>
      </c>
      <c r="CD78" s="193" t="n"/>
      <c r="CE78" s="315" t="n"/>
      <c r="CF78" s="13">
        <f>C78</f>
        <v/>
      </c>
      <c r="CG78" s="185" t="n">
        <v>1273403.9</v>
      </c>
      <c r="CH78" s="13">
        <f>CG79</f>
        <v/>
      </c>
      <c r="CI78" s="13">
        <f>CG78-CH78</f>
        <v/>
      </c>
      <c r="CJ78" s="193">
        <f>CI78/CH78</f>
        <v/>
      </c>
      <c r="CK78" s="193" t="n">
        <v>0.0236</v>
      </c>
      <c r="CL78" s="193" t="n"/>
      <c r="CM78" s="315" t="n"/>
      <c r="CN78" s="13">
        <f>C78</f>
        <v/>
      </c>
      <c r="CO78" s="185" t="n">
        <v>523546.48</v>
      </c>
      <c r="CP78" s="13">
        <f>CO79</f>
        <v/>
      </c>
      <c r="CQ78" s="13">
        <f>CO78-CP78</f>
        <v/>
      </c>
      <c r="CR78" s="193">
        <f>CQ78/CP78</f>
        <v/>
      </c>
      <c r="CS78" s="193" t="n">
        <v>0.0231</v>
      </c>
      <c r="CT78" s="193" t="n"/>
      <c r="CU78" s="315" t="n"/>
      <c r="CV78" s="13">
        <f>C78</f>
        <v/>
      </c>
      <c r="CW78" s="185" t="n">
        <v>664240.4</v>
      </c>
      <c r="CX78" s="13">
        <f>CW79</f>
        <v/>
      </c>
      <c r="CY78" s="323">
        <f>CW78-CX78</f>
        <v/>
      </c>
      <c r="CZ78" s="324">
        <f>CY78/CX78</f>
        <v/>
      </c>
      <c r="DA78" s="193" t="n">
        <v>0.0275</v>
      </c>
      <c r="DB78" s="193" t="n"/>
      <c r="DC78" s="256" t="n"/>
      <c r="DD78" s="13">
        <f>C78</f>
        <v/>
      </c>
      <c r="DE78" s="222" t="n">
        <v>5500735.9972</v>
      </c>
      <c r="DF78" s="13">
        <f>DE79</f>
        <v/>
      </c>
      <c r="DG78" s="325">
        <f>DE78-DF78</f>
        <v/>
      </c>
      <c r="DH78" s="326">
        <f>DG78/DF78</f>
        <v/>
      </c>
      <c r="DI78" s="193" t="n">
        <v>0.035</v>
      </c>
      <c r="DJ78" s="193" t="n"/>
      <c r="DK78" s="315" t="n"/>
      <c r="DL78" s="13">
        <f>C78</f>
        <v/>
      </c>
      <c r="DM78" s="185" t="n">
        <v>1869800.72</v>
      </c>
      <c r="DN78" s="13">
        <f>DM79</f>
        <v/>
      </c>
      <c r="DO78" s="325">
        <f>DM78-DN78</f>
        <v/>
      </c>
      <c r="DP78" s="326">
        <f>DO78/DN78</f>
        <v/>
      </c>
      <c r="DQ78" s="193" t="n">
        <v>0.009900000000000001</v>
      </c>
      <c r="DR78" s="193" t="n"/>
      <c r="DS78" s="315" t="n"/>
      <c r="DT78" s="13">
        <f>C78</f>
        <v/>
      </c>
      <c r="DU78" s="185" t="n">
        <v>4261768.43</v>
      </c>
      <c r="DV78" s="13">
        <f>DU79</f>
        <v/>
      </c>
      <c r="DW78" s="325">
        <f>DU78-DV78</f>
        <v/>
      </c>
      <c r="DX78" s="326">
        <f>DW78/DV78</f>
        <v/>
      </c>
      <c r="DY78" s="193" t="n">
        <v>0.0151</v>
      </c>
      <c r="DZ78" s="193" t="n"/>
      <c r="EA78" s="315" t="n"/>
      <c r="EB78" s="13">
        <f>C78</f>
        <v/>
      </c>
      <c r="EC78" s="185" t="n">
        <v>4609466.82</v>
      </c>
      <c r="ED78" s="13">
        <f>EC79</f>
        <v/>
      </c>
      <c r="EE78" s="325">
        <f>EC78-ED78</f>
        <v/>
      </c>
      <c r="EF78" s="326">
        <f>EE78/ED78</f>
        <v/>
      </c>
      <c r="EG78" s="193" t="n">
        <v>0.0138</v>
      </c>
      <c r="EH78" s="193" t="n"/>
      <c r="EI78" s="315" t="n"/>
      <c r="EJ78" s="13">
        <f>C78</f>
        <v/>
      </c>
      <c r="EK78" s="222" t="n">
        <v>1140922.9669</v>
      </c>
      <c r="EL78" s="13">
        <f>EK79</f>
        <v/>
      </c>
      <c r="EM78" s="325">
        <f>EK78-EL78</f>
        <v/>
      </c>
      <c r="EN78" s="326">
        <f>EM78/EL78</f>
        <v/>
      </c>
      <c r="EO78" s="193" t="n">
        <v>0.0132</v>
      </c>
      <c r="EP78" s="193" t="n"/>
      <c r="EQ78" s="317" t="n"/>
      <c r="ER78" s="318">
        <f>C78</f>
        <v/>
      </c>
      <c r="ES78" s="318" t="n">
        <v>740494.04</v>
      </c>
      <c r="ET78" s="318">
        <f>ES79</f>
        <v/>
      </c>
      <c r="EU78" s="318">
        <f>ES78-ET78</f>
        <v/>
      </c>
      <c r="EV78" s="327">
        <f>EU78/ET78</f>
        <v/>
      </c>
      <c r="EW78" s="193" t="n">
        <v>0.015</v>
      </c>
      <c r="EX78" s="193" t="n"/>
      <c r="EY78" s="315" t="n"/>
      <c r="EZ78" s="13">
        <f>C78</f>
        <v/>
      </c>
      <c r="FA78" s="185" t="n">
        <v>573808</v>
      </c>
      <c r="FB78" s="13">
        <f>FA79</f>
        <v/>
      </c>
      <c r="FC78" s="325">
        <f>FA78-FB78</f>
        <v/>
      </c>
      <c r="FD78" s="326">
        <f>FC78/FB78</f>
        <v/>
      </c>
      <c r="FE78" s="193" t="n">
        <v>0.0251</v>
      </c>
      <c r="FF78" s="193" t="n"/>
      <c r="FH78" s="13">
        <f>C78</f>
        <v/>
      </c>
      <c r="FI78" s="672" t="n">
        <v>1100595.3365</v>
      </c>
      <c r="FJ78" s="13">
        <f>FI79</f>
        <v/>
      </c>
      <c r="FK78" s="325">
        <f>FI78-FJ78</f>
        <v/>
      </c>
      <c r="FL78" s="326">
        <f>FK78/FJ78</f>
        <v/>
      </c>
      <c r="FM78" s="193" t="n">
        <v>0.0391</v>
      </c>
      <c r="FN78" s="193" t="n"/>
      <c r="FO78" s="315" t="n"/>
      <c r="FP78" s="13">
        <f>C78</f>
        <v/>
      </c>
      <c r="FQ78" s="185" t="n">
        <v>1814368.73</v>
      </c>
      <c r="FR78" s="13">
        <f>FQ79</f>
        <v/>
      </c>
      <c r="FS78" s="325">
        <f>FQ78-FR78</f>
        <v/>
      </c>
      <c r="FT78" s="326">
        <f>FS78/FR78</f>
        <v/>
      </c>
      <c r="FU78" s="193" t="n">
        <v>0.0238</v>
      </c>
      <c r="FV78" s="193" t="n"/>
      <c r="FW78" s="315" t="n"/>
      <c r="FX78" s="13">
        <f>C78</f>
        <v/>
      </c>
      <c r="FY78" s="185" t="n">
        <v>7999782.05</v>
      </c>
      <c r="FZ78" s="13">
        <f>FY79</f>
        <v/>
      </c>
      <c r="GA78" s="325">
        <f>FY78-FZ78</f>
        <v/>
      </c>
      <c r="GB78" s="326">
        <f>GA78/FZ78</f>
        <v/>
      </c>
      <c r="GC78" s="193" t="n">
        <v>0.0254</v>
      </c>
      <c r="GD78" s="193" t="n"/>
      <c r="GE78" s="315" t="n"/>
      <c r="GF78" s="13">
        <f>C78</f>
        <v/>
      </c>
      <c r="GG78" s="185" t="n">
        <v>4639469.49</v>
      </c>
      <c r="GH78" s="13">
        <f>GG79</f>
        <v/>
      </c>
      <c r="GI78" s="325">
        <f>GG78-GH78</f>
        <v/>
      </c>
      <c r="GJ78" s="326">
        <f>GI78/GH78</f>
        <v/>
      </c>
      <c r="GK78" s="193" t="n">
        <v>0.008200000000000001</v>
      </c>
      <c r="GL78" s="193" t="n"/>
      <c r="GM78" s="315" t="n"/>
      <c r="GN78" s="13">
        <f>C78</f>
        <v/>
      </c>
      <c r="GO78" s="222" t="n">
        <v>2021038.1217</v>
      </c>
      <c r="GP78" s="13">
        <f>GO79</f>
        <v/>
      </c>
      <c r="GQ78" s="13">
        <f>GO78-GP78</f>
        <v/>
      </c>
      <c r="GR78" s="193">
        <f>GQ78/GP78</f>
        <v/>
      </c>
      <c r="GS78" s="193" t="n">
        <v>0.0238</v>
      </c>
      <c r="GT78" s="193" t="n"/>
      <c r="GU78" s="315" t="n"/>
      <c r="GV78" s="13">
        <f>C78</f>
        <v/>
      </c>
      <c r="GW78" s="185" t="n">
        <v>611149.4</v>
      </c>
      <c r="GX78" s="13">
        <f>GW79</f>
        <v/>
      </c>
      <c r="GY78" s="325">
        <f>GW78-GX78</f>
        <v/>
      </c>
      <c r="GZ78" s="326">
        <f>GY78/GX78</f>
        <v/>
      </c>
      <c r="HA78" s="193" t="n">
        <v>0.0234</v>
      </c>
      <c r="HB78" s="193" t="n"/>
      <c r="HC78" s="315" t="n"/>
      <c r="HD78" s="13">
        <f>C78</f>
        <v/>
      </c>
      <c r="HE78" s="222" t="n">
        <v>910164.6746</v>
      </c>
      <c r="HF78" s="13">
        <f>HE79</f>
        <v/>
      </c>
      <c r="HG78" s="323">
        <f>HE78-HF78</f>
        <v/>
      </c>
      <c r="HH78" s="324">
        <f>HG78/HF78</f>
        <v/>
      </c>
      <c r="HI78" s="193" t="n">
        <v>0.0326</v>
      </c>
      <c r="HJ78" s="193" t="n"/>
      <c r="HK78" s="315" t="n"/>
      <c r="HL78" s="13">
        <f>C78</f>
        <v/>
      </c>
      <c r="HM78" s="185" t="n">
        <v>115104.25</v>
      </c>
      <c r="HN78" s="13">
        <f>HM79</f>
        <v/>
      </c>
      <c r="HO78" s="325">
        <f>HM78-HN78</f>
        <v/>
      </c>
      <c r="HP78" s="326">
        <f>HO78/HN78</f>
        <v/>
      </c>
      <c r="HQ78" s="193" t="n">
        <v>0.0187</v>
      </c>
      <c r="HR78" s="193" t="n"/>
      <c r="HS78" s="315" t="n"/>
      <c r="HT78" s="13">
        <f>C78</f>
        <v/>
      </c>
      <c r="HU78" s="222" t="n">
        <v>125868.8265</v>
      </c>
      <c r="HV78" s="13">
        <f>HU79</f>
        <v/>
      </c>
      <c r="HW78" s="325">
        <f>HU78-HV78</f>
        <v/>
      </c>
      <c r="HX78" s="326">
        <f>HW78/HV78</f>
        <v/>
      </c>
      <c r="HY78" s="193" t="n">
        <v>0.0157</v>
      </c>
      <c r="HZ78" s="193" t="n"/>
      <c r="IA78" s="315" t="n"/>
      <c r="IB78" s="13">
        <f>C78</f>
        <v/>
      </c>
      <c r="IC78" s="185" t="n">
        <v>278559.79</v>
      </c>
      <c r="ID78" s="13">
        <f>IC79</f>
        <v/>
      </c>
      <c r="IE78" s="325">
        <f>IC78-ID78</f>
        <v/>
      </c>
      <c r="IF78" s="326">
        <f>IE78/ID78</f>
        <v/>
      </c>
      <c r="IG78" s="193" t="n">
        <v>0.0196</v>
      </c>
      <c r="IH78" s="193" t="n"/>
      <c r="II78" s="315" t="n"/>
      <c r="IJ78" s="13">
        <f>C78</f>
        <v/>
      </c>
      <c r="IK78" s="222" t="n">
        <v>1037836.29</v>
      </c>
      <c r="IL78" s="13">
        <f>IK79</f>
        <v/>
      </c>
      <c r="IM78" s="323">
        <f>IK78-IL78</f>
        <v/>
      </c>
      <c r="IN78" s="324">
        <f>IM78/IL78</f>
        <v/>
      </c>
      <c r="IO78" s="193" t="n">
        <v>0.008500000000000001</v>
      </c>
      <c r="IP78" s="193" t="n"/>
      <c r="IQ78" s="315" t="n"/>
      <c r="IR78" s="13">
        <f>C78</f>
        <v/>
      </c>
      <c r="IS78" s="185" t="n">
        <v>159089</v>
      </c>
      <c r="IT78" s="13">
        <f>IS79</f>
        <v/>
      </c>
      <c r="IU78" s="325">
        <f>IS78-IT78</f>
        <v/>
      </c>
      <c r="IV78" s="326">
        <f>IU78/IT78</f>
        <v/>
      </c>
      <c r="IW78" s="193" t="n">
        <v>0.0236</v>
      </c>
      <c r="IX78" s="193" t="n"/>
      <c r="IY78" s="315" t="n"/>
      <c r="IZ78" s="13">
        <f>C78</f>
        <v/>
      </c>
      <c r="JA78" s="185" t="n">
        <v>5705429.15</v>
      </c>
      <c r="JB78" s="13">
        <f>JA79</f>
        <v/>
      </c>
      <c r="JC78" s="323">
        <f>JA78-JB78</f>
        <v/>
      </c>
      <c r="JD78" s="324">
        <f>JC78/JB78</f>
        <v/>
      </c>
      <c r="JE78" s="193" t="n">
        <v>0.0045</v>
      </c>
      <c r="JF78" s="193" t="n"/>
      <c r="JG78" s="315" t="n"/>
      <c r="JH78" s="13">
        <f>C78</f>
        <v/>
      </c>
      <c r="JI78" s="185" t="n">
        <v>1415607.99</v>
      </c>
      <c r="JJ78" s="13">
        <f>JI79</f>
        <v/>
      </c>
      <c r="JK78" s="323">
        <f>JI78-JJ78</f>
        <v/>
      </c>
      <c r="JL78" s="324">
        <f>JK78/JJ78</f>
        <v/>
      </c>
      <c r="JM78" s="193" t="n">
        <v>0.0012</v>
      </c>
      <c r="JN78" s="193" t="n"/>
      <c r="JP78" s="13">
        <f>C78</f>
        <v/>
      </c>
      <c r="JQ78" s="222" t="n">
        <v>1071590.4148</v>
      </c>
      <c r="JR78" s="13">
        <f>JQ79</f>
        <v/>
      </c>
      <c r="JS78" s="325">
        <f>JQ78-JR78</f>
        <v/>
      </c>
      <c r="JT78" s="326">
        <f>JS78/JR78</f>
        <v/>
      </c>
      <c r="JU78" s="193" t="n">
        <v>0.0229</v>
      </c>
      <c r="JV78" s="193" t="n"/>
      <c r="JX78" s="13">
        <f>C78</f>
        <v/>
      </c>
      <c r="JY78" s="185" t="n">
        <v>1013398.8</v>
      </c>
      <c r="JZ78" s="13">
        <f>JY79</f>
        <v/>
      </c>
      <c r="KA78" s="323">
        <f>JY78-JZ78</f>
        <v/>
      </c>
      <c r="KB78" s="324">
        <f>KA78/JZ78</f>
        <v/>
      </c>
      <c r="KC78" s="193" t="n">
        <v>0.0059</v>
      </c>
      <c r="KD78" s="193" t="n"/>
      <c r="KF78" s="13">
        <f>C78</f>
        <v/>
      </c>
      <c r="KG78" s="222" t="n">
        <v>646755.9219</v>
      </c>
      <c r="KH78" s="13">
        <f>KG79</f>
        <v/>
      </c>
      <c r="KI78" s="323">
        <f>KG78-KH78</f>
        <v/>
      </c>
      <c r="KJ78" s="324">
        <f>KI78/KH78</f>
        <v/>
      </c>
      <c r="KK78" s="193" t="n">
        <v>0.0163</v>
      </c>
      <c r="KL78" s="193" t="n"/>
      <c r="KM78" s="315" t="n"/>
      <c r="KN78" s="13">
        <f>C78</f>
        <v/>
      </c>
      <c r="KO78" s="185" t="n">
        <v>6982775.95</v>
      </c>
      <c r="KP78" s="13">
        <f>KO79</f>
        <v/>
      </c>
      <c r="KQ78" s="325">
        <f>KO78-KP78</f>
        <v/>
      </c>
      <c r="KR78" s="326">
        <f>KQ78/KP78</f>
        <v/>
      </c>
      <c r="KS78" s="193" t="n">
        <v>0.0205</v>
      </c>
      <c r="KT78" s="193" t="n"/>
      <c r="KU78" s="315" t="n"/>
      <c r="KV78" s="13">
        <f>C78</f>
        <v/>
      </c>
      <c r="KW78" s="222" t="n">
        <v>1102972.9726</v>
      </c>
      <c r="KX78" s="13">
        <f>KW79</f>
        <v/>
      </c>
      <c r="KY78" s="323">
        <f>KW78-KX78</f>
        <v/>
      </c>
      <c r="KZ78" s="324">
        <f>KY78/KX78</f>
        <v/>
      </c>
      <c r="LA78" s="193" t="n">
        <v>0.0015</v>
      </c>
      <c r="LB78" s="193" t="n"/>
      <c r="LC78" s="315" t="n"/>
      <c r="LD78" s="13">
        <f>C78</f>
        <v/>
      </c>
      <c r="LE78" s="185" t="n">
        <v>370307.7</v>
      </c>
      <c r="LF78" s="13">
        <f>LE79</f>
        <v/>
      </c>
      <c r="LG78" s="323">
        <f>LE78-LF78</f>
        <v/>
      </c>
      <c r="LH78" s="324">
        <f>LG78/LF78</f>
        <v/>
      </c>
      <c r="LI78" s="193" t="n">
        <v>0.0268</v>
      </c>
      <c r="LJ78" s="193" t="n"/>
      <c r="LK78" s="315" t="n"/>
      <c r="LL78" s="13">
        <f>C78</f>
        <v/>
      </c>
      <c r="LM78" s="672" t="n">
        <v>3350995.02</v>
      </c>
      <c r="LN78" s="13">
        <f>LM79</f>
        <v/>
      </c>
      <c r="LO78" s="13">
        <f>LM78-LN78</f>
        <v/>
      </c>
      <c r="LP78" s="193">
        <f>LO78/LN78</f>
        <v/>
      </c>
      <c r="LQ78" s="193" t="n">
        <v>0.009599999999999999</v>
      </c>
      <c r="LR78" s="193" t="n"/>
      <c r="LS78" s="315" t="n"/>
      <c r="LT78" s="13">
        <f>C78</f>
        <v/>
      </c>
      <c r="LU78" s="222" t="n">
        <v>2312862.904</v>
      </c>
      <c r="LV78" s="13">
        <f>LU79</f>
        <v/>
      </c>
      <c r="LW78" s="323">
        <f>LU78-LV78</f>
        <v/>
      </c>
      <c r="LX78" s="324">
        <f>LW78/LV78</f>
        <v/>
      </c>
      <c r="LY78" s="193" t="n">
        <v>0.0107</v>
      </c>
      <c r="LZ78" s="193" t="n"/>
      <c r="MA78" s="315" t="n"/>
      <c r="MB78" s="13">
        <f>C78</f>
        <v/>
      </c>
      <c r="MC78" s="185" t="n">
        <v>1245517.69</v>
      </c>
      <c r="MD78" s="13">
        <f>MC79</f>
        <v/>
      </c>
      <c r="ME78" s="323">
        <f>MC78-MD78</f>
        <v/>
      </c>
      <c r="MF78" s="324">
        <f>ME78/MD78</f>
        <v/>
      </c>
      <c r="MG78" s="193" t="n">
        <v>0.0025</v>
      </c>
      <c r="MH78" s="193" t="n"/>
      <c r="MI78" s="319" t="n"/>
      <c r="MJ78" s="318" t="n"/>
      <c r="MK78" s="318">
        <f>C78</f>
        <v/>
      </c>
      <c r="ML78" s="318" t="n">
        <v>156105.5354</v>
      </c>
      <c r="MM78" s="13">
        <f>ML79</f>
        <v/>
      </c>
      <c r="MN78" s="318">
        <f>ML78-MM78</f>
        <v/>
      </c>
      <c r="MO78" s="327">
        <f>MN78/MM78</f>
        <v/>
      </c>
      <c r="MP78" s="193" t="n">
        <v>0.0282</v>
      </c>
      <c r="MQ78" s="320" t="n"/>
      <c r="MR78" s="320" t="n"/>
      <c r="MS78" s="188" t="n"/>
      <c r="MT78" s="274">
        <f>C78</f>
        <v/>
      </c>
      <c r="MU78" s="188" t="n">
        <v>145314.8</v>
      </c>
      <c r="MV78" s="188">
        <f>MU79</f>
        <v/>
      </c>
      <c r="MW78" s="188">
        <f>MU78-MV78</f>
        <v/>
      </c>
      <c r="MX78" s="271">
        <f>MW78/MV78</f>
        <v/>
      </c>
      <c r="MY78" s="193" t="n">
        <v>0.0145</v>
      </c>
      <c r="MZ78" s="193" t="n"/>
      <c r="NA78" s="193" t="n"/>
      <c r="NB78" s="188" t="n"/>
      <c r="NC78" s="188">
        <f>C78</f>
        <v/>
      </c>
      <c r="ND78" s="188" t="n">
        <v>33691.48</v>
      </c>
      <c r="NE78" s="188">
        <f>ND79</f>
        <v/>
      </c>
      <c r="NF78" s="188">
        <f>ND78-NE78</f>
        <v/>
      </c>
      <c r="NG78" s="271">
        <f>NF78/NE78</f>
        <v/>
      </c>
      <c r="NH78" s="193" t="n">
        <v>0.0258</v>
      </c>
      <c r="NI78" s="193" t="n"/>
      <c r="NJ78" s="193" t="n"/>
      <c r="NK78" s="193" t="n"/>
      <c r="NL78" s="188" t="n"/>
      <c r="NM78" s="188">
        <f>C78</f>
        <v/>
      </c>
      <c r="NN78" s="188" t="n">
        <v>2965311.08</v>
      </c>
      <c r="NO78" s="9">
        <f>NN79</f>
        <v/>
      </c>
      <c r="NP78" s="188">
        <f>NN78-NO78</f>
        <v/>
      </c>
      <c r="NQ78" s="271">
        <f>NP78/NO78</f>
        <v/>
      </c>
      <c r="NR78" s="272" t="n">
        <v>0.0043</v>
      </c>
      <c r="NS78" s="188" t="n"/>
      <c r="NT78" s="273" t="n"/>
      <c r="NU78" s="188">
        <f>C78</f>
        <v/>
      </c>
      <c r="NV78" s="188" t="n">
        <v>260376.5</v>
      </c>
      <c r="NW78" s="188">
        <f>NV79</f>
        <v/>
      </c>
      <c r="NX78" s="188">
        <f>NV78-NW78</f>
        <v/>
      </c>
      <c r="NY78" s="271">
        <f>NX78/NW78</f>
        <v/>
      </c>
      <c r="NZ78" s="193" t="n">
        <v>0.0311</v>
      </c>
      <c r="OA78" s="315" t="n"/>
      <c r="OB78" s="315" t="n"/>
      <c r="OC78" s="13">
        <f>C78</f>
        <v/>
      </c>
      <c r="OD78" s="297" t="n">
        <v>16585.97</v>
      </c>
      <c r="OE78" s="13">
        <f>OD79</f>
        <v/>
      </c>
      <c r="OF78" s="13">
        <f>OD78-OE78</f>
        <v/>
      </c>
      <c r="OG78" s="193">
        <f>OF78/OE78</f>
        <v/>
      </c>
      <c r="OH78" s="193" t="n">
        <v>0.004</v>
      </c>
      <c r="OI78" s="193" t="n"/>
      <c r="OJ78" s="315" t="n"/>
      <c r="OK78" s="13">
        <f>C78</f>
        <v/>
      </c>
      <c r="OL78" s="297" t="n">
        <v>14755.65</v>
      </c>
      <c r="OM78" s="13">
        <f>OL79</f>
        <v/>
      </c>
      <c r="ON78" s="13">
        <f>OL78-OM78</f>
        <v/>
      </c>
      <c r="OO78" s="193">
        <f>ON78/OM78</f>
        <v/>
      </c>
      <c r="OP78" s="193" t="n">
        <v>0.0001</v>
      </c>
      <c r="OQ78" s="193" t="n"/>
      <c r="OT78" s="201">
        <f>OK78</f>
        <v/>
      </c>
      <c r="OU78" s="199" t="n">
        <v>153192.4066</v>
      </c>
      <c r="OV78" s="9">
        <f>OU79</f>
        <v/>
      </c>
      <c r="OW78" s="671">
        <f>OU78-OV78</f>
        <v/>
      </c>
      <c r="OX78" s="182">
        <f>OW78/OV78</f>
        <v/>
      </c>
      <c r="OY78" s="0" t="n">
        <v>-0.0157</v>
      </c>
    </row>
    <row r="79" ht="17" customFormat="1" customHeight="1" s="9">
      <c r="A79" s="631" t="n"/>
      <c r="B79" s="631" t="n"/>
      <c r="C79" s="687" t="inlineStr">
        <is>
          <t>2026//7/24</t>
        </is>
      </c>
      <c r="D79" s="311" t="n">
        <v>2438058.77</v>
      </c>
      <c r="E79" s="114">
        <f>D80</f>
        <v/>
      </c>
      <c r="F79" s="312">
        <f>D79-E79</f>
        <v/>
      </c>
      <c r="G79" s="313">
        <f>F79/E79</f>
        <v/>
      </c>
      <c r="H79" s="19" t="n">
        <v>-0.018</v>
      </c>
      <c r="I79" s="111" t="n"/>
      <c r="J79" s="111" t="n"/>
      <c r="K79" s="114">
        <f>C79</f>
        <v/>
      </c>
      <c r="L79" s="311" t="n">
        <v>1128124.4</v>
      </c>
      <c r="M79" s="114">
        <f>L80</f>
        <v/>
      </c>
      <c r="N79" s="312">
        <f>L79-M79</f>
        <v/>
      </c>
      <c r="O79" s="313">
        <f>N79/M79</f>
        <v/>
      </c>
      <c r="P79" s="19" t="n">
        <v>-0.0183</v>
      </c>
      <c r="Q79" s="111" t="n"/>
      <c r="R79" s="114" t="n"/>
      <c r="S79" s="114">
        <f>C79</f>
        <v/>
      </c>
      <c r="T79" s="311" t="n">
        <v>744006.6800000001</v>
      </c>
      <c r="U79" s="114">
        <f>T80</f>
        <v/>
      </c>
      <c r="V79" s="312">
        <f>T79-U79</f>
        <v/>
      </c>
      <c r="W79" s="313">
        <f>V79/U79</f>
        <v/>
      </c>
      <c r="X79" s="19" t="n">
        <v>-0.011</v>
      </c>
      <c r="Y79" s="111" t="n"/>
      <c r="Z79" s="114" t="n"/>
      <c r="AA79" s="114">
        <f>S79</f>
        <v/>
      </c>
      <c r="AB79" s="311" t="n">
        <v>568056.86</v>
      </c>
      <c r="AC79" s="114">
        <f>AB80</f>
        <v/>
      </c>
      <c r="AD79" s="312">
        <f>AB79-AC79</f>
        <v/>
      </c>
      <c r="AE79" s="313">
        <f>AD79/AC79</f>
        <v/>
      </c>
      <c r="AF79" s="19" t="n">
        <v>-0.0248</v>
      </c>
      <c r="AG79" s="111" t="n"/>
      <c r="AH79" s="114" t="n"/>
      <c r="AI79" s="114">
        <f>C79</f>
        <v/>
      </c>
      <c r="AJ79" s="311" t="n">
        <v>838121.76</v>
      </c>
      <c r="AK79" s="114">
        <f>AJ80</f>
        <v/>
      </c>
      <c r="AL79" s="312">
        <f>AJ79-AK79</f>
        <v/>
      </c>
      <c r="AM79" s="313">
        <f>AL79/AK79</f>
        <v/>
      </c>
      <c r="AN79" s="19" t="n">
        <v>-0.0281</v>
      </c>
      <c r="AO79" s="19" t="n"/>
      <c r="AP79" s="114" t="n"/>
      <c r="AQ79" s="114">
        <f>C79</f>
        <v/>
      </c>
      <c r="AR79" s="661" t="n">
        <v>1665345.4936</v>
      </c>
      <c r="AS79" s="114">
        <f>AR80</f>
        <v/>
      </c>
      <c r="AT79" s="312">
        <f>AR79-AS79</f>
        <v/>
      </c>
      <c r="AU79" s="313">
        <f>AT79/AS79</f>
        <v/>
      </c>
      <c r="AV79" s="19" t="n">
        <v>-0.0247</v>
      </c>
      <c r="AW79" s="19" t="n"/>
      <c r="AX79" s="5" t="n"/>
      <c r="AY79" s="188" t="n"/>
      <c r="AZ79" s="188">
        <f>C79</f>
        <v/>
      </c>
      <c r="BA79" s="188" t="n">
        <v>624441.6676</v>
      </c>
      <c r="BB79" s="188">
        <f>BA80</f>
        <v/>
      </c>
      <c r="BC79" s="188">
        <f>BA79-BB79</f>
        <v/>
      </c>
      <c r="BD79" s="271">
        <f>BC79/BB79</f>
        <v/>
      </c>
      <c r="BE79" s="19" t="n">
        <v>-0.017</v>
      </c>
      <c r="BF79" s="19" t="n"/>
      <c r="BG79" s="647" t="n"/>
      <c r="BH79" s="183">
        <f>C79</f>
        <v/>
      </c>
      <c r="BI79" s="221" t="n">
        <v>1187426.5525</v>
      </c>
      <c r="BJ79" s="183">
        <f>BI80</f>
        <v/>
      </c>
      <c r="BK79" s="321">
        <f>BI79-BJ79</f>
        <v/>
      </c>
      <c r="BL79" s="322">
        <f>BK79/BJ79</f>
        <v/>
      </c>
      <c r="BM79" s="191" t="n">
        <v>-0.0362</v>
      </c>
      <c r="BN79" s="182" t="n"/>
      <c r="BO79" s="328" t="n"/>
      <c r="BP79" s="185">
        <f>C79</f>
        <v/>
      </c>
      <c r="BQ79" s="672" t="n">
        <v>1215662.3921</v>
      </c>
      <c r="BR79" s="185">
        <f>BQ80</f>
        <v/>
      </c>
      <c r="BS79" s="323">
        <f>BQ79-BR79</f>
        <v/>
      </c>
      <c r="BT79" s="324">
        <f>BS79/BR79</f>
        <v/>
      </c>
      <c r="BU79" s="182" t="n">
        <v>-0.0502</v>
      </c>
      <c r="BV79" s="182" t="n"/>
      <c r="BW79" s="328" t="n"/>
      <c r="BX79" s="185">
        <f>C79</f>
        <v/>
      </c>
      <c r="BY79" s="222" t="n">
        <v>1818160.7019</v>
      </c>
      <c r="BZ79" s="185">
        <f>BY80</f>
        <v/>
      </c>
      <c r="CA79" s="325">
        <f>BY79-BZ79</f>
        <v/>
      </c>
      <c r="CB79" s="326">
        <f>CA79/BZ79</f>
        <v/>
      </c>
      <c r="CC79" s="182" t="n">
        <v>-0.0316</v>
      </c>
      <c r="CD79" s="194" t="n"/>
      <c r="CE79" s="328" t="n"/>
      <c r="CF79" s="185">
        <f>C79</f>
        <v/>
      </c>
      <c r="CG79" s="185" t="n">
        <v>1261103.9</v>
      </c>
      <c r="CH79" s="13">
        <f>CG80</f>
        <v/>
      </c>
      <c r="CI79" s="13">
        <f>CG79-CH79</f>
        <v/>
      </c>
      <c r="CJ79" s="193">
        <f>CI79/CH79</f>
        <v/>
      </c>
      <c r="CK79" s="182" t="n">
        <v>-0.0477</v>
      </c>
      <c r="CL79" s="194" t="n"/>
      <c r="CM79" s="328" t="n"/>
      <c r="CN79" s="185">
        <f>C79</f>
        <v/>
      </c>
      <c r="CO79" s="185" t="n">
        <v>522246.48</v>
      </c>
      <c r="CP79" s="185">
        <f>CO80</f>
        <v/>
      </c>
      <c r="CQ79" s="13">
        <f>CO79-CP79</f>
        <v/>
      </c>
      <c r="CR79" s="193">
        <f>CQ79/CP79</f>
        <v/>
      </c>
      <c r="CS79" s="194" t="n">
        <v>-0.0489</v>
      </c>
      <c r="CT79" s="194" t="n"/>
      <c r="CU79" s="328" t="n"/>
      <c r="CV79" s="185">
        <f>C79</f>
        <v/>
      </c>
      <c r="CW79" s="185" t="n">
        <v>658090.4</v>
      </c>
      <c r="CX79" s="185">
        <f>CW80</f>
        <v/>
      </c>
      <c r="CY79" s="323">
        <f>CW79-CX79</f>
        <v/>
      </c>
      <c r="CZ79" s="324">
        <f>CY79/CX79</f>
        <v/>
      </c>
      <c r="DA79" s="182" t="n">
        <v>-0.0536</v>
      </c>
      <c r="DB79" s="182" t="n"/>
      <c r="DC79" s="256" t="n"/>
      <c r="DD79" s="185">
        <f>C79</f>
        <v/>
      </c>
      <c r="DE79" s="222" t="n">
        <v>5388535.9972</v>
      </c>
      <c r="DF79" s="13">
        <f>DE80</f>
        <v/>
      </c>
      <c r="DG79" s="325">
        <f>DE79-DF79</f>
        <v/>
      </c>
      <c r="DH79" s="326">
        <f>DG79/DF79</f>
        <v/>
      </c>
      <c r="DI79" s="182" t="n">
        <v>0.0306</v>
      </c>
      <c r="DJ79" s="182" t="n"/>
      <c r="DK79" s="328" t="n"/>
      <c r="DL79" s="185">
        <f>C79</f>
        <v/>
      </c>
      <c r="DM79" s="185" t="n">
        <v>1860200.72</v>
      </c>
      <c r="DN79" s="185">
        <f>DM80</f>
        <v/>
      </c>
      <c r="DO79" s="325">
        <f>DM79-DN79</f>
        <v/>
      </c>
      <c r="DP79" s="326">
        <f>DO79/DN79</f>
        <v/>
      </c>
      <c r="DQ79" s="182" t="n">
        <v>0.0063</v>
      </c>
      <c r="DR79" s="182" t="n"/>
      <c r="DS79" s="328" t="n"/>
      <c r="DT79" s="185">
        <f>C79</f>
        <v/>
      </c>
      <c r="DU79" s="185" t="n">
        <v>4259968.43</v>
      </c>
      <c r="DV79" s="185">
        <f>DU80</f>
        <v/>
      </c>
      <c r="DW79" s="325">
        <f>DU79-DV79</f>
        <v/>
      </c>
      <c r="DX79" s="326">
        <f>DW79/DV79</f>
        <v/>
      </c>
      <c r="DY79" s="182" t="n">
        <v>0.0048</v>
      </c>
      <c r="DZ79" s="182" t="n"/>
      <c r="EA79" s="328" t="n"/>
      <c r="EB79" s="185">
        <f>C79</f>
        <v/>
      </c>
      <c r="EC79" s="185" t="n">
        <v>4556066.82</v>
      </c>
      <c r="ED79" s="185">
        <f>EC80</f>
        <v/>
      </c>
      <c r="EE79" s="325">
        <f>EC79-ED79</f>
        <v/>
      </c>
      <c r="EF79" s="326">
        <f>EE79/ED79</f>
        <v/>
      </c>
      <c r="EG79" s="182" t="n">
        <v>-0.0016</v>
      </c>
      <c r="EH79" s="182" t="n"/>
      <c r="EI79" s="328" t="n"/>
      <c r="EJ79" s="185">
        <f>C79</f>
        <v/>
      </c>
      <c r="EK79" s="222" t="n">
        <v>1138322.9669</v>
      </c>
      <c r="EL79" s="185">
        <f>EK80</f>
        <v/>
      </c>
      <c r="EM79" s="325">
        <f>EK79-EL79</f>
        <v/>
      </c>
      <c r="EN79" s="326">
        <f>EM79/EL79</f>
        <v/>
      </c>
      <c r="EO79" s="182" t="n">
        <v>-0.0181</v>
      </c>
      <c r="EP79" s="182" t="n"/>
      <c r="EQ79" s="317" t="n"/>
      <c r="ER79" s="318">
        <f>C79</f>
        <v/>
      </c>
      <c r="ES79" s="318" t="n">
        <v>740094.04</v>
      </c>
      <c r="ET79" s="318">
        <f>ES80</f>
        <v/>
      </c>
      <c r="EU79" s="318">
        <f>ES79-ET79</f>
        <v/>
      </c>
      <c r="EV79" s="327">
        <f>EU79/ET79</f>
        <v/>
      </c>
      <c r="EW79" s="182" t="n">
        <v>-0.018</v>
      </c>
      <c r="EX79" s="182" t="n"/>
      <c r="EY79" s="328" t="n"/>
      <c r="EZ79" s="185">
        <f>C79</f>
        <v/>
      </c>
      <c r="FA79" s="185" t="n">
        <v>579108</v>
      </c>
      <c r="FB79" s="185">
        <f>FA80</f>
        <v/>
      </c>
      <c r="FC79" s="323">
        <f>FA79-FB79</f>
        <v/>
      </c>
      <c r="FD79" s="324">
        <f>FC79/FB79</f>
        <v/>
      </c>
      <c r="FE79" s="182" t="n">
        <v>-0.0218</v>
      </c>
      <c r="FF79" s="182" t="n"/>
      <c r="FH79" s="185">
        <f>C79</f>
        <v/>
      </c>
      <c r="FI79" s="672" t="n">
        <v>1111295.3365</v>
      </c>
      <c r="FJ79" s="9">
        <f>FI80</f>
        <v/>
      </c>
      <c r="FK79" s="325">
        <f>FI79-FJ79</f>
        <v/>
      </c>
      <c r="FL79" s="326">
        <f>FK79/FJ79</f>
        <v/>
      </c>
      <c r="FM79" s="194" t="n">
        <v>-0.0427</v>
      </c>
      <c r="FN79" s="194" t="n"/>
      <c r="FO79" s="328" t="n"/>
      <c r="FP79" s="185">
        <f>C79</f>
        <v/>
      </c>
      <c r="FQ79" s="185" t="n">
        <v>1805818.73</v>
      </c>
      <c r="FR79" s="185">
        <f>FQ80</f>
        <v/>
      </c>
      <c r="FS79" s="323">
        <f>FQ79-FR79</f>
        <v/>
      </c>
      <c r="FT79" s="324">
        <f>FS79/FR79</f>
        <v/>
      </c>
      <c r="FU79" s="182" t="n">
        <v>-0.0314</v>
      </c>
      <c r="FV79" s="182" t="n"/>
      <c r="FW79" s="328" t="n"/>
      <c r="FX79" s="185">
        <f>C79</f>
        <v/>
      </c>
      <c r="FY79" s="185" t="n">
        <v>8023282.05</v>
      </c>
      <c r="FZ79" s="185">
        <f>FY80</f>
        <v/>
      </c>
      <c r="GA79" s="325">
        <f>FY79-FZ79</f>
        <v/>
      </c>
      <c r="GB79" s="326">
        <f>GA79/FZ79</f>
        <v/>
      </c>
      <c r="GC79" s="182" t="n">
        <v>-0.0308</v>
      </c>
      <c r="GD79" s="182" t="n"/>
      <c r="GE79" s="328" t="n"/>
      <c r="GF79" s="185">
        <f>C79</f>
        <v/>
      </c>
      <c r="GG79" s="185" t="n">
        <v>4653169.49</v>
      </c>
      <c r="GH79" s="185">
        <f>GG80</f>
        <v/>
      </c>
      <c r="GI79" s="323">
        <f>GG79-GH79</f>
        <v/>
      </c>
      <c r="GJ79" s="324">
        <f>GI79/GH79</f>
        <v/>
      </c>
      <c r="GK79" s="182" t="n">
        <v>-0.0318</v>
      </c>
      <c r="GL79" s="182" t="n"/>
      <c r="GM79" s="328" t="n"/>
      <c r="GN79" s="185">
        <f>C79</f>
        <v/>
      </c>
      <c r="GO79" s="222" t="n">
        <v>2049478.1217</v>
      </c>
      <c r="GP79" s="185">
        <f>GO80</f>
        <v/>
      </c>
      <c r="GQ79" s="323">
        <f>GO79-GP79</f>
        <v/>
      </c>
      <c r="GR79" s="324">
        <f>GQ79/GP79</f>
        <v/>
      </c>
      <c r="GS79" s="182" t="n">
        <v>-0.0433</v>
      </c>
      <c r="GT79" s="182" t="n"/>
      <c r="GU79" s="328" t="n"/>
      <c r="GV79" s="185">
        <f>C79</f>
        <v/>
      </c>
      <c r="GW79" s="185" t="n">
        <v>614349.4</v>
      </c>
      <c r="GX79" s="185">
        <f>GW80</f>
        <v/>
      </c>
      <c r="GY79" s="325">
        <f>GW79-GX79</f>
        <v/>
      </c>
      <c r="GZ79" s="326">
        <f>GY79/GX79</f>
        <v/>
      </c>
      <c r="HA79" s="182" t="n">
        <v>-0.0334</v>
      </c>
      <c r="HB79" s="182" t="n"/>
      <c r="HC79" s="328" t="n"/>
      <c r="HD79" s="185">
        <f>C79</f>
        <v/>
      </c>
      <c r="HE79" s="222" t="n">
        <v>910564.6746</v>
      </c>
      <c r="HF79" s="185">
        <f>HE80</f>
        <v/>
      </c>
      <c r="HG79" s="325">
        <f>HE79-HF79</f>
        <v/>
      </c>
      <c r="HH79" s="326">
        <f>HG79/HF79</f>
        <v/>
      </c>
      <c r="HI79" s="194" t="n">
        <v>-0.0254</v>
      </c>
      <c r="HJ79" s="182" t="n"/>
      <c r="HK79" s="328" t="n"/>
      <c r="HL79" s="185">
        <f>C79</f>
        <v/>
      </c>
      <c r="HM79" s="185" t="n">
        <v>112954.25</v>
      </c>
      <c r="HN79" s="185">
        <f>HM80</f>
        <v/>
      </c>
      <c r="HO79" s="323">
        <f>HM79-HN79</f>
        <v/>
      </c>
      <c r="HP79" s="324">
        <f>HO79/HN79</f>
        <v/>
      </c>
      <c r="HQ79" s="182" t="n">
        <v>-0.0201</v>
      </c>
      <c r="HR79" s="182" t="n"/>
      <c r="HS79" s="328" t="n"/>
      <c r="HT79" s="185">
        <f>C79</f>
        <v/>
      </c>
      <c r="HU79" s="222" t="n">
        <v>124168.8265</v>
      </c>
      <c r="HV79" s="185">
        <f>HU80</f>
        <v/>
      </c>
      <c r="HW79" s="323">
        <f>HU79-HV79</f>
        <v/>
      </c>
      <c r="HX79" s="324">
        <f>HW79/HV79</f>
        <v/>
      </c>
      <c r="HY79" s="182" t="n">
        <v>-0.0323</v>
      </c>
      <c r="HZ79" s="182" t="n"/>
      <c r="IA79" s="328" t="n"/>
      <c r="IB79" s="185">
        <f>C79</f>
        <v/>
      </c>
      <c r="IC79" s="185" t="n">
        <v>278584.79</v>
      </c>
      <c r="ID79" s="185">
        <f>IC80</f>
        <v/>
      </c>
      <c r="IE79" s="325">
        <f>IC79-ID79</f>
        <v/>
      </c>
      <c r="IF79" s="326">
        <f>IE79/ID79</f>
        <v/>
      </c>
      <c r="IG79" s="194" t="n">
        <v>-0.0294</v>
      </c>
      <c r="IH79" s="182" t="n"/>
      <c r="II79" s="328" t="n"/>
      <c r="IJ79" s="185">
        <f>C79</f>
        <v/>
      </c>
      <c r="IK79" s="222" t="n">
        <v>1038556.29</v>
      </c>
      <c r="IL79" s="185">
        <f>IK80</f>
        <v/>
      </c>
      <c r="IM79" s="323">
        <f>IK79-IL79</f>
        <v/>
      </c>
      <c r="IN79" s="324">
        <f>IM79/IL79</f>
        <v/>
      </c>
      <c r="IO79" s="182" t="n">
        <v>-0.0409</v>
      </c>
      <c r="IP79" s="182" t="n"/>
      <c r="IQ79" s="328" t="n"/>
      <c r="IR79" s="185">
        <f>C79</f>
        <v/>
      </c>
      <c r="IS79" s="185" t="n">
        <v>163989</v>
      </c>
      <c r="IT79" s="185">
        <f>IS80</f>
        <v/>
      </c>
      <c r="IU79" s="325">
        <f>IS79-IT79</f>
        <v/>
      </c>
      <c r="IV79" s="326">
        <f>IU79/IT79</f>
        <v/>
      </c>
      <c r="IW79" s="182" t="n">
        <v>-0.0411</v>
      </c>
      <c r="IX79" s="182" t="n"/>
      <c r="IY79" s="328" t="n"/>
      <c r="IZ79" s="185">
        <f>C79</f>
        <v/>
      </c>
      <c r="JA79" s="185" t="n">
        <v>5698129.15</v>
      </c>
      <c r="JB79" s="185">
        <f>JA80</f>
        <v/>
      </c>
      <c r="JC79" s="325">
        <f>JA79-JB79</f>
        <v/>
      </c>
      <c r="JD79" s="326">
        <f>JC79/JB79</f>
        <v/>
      </c>
      <c r="JE79" s="182" t="n">
        <v>-0.0257</v>
      </c>
      <c r="JF79" s="182" t="n"/>
      <c r="JG79" s="328" t="n"/>
      <c r="JH79" s="185">
        <f>C79</f>
        <v/>
      </c>
      <c r="JI79" s="185" t="n">
        <v>1443147.99</v>
      </c>
      <c r="JJ79" s="185">
        <f>JI80</f>
        <v/>
      </c>
      <c r="JK79" s="323">
        <f>JI79-JJ79</f>
        <v/>
      </c>
      <c r="JL79" s="324">
        <f>JK79/JJ79</f>
        <v/>
      </c>
      <c r="JM79" s="182" t="n">
        <v>0.0012</v>
      </c>
      <c r="JN79" s="182" t="n"/>
      <c r="JP79" s="185">
        <f>C79</f>
        <v/>
      </c>
      <c r="JQ79" s="222" t="n">
        <v>1082890.4148</v>
      </c>
      <c r="JR79" s="185">
        <f>JQ80</f>
        <v/>
      </c>
      <c r="JS79" s="323">
        <f>JQ79-JR79</f>
        <v/>
      </c>
      <c r="JT79" s="324">
        <f>JS79/JR79</f>
        <v/>
      </c>
      <c r="JU79" s="182" t="n">
        <v>-0.0486</v>
      </c>
      <c r="JV79" s="194" t="n"/>
      <c r="JX79" s="185">
        <f>C79</f>
        <v/>
      </c>
      <c r="JY79" s="185" t="n">
        <v>1017248.8</v>
      </c>
      <c r="JZ79" s="185">
        <f>JY80</f>
        <v/>
      </c>
      <c r="KA79" s="325">
        <f>JY79-JZ79</f>
        <v/>
      </c>
      <c r="KB79" s="326">
        <f>KA79/JZ79</f>
        <v/>
      </c>
      <c r="KC79" s="182" t="n">
        <v>-0.0232</v>
      </c>
      <c r="KD79" s="194" t="n"/>
      <c r="KF79" s="185">
        <f>C79</f>
        <v/>
      </c>
      <c r="KG79" s="222" t="n">
        <v>646755.9219</v>
      </c>
      <c r="KH79" s="185">
        <f>KG80</f>
        <v/>
      </c>
      <c r="KI79" s="323">
        <f>KG79-KH79</f>
        <v/>
      </c>
      <c r="KJ79" s="324">
        <f>KI79/KH79</f>
        <v/>
      </c>
      <c r="KK79" s="194" t="n">
        <v>-0.0174</v>
      </c>
      <c r="KL79" s="194" t="n"/>
      <c r="KM79" s="328" t="n"/>
      <c r="KN79" s="185">
        <f>C79</f>
        <v/>
      </c>
      <c r="KO79" s="185" t="n">
        <v>6982775.95</v>
      </c>
      <c r="KP79" s="185">
        <f>KO80</f>
        <v/>
      </c>
      <c r="KQ79" s="325">
        <f>KO79-KP79</f>
        <v/>
      </c>
      <c r="KR79" s="326">
        <f>KQ79/KP79</f>
        <v/>
      </c>
      <c r="KS79" s="182" t="n">
        <v>-0.0168</v>
      </c>
      <c r="KT79" s="182" t="n"/>
      <c r="KU79" s="328" t="n"/>
      <c r="KV79" s="185">
        <f>C79</f>
        <v/>
      </c>
      <c r="KW79" s="222" t="n">
        <v>1103172.9726</v>
      </c>
      <c r="KX79" s="185">
        <f>KW80</f>
        <v/>
      </c>
      <c r="KY79" s="323">
        <f>KW79-KX79</f>
        <v/>
      </c>
      <c r="KZ79" s="324">
        <f>KY79/KX79</f>
        <v/>
      </c>
      <c r="LA79" s="194" t="n">
        <v>-0.0186</v>
      </c>
      <c r="LB79" s="182" t="n"/>
      <c r="LC79" s="328" t="n"/>
      <c r="LD79" s="185">
        <f>C79</f>
        <v/>
      </c>
      <c r="LE79" s="185" t="n">
        <v>369607.7</v>
      </c>
      <c r="LF79" s="185">
        <f>LE80</f>
        <v/>
      </c>
      <c r="LG79" s="323">
        <f>LE79-LF79</f>
        <v/>
      </c>
      <c r="LH79" s="324">
        <f>LG79/LF79</f>
        <v/>
      </c>
      <c r="LI79" s="182" t="n">
        <v>-0.0338</v>
      </c>
      <c r="LJ79" s="182" t="n"/>
      <c r="LK79" s="328" t="n"/>
      <c r="LL79" s="185">
        <f>C79</f>
        <v/>
      </c>
      <c r="LM79" s="672" t="n">
        <v>3343255.02</v>
      </c>
      <c r="LN79" s="185">
        <f>LM80</f>
        <v/>
      </c>
      <c r="LO79" s="325">
        <f>LM79-LN79</f>
        <v/>
      </c>
      <c r="LP79" s="326">
        <f>LO79/LN79</f>
        <v/>
      </c>
      <c r="LQ79" s="182" t="n">
        <v>-0.0212</v>
      </c>
      <c r="LR79" s="182" t="n"/>
      <c r="LS79" s="328" t="n"/>
      <c r="LT79" s="185">
        <f>C79</f>
        <v/>
      </c>
      <c r="LU79" s="222" t="n">
        <v>2310862.904</v>
      </c>
      <c r="LV79" s="185">
        <f>LU80</f>
        <v/>
      </c>
      <c r="LW79" s="323">
        <f>LU79-LV79</f>
        <v/>
      </c>
      <c r="LX79" s="324">
        <f>LW79/LV79</f>
        <v/>
      </c>
      <c r="LY79" s="182" t="n">
        <v>-0.0209</v>
      </c>
      <c r="LZ79" s="182" t="n"/>
      <c r="MA79" s="328" t="n"/>
      <c r="MB79" s="185">
        <f>C79</f>
        <v/>
      </c>
      <c r="MC79" s="185" t="n">
        <v>1262167.69</v>
      </c>
      <c r="MD79" s="185">
        <f>MC80</f>
        <v/>
      </c>
      <c r="ME79" s="325">
        <f>MC79-MD79</f>
        <v/>
      </c>
      <c r="MF79" s="326">
        <f>ME79/MD79</f>
        <v/>
      </c>
      <c r="MG79" s="182" t="n">
        <v>-0.0436</v>
      </c>
      <c r="MH79" s="182" t="n"/>
      <c r="MI79" s="319" t="n"/>
      <c r="MJ79" s="318" t="n"/>
      <c r="MK79" s="318">
        <f>C79</f>
        <v/>
      </c>
      <c r="ML79" s="318" t="n">
        <v>162225.5354</v>
      </c>
      <c r="MM79" s="13">
        <f>ML80</f>
        <v/>
      </c>
      <c r="MN79" s="318">
        <f>ML79-MM79</f>
        <v/>
      </c>
      <c r="MO79" s="327">
        <f>MN79/MM79</f>
        <v/>
      </c>
      <c r="MP79" s="182" t="n">
        <v>-0.0372</v>
      </c>
      <c r="MQ79" s="329" t="n"/>
      <c r="MR79" s="329" t="n"/>
      <c r="MS79" s="188" t="n"/>
      <c r="MT79" s="274">
        <f>C79</f>
        <v/>
      </c>
      <c r="MU79" s="188" t="n">
        <v>147314.8</v>
      </c>
      <c r="MV79" s="188">
        <f>MU80</f>
        <v/>
      </c>
      <c r="MW79" s="188">
        <f>MU79-MV79</f>
        <v/>
      </c>
      <c r="MX79" s="271">
        <f>MW79/MV79</f>
        <v/>
      </c>
      <c r="MY79" s="182" t="n">
        <v>-0.0276</v>
      </c>
      <c r="MZ79" s="182" t="n"/>
      <c r="NA79" s="182" t="n"/>
      <c r="NB79" s="188" t="n"/>
      <c r="NC79" s="188">
        <f>C79</f>
        <v/>
      </c>
      <c r="ND79" s="188" t="n">
        <v>33891.48</v>
      </c>
      <c r="NE79" s="188">
        <f>ND80</f>
        <v/>
      </c>
      <c r="NF79" s="188">
        <f>ND79-NE79</f>
        <v/>
      </c>
      <c r="NG79" s="271">
        <f>NF79/NE79</f>
        <v/>
      </c>
      <c r="NH79" s="182" t="n">
        <v>-0.042</v>
      </c>
      <c r="NI79" s="182" t="n"/>
      <c r="NJ79" s="182" t="n"/>
      <c r="NK79" s="182" t="n"/>
      <c r="NL79" s="188" t="n"/>
      <c r="NM79" s="188">
        <f>C79</f>
        <v/>
      </c>
      <c r="NN79" s="188" t="n">
        <v>2979711.08</v>
      </c>
      <c r="NO79" s="9">
        <f>NN80</f>
        <v/>
      </c>
      <c r="NP79" s="188">
        <f>NN79-NO79</f>
        <v/>
      </c>
      <c r="NQ79" s="271">
        <f>NP79/NO79</f>
        <v/>
      </c>
      <c r="NR79" s="272" t="n">
        <v>-0.0102</v>
      </c>
      <c r="NS79" s="188" t="n"/>
      <c r="NT79" s="273" t="n"/>
      <c r="NU79" s="188">
        <f>C79</f>
        <v/>
      </c>
      <c r="NV79" s="188" t="n">
        <v>261376.5</v>
      </c>
      <c r="NW79" s="188">
        <f>NV80</f>
        <v/>
      </c>
      <c r="NX79" s="188">
        <f>NV79-NW79</f>
        <v/>
      </c>
      <c r="NY79" s="271">
        <f>NX79/NW79</f>
        <v/>
      </c>
      <c r="NZ79" s="194" t="n">
        <v>-0.0292</v>
      </c>
      <c r="OA79" s="328" t="n"/>
      <c r="OB79" s="328" t="n"/>
      <c r="OC79" s="185">
        <f>C79</f>
        <v/>
      </c>
      <c r="OD79" s="185" t="n">
        <v>16865.97</v>
      </c>
      <c r="OE79" s="9">
        <f>OD80</f>
        <v/>
      </c>
      <c r="OF79" s="323">
        <f>OD79-OE79</f>
        <v/>
      </c>
      <c r="OG79" s="324">
        <f>OF79/OE79</f>
        <v/>
      </c>
      <c r="OH79" s="182" t="n">
        <v>0.0009</v>
      </c>
      <c r="OI79" s="182" t="n"/>
      <c r="OJ79" s="328" t="n"/>
      <c r="OK79" s="185">
        <f>C79</f>
        <v/>
      </c>
      <c r="OL79" s="185" t="n">
        <v>14561.65</v>
      </c>
      <c r="OM79" s="9">
        <f>OL80</f>
        <v/>
      </c>
      <c r="ON79" s="9">
        <f>OL79-OM79</f>
        <v/>
      </c>
      <c r="OO79" s="182">
        <f>ON79/OM79</f>
        <v/>
      </c>
      <c r="OP79" s="182" t="n">
        <v>0.0005999999999999999</v>
      </c>
      <c r="OQ79" s="182" t="n"/>
      <c r="OT79" s="201">
        <f>OK79</f>
        <v/>
      </c>
      <c r="OU79" s="199" t="n">
        <v>153072.4066</v>
      </c>
      <c r="OV79" s="9">
        <f>OU80</f>
        <v/>
      </c>
      <c r="OW79" s="671">
        <f>OU79-OV79</f>
        <v/>
      </c>
      <c r="OX79" s="182">
        <f>OW79/OV79</f>
        <v/>
      </c>
      <c r="OY79" s="0" t="n">
        <v>0.021</v>
      </c>
    </row>
    <row r="80" ht="17" customFormat="1" customHeight="1" s="9">
      <c r="A80" s="631" t="n"/>
      <c r="B80" s="631" t="n"/>
      <c r="C80" s="687" t="inlineStr">
        <is>
          <t>2026//7/23</t>
        </is>
      </c>
      <c r="D80" s="311" t="n">
        <v>2402688.77</v>
      </c>
      <c r="E80" s="311">
        <f>D81</f>
        <v/>
      </c>
      <c r="F80" s="309">
        <f>D80-E80</f>
        <v/>
      </c>
      <c r="G80" s="310">
        <f>F80/E80</f>
        <v/>
      </c>
      <c r="H80" s="19" t="n">
        <v>0.0046</v>
      </c>
      <c r="I80" s="111" t="n"/>
      <c r="J80" s="111" t="n"/>
      <c r="K80" s="114">
        <f>C80</f>
        <v/>
      </c>
      <c r="L80" s="311" t="n">
        <v>1118494.4</v>
      </c>
      <c r="M80" s="311">
        <f>L81</f>
        <v/>
      </c>
      <c r="N80" s="309">
        <f>L80-M80</f>
        <v/>
      </c>
      <c r="O80" s="310">
        <f>N80/M80</f>
        <v/>
      </c>
      <c r="P80" s="19" t="n">
        <v>0.0056</v>
      </c>
      <c r="Q80" s="111" t="n"/>
      <c r="R80" s="114" t="n"/>
      <c r="S80" s="114">
        <f>C80</f>
        <v/>
      </c>
      <c r="T80" s="311" t="n">
        <v>782976.6800000001</v>
      </c>
      <c r="U80" s="311">
        <f>T81</f>
        <v/>
      </c>
      <c r="V80" s="309">
        <f>T80-U80</f>
        <v/>
      </c>
      <c r="W80" s="310">
        <f>V80/U80</f>
        <v/>
      </c>
      <c r="X80" s="19" t="n">
        <v>-0.0005999999999999999</v>
      </c>
      <c r="Y80" s="111" t="n"/>
      <c r="Z80" s="114" t="n"/>
      <c r="AA80" s="114">
        <f>S80</f>
        <v/>
      </c>
      <c r="AB80" s="311" t="n">
        <v>573376.86</v>
      </c>
      <c r="AC80" s="311">
        <f>AB81</f>
        <v/>
      </c>
      <c r="AD80" s="309">
        <f>AB80-AC80</f>
        <v/>
      </c>
      <c r="AE80" s="310">
        <f>AD80/AC80</f>
        <v/>
      </c>
      <c r="AF80" s="19" t="n">
        <v>-0.0004</v>
      </c>
      <c r="AG80" s="111" t="n"/>
      <c r="AH80" s="114" t="n"/>
      <c r="AI80" s="114">
        <f>C80</f>
        <v/>
      </c>
      <c r="AJ80" s="311" t="n">
        <v>862521.76</v>
      </c>
      <c r="AK80" s="114">
        <f>AJ81</f>
        <v/>
      </c>
      <c r="AL80" s="309">
        <f>AJ80-AK80</f>
        <v/>
      </c>
      <c r="AM80" s="310">
        <f>AL80/AK80</f>
        <v/>
      </c>
      <c r="AN80" s="19" t="n">
        <v>0.008</v>
      </c>
      <c r="AO80" s="19" t="n"/>
      <c r="AP80" s="114" t="n"/>
      <c r="AQ80" s="114">
        <f>C80</f>
        <v/>
      </c>
      <c r="AR80" s="661" t="n">
        <v>1661945.4936</v>
      </c>
      <c r="AS80" s="330">
        <f>AR81</f>
        <v/>
      </c>
      <c r="AT80" s="312">
        <f>AR80-AS80</f>
        <v/>
      </c>
      <c r="AU80" s="313">
        <f>AT80/AS80</f>
        <v/>
      </c>
      <c r="AV80" s="19" t="n">
        <v>0.0031</v>
      </c>
      <c r="AW80" s="19" t="n"/>
      <c r="AX80" s="5" t="n"/>
      <c r="AY80" s="188" t="n"/>
      <c r="AZ80" s="188">
        <f>C80</f>
        <v/>
      </c>
      <c r="BA80" s="188" t="n">
        <v>619221.6676</v>
      </c>
      <c r="BB80" s="188">
        <f>BA81</f>
        <v/>
      </c>
      <c r="BC80" s="188">
        <f>BA80-BB80</f>
        <v/>
      </c>
      <c r="BD80" s="271">
        <f>BC80/BB80</f>
        <v/>
      </c>
      <c r="BE80" s="19" t="n">
        <v>0.0032</v>
      </c>
      <c r="BF80" s="19" t="n"/>
      <c r="BG80" s="647" t="n"/>
      <c r="BH80" s="183">
        <f>C80</f>
        <v/>
      </c>
      <c r="BI80" s="221" t="n">
        <v>1161126.5525</v>
      </c>
      <c r="BJ80" s="221">
        <f>BI81</f>
        <v/>
      </c>
      <c r="BK80" s="331">
        <f>BI80-BJ80</f>
        <v/>
      </c>
      <c r="BL80" s="332">
        <f>BK80/BJ80</f>
        <v/>
      </c>
      <c r="BM80" s="191" t="n">
        <v>0.052</v>
      </c>
      <c r="BN80" s="182" t="n"/>
      <c r="BO80" s="328" t="n"/>
      <c r="BP80" s="185">
        <f>C80</f>
        <v/>
      </c>
      <c r="BQ80" s="672" t="n">
        <v>1187162.3921</v>
      </c>
      <c r="BR80" s="222">
        <f>BQ81</f>
        <v/>
      </c>
      <c r="BS80" s="323">
        <f>BQ80-BR80</f>
        <v/>
      </c>
      <c r="BT80" s="324">
        <f>BS80/BR80</f>
        <v/>
      </c>
      <c r="BU80" s="182" t="n">
        <v>-0.0146</v>
      </c>
      <c r="BV80" s="182" t="n"/>
      <c r="BW80" s="328" t="n"/>
      <c r="BX80" s="185">
        <f>C80</f>
        <v/>
      </c>
      <c r="BY80" s="222" t="n">
        <v>1824010.7019</v>
      </c>
      <c r="BZ80" s="222">
        <f>BY81</f>
        <v/>
      </c>
      <c r="CA80" s="323">
        <f>BY80-BZ80</f>
        <v/>
      </c>
      <c r="CB80" s="324">
        <f>CA80/BZ80</f>
        <v/>
      </c>
      <c r="CC80" s="182" t="n">
        <v>0.0233</v>
      </c>
      <c r="CD80" s="194" t="n"/>
      <c r="CE80" s="328" t="n"/>
      <c r="CF80" s="185">
        <f>C80</f>
        <v/>
      </c>
      <c r="CG80" s="185" t="n">
        <v>1250453.9</v>
      </c>
      <c r="CH80" s="13">
        <f>CG81</f>
        <v/>
      </c>
      <c r="CI80" s="13">
        <f>CG80-CH80</f>
        <v/>
      </c>
      <c r="CJ80" s="193">
        <f>CI80/CH80</f>
        <v/>
      </c>
      <c r="CK80" s="182" t="n">
        <v>0.0305</v>
      </c>
      <c r="CL80" s="194" t="n"/>
      <c r="CM80" s="328" t="n"/>
      <c r="CN80" s="185">
        <f>C80</f>
        <v/>
      </c>
      <c r="CO80" s="185" t="n">
        <v>521446.48</v>
      </c>
      <c r="CP80" s="185">
        <f>CO81</f>
        <v/>
      </c>
      <c r="CQ80" s="13">
        <f>CO80-CP80</f>
        <v/>
      </c>
      <c r="CR80" s="193">
        <f>CQ80/CP80</f>
        <v/>
      </c>
      <c r="CS80" s="194" t="n">
        <v>0.0355</v>
      </c>
      <c r="CT80" s="194" t="n"/>
      <c r="CU80" s="328" t="n"/>
      <c r="CV80" s="185">
        <f>C80</f>
        <v/>
      </c>
      <c r="CW80" s="185" t="n">
        <v>623840.4</v>
      </c>
      <c r="CX80" s="185">
        <f>CW81</f>
        <v/>
      </c>
      <c r="CY80" s="323">
        <f>CW80-CX80</f>
        <v/>
      </c>
      <c r="CZ80" s="324">
        <f>CY80/CX80</f>
        <v/>
      </c>
      <c r="DA80" s="182" t="n">
        <v>0.0173</v>
      </c>
      <c r="DB80" s="182" t="n"/>
      <c r="DC80" s="256" t="n"/>
      <c r="DD80" s="185">
        <f>C80</f>
        <v/>
      </c>
      <c r="DE80" s="222" t="n">
        <v>5402335.9972</v>
      </c>
      <c r="DF80" s="13">
        <f>DE81</f>
        <v/>
      </c>
      <c r="DG80" s="325">
        <f>DE80-DF80</f>
        <v/>
      </c>
      <c r="DH80" s="326">
        <f>DG80/DF80</f>
        <v/>
      </c>
      <c r="DI80" s="182" t="n">
        <v>-0.0361</v>
      </c>
      <c r="DJ80" s="182" t="n"/>
      <c r="DK80" s="328" t="n"/>
      <c r="DL80" s="185">
        <f>C80</f>
        <v/>
      </c>
      <c r="DM80" s="185" t="n">
        <v>1878600.72</v>
      </c>
      <c r="DN80" s="185">
        <f>DM81</f>
        <v/>
      </c>
      <c r="DO80" s="325">
        <f>DM80-DN80</f>
        <v/>
      </c>
      <c r="DP80" s="326">
        <f>DO80/DN80</f>
        <v/>
      </c>
      <c r="DQ80" s="182" t="n">
        <v>-0.0399</v>
      </c>
      <c r="DR80" s="182" t="n"/>
      <c r="DS80" s="328" t="n"/>
      <c r="DT80" s="185">
        <f>C80</f>
        <v/>
      </c>
      <c r="DU80" s="185" t="n">
        <v>4314418.43</v>
      </c>
      <c r="DV80" s="185">
        <f>DU81</f>
        <v/>
      </c>
      <c r="DW80" s="325">
        <f>DU80-DV80</f>
        <v/>
      </c>
      <c r="DX80" s="326">
        <f>DW80/DV80</f>
        <v/>
      </c>
      <c r="DY80" s="182" t="n">
        <v>-0.0399</v>
      </c>
      <c r="DZ80" s="182" t="n"/>
      <c r="EA80" s="328" t="n"/>
      <c r="EB80" s="185">
        <f>C80</f>
        <v/>
      </c>
      <c r="EC80" s="185" t="n">
        <v>4614566.82</v>
      </c>
      <c r="ED80" s="185">
        <f>EC81</f>
        <v/>
      </c>
      <c r="EE80" s="325">
        <f>EC80-ED80</f>
        <v/>
      </c>
      <c r="EF80" s="326">
        <f>EE80/ED80</f>
        <v/>
      </c>
      <c r="EG80" s="182" t="n">
        <v>-0.0343</v>
      </c>
      <c r="EH80" s="182" t="n"/>
      <c r="EI80" s="328" t="n"/>
      <c r="EJ80" s="185">
        <f>C80</f>
        <v/>
      </c>
      <c r="EK80" s="222" t="n">
        <v>1132922.9669</v>
      </c>
      <c r="EL80" s="222">
        <f>EK81</f>
        <v/>
      </c>
      <c r="EM80" s="323">
        <f>EK80-EL80</f>
        <v/>
      </c>
      <c r="EN80" s="324">
        <f>EM80/EL80</f>
        <v/>
      </c>
      <c r="EO80" s="182" t="n">
        <v>-0.0253</v>
      </c>
      <c r="EP80" s="182" t="n"/>
      <c r="EQ80" s="317" t="n"/>
      <c r="ER80" s="318">
        <f>C80</f>
        <v/>
      </c>
      <c r="ES80" s="318" t="n">
        <v>737894.04</v>
      </c>
      <c r="ET80" s="318">
        <f>ES81</f>
        <v/>
      </c>
      <c r="EU80" s="318">
        <f>ES80-ET80</f>
        <v/>
      </c>
      <c r="EV80" s="327">
        <f>EU80/ET80</f>
        <v/>
      </c>
      <c r="EW80" s="182" t="n">
        <v>-0.0232</v>
      </c>
      <c r="EX80" s="182" t="n"/>
      <c r="EY80" s="328" t="n"/>
      <c r="EZ80" s="185">
        <f>C80</f>
        <v/>
      </c>
      <c r="FA80" s="185" t="n">
        <v>574808</v>
      </c>
      <c r="FB80" s="185">
        <f>FA81</f>
        <v/>
      </c>
      <c r="FC80" s="323">
        <f>FA80-FB80</f>
        <v/>
      </c>
      <c r="FD80" s="324">
        <f>FC80/FB80</f>
        <v/>
      </c>
      <c r="FE80" s="182" t="n">
        <v>0.0166</v>
      </c>
      <c r="FF80" s="182" t="n"/>
      <c r="FH80" s="185">
        <f>C80</f>
        <v/>
      </c>
      <c r="FI80" s="672" t="n">
        <v>1114695.3365</v>
      </c>
      <c r="FJ80" s="9">
        <f>FI81</f>
        <v/>
      </c>
      <c r="FK80" s="325">
        <f>FI80-FJ80</f>
        <v/>
      </c>
      <c r="FL80" s="326">
        <f>FK80/FJ80</f>
        <v/>
      </c>
      <c r="FM80" s="326" t="n">
        <v>0.0131</v>
      </c>
      <c r="FN80" s="194" t="n"/>
      <c r="FO80" s="328" t="n"/>
      <c r="FP80" s="185">
        <f>C80</f>
        <v/>
      </c>
      <c r="FQ80" s="185" t="n">
        <v>1793668.73</v>
      </c>
      <c r="FR80" s="185">
        <f>FQ81</f>
        <v/>
      </c>
      <c r="FS80" s="325">
        <f>FQ80-FR80</f>
        <v/>
      </c>
      <c r="FT80" s="326">
        <f>FS80/FR80</f>
        <v/>
      </c>
      <c r="FU80" s="182" t="n">
        <v>-0.0073</v>
      </c>
      <c r="FV80" s="182" t="n"/>
      <c r="FW80" s="328" t="n"/>
      <c r="FX80" s="185">
        <f>C80</f>
        <v/>
      </c>
      <c r="FY80" s="185" t="n">
        <v>7990382.05</v>
      </c>
      <c r="FZ80" s="185">
        <f>FY81</f>
        <v/>
      </c>
      <c r="GA80" s="325">
        <f>FY80-FZ80</f>
        <v/>
      </c>
      <c r="GB80" s="326">
        <f>GA80/FZ80</f>
        <v/>
      </c>
      <c r="GC80" s="182" t="n">
        <v>-0.0061</v>
      </c>
      <c r="GD80" s="182" t="n"/>
      <c r="GE80" s="328" t="n"/>
      <c r="GF80" s="185">
        <f>C80</f>
        <v/>
      </c>
      <c r="GG80" s="185" t="n">
        <v>4623369.49</v>
      </c>
      <c r="GH80" s="185">
        <f>GG81</f>
        <v/>
      </c>
      <c r="GI80" s="325">
        <f>GG80-GH80</f>
        <v/>
      </c>
      <c r="GJ80" s="326">
        <f>GI80/GH80</f>
        <v/>
      </c>
      <c r="GK80" s="182" t="n">
        <v>0</v>
      </c>
      <c r="GL80" s="182" t="n"/>
      <c r="GM80" s="328" t="n"/>
      <c r="GN80" s="185">
        <f>C80</f>
        <v/>
      </c>
      <c r="GO80" s="222" t="n">
        <v>2051878.1217</v>
      </c>
      <c r="GP80" s="222">
        <f>GO81</f>
        <v/>
      </c>
      <c r="GQ80" s="325">
        <f>GO80-GP80</f>
        <v/>
      </c>
      <c r="GR80" s="326">
        <f>GQ80/GP80</f>
        <v/>
      </c>
      <c r="GS80" s="182" t="n">
        <v>-0.0034</v>
      </c>
      <c r="GT80" s="182" t="n"/>
      <c r="GU80" s="328" t="n"/>
      <c r="GV80" s="185">
        <f>C80</f>
        <v/>
      </c>
      <c r="GW80" s="185" t="n">
        <v>615949.4</v>
      </c>
      <c r="GX80" s="185">
        <f>GW81</f>
        <v/>
      </c>
      <c r="GY80" s="323">
        <f>GW80-GX80</f>
        <v/>
      </c>
      <c r="GZ80" s="324">
        <f>GY80/GX80</f>
        <v/>
      </c>
      <c r="HA80" s="182" t="n">
        <v>0.0232</v>
      </c>
      <c r="HB80" s="182" t="n"/>
      <c r="HC80" s="328" t="n"/>
      <c r="HD80" s="185">
        <f>C80</f>
        <v/>
      </c>
      <c r="HE80" s="222" t="n">
        <v>911664.6746</v>
      </c>
      <c r="HF80" s="222">
        <f>HE81</f>
        <v/>
      </c>
      <c r="HG80" s="323">
        <f>HE80-HF80</f>
        <v/>
      </c>
      <c r="HH80" s="324">
        <f>HG80/HF80</f>
        <v/>
      </c>
      <c r="HI80" s="194" t="n">
        <v>0.0328</v>
      </c>
      <c r="HJ80" s="182" t="n"/>
      <c r="HK80" s="328" t="n"/>
      <c r="HL80" s="185">
        <f>C80</f>
        <v/>
      </c>
      <c r="HM80" s="185" t="n">
        <v>112604.25</v>
      </c>
      <c r="HN80" s="185">
        <f>HM81</f>
        <v/>
      </c>
      <c r="HO80" s="323">
        <f>HM80-HN80</f>
        <v/>
      </c>
      <c r="HP80" s="324">
        <f>HO80/HN80</f>
        <v/>
      </c>
      <c r="HQ80" s="182" t="n">
        <v>0.0046</v>
      </c>
      <c r="HR80" s="182" t="n"/>
      <c r="HS80" s="328" t="n"/>
      <c r="HT80" s="185">
        <f>C80</f>
        <v/>
      </c>
      <c r="HU80" s="222" t="n">
        <v>130768.8265</v>
      </c>
      <c r="HV80" s="222">
        <f>HU81</f>
        <v/>
      </c>
      <c r="HW80" s="325">
        <f>HU80-HV80</f>
        <v/>
      </c>
      <c r="HX80" s="326">
        <f>HW80/HV80</f>
        <v/>
      </c>
      <c r="HY80" s="182" t="n">
        <v>0.0253</v>
      </c>
      <c r="HZ80" s="182" t="n"/>
      <c r="IA80" s="328" t="n"/>
      <c r="IB80" s="185">
        <f>C80</f>
        <v/>
      </c>
      <c r="IC80" s="185" t="n">
        <v>278509.79</v>
      </c>
      <c r="ID80" s="185">
        <f>IC81</f>
        <v/>
      </c>
      <c r="IE80" s="325">
        <f>IC80-ID80</f>
        <v/>
      </c>
      <c r="IF80" s="326">
        <f>IE80/ID80</f>
        <v/>
      </c>
      <c r="IG80" s="194" t="n">
        <v>-0.0009</v>
      </c>
      <c r="IH80" s="182" t="n"/>
      <c r="II80" s="328" t="n"/>
      <c r="IJ80" s="185">
        <f>C80</f>
        <v/>
      </c>
      <c r="IK80" s="222" t="n">
        <v>1055916.29</v>
      </c>
      <c r="IL80" s="222">
        <f>IK81</f>
        <v/>
      </c>
      <c r="IM80" s="325">
        <f>IK80-IL80</f>
        <v/>
      </c>
      <c r="IN80" s="326">
        <f>IM80/IL80</f>
        <v/>
      </c>
      <c r="IO80" s="182" t="n">
        <v>0.0083</v>
      </c>
      <c r="IP80" s="182" t="n"/>
      <c r="IQ80" s="328" t="n"/>
      <c r="IR80" s="185">
        <f>C80</f>
        <v/>
      </c>
      <c r="IS80" s="185" t="n">
        <v>161989</v>
      </c>
      <c r="IT80" s="185">
        <f>IS81</f>
        <v/>
      </c>
      <c r="IU80" s="325">
        <f>IS80-IT80</f>
        <v/>
      </c>
      <c r="IV80" s="326">
        <f>IU80/IT80</f>
        <v/>
      </c>
      <c r="IW80" s="182" t="n">
        <v>-0.0238</v>
      </c>
      <c r="IX80" s="182" t="n"/>
      <c r="IY80" s="328" t="n"/>
      <c r="IZ80" s="185">
        <f>C80</f>
        <v/>
      </c>
      <c r="JA80" s="185" t="n">
        <v>5662729.15</v>
      </c>
      <c r="JB80" s="185">
        <f>JA81</f>
        <v/>
      </c>
      <c r="JC80" s="325">
        <f>JA80-JB80</f>
        <v/>
      </c>
      <c r="JD80" s="326">
        <f>JC80/JB80</f>
        <v/>
      </c>
      <c r="JE80" s="182" t="n">
        <v>0.0126</v>
      </c>
      <c r="JF80" s="182" t="n"/>
      <c r="JG80" s="328" t="n"/>
      <c r="JH80" s="185">
        <f>C80</f>
        <v/>
      </c>
      <c r="JI80" s="185" t="n">
        <v>1496787.99</v>
      </c>
      <c r="JJ80" s="185">
        <f>JI81</f>
        <v/>
      </c>
      <c r="JK80" s="325">
        <f>JI80-JJ80</f>
        <v/>
      </c>
      <c r="JL80" s="326">
        <f>JK80/JJ80</f>
        <v/>
      </c>
      <c r="JM80" s="182" t="n">
        <v>0.005</v>
      </c>
      <c r="JN80" s="182" t="n"/>
      <c r="JP80" s="185">
        <f>C80</f>
        <v/>
      </c>
      <c r="JQ80" s="222" t="n">
        <v>1067790.4148</v>
      </c>
      <c r="JR80" s="222">
        <f>JQ81</f>
        <v/>
      </c>
      <c r="JS80" s="323">
        <f>JQ80-JR80</f>
        <v/>
      </c>
      <c r="JT80" s="324">
        <f>JS80/JR80</f>
        <v/>
      </c>
      <c r="JU80" s="182" t="n">
        <v>0</v>
      </c>
      <c r="JV80" s="194" t="n"/>
      <c r="JX80" s="185">
        <f>C80</f>
        <v/>
      </c>
      <c r="JY80" s="185" t="n">
        <v>1017748.8</v>
      </c>
      <c r="JZ80" s="185">
        <f>JY81</f>
        <v/>
      </c>
      <c r="KA80" s="325">
        <f>JY80-JZ80</f>
        <v/>
      </c>
      <c r="KB80" s="326">
        <f>KA80/JZ80</f>
        <v/>
      </c>
      <c r="KC80" s="182" t="n">
        <v>0.021</v>
      </c>
      <c r="KD80" s="194" t="n"/>
      <c r="KF80" s="185">
        <f>C80</f>
        <v/>
      </c>
      <c r="KG80" s="222" t="n">
        <v>646755.9219</v>
      </c>
      <c r="KH80" s="222">
        <f>KG81</f>
        <v/>
      </c>
      <c r="KI80" s="323">
        <f>KG80-KH80</f>
        <v/>
      </c>
      <c r="KJ80" s="324">
        <f>KI80/KH80</f>
        <v/>
      </c>
      <c r="KK80" s="194" t="n">
        <v>0.0136</v>
      </c>
      <c r="KL80" s="194" t="n"/>
      <c r="KM80" s="328" t="n"/>
      <c r="KN80" s="185">
        <f>C80</f>
        <v/>
      </c>
      <c r="KO80" s="185" t="n">
        <v>6982775.95</v>
      </c>
      <c r="KP80" s="185">
        <f>KO81</f>
        <v/>
      </c>
      <c r="KQ80" s="325">
        <f>KO80-KP80</f>
        <v/>
      </c>
      <c r="KR80" s="326">
        <f>KQ80/KP80</f>
        <v/>
      </c>
      <c r="KS80" s="182" t="n">
        <v>0.0051</v>
      </c>
      <c r="KT80" s="182" t="n"/>
      <c r="KU80" s="328" t="n"/>
      <c r="KV80" s="185">
        <f>C80</f>
        <v/>
      </c>
      <c r="KW80" s="222" t="n">
        <v>1103172.9726</v>
      </c>
      <c r="KX80" s="185">
        <f>KW81</f>
        <v/>
      </c>
      <c r="KY80" s="323">
        <f>KW80-KX80</f>
        <v/>
      </c>
      <c r="KZ80" s="324">
        <f>KY80/KX80</f>
        <v/>
      </c>
      <c r="LA80" s="194" t="n">
        <v>0.0014</v>
      </c>
      <c r="LB80" s="182" t="n"/>
      <c r="LC80" s="328" t="n"/>
      <c r="LD80" s="185">
        <f>C80</f>
        <v/>
      </c>
      <c r="LE80" s="185" t="n">
        <v>368057.7</v>
      </c>
      <c r="LF80" s="185">
        <f>LE81</f>
        <v/>
      </c>
      <c r="LG80" s="325">
        <f>LE80-LF80</f>
        <v/>
      </c>
      <c r="LH80" s="326">
        <f>LG80/LF80</f>
        <v/>
      </c>
      <c r="LI80" s="182" t="n">
        <v>0.0304</v>
      </c>
      <c r="LJ80" s="182" t="n"/>
      <c r="LK80" s="328" t="n"/>
      <c r="LL80" s="185">
        <f>C80</f>
        <v/>
      </c>
      <c r="LM80" s="672" t="n">
        <v>3386815.02</v>
      </c>
      <c r="LN80" s="185">
        <f>LM81</f>
        <v/>
      </c>
      <c r="LO80" s="325">
        <f>LM80-LN80</f>
        <v/>
      </c>
      <c r="LP80" s="326">
        <f>LO80/LN80</f>
        <v/>
      </c>
      <c r="LQ80" s="182" t="n">
        <v>-0.0116</v>
      </c>
      <c r="LR80" s="182" t="n"/>
      <c r="LS80" s="328" t="n"/>
      <c r="LT80" s="185">
        <f>C80</f>
        <v/>
      </c>
      <c r="LU80" s="222" t="n">
        <v>2320062.904</v>
      </c>
      <c r="LV80" s="222">
        <f>LU81</f>
        <v/>
      </c>
      <c r="LW80" s="325">
        <f>LU80-LV80</f>
        <v/>
      </c>
      <c r="LX80" s="326">
        <f>LW80/LV80</f>
        <v/>
      </c>
      <c r="LY80" s="182" t="n">
        <v>-0.0045</v>
      </c>
      <c r="LZ80" s="182" t="n"/>
      <c r="MA80" s="328" t="n"/>
      <c r="MB80" s="185">
        <f>C80</f>
        <v/>
      </c>
      <c r="MC80" s="185" t="n">
        <v>1316467.69</v>
      </c>
      <c r="MD80" s="185">
        <f>MC81</f>
        <v/>
      </c>
      <c r="ME80" s="325">
        <f>MC80-MD80</f>
        <v/>
      </c>
      <c r="MF80" s="326">
        <f>ME80/MD80</f>
        <v/>
      </c>
      <c r="MG80" s="182" t="n">
        <v>0.0114</v>
      </c>
      <c r="MH80" s="182" t="n"/>
      <c r="MI80" s="319" t="n"/>
      <c r="MJ80" s="318" t="n"/>
      <c r="MK80" s="318">
        <f>C80</f>
        <v/>
      </c>
      <c r="ML80" s="318" t="n">
        <v>157185.5354</v>
      </c>
      <c r="MM80" s="13">
        <f>ML81</f>
        <v/>
      </c>
      <c r="MN80" s="318">
        <f>ML80-MM80</f>
        <v/>
      </c>
      <c r="MO80" s="327">
        <f>MN80/MM80</f>
        <v/>
      </c>
      <c r="MP80" s="182" t="n">
        <v>-0.0188</v>
      </c>
      <c r="MQ80" s="329" t="n"/>
      <c r="MR80" s="329" t="n"/>
      <c r="MS80" s="188" t="n"/>
      <c r="MT80" s="274">
        <f>C80</f>
        <v/>
      </c>
      <c r="MU80" s="188" t="n">
        <v>142814.8</v>
      </c>
      <c r="MV80" s="188">
        <f>MU81</f>
        <v/>
      </c>
      <c r="MW80" s="188">
        <f>MU80-MV80</f>
        <v/>
      </c>
      <c r="MX80" s="271">
        <f>MW80/MV80</f>
        <v/>
      </c>
      <c r="MY80" s="182" t="n">
        <v>0.0328</v>
      </c>
      <c r="MZ80" s="182" t="n"/>
      <c r="NA80" s="182" t="n"/>
      <c r="NB80" s="188" t="n"/>
      <c r="NC80" s="188">
        <f>C80</f>
        <v/>
      </c>
      <c r="ND80" s="188" t="n">
        <v>33891.48</v>
      </c>
      <c r="NE80" s="188">
        <f>ND81</f>
        <v/>
      </c>
      <c r="NF80" s="188">
        <f>ND80-NE80</f>
        <v/>
      </c>
      <c r="NG80" s="271">
        <f>NF80/NE80</f>
        <v/>
      </c>
      <c r="NH80" s="182" t="n">
        <v>0.0168</v>
      </c>
      <c r="NI80" s="182" t="n"/>
      <c r="NJ80" s="182" t="n"/>
      <c r="NK80" s="182" t="n"/>
      <c r="NL80" s="188" t="n"/>
      <c r="NM80" s="188">
        <f>C80</f>
        <v/>
      </c>
      <c r="NN80" s="188" t="n">
        <v>2989911.08</v>
      </c>
      <c r="NO80" s="9">
        <f>NN81</f>
        <v/>
      </c>
      <c r="NP80" s="188">
        <f>NN80-NO80</f>
        <v/>
      </c>
      <c r="NQ80" s="271">
        <f>NP80/NO80</f>
        <v/>
      </c>
      <c r="NR80" s="272" t="n">
        <v>0.0051</v>
      </c>
      <c r="NS80" s="188" t="n"/>
      <c r="NT80" s="273" t="n"/>
      <c r="NU80" s="188">
        <f>C80</f>
        <v/>
      </c>
      <c r="NV80" s="188" t="n">
        <v>263326.5</v>
      </c>
      <c r="NW80" s="188">
        <f>NV81</f>
        <v/>
      </c>
      <c r="NX80" s="188">
        <f>NV80-NW80</f>
        <v/>
      </c>
      <c r="NY80" s="271">
        <f>NX80/NW80</f>
        <v/>
      </c>
      <c r="NZ80" s="194" t="n">
        <v>-0.008</v>
      </c>
      <c r="OA80" s="328" t="n"/>
      <c r="OB80" s="328" t="n"/>
      <c r="OC80" s="185">
        <f>C80</f>
        <v/>
      </c>
      <c r="OD80" s="185" t="n">
        <v>16992.97</v>
      </c>
      <c r="OE80" s="9">
        <f>OD81</f>
        <v/>
      </c>
      <c r="OF80" s="323">
        <f>OD80-OE80</f>
        <v/>
      </c>
      <c r="OG80" s="324">
        <f>OF80/OE80</f>
        <v/>
      </c>
      <c r="OH80" s="182" t="n">
        <v>0.0025</v>
      </c>
      <c r="OI80" s="182" t="n"/>
      <c r="OJ80" s="328" t="n"/>
      <c r="OK80" s="185">
        <f>C80</f>
        <v/>
      </c>
      <c r="OL80" s="185" t="n">
        <v>14575.65</v>
      </c>
      <c r="OM80" s="9">
        <f>OL81</f>
        <v/>
      </c>
      <c r="ON80" s="9">
        <f>OL80-OM80</f>
        <v/>
      </c>
      <c r="OO80" s="182">
        <f>ON80/OM80</f>
        <v/>
      </c>
      <c r="OP80" s="182" t="n">
        <v>-0.0001</v>
      </c>
      <c r="OQ80" s="182" t="n"/>
      <c r="OT80" s="201">
        <f>OK80</f>
        <v/>
      </c>
      <c r="OU80" s="199" t="n">
        <v>152952.4066</v>
      </c>
      <c r="OV80" s="9">
        <f>OU81</f>
        <v/>
      </c>
      <c r="OW80" s="671">
        <f>OU80-OV80</f>
        <v/>
      </c>
      <c r="OX80" s="182">
        <f>OW80/OV80</f>
        <v/>
      </c>
      <c r="OY80" s="0" t="n">
        <v>0.0136</v>
      </c>
    </row>
    <row r="81" ht="17" customFormat="1" customHeight="1" s="12">
      <c r="A81" s="652" t="n"/>
      <c r="B81" s="652" t="n"/>
      <c r="C81" s="689" t="inlineStr">
        <is>
          <t>2026//7/22</t>
        </is>
      </c>
      <c r="D81" s="89" t="n">
        <v>2404488.77</v>
      </c>
      <c r="E81" s="89">
        <f>D82</f>
        <v/>
      </c>
      <c r="F81" s="334">
        <f>D81-E81</f>
        <v/>
      </c>
      <c r="G81" s="335">
        <f>F81/E81</f>
        <v/>
      </c>
      <c r="H81" s="79" t="n">
        <v>-0.0046</v>
      </c>
      <c r="I81" s="336" t="n"/>
      <c r="J81" s="336" t="n"/>
      <c r="K81" s="337">
        <f>C81</f>
        <v/>
      </c>
      <c r="L81" s="89" t="n">
        <v>1116334.4</v>
      </c>
      <c r="M81" s="89">
        <f>L82</f>
        <v/>
      </c>
      <c r="N81" s="334">
        <f>L81-M81</f>
        <v/>
      </c>
      <c r="O81" s="335">
        <f>N81/M81</f>
        <v/>
      </c>
      <c r="P81" s="79" t="n">
        <v>-0.0058</v>
      </c>
      <c r="Q81" s="336" t="n"/>
      <c r="R81" s="338" t="n"/>
      <c r="S81" s="337">
        <f>C81</f>
        <v/>
      </c>
      <c r="T81" s="89" t="n">
        <v>747516.6800000001</v>
      </c>
      <c r="U81" s="89">
        <f>T82</f>
        <v/>
      </c>
      <c r="V81" s="334">
        <f>T81-U81</f>
        <v/>
      </c>
      <c r="W81" s="335">
        <f>V81/U81</f>
        <v/>
      </c>
      <c r="X81" s="79" t="n">
        <v>0.0023</v>
      </c>
      <c r="Y81" s="336" t="n"/>
      <c r="Z81" s="338" t="n"/>
      <c r="AA81" s="337">
        <f>S81</f>
        <v/>
      </c>
      <c r="AB81" s="89" t="n">
        <v>578696.86</v>
      </c>
      <c r="AC81" s="89">
        <f>AB82</f>
        <v/>
      </c>
      <c r="AD81" s="334">
        <f>AB81-AC81</f>
        <v/>
      </c>
      <c r="AE81" s="335">
        <f>AD81/AC81</f>
        <v/>
      </c>
      <c r="AF81" s="79" t="n">
        <v>-0.0067</v>
      </c>
      <c r="AG81" s="336" t="n"/>
      <c r="AH81" s="338" t="n"/>
      <c r="AI81" s="337">
        <f>C81</f>
        <v/>
      </c>
      <c r="AJ81" s="89" t="n">
        <v>867121.76</v>
      </c>
      <c r="AK81" s="338">
        <f>AJ82</f>
        <v/>
      </c>
      <c r="AL81" s="339">
        <f>AJ81-AK81</f>
        <v/>
      </c>
      <c r="AM81" s="340">
        <f>AL81/AK81</f>
        <v/>
      </c>
      <c r="AN81" s="79" t="n">
        <v>-0.0143</v>
      </c>
      <c r="AO81" s="79" t="n"/>
      <c r="AP81" s="338" t="n"/>
      <c r="AQ81" s="337">
        <f>C81</f>
        <v/>
      </c>
      <c r="AR81" s="690" t="n">
        <v>1662645.4936</v>
      </c>
      <c r="AS81" s="4">
        <f>AR82</f>
        <v/>
      </c>
      <c r="AT81" s="334">
        <f>AR81-AS81</f>
        <v/>
      </c>
      <c r="AU81" s="335">
        <f>AT81/AS81</f>
        <v/>
      </c>
      <c r="AV81" s="79" t="n">
        <v>-0.0332</v>
      </c>
      <c r="AW81" s="79" t="n"/>
      <c r="AX81" s="4" t="n"/>
      <c r="AY81" s="218" t="n"/>
      <c r="AZ81" s="218">
        <f>C81</f>
        <v/>
      </c>
      <c r="BA81" s="218" t="n">
        <v>618231.6676</v>
      </c>
      <c r="BB81" s="218">
        <f>BA82</f>
        <v/>
      </c>
      <c r="BC81" s="218">
        <f>BA81-BB81</f>
        <v/>
      </c>
      <c r="BD81" s="276">
        <f>BC81/BB81</f>
        <v/>
      </c>
      <c r="BE81" s="79" t="n">
        <v>-0.005</v>
      </c>
      <c r="BF81" s="79" t="n"/>
      <c r="BG81" s="682" t="n"/>
      <c r="BH81" s="342">
        <f>C81</f>
        <v/>
      </c>
      <c r="BI81" s="278" t="n">
        <v>1105426.5525</v>
      </c>
      <c r="BJ81" s="343">
        <f>BI82</f>
        <v/>
      </c>
      <c r="BK81" s="344">
        <f>BI81-BJ81</f>
        <v/>
      </c>
      <c r="BL81" s="345">
        <f>BK81/BJ81</f>
        <v/>
      </c>
      <c r="BM81" s="281" t="n">
        <v>-0.0229</v>
      </c>
      <c r="BN81" s="282" t="n"/>
      <c r="BO81" s="346" t="n"/>
      <c r="BP81" s="347">
        <f>C81</f>
        <v/>
      </c>
      <c r="BQ81" s="691" t="n">
        <v>1179162.3921</v>
      </c>
      <c r="BR81" s="12">
        <f>BQ82</f>
        <v/>
      </c>
      <c r="BS81" s="349">
        <f>BQ81-BR81</f>
        <v/>
      </c>
      <c r="BT81" s="350">
        <f>BS81/BR81</f>
        <v/>
      </c>
      <c r="BU81" s="282" t="n">
        <v>-0.008699999999999999</v>
      </c>
      <c r="BV81" s="282" t="n"/>
      <c r="BW81" s="346" t="n"/>
      <c r="BX81" s="347">
        <f>C81</f>
        <v/>
      </c>
      <c r="BY81" s="351" t="n">
        <v>1799610.7019</v>
      </c>
      <c r="BZ81" s="12">
        <f>BY82</f>
        <v/>
      </c>
      <c r="CA81" s="352">
        <f>BY81-BZ81</f>
        <v/>
      </c>
      <c r="CB81" s="353">
        <f>CA81/BZ81</f>
        <v/>
      </c>
      <c r="CC81" s="282" t="n">
        <v>0.0171</v>
      </c>
      <c r="CD81" s="282" t="n"/>
      <c r="CE81" s="346" t="n"/>
      <c r="CF81" s="347">
        <f>C81</f>
        <v/>
      </c>
      <c r="CG81" s="288" t="n">
        <v>1213753.9</v>
      </c>
      <c r="CH81" s="284">
        <f>CG82</f>
        <v/>
      </c>
      <c r="CI81" s="284">
        <f>CG81-CH81</f>
        <v/>
      </c>
      <c r="CJ81" s="285">
        <f>CI81/CH81</f>
        <v/>
      </c>
      <c r="CK81" s="282" t="n">
        <v>0.0339</v>
      </c>
      <c r="CL81" s="354" t="n"/>
      <c r="CM81" s="346" t="n"/>
      <c r="CN81" s="347">
        <f>C81</f>
        <v/>
      </c>
      <c r="CO81" s="288" t="n">
        <v>517946.48</v>
      </c>
      <c r="CP81" s="288">
        <f>CO82</f>
        <v/>
      </c>
      <c r="CQ81" s="284">
        <f>CO81-CP81</f>
        <v/>
      </c>
      <c r="CR81" s="285">
        <f>CQ81/CP81</f>
        <v/>
      </c>
      <c r="CS81" s="354" t="n">
        <v>0.0343</v>
      </c>
      <c r="CT81" s="354" t="n"/>
      <c r="CU81" s="346" t="n"/>
      <c r="CV81" s="347">
        <f>C81</f>
        <v/>
      </c>
      <c r="CW81" s="288" t="n">
        <v>607090.4</v>
      </c>
      <c r="CX81" s="288">
        <f>CW82</f>
        <v/>
      </c>
      <c r="CY81" s="349">
        <f>CW81-CX81</f>
        <v/>
      </c>
      <c r="CZ81" s="350">
        <f>CY81/CX81</f>
        <v/>
      </c>
      <c r="DA81" s="282" t="n">
        <v>0.057</v>
      </c>
      <c r="DB81" s="282" t="n"/>
      <c r="DC81" s="256" t="n"/>
      <c r="DD81" s="347">
        <f>C81</f>
        <v/>
      </c>
      <c r="DE81" s="351" t="n">
        <v>5261935.9972</v>
      </c>
      <c r="DF81" s="13">
        <f>DE82</f>
        <v/>
      </c>
      <c r="DG81" s="352">
        <f>DE81-DF81</f>
        <v/>
      </c>
      <c r="DH81" s="353">
        <f>DG81/DF81</f>
        <v/>
      </c>
      <c r="DI81" s="282" t="n">
        <v>0.0275</v>
      </c>
      <c r="DJ81" s="282" t="n"/>
      <c r="DK81" s="346" t="n"/>
      <c r="DL81" s="347">
        <f>C81</f>
        <v/>
      </c>
      <c r="DM81" s="288" t="n">
        <v>1816200.72</v>
      </c>
      <c r="DN81" s="288">
        <f>DM82</f>
        <v/>
      </c>
      <c r="DO81" s="352">
        <f>DM81-DN81</f>
        <v/>
      </c>
      <c r="DP81" s="353">
        <f>DO81/DN81</f>
        <v/>
      </c>
      <c r="DQ81" s="282" t="n">
        <v>0.007</v>
      </c>
      <c r="DR81" s="282" t="n"/>
      <c r="DS81" s="346" t="n"/>
      <c r="DT81" s="347">
        <f>C81</f>
        <v/>
      </c>
      <c r="DU81" s="288" t="n">
        <v>4256368.43</v>
      </c>
      <c r="DV81" s="288">
        <f>DU82</f>
        <v/>
      </c>
      <c r="DW81" s="352">
        <f>DU81-DV81</f>
        <v/>
      </c>
      <c r="DX81" s="353">
        <f>DW81/DV81</f>
        <v/>
      </c>
      <c r="DY81" s="282" t="n">
        <v>-0.0334</v>
      </c>
      <c r="DZ81" s="282" t="n"/>
      <c r="EA81" s="346" t="n"/>
      <c r="EB81" s="347">
        <f>C81</f>
        <v/>
      </c>
      <c r="EC81" s="288" t="n">
        <v>4436066.82</v>
      </c>
      <c r="ED81" s="288">
        <f>EC82</f>
        <v/>
      </c>
      <c r="EE81" s="352">
        <f>EC81-ED81</f>
        <v/>
      </c>
      <c r="EF81" s="353">
        <f>EE81/ED81</f>
        <v/>
      </c>
      <c r="EG81" s="282" t="n">
        <v>-0.0303</v>
      </c>
      <c r="EH81" s="282" t="n"/>
      <c r="EI81" s="346" t="n"/>
      <c r="EJ81" s="347">
        <f>C81</f>
        <v/>
      </c>
      <c r="EK81" s="351" t="n">
        <v>1129122.9669</v>
      </c>
      <c r="EL81" s="12">
        <f>EK82</f>
        <v/>
      </c>
      <c r="EM81" s="352">
        <f>EK81-EL81</f>
        <v/>
      </c>
      <c r="EN81" s="353">
        <f>EM81/EL81</f>
        <v/>
      </c>
      <c r="EO81" s="282" t="n">
        <v>-0.013</v>
      </c>
      <c r="EP81" s="282" t="n"/>
      <c r="EQ81" s="355" t="n"/>
      <c r="ER81" s="356">
        <f>C81</f>
        <v/>
      </c>
      <c r="ES81" s="356" t="n">
        <v>736694.04</v>
      </c>
      <c r="ET81" s="356">
        <f>ES82</f>
        <v/>
      </c>
      <c r="EU81" s="356">
        <f>ES81-ET81</f>
        <v/>
      </c>
      <c r="EV81" s="357">
        <f>EU81/ET81</f>
        <v/>
      </c>
      <c r="EW81" s="282" t="n">
        <v>-0.0158</v>
      </c>
      <c r="EX81" s="282" t="n"/>
      <c r="EY81" s="346" t="n"/>
      <c r="EZ81" s="347">
        <f>C81</f>
        <v/>
      </c>
      <c r="FA81" s="288" t="n">
        <v>574708</v>
      </c>
      <c r="FB81" s="288">
        <f>FA82</f>
        <v/>
      </c>
      <c r="FC81" s="352">
        <f>FA81-FB81</f>
        <v/>
      </c>
      <c r="FD81" s="353">
        <f>FC81/FB81</f>
        <v/>
      </c>
      <c r="FE81" s="282" t="n">
        <v>-0.0064</v>
      </c>
      <c r="FF81" s="282" t="n"/>
      <c r="FH81" s="347">
        <f>C81</f>
        <v/>
      </c>
      <c r="FI81" s="692" t="n">
        <v>1113995.3365</v>
      </c>
      <c r="FJ81" s="347">
        <f>FI82</f>
        <v/>
      </c>
      <c r="FK81" s="349">
        <f>FI81-FJ81</f>
        <v/>
      </c>
      <c r="FL81" s="350">
        <f>FK81/FJ81</f>
        <v/>
      </c>
      <c r="FM81" s="354" t="n">
        <v>-0.0167</v>
      </c>
      <c r="FN81" s="354" t="n"/>
      <c r="FO81" s="346" t="n"/>
      <c r="FP81" s="347">
        <f>C81</f>
        <v/>
      </c>
      <c r="FQ81" s="288" t="n">
        <v>1784668.73</v>
      </c>
      <c r="FR81" s="288">
        <f>FQ82</f>
        <v/>
      </c>
      <c r="FS81" s="352">
        <f>FQ81-FR81</f>
        <v/>
      </c>
      <c r="FT81" s="353">
        <f>FS81/FR81</f>
        <v/>
      </c>
      <c r="FU81" s="282" t="n">
        <v>-0.0174</v>
      </c>
      <c r="FV81" s="282" t="n"/>
      <c r="FW81" s="346" t="n"/>
      <c r="FX81" s="347">
        <f>C81</f>
        <v/>
      </c>
      <c r="FY81" s="288" t="n">
        <v>7996182.05</v>
      </c>
      <c r="FZ81" s="288">
        <f>FY82</f>
        <v/>
      </c>
      <c r="GA81" s="349">
        <f>FY81-FZ81</f>
        <v/>
      </c>
      <c r="GB81" s="350">
        <f>GA81/FZ81</f>
        <v/>
      </c>
      <c r="GC81" s="282" t="n">
        <v>-0.003</v>
      </c>
      <c r="GD81" s="282" t="n"/>
      <c r="GE81" s="346" t="n"/>
      <c r="GF81" s="347">
        <f>C81</f>
        <v/>
      </c>
      <c r="GG81" s="288" t="n">
        <v>4646269.49</v>
      </c>
      <c r="GH81" s="288">
        <f>GG82</f>
        <v/>
      </c>
      <c r="GI81" s="349">
        <f>GG81-GH81</f>
        <v/>
      </c>
      <c r="GJ81" s="350">
        <f>GI81/GH81</f>
        <v/>
      </c>
      <c r="GK81" s="282" t="n">
        <v>0.0027</v>
      </c>
      <c r="GL81" s="282" t="n"/>
      <c r="GM81" s="346" t="n"/>
      <c r="GN81" s="347">
        <f>C81</f>
        <v/>
      </c>
      <c r="GO81" s="351" t="n">
        <v>2059018.1217</v>
      </c>
      <c r="GP81" s="12">
        <f>GO82</f>
        <v/>
      </c>
      <c r="GQ81" s="349">
        <f>GO81-GP81</f>
        <v/>
      </c>
      <c r="GR81" s="350">
        <f>GQ81/GP81</f>
        <v/>
      </c>
      <c r="GS81" s="282" t="n">
        <v>0.0011</v>
      </c>
      <c r="GT81" s="282" t="n"/>
      <c r="GU81" s="346" t="n"/>
      <c r="GV81" s="347">
        <f>C81</f>
        <v/>
      </c>
      <c r="GW81" s="288" t="n">
        <v>614949.4</v>
      </c>
      <c r="GX81" s="288">
        <f>GW82</f>
        <v/>
      </c>
      <c r="GY81" s="349">
        <f>GW81-GX81</f>
        <v/>
      </c>
      <c r="GZ81" s="350">
        <f>GY81/GX81</f>
        <v/>
      </c>
      <c r="HA81" s="282" t="n">
        <v>0.0061</v>
      </c>
      <c r="HB81" s="282" t="n"/>
      <c r="HC81" s="346" t="n"/>
      <c r="HD81" s="347">
        <f>C81</f>
        <v/>
      </c>
      <c r="HE81" s="351" t="n">
        <v>899064.6746</v>
      </c>
      <c r="HF81" s="351">
        <f>HE82</f>
        <v/>
      </c>
      <c r="HG81" s="352">
        <f>HE81-HF81</f>
        <v/>
      </c>
      <c r="HH81" s="353">
        <f>HG81/HF81</f>
        <v/>
      </c>
      <c r="HI81" s="282" t="n">
        <v>-0.0235</v>
      </c>
      <c r="HJ81" s="282" t="n"/>
      <c r="HK81" s="346" t="n"/>
      <c r="HL81" s="347">
        <f>C81</f>
        <v/>
      </c>
      <c r="HM81" s="288" t="n">
        <v>112954.25</v>
      </c>
      <c r="HN81" s="288">
        <f>HM82</f>
        <v/>
      </c>
      <c r="HO81" s="349">
        <f>HM81-HN81</f>
        <v/>
      </c>
      <c r="HP81" s="350">
        <f>HO81/HN81</f>
        <v/>
      </c>
      <c r="HQ81" s="282" t="n">
        <v>0.0037</v>
      </c>
      <c r="HR81" s="282" t="n"/>
      <c r="HS81" s="346" t="n"/>
      <c r="HT81" s="347">
        <f>C81</f>
        <v/>
      </c>
      <c r="HU81" s="351" t="n">
        <v>127568.8265</v>
      </c>
      <c r="HV81" s="12">
        <f>HU82</f>
        <v/>
      </c>
      <c r="HW81" s="349">
        <f>HU81-HV81</f>
        <v/>
      </c>
      <c r="HX81" s="350">
        <f>HW81/HV81</f>
        <v/>
      </c>
      <c r="HY81" s="282" t="n">
        <v>-0.0058</v>
      </c>
      <c r="HZ81" s="282" t="n"/>
      <c r="IA81" s="346" t="n"/>
      <c r="IB81" s="347">
        <f>C81</f>
        <v/>
      </c>
      <c r="IC81" s="288" t="n">
        <v>278109.79</v>
      </c>
      <c r="ID81" s="288">
        <f>IC82</f>
        <v/>
      </c>
      <c r="IE81" s="349">
        <f>IC81-ID81</f>
        <v/>
      </c>
      <c r="IF81" s="350">
        <f>IE81/ID81</f>
        <v/>
      </c>
      <c r="IG81" s="282" t="n">
        <v>0.0122</v>
      </c>
      <c r="IH81" s="282" t="n"/>
      <c r="II81" s="346" t="n"/>
      <c r="IJ81" s="347">
        <f>C81</f>
        <v/>
      </c>
      <c r="IK81" s="351" t="n">
        <v>1051276.29</v>
      </c>
      <c r="IL81" s="12">
        <f>IK82</f>
        <v/>
      </c>
      <c r="IM81" s="352">
        <f>IK81-IL81</f>
        <v/>
      </c>
      <c r="IN81" s="353">
        <f>IM81/IL81</f>
        <v/>
      </c>
      <c r="IO81" s="282" t="n">
        <v>0.0158</v>
      </c>
      <c r="IP81" s="282" t="n"/>
      <c r="IQ81" s="346" t="n"/>
      <c r="IR81" s="347">
        <f>C81</f>
        <v/>
      </c>
      <c r="IS81" s="288" t="n">
        <v>168389</v>
      </c>
      <c r="IT81" s="288">
        <f>IS82</f>
        <v/>
      </c>
      <c r="IU81" s="352">
        <f>IS81-IT81</f>
        <v/>
      </c>
      <c r="IV81" s="353">
        <f>IU81/IT81</f>
        <v/>
      </c>
      <c r="IW81" s="282" t="n">
        <v>0.004</v>
      </c>
      <c r="IX81" s="282" t="n"/>
      <c r="IY81" s="346" t="n"/>
      <c r="IZ81" s="347">
        <f>C81</f>
        <v/>
      </c>
      <c r="JA81" s="288" t="n">
        <v>5704829.15</v>
      </c>
      <c r="JB81" s="288">
        <f>JA82</f>
        <v/>
      </c>
      <c r="JC81" s="349">
        <f>JA81-JB81</f>
        <v/>
      </c>
      <c r="JD81" s="350">
        <f>JC81/JB81</f>
        <v/>
      </c>
      <c r="JE81" s="282" t="n">
        <v>-0.008</v>
      </c>
      <c r="JF81" s="282" t="n"/>
      <c r="JG81" s="346" t="n"/>
      <c r="JH81" s="347">
        <f>C81</f>
        <v/>
      </c>
      <c r="JI81" s="288" t="n">
        <v>1535727.99</v>
      </c>
      <c r="JJ81" s="288">
        <f>JI82</f>
        <v/>
      </c>
      <c r="JK81" s="349">
        <f>JI81-JJ81</f>
        <v/>
      </c>
      <c r="JL81" s="350">
        <f>JK81/JJ81</f>
        <v/>
      </c>
      <c r="JM81" s="282" t="n">
        <v>0.0114</v>
      </c>
      <c r="JN81" s="282" t="n"/>
      <c r="JP81" s="347">
        <f>C81</f>
        <v/>
      </c>
      <c r="JQ81" s="351" t="n">
        <v>1062090.4148</v>
      </c>
      <c r="JR81" s="351">
        <f>JQ82</f>
        <v/>
      </c>
      <c r="JS81" s="352">
        <f>JQ81-JR81</f>
        <v/>
      </c>
      <c r="JT81" s="353">
        <f>JS81/JR81</f>
        <v/>
      </c>
      <c r="JU81" s="282" t="n">
        <v>-0.0165</v>
      </c>
      <c r="JV81" s="354" t="n"/>
      <c r="JX81" s="347">
        <f>C81</f>
        <v/>
      </c>
      <c r="JY81" s="288" t="n">
        <v>1025248.8</v>
      </c>
      <c r="JZ81" s="288">
        <f>JY82</f>
        <v/>
      </c>
      <c r="KA81" s="352">
        <f>JY81-JZ81</f>
        <v/>
      </c>
      <c r="KB81" s="353">
        <f>KA81/JZ81</f>
        <v/>
      </c>
      <c r="KC81" s="282" t="n">
        <v>0</v>
      </c>
      <c r="KD81" s="282" t="n"/>
      <c r="KF81" s="347">
        <f>C81</f>
        <v/>
      </c>
      <c r="KG81" s="351" t="n">
        <v>646755.9219</v>
      </c>
      <c r="KH81" s="351">
        <f>KG82</f>
        <v/>
      </c>
      <c r="KI81" s="352">
        <f>KG81-KH81</f>
        <v/>
      </c>
      <c r="KJ81" s="353">
        <f>KI81/KH81</f>
        <v/>
      </c>
      <c r="KK81" s="282" t="n">
        <v>-0.0121</v>
      </c>
      <c r="KL81" s="282" t="n"/>
      <c r="KM81" s="346" t="n"/>
      <c r="KN81" s="347">
        <f>C81</f>
        <v/>
      </c>
      <c r="KO81" s="288" t="n">
        <v>6982775.95</v>
      </c>
      <c r="KP81" s="288">
        <f>KO82</f>
        <v/>
      </c>
      <c r="KQ81" s="352">
        <f>KO81-KP81</f>
        <v/>
      </c>
      <c r="KR81" s="353">
        <f>KQ81/KP81</f>
        <v/>
      </c>
      <c r="KS81" s="282" t="n">
        <v>-0.0295</v>
      </c>
      <c r="KT81" s="282" t="n"/>
      <c r="KU81" s="346" t="n"/>
      <c r="KV81" s="347">
        <f>C81</f>
        <v/>
      </c>
      <c r="KW81" s="351" t="n">
        <v>1103172.9726</v>
      </c>
      <c r="KX81" s="351">
        <f>KW82</f>
        <v/>
      </c>
      <c r="KY81" s="12">
        <f>KW81-KX81</f>
        <v/>
      </c>
      <c r="KZ81" s="282">
        <f>KY81/KX81</f>
        <v/>
      </c>
      <c r="LA81" s="282" t="n">
        <v>0.0116</v>
      </c>
      <c r="LB81" s="282" t="n"/>
      <c r="LC81" s="346" t="n"/>
      <c r="LD81" s="347">
        <f>C81</f>
        <v/>
      </c>
      <c r="LE81" s="288" t="n">
        <v>365607.7</v>
      </c>
      <c r="LF81" s="288">
        <f>LE82</f>
        <v/>
      </c>
      <c r="LG81" s="349">
        <f>LE81-LF81</f>
        <v/>
      </c>
      <c r="LH81" s="350">
        <f>LG81/LF81</f>
        <v/>
      </c>
      <c r="LI81" s="282" t="n">
        <v>-0.0086</v>
      </c>
      <c r="LJ81" s="282" t="n"/>
      <c r="LK81" s="346" t="n"/>
      <c r="LL81" s="347">
        <f>C81</f>
        <v/>
      </c>
      <c r="LM81" s="691" t="n">
        <v>3376735.02</v>
      </c>
      <c r="LN81" s="288">
        <f>LM82</f>
        <v/>
      </c>
      <c r="LO81" s="352">
        <f>LM81-LN81</f>
        <v/>
      </c>
      <c r="LP81" s="353">
        <f>LO81/LN81</f>
        <v/>
      </c>
      <c r="LQ81" s="282" t="n">
        <v>0.0118</v>
      </c>
      <c r="LR81" s="282" t="n"/>
      <c r="LS81" s="346" t="n"/>
      <c r="LT81" s="347">
        <f>C81</f>
        <v/>
      </c>
      <c r="LU81" s="351" t="n">
        <v>2325062.904</v>
      </c>
      <c r="LV81" s="12">
        <f>LU82</f>
        <v/>
      </c>
      <c r="LW81" s="352">
        <f>LU81-LV81</f>
        <v/>
      </c>
      <c r="LX81" s="353">
        <f>LW81/LV81</f>
        <v/>
      </c>
      <c r="LY81" s="282" t="n">
        <v>0.006</v>
      </c>
      <c r="LZ81" s="282" t="n"/>
      <c r="MA81" s="346" t="n"/>
      <c r="MB81" s="347">
        <f>C81</f>
        <v/>
      </c>
      <c r="MC81" s="288" t="n">
        <v>1303067.69</v>
      </c>
      <c r="MD81" s="288">
        <f>MC82</f>
        <v/>
      </c>
      <c r="ME81" s="349">
        <f>MC81-MD81</f>
        <v/>
      </c>
      <c r="MF81" s="350">
        <f>ME81/MD81</f>
        <v/>
      </c>
      <c r="MG81" s="282" t="n">
        <v>0.0277</v>
      </c>
      <c r="MH81" s="282" t="n"/>
      <c r="MI81" s="359" t="n"/>
      <c r="MJ81" s="356" t="n"/>
      <c r="MK81" s="356">
        <f>C81</f>
        <v/>
      </c>
      <c r="ML81" s="356" t="n">
        <v>157185.5354</v>
      </c>
      <c r="MM81" s="284">
        <f>ML82</f>
        <v/>
      </c>
      <c r="MN81" s="356">
        <f>ML81-MM81</f>
        <v/>
      </c>
      <c r="MO81" s="357">
        <f>MN81/MM81</f>
        <v/>
      </c>
      <c r="MP81" s="282" t="n">
        <v>0.008999999999999999</v>
      </c>
      <c r="MQ81" s="360" t="n"/>
      <c r="MR81" s="360" t="n"/>
      <c r="MS81" s="289" t="n"/>
      <c r="MT81" s="290">
        <f>C81</f>
        <v/>
      </c>
      <c r="MU81" s="289" t="n">
        <v>138714.8</v>
      </c>
      <c r="MV81" s="289">
        <f>MU82</f>
        <v/>
      </c>
      <c r="MW81" s="289">
        <f>MU81-MV81</f>
        <v/>
      </c>
      <c r="MX81" s="291">
        <f>MW81/MV81</f>
        <v/>
      </c>
      <c r="MY81" s="282" t="n">
        <v>0.0262</v>
      </c>
      <c r="MZ81" s="282" t="n"/>
      <c r="NA81" s="282" t="n"/>
      <c r="NB81" s="289" t="n"/>
      <c r="NC81" s="289">
        <f>C81</f>
        <v/>
      </c>
      <c r="ND81" s="289" t="n">
        <v>33891.48</v>
      </c>
      <c r="NE81" s="289">
        <f>ND82</f>
        <v/>
      </c>
      <c r="NF81" s="289">
        <f>ND81-NE81</f>
        <v/>
      </c>
      <c r="NG81" s="291">
        <f>NF81/NE81</f>
        <v/>
      </c>
      <c r="NH81" s="282" t="n">
        <v>0.0258</v>
      </c>
      <c r="NI81" s="282" t="n"/>
      <c r="NJ81" s="282" t="n"/>
      <c r="NK81" s="282" t="n"/>
      <c r="NL81" s="188" t="n"/>
      <c r="NM81" s="188">
        <f>C81</f>
        <v/>
      </c>
      <c r="NN81" s="188" t="n">
        <v>2991611.08</v>
      </c>
      <c r="NO81" s="9">
        <f>NN82</f>
        <v/>
      </c>
      <c r="NP81" s="188">
        <f>NN81-NO81</f>
        <v/>
      </c>
      <c r="NQ81" s="271">
        <f>NP81/NO81</f>
        <v/>
      </c>
      <c r="NR81" s="272" t="n">
        <v>0.0069</v>
      </c>
      <c r="NS81" s="188" t="n"/>
      <c r="NT81" s="273" t="n"/>
      <c r="NU81" s="188">
        <f>C81</f>
        <v/>
      </c>
      <c r="NV81" s="188" t="n">
        <v>264126.5</v>
      </c>
      <c r="NW81" s="188">
        <f>NV82</f>
        <v/>
      </c>
      <c r="NX81" s="188">
        <f>NV81-NW81</f>
        <v/>
      </c>
      <c r="NY81" s="271">
        <f>NX81/NW81</f>
        <v/>
      </c>
      <c r="NZ81" s="354" t="n">
        <v>-0.001</v>
      </c>
      <c r="OA81" s="346" t="n"/>
      <c r="OB81" s="346" t="n"/>
      <c r="OC81" s="347">
        <f>C81</f>
        <v/>
      </c>
      <c r="OD81" s="12" t="n">
        <v>17821.97</v>
      </c>
      <c r="OE81" s="12">
        <f>OD82</f>
        <v/>
      </c>
      <c r="OF81" s="352">
        <f>OD81-OE81</f>
        <v/>
      </c>
      <c r="OG81" s="353">
        <f>OF81/OE81</f>
        <v/>
      </c>
      <c r="OH81" s="282" t="n">
        <v>0.0048</v>
      </c>
      <c r="OI81" s="282" t="n"/>
      <c r="OJ81" s="346" t="n"/>
      <c r="OK81" s="347">
        <f>C81</f>
        <v/>
      </c>
      <c r="OL81" s="288" t="n">
        <v>14625.65</v>
      </c>
      <c r="OM81" s="12">
        <f>OL82</f>
        <v/>
      </c>
      <c r="ON81" s="12">
        <f>OL81-OM81</f>
        <v/>
      </c>
      <c r="OO81" s="282">
        <f>ON81/OM81</f>
        <v/>
      </c>
      <c r="OP81" s="282" t="n">
        <v>0.0008</v>
      </c>
      <c r="OQ81" s="282" t="n"/>
      <c r="OT81" s="201">
        <f>OK81</f>
        <v/>
      </c>
      <c r="OU81" s="199" t="n">
        <v>152832.4066</v>
      </c>
      <c r="OV81" s="9">
        <f>OU82</f>
        <v/>
      </c>
      <c r="OW81" s="671">
        <f>OU81-OV81</f>
        <v/>
      </c>
      <c r="OX81" s="182">
        <f>OW81/OV81</f>
        <v/>
      </c>
      <c r="OY81" s="0" t="n">
        <v>0.0073</v>
      </c>
    </row>
    <row r="82" ht="17" customFormat="1" customHeight="1" s="9">
      <c r="A82" s="631" t="n"/>
      <c r="B82" s="631" t="n"/>
      <c r="C82" s="693" t="inlineStr">
        <is>
          <t>2026//7/21</t>
        </is>
      </c>
      <c r="D82" s="311" t="n">
        <v>2435718.77</v>
      </c>
      <c r="E82" s="311">
        <f>D83</f>
        <v/>
      </c>
      <c r="F82" s="309">
        <f>D82-E82</f>
        <v/>
      </c>
      <c r="G82" s="310">
        <f>F82/E82</f>
        <v/>
      </c>
      <c r="H82" s="19" t="n">
        <v>0.0295</v>
      </c>
      <c r="I82" s="111" t="n"/>
      <c r="J82" s="111" t="n"/>
      <c r="K82" s="362">
        <f>C82</f>
        <v/>
      </c>
      <c r="L82" s="311" t="n">
        <v>1114444.4</v>
      </c>
      <c r="M82" s="311">
        <f>L83</f>
        <v/>
      </c>
      <c r="N82" s="309">
        <f>L82-M82</f>
        <v/>
      </c>
      <c r="O82" s="310">
        <f>N82/M82</f>
        <v/>
      </c>
      <c r="P82" s="19" t="n">
        <v>0.0283</v>
      </c>
      <c r="Q82" s="111" t="n"/>
      <c r="R82" s="114" t="n"/>
      <c r="S82" s="362">
        <f>C82</f>
        <v/>
      </c>
      <c r="T82" s="311" t="n">
        <v>747606.6800000001</v>
      </c>
      <c r="U82" s="311">
        <f>T83</f>
        <v/>
      </c>
      <c r="V82" s="309">
        <f>T82-U82</f>
        <v/>
      </c>
      <c r="W82" s="310">
        <f>V82/U82</f>
        <v/>
      </c>
      <c r="X82" s="19" t="n">
        <v>0.0239</v>
      </c>
      <c r="Y82" s="111" t="n"/>
      <c r="Z82" s="114" t="n"/>
      <c r="AA82" s="362">
        <f>S82</f>
        <v/>
      </c>
      <c r="AB82" s="311" t="n">
        <v>614056.86</v>
      </c>
      <c r="AC82" s="311">
        <f>AB83</f>
        <v/>
      </c>
      <c r="AD82" s="309">
        <f>AB82-AC82</f>
        <v/>
      </c>
      <c r="AE82" s="310">
        <f>AD82/AC82</f>
        <v/>
      </c>
      <c r="AF82" s="19" t="n">
        <v>0.0493</v>
      </c>
      <c r="AG82" s="111" t="n"/>
      <c r="AH82" s="114" t="n"/>
      <c r="AI82" s="362">
        <f>C82</f>
        <v/>
      </c>
      <c r="AJ82" s="311" t="n">
        <v>1069321.76</v>
      </c>
      <c r="AK82" s="114">
        <f>AJ83</f>
        <v/>
      </c>
      <c r="AL82" s="309">
        <f>AJ82-AK82</f>
        <v/>
      </c>
      <c r="AM82" s="310">
        <f>AL82/AK82</f>
        <v/>
      </c>
      <c r="AN82" s="19" t="n">
        <v>0.0408</v>
      </c>
      <c r="AO82" s="19" t="n"/>
      <c r="AP82" s="114" t="n"/>
      <c r="AQ82" s="362">
        <f>C82</f>
        <v/>
      </c>
      <c r="AR82" s="634" t="n">
        <v>1704345.4936</v>
      </c>
      <c r="AS82" s="114">
        <f>AR83</f>
        <v/>
      </c>
      <c r="AT82" s="309">
        <f>AR82-AS82</f>
        <v/>
      </c>
      <c r="AU82" s="310">
        <f>AT82/AS82</f>
        <v/>
      </c>
      <c r="AV82" s="19" t="n">
        <v>0.0667</v>
      </c>
      <c r="AW82" s="19" t="n"/>
      <c r="AX82" s="5" t="n"/>
      <c r="AY82" s="188" t="n"/>
      <c r="AZ82" s="188">
        <f>C82</f>
        <v/>
      </c>
      <c r="BA82" s="188" t="n">
        <v>619491.6676</v>
      </c>
      <c r="BB82" s="188">
        <f>BA83</f>
        <v/>
      </c>
      <c r="BC82" s="188">
        <f>BA82-BB82</f>
        <v/>
      </c>
      <c r="BD82" s="271">
        <f>BC82/BB82</f>
        <v/>
      </c>
      <c r="BE82" s="19" t="n">
        <v>0.0257</v>
      </c>
      <c r="BF82" s="19" t="n"/>
      <c r="BG82" s="647" t="n"/>
      <c r="BH82" s="363">
        <f>C82</f>
        <v/>
      </c>
      <c r="BI82" s="117" t="n">
        <v>1093326.5525</v>
      </c>
      <c r="BJ82" s="117">
        <f>BI83</f>
        <v/>
      </c>
      <c r="BK82" s="321">
        <f>BI82-BJ82</f>
        <v/>
      </c>
      <c r="BL82" s="322">
        <f>BK82/BJ82</f>
        <v/>
      </c>
      <c r="BM82" s="191" t="n">
        <v>0.0379</v>
      </c>
      <c r="BN82" s="182" t="n"/>
      <c r="BO82" s="364" t="n"/>
      <c r="BP82" s="365">
        <f>C82</f>
        <v/>
      </c>
      <c r="BQ82" s="671" t="n">
        <v>1190562.3921</v>
      </c>
      <c r="BR82" s="223">
        <f>BQ83</f>
        <v/>
      </c>
      <c r="BS82" s="323">
        <f>BQ82-BR82</f>
        <v/>
      </c>
      <c r="BT82" s="324">
        <f>BS82/BR82</f>
        <v/>
      </c>
      <c r="BU82" s="182" t="n">
        <v>0.0236</v>
      </c>
      <c r="BV82" s="182" t="n"/>
      <c r="BW82" s="364" t="n"/>
      <c r="BX82" s="365">
        <f>C82</f>
        <v/>
      </c>
      <c r="BY82" s="9" t="n">
        <v>1788660.7019</v>
      </c>
      <c r="BZ82" s="9">
        <f>BY83</f>
        <v/>
      </c>
      <c r="CA82" s="325">
        <f>BY82-BZ82</f>
        <v/>
      </c>
      <c r="CB82" s="326">
        <f>CA82/BZ82</f>
        <v/>
      </c>
      <c r="CC82" s="182" t="n">
        <v>0.0256</v>
      </c>
      <c r="CD82" s="182" t="n"/>
      <c r="CE82" s="364" t="n"/>
      <c r="CF82" s="365">
        <f>C82</f>
        <v/>
      </c>
      <c r="CG82" s="365" t="n">
        <v>1204003.9</v>
      </c>
      <c r="CH82" s="13">
        <f>CG83</f>
        <v/>
      </c>
      <c r="CI82" s="13">
        <f>CG82-CH82</f>
        <v/>
      </c>
      <c r="CJ82" s="193">
        <f>CI82/CH82</f>
        <v/>
      </c>
      <c r="CK82" s="182" t="n">
        <v>0.0523</v>
      </c>
      <c r="CL82" s="366" t="n"/>
      <c r="CM82" s="364" t="n"/>
      <c r="CN82" s="365">
        <f>C82</f>
        <v/>
      </c>
      <c r="CO82" s="185" t="n">
        <v>522646.48</v>
      </c>
      <c r="CP82" s="9">
        <f>CO83</f>
        <v/>
      </c>
      <c r="CQ82" s="13">
        <f>CO82-CP82</f>
        <v/>
      </c>
      <c r="CR82" s="193">
        <f>CQ82/CP82</f>
        <v/>
      </c>
      <c r="CS82" s="366" t="n">
        <v>0.046</v>
      </c>
      <c r="CT82" s="366" t="n"/>
      <c r="CU82" s="364" t="n"/>
      <c r="CV82" s="365">
        <f>C82</f>
        <v/>
      </c>
      <c r="CW82" s="185" t="n">
        <v>594740.4</v>
      </c>
      <c r="CX82" s="185">
        <f>CW83</f>
        <v/>
      </c>
      <c r="CY82" s="325">
        <f>CW82-CX82</f>
        <v/>
      </c>
      <c r="CZ82" s="326">
        <f>CY82/CX82</f>
        <v/>
      </c>
      <c r="DA82" s="182" t="n">
        <v>0.06370000000000001</v>
      </c>
      <c r="DB82" s="182" t="n"/>
      <c r="DC82" s="256" t="n"/>
      <c r="DD82" s="365">
        <f>C82</f>
        <v/>
      </c>
      <c r="DE82" s="9" t="n">
        <v>5557135.9972</v>
      </c>
      <c r="DF82" s="13">
        <f>DE83</f>
        <v/>
      </c>
      <c r="DG82" s="325">
        <f>DE82-DF82</f>
        <v/>
      </c>
      <c r="DH82" s="326">
        <f>DG82/DF82</f>
        <v/>
      </c>
      <c r="DI82" s="182" t="n">
        <v>0.0998</v>
      </c>
      <c r="DJ82" s="182" t="n"/>
      <c r="DK82" s="364" t="n"/>
      <c r="DL82" s="365">
        <f>C82</f>
        <v/>
      </c>
      <c r="DM82" s="185" t="n">
        <v>1817800.72</v>
      </c>
      <c r="DN82" s="185">
        <f>DM83</f>
        <v/>
      </c>
      <c r="DO82" s="325">
        <f>DM82-DN82</f>
        <v/>
      </c>
      <c r="DP82" s="326">
        <f>DO82/DN82</f>
        <v/>
      </c>
      <c r="DQ82" s="182" t="n">
        <v>0.1</v>
      </c>
      <c r="DR82" s="182" t="n"/>
      <c r="DS82" s="364" t="n"/>
      <c r="DT82" s="365">
        <f>C82</f>
        <v/>
      </c>
      <c r="DU82" s="185" t="n">
        <v>4407568.43</v>
      </c>
      <c r="DV82" s="185">
        <f>DU83</f>
        <v/>
      </c>
      <c r="DW82" s="325">
        <f>DU82-DV82</f>
        <v/>
      </c>
      <c r="DX82" s="326">
        <f>DW82/DV82</f>
        <v/>
      </c>
      <c r="DY82" s="182" t="n">
        <v>0.1432</v>
      </c>
      <c r="DZ82" s="182" t="n"/>
      <c r="EA82" s="364" t="n"/>
      <c r="EB82" s="365">
        <f>C82</f>
        <v/>
      </c>
      <c r="EC82" s="185" t="n">
        <v>4551266.82</v>
      </c>
      <c r="ED82" s="185">
        <f>EC83</f>
        <v/>
      </c>
      <c r="EE82" s="325">
        <f>EC82-ED82</f>
        <v/>
      </c>
      <c r="EF82" s="326">
        <f>EE82/ED82</f>
        <v/>
      </c>
      <c r="EG82" s="182" t="n">
        <v>0.1107</v>
      </c>
      <c r="EH82" s="182" t="n"/>
      <c r="EI82" s="364" t="n"/>
      <c r="EJ82" s="365">
        <f>C82</f>
        <v/>
      </c>
      <c r="EK82" s="9" t="n">
        <v>1141522.9669</v>
      </c>
      <c r="EL82" s="9">
        <f>EK83</f>
        <v/>
      </c>
      <c r="EM82" s="325">
        <f>EK82-EL82</f>
        <v/>
      </c>
      <c r="EN82" s="326">
        <f>EM82/EL82</f>
        <v/>
      </c>
      <c r="EO82" s="182" t="n">
        <v>0.07679999999999999</v>
      </c>
      <c r="EP82" s="182" t="n"/>
      <c r="EQ82" s="317" t="n"/>
      <c r="ER82" s="318">
        <f>C82</f>
        <v/>
      </c>
      <c r="ES82" s="318" t="n">
        <v>743094.04</v>
      </c>
      <c r="ET82" s="318">
        <f>ES83</f>
        <v/>
      </c>
      <c r="EU82" s="318">
        <f>ES82-ET82</f>
        <v/>
      </c>
      <c r="EV82" s="327">
        <f>EU82/ET82</f>
        <v/>
      </c>
      <c r="EW82" s="182" t="n">
        <v>0.07539999999999999</v>
      </c>
      <c r="EX82" s="182" t="n"/>
      <c r="EY82" s="364" t="n"/>
      <c r="EZ82" s="365">
        <f>C82</f>
        <v/>
      </c>
      <c r="FA82" s="185" t="n">
        <v>586508</v>
      </c>
      <c r="FB82" s="185">
        <f>FA83</f>
        <v/>
      </c>
      <c r="FC82" s="323">
        <f>FA82-FB82</f>
        <v/>
      </c>
      <c r="FD82" s="324">
        <f>FC82/FB82</f>
        <v/>
      </c>
      <c r="FE82" s="182" t="n">
        <v>0.0332</v>
      </c>
      <c r="FF82" s="182" t="n"/>
      <c r="FH82" s="365">
        <f>C82</f>
        <v/>
      </c>
      <c r="FI82" s="694" t="n">
        <v>1127095.3365</v>
      </c>
      <c r="FJ82" s="365">
        <f>FI83</f>
        <v/>
      </c>
      <c r="FK82" s="325">
        <f>FI82-FJ82</f>
        <v/>
      </c>
      <c r="FL82" s="326">
        <f>FK82/FJ82</f>
        <v/>
      </c>
      <c r="FM82" s="366" t="n">
        <v>0.0596</v>
      </c>
      <c r="FN82" s="366" t="n"/>
      <c r="FO82" s="364" t="n"/>
      <c r="FP82" s="365">
        <f>C82</f>
        <v/>
      </c>
      <c r="FQ82" s="185" t="n">
        <v>1790518.73</v>
      </c>
      <c r="FR82" s="185">
        <f>FQ83</f>
        <v/>
      </c>
      <c r="FS82" s="323">
        <f>FQ82-FR82</f>
        <v/>
      </c>
      <c r="FT82" s="324">
        <f>FS82/FR82</f>
        <v/>
      </c>
      <c r="FU82" s="182" t="n">
        <v>0.0471</v>
      </c>
      <c r="FV82" s="182" t="n"/>
      <c r="FW82" s="364" t="n"/>
      <c r="FX82" s="365">
        <f>C82</f>
        <v/>
      </c>
      <c r="FY82" s="185" t="n">
        <v>8021982.05</v>
      </c>
      <c r="FZ82" s="185">
        <f>FY83</f>
        <v/>
      </c>
      <c r="GA82" s="325">
        <f>FY82-FZ82</f>
        <v/>
      </c>
      <c r="GB82" s="326">
        <f>GA82/FZ82</f>
        <v/>
      </c>
      <c r="GC82" s="182" t="n">
        <v>0.0061</v>
      </c>
      <c r="GD82" s="182" t="n"/>
      <c r="GE82" s="364" t="n"/>
      <c r="GF82" s="365">
        <f>C82</f>
        <v/>
      </c>
      <c r="GG82" s="185" t="n">
        <v>4666269.49</v>
      </c>
      <c r="GH82" s="185">
        <f>GG83</f>
        <v/>
      </c>
      <c r="GI82" s="325">
        <f>GG82-GH82</f>
        <v/>
      </c>
      <c r="GJ82" s="326">
        <f>GI82/GH82</f>
        <v/>
      </c>
      <c r="GK82" s="182" t="n">
        <v>0</v>
      </c>
      <c r="GL82" s="182" t="n"/>
      <c r="GM82" s="364" t="n"/>
      <c r="GN82" s="365">
        <f>C82</f>
        <v/>
      </c>
      <c r="GO82" s="9" t="n">
        <v>2056438.1217</v>
      </c>
      <c r="GP82" s="9">
        <f>GO83</f>
        <v/>
      </c>
      <c r="GQ82" s="325">
        <f>GO82-GP82</f>
        <v/>
      </c>
      <c r="GR82" s="326">
        <f>GQ82/GP82</f>
        <v/>
      </c>
      <c r="GS82" s="182" t="n">
        <v>0.0103</v>
      </c>
      <c r="GT82" s="182" t="n"/>
      <c r="GU82" s="364" t="n"/>
      <c r="GV82" s="365">
        <f>C82</f>
        <v/>
      </c>
      <c r="GW82" s="185" t="n">
        <v>628549.4</v>
      </c>
      <c r="GX82" s="185">
        <f>GW83</f>
        <v/>
      </c>
      <c r="GY82" s="325">
        <f>GW82-GX82</f>
        <v/>
      </c>
      <c r="GZ82" s="326">
        <f>GY82/GX82</f>
        <v/>
      </c>
      <c r="HA82" s="182" t="n">
        <v>0.0382</v>
      </c>
      <c r="HB82" s="182" t="n"/>
      <c r="HC82" s="364" t="n"/>
      <c r="HD82" s="365">
        <f>C82</f>
        <v/>
      </c>
      <c r="HE82" s="222" t="n">
        <v>905264.6746</v>
      </c>
      <c r="HF82" s="9">
        <f>HE83</f>
        <v/>
      </c>
      <c r="HG82" s="323">
        <f>HE82-HF82</f>
        <v/>
      </c>
      <c r="HH82" s="324">
        <f>HG82/HF82</f>
        <v/>
      </c>
      <c r="HI82" s="182" t="n">
        <v>0.0482</v>
      </c>
      <c r="HJ82" s="182" t="n"/>
      <c r="HK82" s="364" t="n"/>
      <c r="HL82" s="365">
        <f>C82</f>
        <v/>
      </c>
      <c r="HM82" s="185" t="n">
        <v>114554.25</v>
      </c>
      <c r="HN82" s="185">
        <f>HM83</f>
        <v/>
      </c>
      <c r="HO82" s="323">
        <f>HM82-HN82</f>
        <v/>
      </c>
      <c r="HP82" s="324">
        <f>HO82/HN82</f>
        <v/>
      </c>
      <c r="HQ82" s="182" t="n">
        <v>0.0217</v>
      </c>
      <c r="HR82" s="182" t="n"/>
      <c r="HS82" s="364" t="n"/>
      <c r="HT82" s="365">
        <f>C82</f>
        <v/>
      </c>
      <c r="HU82" s="9" t="n">
        <v>128568.8265</v>
      </c>
      <c r="HV82" s="9">
        <f>HU83</f>
        <v/>
      </c>
      <c r="HW82" s="325">
        <f>HU82-HV82</f>
        <v/>
      </c>
      <c r="HX82" s="326">
        <f>HW82/HV82</f>
        <v/>
      </c>
      <c r="HY82" s="182" t="n">
        <v>0.0058</v>
      </c>
      <c r="HZ82" s="182" t="n"/>
      <c r="IA82" s="364" t="n"/>
      <c r="IB82" s="365">
        <f>C82</f>
        <v/>
      </c>
      <c r="IC82" s="185" t="n">
        <v>280009.79</v>
      </c>
      <c r="ID82" s="185">
        <f>IC83</f>
        <v/>
      </c>
      <c r="IE82" s="325">
        <f>IC82-ID82</f>
        <v/>
      </c>
      <c r="IF82" s="326">
        <f>IE82/ID82</f>
        <v/>
      </c>
      <c r="IG82" s="366" t="n">
        <v>-0.0017</v>
      </c>
      <c r="IH82" s="182" t="n"/>
      <c r="II82" s="364" t="n"/>
      <c r="IJ82" s="365">
        <f>C82</f>
        <v/>
      </c>
      <c r="IK82" s="9" t="n">
        <v>981116.29</v>
      </c>
      <c r="IL82" s="9">
        <f>IK83</f>
        <v/>
      </c>
      <c r="IM82" s="323">
        <f>IK82-IL82</f>
        <v/>
      </c>
      <c r="IN82" s="324">
        <f>IM82/IL82</f>
        <v/>
      </c>
      <c r="IO82" s="182" t="n">
        <v>-0.0074</v>
      </c>
      <c r="IP82" s="182" t="n"/>
      <c r="IQ82" s="364" t="n"/>
      <c r="IR82" s="365">
        <f>C82</f>
        <v/>
      </c>
      <c r="IS82" s="185" t="n">
        <v>161089</v>
      </c>
      <c r="IT82" s="185">
        <f>IS83</f>
        <v/>
      </c>
      <c r="IU82" s="325">
        <f>IS82-IT82</f>
        <v/>
      </c>
      <c r="IV82" s="326">
        <f>IU82/IT82</f>
        <v/>
      </c>
      <c r="IW82" s="182" t="n">
        <v>0.0457</v>
      </c>
      <c r="IX82" s="182" t="n"/>
      <c r="IY82" s="364" t="n"/>
      <c r="IZ82" s="365">
        <f>C82</f>
        <v/>
      </c>
      <c r="JA82" s="185" t="n">
        <v>5661829.15</v>
      </c>
      <c r="JB82" s="185">
        <f>JA83</f>
        <v/>
      </c>
      <c r="JC82" s="323">
        <f>JA82-JB82</f>
        <v/>
      </c>
      <c r="JD82" s="324">
        <f>JC82/JB82</f>
        <v/>
      </c>
      <c r="JE82" s="182" t="n">
        <v>0.0045</v>
      </c>
      <c r="JF82" s="182" t="n"/>
      <c r="JG82" s="364" t="n"/>
      <c r="JH82" s="365">
        <f>C82</f>
        <v/>
      </c>
      <c r="JI82" s="185" t="n">
        <v>1549287.99</v>
      </c>
      <c r="JJ82" s="185">
        <f>JI83</f>
        <v/>
      </c>
      <c r="JK82" s="325">
        <f>JI82-JJ82</f>
        <v/>
      </c>
      <c r="JL82" s="326">
        <f>JK82/JJ82</f>
        <v/>
      </c>
      <c r="JM82" s="182" t="n">
        <v>-0.0223</v>
      </c>
      <c r="JN82" s="182" t="n"/>
      <c r="JP82" s="365">
        <f>C82</f>
        <v/>
      </c>
      <c r="JQ82" s="222" t="n">
        <v>1063090.4148</v>
      </c>
      <c r="JR82" s="9">
        <f>JQ83</f>
        <v/>
      </c>
      <c r="JS82" s="325">
        <f>JQ82-JR82</f>
        <v/>
      </c>
      <c r="JT82" s="326">
        <f>JS82/JR82</f>
        <v/>
      </c>
      <c r="JU82" s="182" t="n">
        <v>0.0288</v>
      </c>
      <c r="JV82" s="366" t="n"/>
      <c r="JX82" s="365">
        <f>C82</f>
        <v/>
      </c>
      <c r="JY82" s="185" t="n">
        <v>1027648.8</v>
      </c>
      <c r="JZ82" s="185">
        <f>JY83</f>
        <v/>
      </c>
      <c r="KA82" s="323">
        <f>JY82-JZ82</f>
        <v/>
      </c>
      <c r="KB82" s="324">
        <f>KA82/JZ82</f>
        <v/>
      </c>
      <c r="KC82" s="182" t="n">
        <v>0.017</v>
      </c>
      <c r="KD82" s="182" t="n"/>
      <c r="KF82" s="365">
        <f>C82</f>
        <v/>
      </c>
      <c r="KG82" s="222" t="n">
        <v>646755.9219</v>
      </c>
      <c r="KH82" s="9">
        <f>KG83</f>
        <v/>
      </c>
      <c r="KI82" s="323">
        <f>KG82-KH82</f>
        <v/>
      </c>
      <c r="KJ82" s="324">
        <f>KI82/KH82</f>
        <v/>
      </c>
      <c r="KK82" s="182" t="n">
        <v>0.0013</v>
      </c>
      <c r="KL82" s="182" t="n"/>
      <c r="KM82" s="364" t="n"/>
      <c r="KN82" s="365">
        <f>C82</f>
        <v/>
      </c>
      <c r="KO82" s="185" t="n">
        <v>6982775.95</v>
      </c>
      <c r="KP82" s="185">
        <f>KO83</f>
        <v/>
      </c>
      <c r="KQ82" s="323">
        <f>KO82-KP82</f>
        <v/>
      </c>
      <c r="KR82" s="324">
        <f>KQ82/KP82</f>
        <v/>
      </c>
      <c r="KS82" s="182" t="n">
        <v>0.0133</v>
      </c>
      <c r="KT82" s="182" t="n"/>
      <c r="KU82" s="364" t="n"/>
      <c r="KV82" s="365">
        <f>C82</f>
        <v/>
      </c>
      <c r="KW82" s="222" t="n">
        <v>1103172.9726</v>
      </c>
      <c r="KX82" s="368">
        <f>KW83</f>
        <v/>
      </c>
      <c r="KY82" s="9">
        <f>KW82-KX82</f>
        <v/>
      </c>
      <c r="KZ82" s="182">
        <f>KY82/KX82</f>
        <v/>
      </c>
      <c r="LA82" s="182" t="n">
        <v>0</v>
      </c>
      <c r="LB82" s="182" t="n"/>
      <c r="LC82" s="364" t="n"/>
      <c r="LD82" s="365">
        <f>C82</f>
        <v/>
      </c>
      <c r="LE82" s="185" t="n">
        <v>366607.7</v>
      </c>
      <c r="LF82" s="185">
        <f>LE83</f>
        <v/>
      </c>
      <c r="LG82" s="325">
        <f>LE82-LF82</f>
        <v/>
      </c>
      <c r="LH82" s="326">
        <f>LG82/LF82</f>
        <v/>
      </c>
      <c r="LI82" s="182" t="n">
        <v>0.0498</v>
      </c>
      <c r="LJ82" s="182" t="n"/>
      <c r="LK82" s="364" t="n"/>
      <c r="LL82" s="365">
        <f>C82</f>
        <v/>
      </c>
      <c r="LM82" s="672" t="n">
        <v>3375835.02</v>
      </c>
      <c r="LN82" s="185">
        <f>LM83</f>
        <v/>
      </c>
      <c r="LO82" s="323">
        <f>LM82-LN82</f>
        <v/>
      </c>
      <c r="LP82" s="324">
        <f>LO82/LN82</f>
        <v/>
      </c>
      <c r="LQ82" s="182" t="n">
        <v>-0.0162</v>
      </c>
      <c r="LR82" s="182" t="n"/>
      <c r="LS82" s="364" t="n"/>
      <c r="LT82" s="365">
        <f>C82</f>
        <v/>
      </c>
      <c r="LU82" s="9" t="n">
        <v>2325062.904</v>
      </c>
      <c r="LV82" s="9">
        <f>LU83</f>
        <v/>
      </c>
      <c r="LW82" s="323">
        <f>LU82-LV82</f>
        <v/>
      </c>
      <c r="LX82" s="324">
        <f>LW82/LV82</f>
        <v/>
      </c>
      <c r="LY82" s="182" t="n">
        <v>-0.0104</v>
      </c>
      <c r="LZ82" s="182" t="n"/>
      <c r="MA82" s="364" t="n"/>
      <c r="MB82" s="365">
        <f>C82</f>
        <v/>
      </c>
      <c r="MC82" s="185" t="n">
        <v>1276417.69</v>
      </c>
      <c r="MD82" s="185">
        <f>MC83</f>
        <v/>
      </c>
      <c r="ME82" s="325">
        <f>MC82-MD82</f>
        <v/>
      </c>
      <c r="MF82" s="326">
        <f>ME82/MD82</f>
        <v/>
      </c>
      <c r="MG82" s="182" t="n">
        <v>-0.0181</v>
      </c>
      <c r="MH82" s="182" t="n"/>
      <c r="MI82" s="319" t="n"/>
      <c r="MJ82" s="318" t="n"/>
      <c r="MK82" s="318">
        <f>C82</f>
        <v/>
      </c>
      <c r="ML82" s="318" t="n">
        <v>158505.5354</v>
      </c>
      <c r="MM82" s="13">
        <f>ML83</f>
        <v/>
      </c>
      <c r="MN82" s="318">
        <f>ML82-MM82</f>
        <v/>
      </c>
      <c r="MO82" s="327">
        <f>MN82/MM82</f>
        <v/>
      </c>
      <c r="MP82" s="182" t="n">
        <v>0.0502</v>
      </c>
      <c r="MQ82" s="369" t="n"/>
      <c r="MR82" s="369" t="n"/>
      <c r="MS82" s="188" t="n"/>
      <c r="MT82" s="274">
        <f>C82</f>
        <v/>
      </c>
      <c r="MU82" s="188" t="n">
        <v>133414.8</v>
      </c>
      <c r="MV82" s="188">
        <f>MU83</f>
        <v/>
      </c>
      <c r="MW82" s="188">
        <f>MU82-MV82</f>
        <v/>
      </c>
      <c r="MX82" s="271">
        <f>MW82/MV82</f>
        <v/>
      </c>
      <c r="MY82" s="182" t="n">
        <v>0</v>
      </c>
      <c r="MZ82" s="182" t="n"/>
      <c r="NA82" s="182" t="n"/>
      <c r="NB82" s="188" t="n"/>
      <c r="NC82" s="188">
        <f>C82</f>
        <v/>
      </c>
      <c r="ND82" s="188" t="n">
        <v>33891.48</v>
      </c>
      <c r="NE82" s="188">
        <f>ND83</f>
        <v/>
      </c>
      <c r="NF82" s="188">
        <f>ND82-NE82</f>
        <v/>
      </c>
      <c r="NG82" s="271">
        <f>NF82/NE82</f>
        <v/>
      </c>
      <c r="NH82" s="182" t="n">
        <v>0.0232</v>
      </c>
      <c r="NI82" s="182" t="n"/>
      <c r="NJ82" s="182" t="n"/>
      <c r="NK82" s="182" t="n"/>
      <c r="NL82" s="188" t="n"/>
      <c r="NM82" s="188">
        <f>C82</f>
        <v/>
      </c>
      <c r="NN82" s="188" t="n">
        <v>2992411.08</v>
      </c>
      <c r="NO82" s="9">
        <f>NN83</f>
        <v/>
      </c>
      <c r="NP82" s="188">
        <f>NN82-NO82</f>
        <v/>
      </c>
      <c r="NQ82" s="271">
        <f>NP82/NO82</f>
        <v/>
      </c>
      <c r="NR82" s="272" t="n">
        <v>-0.0102</v>
      </c>
      <c r="NS82" s="188" t="n"/>
      <c r="NT82" s="273" t="n"/>
      <c r="NU82" s="188">
        <f>C82</f>
        <v/>
      </c>
      <c r="NV82" s="188" t="n">
        <v>264726.5</v>
      </c>
      <c r="NW82" s="188">
        <f>NV83</f>
        <v/>
      </c>
      <c r="NX82" s="188">
        <f>NV82-NW82</f>
        <v/>
      </c>
      <c r="NY82" s="271">
        <f>NX82/NW82</f>
        <v/>
      </c>
      <c r="NZ82" s="366" t="n">
        <v>-0.003</v>
      </c>
      <c r="OA82" s="364" t="n"/>
      <c r="OB82" s="364" t="n"/>
      <c r="OC82" s="365">
        <f>C82</f>
        <v/>
      </c>
      <c r="OD82" s="185" t="n">
        <v>17920.97</v>
      </c>
      <c r="OE82" s="9">
        <f>OD83</f>
        <v/>
      </c>
      <c r="OF82" s="323">
        <f>OD82-OE82</f>
        <v/>
      </c>
      <c r="OG82" s="324">
        <f>OF82/OE82</f>
        <v/>
      </c>
      <c r="OH82" s="182" t="n">
        <v>0.0005</v>
      </c>
      <c r="OI82" s="182" t="n"/>
      <c r="OJ82" s="364" t="n"/>
      <c r="OK82" s="365">
        <f>C82</f>
        <v/>
      </c>
      <c r="OL82" s="185" t="n">
        <v>14506.65</v>
      </c>
      <c r="OM82" s="9">
        <f>OL83</f>
        <v/>
      </c>
      <c r="ON82" s="9">
        <f>OL82-OM82</f>
        <v/>
      </c>
      <c r="OO82" s="182">
        <f>ON82/OM82</f>
        <v/>
      </c>
      <c r="OP82" s="182" t="n">
        <v>0.0001</v>
      </c>
      <c r="OQ82" s="182" t="n"/>
      <c r="OT82" s="201">
        <f>OK82</f>
        <v/>
      </c>
      <c r="OU82" s="199" t="n">
        <v>152712.4066</v>
      </c>
      <c r="OV82" s="9">
        <f>OU83</f>
        <v/>
      </c>
      <c r="OW82" s="671">
        <f>OU82-OV82</f>
        <v/>
      </c>
      <c r="OX82" s="182">
        <f>OW82/OV82</f>
        <v/>
      </c>
      <c r="OY82" s="0" t="n">
        <v>0.0078</v>
      </c>
    </row>
    <row r="83" ht="17" customFormat="1" customHeight="1" s="9">
      <c r="A83" s="631" t="n"/>
      <c r="B83" s="631" t="n"/>
      <c r="C83" s="693" t="inlineStr">
        <is>
          <t>2026//7/20</t>
        </is>
      </c>
      <c r="D83" s="311" t="n">
        <v>2442198.77</v>
      </c>
      <c r="E83" s="362">
        <f>D84</f>
        <v/>
      </c>
      <c r="F83" s="309">
        <f>D83-E83</f>
        <v/>
      </c>
      <c r="G83" s="310">
        <f>F83/E83</f>
        <v/>
      </c>
      <c r="H83" s="19" t="n">
        <v>0.0133</v>
      </c>
      <c r="I83" s="111" t="n"/>
      <c r="J83" s="111" t="n"/>
      <c r="K83" s="362">
        <f>C83</f>
        <v/>
      </c>
      <c r="L83" s="311" t="n">
        <v>1101934.4</v>
      </c>
      <c r="M83" s="362">
        <f>L84</f>
        <v/>
      </c>
      <c r="N83" s="309">
        <f>L83-M83</f>
        <v/>
      </c>
      <c r="O83" s="310">
        <f>N83/M83</f>
        <v/>
      </c>
      <c r="P83" s="19" t="n">
        <v>0.0146</v>
      </c>
      <c r="Q83" s="111" t="n"/>
      <c r="R83" s="114" t="n"/>
      <c r="S83" s="362">
        <f>C83</f>
        <v/>
      </c>
      <c r="T83" s="311" t="n">
        <v>832206.6800000001</v>
      </c>
      <c r="U83" s="362">
        <f>T84</f>
        <v/>
      </c>
      <c r="V83" s="309">
        <f>T83-U83</f>
        <v/>
      </c>
      <c r="W83" s="310">
        <f>V83/U83</f>
        <v/>
      </c>
      <c r="X83" s="19" t="n">
        <v>0.0259</v>
      </c>
      <c r="Y83" s="111" t="n"/>
      <c r="Z83" s="114" t="n"/>
      <c r="AA83" s="362">
        <f>S83</f>
        <v/>
      </c>
      <c r="AB83" s="311" t="n">
        <v>617256.86</v>
      </c>
      <c r="AC83" s="362">
        <f>AB84</f>
        <v/>
      </c>
      <c r="AD83" s="309">
        <f>AB83-AC83</f>
        <v/>
      </c>
      <c r="AE83" s="310">
        <f>AD83/AC83</f>
        <v/>
      </c>
      <c r="AF83" s="19" t="n">
        <v>-0.0105</v>
      </c>
      <c r="AG83" s="111" t="n"/>
      <c r="AH83" s="114" t="n"/>
      <c r="AI83" s="362">
        <f>C83</f>
        <v/>
      </c>
      <c r="AJ83" s="311" t="n">
        <v>1044721.76</v>
      </c>
      <c r="AK83" s="362">
        <f>AJ84</f>
        <v/>
      </c>
      <c r="AL83" s="309">
        <f>AJ83-AK83</f>
        <v/>
      </c>
      <c r="AM83" s="310">
        <f>AL83/AK83</f>
        <v/>
      </c>
      <c r="AN83" s="19" t="n">
        <v>-0.0309</v>
      </c>
      <c r="AO83" s="19" t="n"/>
      <c r="AP83" s="114" t="n"/>
      <c r="AQ83" s="362">
        <f>C83</f>
        <v/>
      </c>
      <c r="AR83" s="695" t="n">
        <v>1763945.4936</v>
      </c>
      <c r="AS83" s="371">
        <f>AR84</f>
        <v/>
      </c>
      <c r="AT83" s="309">
        <f>AR83-AS83</f>
        <v/>
      </c>
      <c r="AU83" s="310">
        <f>AT83/AS83</f>
        <v/>
      </c>
      <c r="AV83" s="19" t="n">
        <v>0.004</v>
      </c>
      <c r="AW83" s="19" t="n"/>
      <c r="AX83" s="5" t="n"/>
      <c r="AY83" s="188" t="n"/>
      <c r="AZ83" s="188">
        <f>C83</f>
        <v/>
      </c>
      <c r="BA83" s="188" t="n">
        <v>637401.6676</v>
      </c>
      <c r="BB83" s="188">
        <f>BA84</f>
        <v/>
      </c>
      <c r="BC83" s="188">
        <f>BA83-BB83</f>
        <v/>
      </c>
      <c r="BD83" s="271">
        <f>BC83/BB83</f>
        <v/>
      </c>
      <c r="BE83" s="19" t="n">
        <v>0.0156</v>
      </c>
      <c r="BF83" s="19" t="n"/>
      <c r="BG83" s="647" t="n"/>
      <c r="BH83" s="363">
        <f>C83</f>
        <v/>
      </c>
      <c r="BI83" s="372" t="n">
        <v>1088426.5525</v>
      </c>
      <c r="BJ83" s="372">
        <f>BI84</f>
        <v/>
      </c>
      <c r="BK83" s="331">
        <f>BI83-BJ83</f>
        <v/>
      </c>
      <c r="BL83" s="373">
        <f>BK83/BJ83</f>
        <v/>
      </c>
      <c r="BM83" s="191" t="n">
        <v>-0.0026</v>
      </c>
      <c r="BN83" s="182" t="n"/>
      <c r="BO83" s="364" t="n"/>
      <c r="BP83" s="365">
        <f>C83</f>
        <v/>
      </c>
      <c r="BQ83" s="671" t="n">
        <v>1186762.3921</v>
      </c>
      <c r="BR83" s="9">
        <f>BQ84</f>
        <v/>
      </c>
      <c r="BS83" s="325">
        <f>BQ83-BR83</f>
        <v/>
      </c>
      <c r="BT83" s="374">
        <f>BS83/BR83</f>
        <v/>
      </c>
      <c r="BU83" s="182" t="n">
        <v>0.0304</v>
      </c>
      <c r="BV83" s="182" t="n"/>
      <c r="BW83" s="364" t="n"/>
      <c r="BX83" s="365">
        <f>C83</f>
        <v/>
      </c>
      <c r="BY83" s="9" t="n">
        <v>1802710.7019</v>
      </c>
      <c r="BZ83" s="365">
        <f>BY84</f>
        <v/>
      </c>
      <c r="CA83" s="325">
        <f>BY83-BZ83</f>
        <v/>
      </c>
      <c r="CB83" s="326">
        <f>CA83/BZ83</f>
        <v/>
      </c>
      <c r="CC83" s="182" t="n">
        <v>-0.0107</v>
      </c>
      <c r="CD83" s="182" t="n"/>
      <c r="CE83" s="364" t="n"/>
      <c r="CF83" s="365">
        <f>C83</f>
        <v/>
      </c>
      <c r="CG83" s="365" t="n">
        <v>1225403.9</v>
      </c>
      <c r="CH83" s="13">
        <f>CG84</f>
        <v/>
      </c>
      <c r="CI83" s="13">
        <f>CG83-CH83</f>
        <v/>
      </c>
      <c r="CJ83" s="193">
        <f>CI83/CH83</f>
        <v/>
      </c>
      <c r="CK83" s="182" t="n">
        <v>-0.0067</v>
      </c>
      <c r="CL83" s="366" t="n"/>
      <c r="CM83" s="364" t="n"/>
      <c r="CN83" s="365">
        <f>C83</f>
        <v/>
      </c>
      <c r="CO83" s="9" t="n">
        <v>526246.48</v>
      </c>
      <c r="CP83" s="185">
        <f>CO84</f>
        <v/>
      </c>
      <c r="CQ83" s="13">
        <f>CO83-CP83</f>
        <v/>
      </c>
      <c r="CR83" s="193">
        <f>CQ83/CP83</f>
        <v/>
      </c>
      <c r="CS83" s="366" t="n">
        <v>-0.0025</v>
      </c>
      <c r="CT83" s="366" t="n"/>
      <c r="CU83" s="364" t="n"/>
      <c r="CV83" s="365">
        <f>C83</f>
        <v/>
      </c>
      <c r="CW83" s="185" t="n">
        <v>583590.4</v>
      </c>
      <c r="CX83" s="365">
        <f>CW84</f>
        <v/>
      </c>
      <c r="CY83" s="325">
        <f>CW83-CX83</f>
        <v/>
      </c>
      <c r="CZ83" s="326">
        <f>CY83/CX83</f>
        <v/>
      </c>
      <c r="DA83" s="182" t="n">
        <v>0.0154</v>
      </c>
      <c r="DB83" s="182" t="n"/>
      <c r="DC83" s="256" t="n"/>
      <c r="DD83" s="365">
        <f>C83</f>
        <v/>
      </c>
      <c r="DE83" s="9" t="n">
        <v>5697535.9972</v>
      </c>
      <c r="DF83" s="13">
        <f>DE84</f>
        <v/>
      </c>
      <c r="DG83" s="325">
        <f>DE83-DF83</f>
        <v/>
      </c>
      <c r="DH83" s="326">
        <f>DG83/DF83</f>
        <v/>
      </c>
      <c r="DI83" s="182" t="n">
        <v>-0.0571</v>
      </c>
      <c r="DJ83" s="182" t="n"/>
      <c r="DK83" s="364" t="n"/>
      <c r="DL83" s="365">
        <f>C83</f>
        <v/>
      </c>
      <c r="DM83" s="185" t="n">
        <v>1917400.72</v>
      </c>
      <c r="DN83" s="185">
        <f>DM84</f>
        <v/>
      </c>
      <c r="DO83" s="325">
        <f>DM83-DN83</f>
        <v/>
      </c>
      <c r="DP83" s="326">
        <f>DO83/DN83</f>
        <v/>
      </c>
      <c r="DQ83" s="182" t="n">
        <v>-0.028</v>
      </c>
      <c r="DR83" s="182" t="n"/>
      <c r="DS83" s="364" t="n"/>
      <c r="DT83" s="365">
        <f>C83</f>
        <v/>
      </c>
      <c r="DU83" s="185" t="n">
        <v>4592968.43</v>
      </c>
      <c r="DV83" s="185">
        <f>DU84</f>
        <v/>
      </c>
      <c r="DW83" s="325">
        <f>DU83-DV83</f>
        <v/>
      </c>
      <c r="DX83" s="326">
        <f>DW83/DV83</f>
        <v/>
      </c>
      <c r="DY83" s="182" t="n">
        <v>-0.0205</v>
      </c>
      <c r="DZ83" s="182" t="n"/>
      <c r="EA83" s="364" t="n"/>
      <c r="EB83" s="365">
        <f>C83</f>
        <v/>
      </c>
      <c r="EC83" s="185" t="n">
        <v>4505366.82</v>
      </c>
      <c r="ED83" s="185">
        <f>EC84</f>
        <v/>
      </c>
      <c r="EE83" s="323">
        <f>EC83-ED83</f>
        <v/>
      </c>
      <c r="EF83" s="324">
        <f>EE83/ED83</f>
        <v/>
      </c>
      <c r="EG83" s="182" t="n">
        <v>0.0044</v>
      </c>
      <c r="EH83" s="182" t="n"/>
      <c r="EI83" s="364" t="n"/>
      <c r="EJ83" s="365">
        <f>C83</f>
        <v/>
      </c>
      <c r="EK83" s="9" t="n">
        <v>1154122.9669</v>
      </c>
      <c r="EL83" s="9">
        <f>EK84</f>
        <v/>
      </c>
      <c r="EM83" s="325">
        <f>EK83-EL83</f>
        <v/>
      </c>
      <c r="EN83" s="326">
        <f>EM83/EL83</f>
        <v/>
      </c>
      <c r="EO83" s="182" t="n">
        <v>0.0231</v>
      </c>
      <c r="EP83" s="182" t="n"/>
      <c r="EQ83" s="317" t="n"/>
      <c r="ER83" s="318">
        <f>C83</f>
        <v/>
      </c>
      <c r="ES83" s="318" t="n">
        <v>752094.04</v>
      </c>
      <c r="ET83" s="318">
        <f>ES84</f>
        <v/>
      </c>
      <c r="EU83" s="318">
        <f>ES83-ET83</f>
        <v/>
      </c>
      <c r="EV83" s="327">
        <f>EU83/ET83</f>
        <v/>
      </c>
      <c r="EW83" s="182" t="n">
        <v>0.0261</v>
      </c>
      <c r="EX83" s="182" t="n"/>
      <c r="EY83" s="364" t="n"/>
      <c r="EZ83" s="365">
        <f>C83</f>
        <v/>
      </c>
      <c r="FA83" s="185" t="n">
        <v>590808</v>
      </c>
      <c r="FB83" s="365">
        <f>FA84</f>
        <v/>
      </c>
      <c r="FC83" s="325">
        <f>FA83-FB83</f>
        <v/>
      </c>
      <c r="FD83" s="326">
        <f>FC83/FB83</f>
        <v/>
      </c>
      <c r="FE83" s="182" t="n">
        <v>-0.0066</v>
      </c>
      <c r="FF83" s="182" t="n"/>
      <c r="FH83" s="365">
        <f>C83</f>
        <v/>
      </c>
      <c r="FI83" s="694" t="n">
        <v>1152795.3365</v>
      </c>
      <c r="FJ83" s="365">
        <f>FI84</f>
        <v/>
      </c>
      <c r="FK83" s="325">
        <f>FI83-FJ83</f>
        <v/>
      </c>
      <c r="FL83" s="326">
        <f>FK83/FJ83</f>
        <v/>
      </c>
      <c r="FM83" s="366" t="n">
        <v>-0.0424</v>
      </c>
      <c r="FN83" s="366" t="n"/>
      <c r="FO83" s="364" t="n"/>
      <c r="FP83" s="365">
        <f>C83</f>
        <v/>
      </c>
      <c r="FQ83" s="185" t="n">
        <v>1800268.73</v>
      </c>
      <c r="FR83" s="365">
        <f>FQ84</f>
        <v/>
      </c>
      <c r="FS83" s="325">
        <f>FQ83-FR83</f>
        <v/>
      </c>
      <c r="FT83" s="326">
        <f>FS83/FR83</f>
        <v/>
      </c>
      <c r="FU83" s="182" t="n">
        <v>-0.0341</v>
      </c>
      <c r="FV83" s="182" t="n"/>
      <c r="FW83" s="364" t="n"/>
      <c r="FX83" s="365">
        <f>C83</f>
        <v/>
      </c>
      <c r="FY83" s="185" t="n">
        <v>8040282.05</v>
      </c>
      <c r="FZ83" s="365">
        <f>FY84</f>
        <v/>
      </c>
      <c r="GA83" s="325">
        <f>FY83-FZ83</f>
        <v/>
      </c>
      <c r="GB83" s="326">
        <f>GA83/FZ83</f>
        <v/>
      </c>
      <c r="GC83" s="182" t="n">
        <v>0.0252</v>
      </c>
      <c r="GD83" s="182" t="n"/>
      <c r="GE83" s="364" t="n"/>
      <c r="GF83" s="365">
        <f>C83</f>
        <v/>
      </c>
      <c r="GG83" s="185" t="n">
        <v>4656669.49</v>
      </c>
      <c r="GH83" s="365">
        <f>GG84</f>
        <v/>
      </c>
      <c r="GI83" s="325">
        <f>GG83-GH83</f>
        <v/>
      </c>
      <c r="GJ83" s="326">
        <f>GI83/GH83</f>
        <v/>
      </c>
      <c r="GK83" s="182" t="n">
        <v>0.033</v>
      </c>
      <c r="GL83" s="182" t="n"/>
      <c r="GM83" s="364" t="n"/>
      <c r="GN83" s="365">
        <f>C83</f>
        <v/>
      </c>
      <c r="GO83" s="9" t="n">
        <v>2051158.1217</v>
      </c>
      <c r="GP83" s="365">
        <f>GO84</f>
        <v/>
      </c>
      <c r="GQ83" s="325">
        <f>GO83-GP83</f>
        <v/>
      </c>
      <c r="GR83" s="326">
        <f>GQ83/GP83</f>
        <v/>
      </c>
      <c r="GS83" s="182" t="n">
        <v>0.032</v>
      </c>
      <c r="GT83" s="182" t="n"/>
      <c r="GU83" s="364" t="n"/>
      <c r="GV83" s="365">
        <f>C83</f>
        <v/>
      </c>
      <c r="GW83" s="185" t="n">
        <v>663749.4</v>
      </c>
      <c r="GX83" s="365">
        <f>GW84</f>
        <v/>
      </c>
      <c r="GY83" s="325">
        <f>GW83-GX83</f>
        <v/>
      </c>
      <c r="GZ83" s="326">
        <f>GY83/GX83</f>
        <v/>
      </c>
      <c r="HA83" s="182" t="n">
        <v>-0.0151</v>
      </c>
      <c r="HB83" s="182" t="n"/>
      <c r="HC83" s="364" t="n"/>
      <c r="HD83" s="365">
        <f>C83</f>
        <v/>
      </c>
      <c r="HE83" s="9" t="n">
        <v>913164.6746</v>
      </c>
      <c r="HF83" s="365">
        <f>HE84</f>
        <v/>
      </c>
      <c r="HG83" s="323">
        <f>HE83-HF83</f>
        <v/>
      </c>
      <c r="HH83" s="324">
        <f>HG83/HF83</f>
        <v/>
      </c>
      <c r="HI83" s="182" t="n">
        <v>-0.0283</v>
      </c>
      <c r="HJ83" s="182" t="n"/>
      <c r="HK83" s="364" t="n"/>
      <c r="HL83" s="365">
        <f>C83</f>
        <v/>
      </c>
      <c r="HM83" s="185" t="n">
        <v>112654.25</v>
      </c>
      <c r="HN83" s="365">
        <f>HM84</f>
        <v/>
      </c>
      <c r="HO83" s="325">
        <f>HM83-HN83</f>
        <v/>
      </c>
      <c r="HP83" s="326">
        <f>HO83/HN83</f>
        <v/>
      </c>
      <c r="HQ83" s="182" t="n">
        <v>0.0047</v>
      </c>
      <c r="HR83" s="182" t="n"/>
      <c r="HS83" s="364" t="n"/>
      <c r="HT83" s="365">
        <f>C83</f>
        <v/>
      </c>
      <c r="HU83" s="9" t="n">
        <v>119368.8265</v>
      </c>
      <c r="HV83" s="365">
        <f>HU84</f>
        <v/>
      </c>
      <c r="HW83" s="325">
        <f>HU83-HV83</f>
        <v/>
      </c>
      <c r="HX83" s="326">
        <f>HW83/HV83</f>
        <v/>
      </c>
      <c r="HY83" s="182" t="n">
        <v>-0.0077</v>
      </c>
      <c r="HZ83" s="182" t="n"/>
      <c r="IA83" s="364" t="n"/>
      <c r="IB83" s="365">
        <f>C83</f>
        <v/>
      </c>
      <c r="IC83" s="185" t="n">
        <v>279809.79</v>
      </c>
      <c r="ID83" s="185">
        <f>IC84</f>
        <v/>
      </c>
      <c r="IE83" s="325">
        <f>IC83-ID83</f>
        <v/>
      </c>
      <c r="IF83" s="326">
        <f>IE83/ID83</f>
        <v/>
      </c>
      <c r="IG83" s="326" t="n">
        <v>-0.0095</v>
      </c>
      <c r="IH83" s="182" t="n"/>
      <c r="II83" s="364" t="n"/>
      <c r="IJ83" s="365">
        <f>C83</f>
        <v/>
      </c>
      <c r="IK83" s="9" t="n">
        <v>942316.29</v>
      </c>
      <c r="IL83" s="365">
        <f>IK84</f>
        <v/>
      </c>
      <c r="IM83" s="323">
        <f>IK83-IL83</f>
        <v/>
      </c>
      <c r="IN83" s="324">
        <f>IM83/IL83</f>
        <v/>
      </c>
      <c r="IO83" s="182" t="n">
        <v>0.0465</v>
      </c>
      <c r="IP83" s="182" t="n"/>
      <c r="IQ83" s="364" t="n"/>
      <c r="IR83" s="365">
        <f>C83</f>
        <v/>
      </c>
      <c r="IS83" s="185" t="n">
        <v>158089</v>
      </c>
      <c r="IT83" s="185">
        <f>IS84</f>
        <v/>
      </c>
      <c r="IU83" s="323">
        <f>IS83-IT83</f>
        <v/>
      </c>
      <c r="IV83" s="324">
        <f>IU83/IT83</f>
        <v/>
      </c>
      <c r="IW83" s="182" t="n">
        <v>0.035</v>
      </c>
      <c r="IX83" s="182" t="n"/>
      <c r="IY83" s="364" t="n"/>
      <c r="IZ83" s="365">
        <f>C83</f>
        <v/>
      </c>
      <c r="JA83" s="185" t="n">
        <v>5624729.15</v>
      </c>
      <c r="JB83" s="185">
        <f>JA84</f>
        <v/>
      </c>
      <c r="JC83" s="323">
        <f>JA83-JB83</f>
        <v/>
      </c>
      <c r="JD83" s="324">
        <f>JC83/JB83</f>
        <v/>
      </c>
      <c r="JE83" s="182" t="n">
        <v>0.0191</v>
      </c>
      <c r="JF83" s="182" t="n"/>
      <c r="JG83" s="364" t="n"/>
      <c r="JH83" s="365">
        <f>C83</f>
        <v/>
      </c>
      <c r="JI83" s="185" t="n">
        <v>1596327.99</v>
      </c>
      <c r="JJ83" s="365">
        <f>JI84</f>
        <v/>
      </c>
      <c r="JK83" s="325">
        <f>JI83-JJ83</f>
        <v/>
      </c>
      <c r="JL83" s="326">
        <f>JK83/JJ83</f>
        <v/>
      </c>
      <c r="JM83" s="182" t="n">
        <v>0.0241</v>
      </c>
      <c r="JN83" s="182" t="n"/>
      <c r="JP83" s="365">
        <f>C83</f>
        <v/>
      </c>
      <c r="JQ83" s="9" t="n">
        <v>1058290.4148</v>
      </c>
      <c r="JR83" s="365">
        <f>JQ84</f>
        <v/>
      </c>
      <c r="JS83" s="325">
        <f>JQ83-JR83</f>
        <v/>
      </c>
      <c r="JT83" s="326">
        <f>JS83/JR83</f>
        <v/>
      </c>
      <c r="JU83" s="182" t="n">
        <v>0.0208</v>
      </c>
      <c r="JV83" s="366" t="n"/>
      <c r="JX83" s="365">
        <f>C83</f>
        <v/>
      </c>
      <c r="JY83" s="185" t="n">
        <v>1034698.8</v>
      </c>
      <c r="JZ83" s="365">
        <f>JY84</f>
        <v/>
      </c>
      <c r="KA83" s="323">
        <f>JY83-JZ83</f>
        <v/>
      </c>
      <c r="KB83" s="324">
        <f>KA83/JZ83</f>
        <v/>
      </c>
      <c r="KC83" s="182" t="n">
        <v>0.0133</v>
      </c>
      <c r="KD83" s="182" t="n"/>
      <c r="KF83" s="365">
        <f>C83</f>
        <v/>
      </c>
      <c r="KG83" s="9" t="n">
        <v>646355.9219</v>
      </c>
      <c r="KH83" s="365">
        <f>KG84</f>
        <v/>
      </c>
      <c r="KI83" s="323">
        <f>KG83-KH83</f>
        <v/>
      </c>
      <c r="KJ83" s="324">
        <f>KI83/KH83</f>
        <v/>
      </c>
      <c r="KK83" s="182" t="n">
        <v>0.0262</v>
      </c>
      <c r="KL83" s="182" t="n"/>
      <c r="KM83" s="364" t="n"/>
      <c r="KN83" s="365">
        <f>C83</f>
        <v/>
      </c>
      <c r="KO83" s="185" t="n">
        <v>6982775.95</v>
      </c>
      <c r="KP83" s="185">
        <f>KO84</f>
        <v/>
      </c>
      <c r="KQ83" s="325">
        <f>KO83-KP83</f>
        <v/>
      </c>
      <c r="KR83" s="326">
        <f>KQ83/KP83</f>
        <v/>
      </c>
      <c r="KS83" s="182" t="n">
        <v>0.0273</v>
      </c>
      <c r="KT83" s="182" t="n"/>
      <c r="KU83" s="364" t="n"/>
      <c r="KV83" s="365">
        <f>C83</f>
        <v/>
      </c>
      <c r="KW83" s="368" t="n">
        <v>1103172.9726</v>
      </c>
      <c r="KX83" s="222">
        <f>KW84</f>
        <v/>
      </c>
      <c r="KY83" s="323">
        <f>KW83-KX83</f>
        <v/>
      </c>
      <c r="KZ83" s="324">
        <f>KY83/KX83</f>
        <v/>
      </c>
      <c r="LA83" s="324" t="n">
        <v>0.0376</v>
      </c>
      <c r="LB83" s="182" t="n"/>
      <c r="LC83" s="364" t="n"/>
      <c r="LD83" s="365">
        <f>C83</f>
        <v/>
      </c>
      <c r="LE83" s="185" t="n">
        <v>367857.7</v>
      </c>
      <c r="LF83" s="185">
        <f>LE84</f>
        <v/>
      </c>
      <c r="LG83" s="325">
        <f>LE83-LF83</f>
        <v/>
      </c>
      <c r="LH83" s="326">
        <f>LG83/LF83</f>
        <v/>
      </c>
      <c r="LI83" s="182" t="n">
        <v>-0.0277</v>
      </c>
      <c r="LJ83" s="182" t="n"/>
      <c r="LK83" s="364" t="n"/>
      <c r="LL83" s="365">
        <f>C83</f>
        <v/>
      </c>
      <c r="LM83" s="672" t="n">
        <v>3340915.02</v>
      </c>
      <c r="LN83" s="365">
        <f>LM84</f>
        <v/>
      </c>
      <c r="LO83" s="325">
        <f>LM83-LN83</f>
        <v/>
      </c>
      <c r="LP83" s="326">
        <f>LO83/LN83</f>
        <v/>
      </c>
      <c r="LQ83" s="182" t="n">
        <v>0.046</v>
      </c>
      <c r="LR83" s="182" t="n"/>
      <c r="LS83" s="364" t="n"/>
      <c r="LT83" s="365">
        <f>C83</f>
        <v/>
      </c>
      <c r="LU83" s="9" t="n">
        <v>2318462.904</v>
      </c>
      <c r="LV83" s="365">
        <f>LU84</f>
        <v/>
      </c>
      <c r="LW83" s="323">
        <f>LU83-LV83</f>
        <v/>
      </c>
      <c r="LX83" s="324">
        <f>LW83/LV83</f>
        <v/>
      </c>
      <c r="LY83" s="182" t="n">
        <v>0.0352</v>
      </c>
      <c r="LZ83" s="182" t="n"/>
      <c r="MA83" s="364" t="n"/>
      <c r="MB83" s="365">
        <f>C83</f>
        <v/>
      </c>
      <c r="MC83" s="185" t="n">
        <v>1240617.69</v>
      </c>
      <c r="MD83" s="365">
        <f>MC84</f>
        <v/>
      </c>
      <c r="ME83" s="323">
        <f>MC83-MD83</f>
        <v/>
      </c>
      <c r="MF83" s="324">
        <f>ME83/MD83</f>
        <v/>
      </c>
      <c r="MG83" s="182" t="n">
        <v>0.0659</v>
      </c>
      <c r="MH83" s="182" t="n"/>
      <c r="MI83" s="319" t="n"/>
      <c r="MJ83" s="318" t="n"/>
      <c r="MK83" s="318">
        <f>C83</f>
        <v/>
      </c>
      <c r="ML83" s="318" t="n">
        <v>160545.5354</v>
      </c>
      <c r="MM83" s="13">
        <f>ML84</f>
        <v/>
      </c>
      <c r="MN83" s="318">
        <f>ML83-MM83</f>
        <v/>
      </c>
      <c r="MO83" s="327">
        <f>MN83/MM83</f>
        <v/>
      </c>
      <c r="MP83" s="182" t="n">
        <v>0.0291</v>
      </c>
      <c r="MQ83" s="369" t="n"/>
      <c r="MR83" s="369" t="n"/>
      <c r="MS83" s="188" t="n"/>
      <c r="MT83" s="274">
        <f>C83</f>
        <v/>
      </c>
      <c r="MU83" s="188" t="n">
        <v>133714.8</v>
      </c>
      <c r="MV83" s="188">
        <f>MU84</f>
        <v/>
      </c>
      <c r="MW83" s="188">
        <f>MU83-MV83</f>
        <v/>
      </c>
      <c r="MX83" s="271">
        <f>MW83/MV83</f>
        <v/>
      </c>
      <c r="MY83" s="182" t="n">
        <v>0.0341</v>
      </c>
      <c r="MZ83" s="182" t="n"/>
      <c r="NA83" s="182" t="n"/>
      <c r="NB83" s="188" t="n"/>
      <c r="NC83" s="188">
        <f>C83</f>
        <v/>
      </c>
      <c r="ND83" s="188" t="n">
        <v>34091.48</v>
      </c>
      <c r="NE83" s="188">
        <f>ND84</f>
        <v/>
      </c>
      <c r="NF83" s="188">
        <f>ND83-NE83</f>
        <v/>
      </c>
      <c r="NG83" s="271">
        <f>NF83/NE83</f>
        <v/>
      </c>
      <c r="NH83" s="182" t="n">
        <v>0.013</v>
      </c>
      <c r="NI83" s="182" t="n"/>
      <c r="NJ83" s="182" t="n"/>
      <c r="NK83" s="182" t="n"/>
      <c r="NL83" s="188" t="n"/>
      <c r="NM83" s="188">
        <f>C83</f>
        <v/>
      </c>
      <c r="NN83" s="188" t="n">
        <v>2987411.08</v>
      </c>
      <c r="NO83" s="9">
        <f>NN84</f>
        <v/>
      </c>
      <c r="NP83" s="188">
        <f>NN83-NO83</f>
        <v/>
      </c>
      <c r="NQ83" s="271">
        <f>NP83/NO83</f>
        <v/>
      </c>
      <c r="NR83" s="272" t="n">
        <v>0.0227</v>
      </c>
      <c r="NS83" s="188" t="n"/>
      <c r="NT83" s="273" t="n"/>
      <c r="NU83" s="188">
        <f>C83</f>
        <v/>
      </c>
      <c r="NV83" s="188" t="n">
        <v>265876.5</v>
      </c>
      <c r="NW83" s="188">
        <f>NV84</f>
        <v/>
      </c>
      <c r="NX83" s="188">
        <f>NV83-NW83</f>
        <v/>
      </c>
      <c r="NY83" s="271">
        <f>NX83/NW83</f>
        <v/>
      </c>
      <c r="NZ83" s="366" t="n">
        <v>0.008999999999999999</v>
      </c>
      <c r="OA83" s="364" t="n"/>
      <c r="OB83" s="364" t="n"/>
      <c r="OC83" s="365">
        <f>C83</f>
        <v/>
      </c>
      <c r="OD83" s="185" t="n">
        <v>18012.97</v>
      </c>
      <c r="OE83" s="185">
        <f>OD84</f>
        <v/>
      </c>
      <c r="OF83" s="323">
        <f>OD83-OE83</f>
        <v/>
      </c>
      <c r="OG83" s="324">
        <f>OF83/OE83</f>
        <v/>
      </c>
      <c r="OH83" s="182" t="n">
        <v>-0.0003</v>
      </c>
      <c r="OI83" s="182" t="n"/>
      <c r="OJ83" s="364" t="n"/>
      <c r="OK83" s="365">
        <f>C83</f>
        <v/>
      </c>
      <c r="OL83" s="185" t="n">
        <v>14530.65</v>
      </c>
      <c r="OM83" s="9">
        <f>OL84</f>
        <v/>
      </c>
      <c r="ON83" s="9">
        <f>OL83-OM83</f>
        <v/>
      </c>
      <c r="OO83" s="182">
        <f>ON83/OM83</f>
        <v/>
      </c>
      <c r="OP83" s="182" t="n">
        <v>0</v>
      </c>
      <c r="OQ83" s="182" t="n"/>
      <c r="OT83" s="201">
        <f>OK83</f>
        <v/>
      </c>
      <c r="OU83" s="199" t="n">
        <v>152592.4066</v>
      </c>
      <c r="OV83" s="9">
        <f>OU84</f>
        <v/>
      </c>
      <c r="OW83" s="671">
        <f>OU83-OV83</f>
        <v/>
      </c>
      <c r="OX83" s="182">
        <f>OW83/OV83</f>
        <v/>
      </c>
      <c r="OY83" s="0" t="n">
        <v>0.0268</v>
      </c>
    </row>
    <row r="84" ht="17" customFormat="1" customHeight="1" s="9">
      <c r="A84" s="631" t="n"/>
      <c r="B84" s="631" t="n"/>
      <c r="C84" s="693" t="inlineStr">
        <is>
          <t>2026//7/17</t>
        </is>
      </c>
      <c r="D84" s="362" t="n">
        <v>2171658.77</v>
      </c>
      <c r="E84" s="362">
        <f>D85</f>
        <v/>
      </c>
      <c r="F84" s="375">
        <f>D84-E84</f>
        <v/>
      </c>
      <c r="G84" s="376">
        <f>F84/E84</f>
        <v/>
      </c>
      <c r="H84" s="19" t="n">
        <v>-0.0345</v>
      </c>
      <c r="I84" s="111" t="n"/>
      <c r="J84" s="111" t="n"/>
      <c r="K84" s="362">
        <f>C84</f>
        <v/>
      </c>
      <c r="L84" s="362" t="n">
        <v>1062154.4</v>
      </c>
      <c r="M84" s="362">
        <f>L85</f>
        <v/>
      </c>
      <c r="N84" s="375">
        <f>L84-M84</f>
        <v/>
      </c>
      <c r="O84" s="376">
        <f>N84/M84</f>
        <v/>
      </c>
      <c r="P84" s="19" t="n">
        <v>-0.034</v>
      </c>
      <c r="Q84" s="111" t="n"/>
      <c r="R84" s="114" t="n"/>
      <c r="S84" s="362">
        <f>C84</f>
        <v/>
      </c>
      <c r="T84" s="362" t="n">
        <v>823746.6800000001</v>
      </c>
      <c r="U84" s="362">
        <f>T85</f>
        <v/>
      </c>
      <c r="V84" s="375">
        <f>T84-U84</f>
        <v/>
      </c>
      <c r="W84" s="376">
        <f>V84/U84</f>
        <v/>
      </c>
      <c r="X84" s="19" t="n">
        <v>-0.0243</v>
      </c>
      <c r="Y84" s="111" t="n"/>
      <c r="Z84" s="114" t="n"/>
      <c r="AA84" s="362">
        <f>S84</f>
        <v/>
      </c>
      <c r="AB84" s="362" t="n">
        <v>592376.86</v>
      </c>
      <c r="AC84" s="362">
        <f>AB85</f>
        <v/>
      </c>
      <c r="AD84" s="377">
        <f>AB84-AC84</f>
        <v/>
      </c>
      <c r="AE84" s="378">
        <f>AD84/AC84</f>
        <v/>
      </c>
      <c r="AF84" s="19" t="n">
        <v>-0.0567</v>
      </c>
      <c r="AG84" s="111" t="n"/>
      <c r="AH84" s="114" t="n"/>
      <c r="AI84" s="362">
        <f>C84</f>
        <v/>
      </c>
      <c r="AJ84" s="362" t="n">
        <v>974121.76</v>
      </c>
      <c r="AK84" s="362">
        <f>AJ85</f>
        <v/>
      </c>
      <c r="AL84" s="375">
        <f>AJ84-AK84</f>
        <v/>
      </c>
      <c r="AM84" s="376">
        <f>AL84/AK84</f>
        <v/>
      </c>
      <c r="AN84" s="19" t="n">
        <v>-0.0595</v>
      </c>
      <c r="AO84" s="19" t="n"/>
      <c r="AP84" s="114" t="n"/>
      <c r="AQ84" s="362">
        <f>C84</f>
        <v/>
      </c>
      <c r="AR84" s="695" t="n">
        <v>1492045.4936</v>
      </c>
      <c r="AS84" s="362">
        <f>AR85</f>
        <v/>
      </c>
      <c r="AT84" s="309">
        <f>AR84-AS84</f>
        <v/>
      </c>
      <c r="AU84" s="310">
        <f>AT84/AS84</f>
        <v/>
      </c>
      <c r="AV84" s="19" t="n">
        <v>-0.0698</v>
      </c>
      <c r="AW84" s="19" t="n"/>
      <c r="AX84" s="5" t="n"/>
      <c r="AY84" s="188" t="n"/>
      <c r="AZ84" s="188">
        <f>C84</f>
        <v/>
      </c>
      <c r="BA84" s="188" t="n">
        <v>623901.6676</v>
      </c>
      <c r="BB84" s="188">
        <f>BA85</f>
        <v/>
      </c>
      <c r="BC84" s="188">
        <f>BA84-BB84</f>
        <v/>
      </c>
      <c r="BD84" s="271">
        <f>BC84/BB84</f>
        <v/>
      </c>
      <c r="BE84" s="19" t="n">
        <v>-0.0323</v>
      </c>
      <c r="BF84" s="19" t="n"/>
      <c r="BG84" s="647" t="n"/>
      <c r="BH84" s="363">
        <f>C84</f>
        <v/>
      </c>
      <c r="BI84" s="379" t="n">
        <v>1094026.5525</v>
      </c>
      <c r="BJ84" s="363">
        <f>BI85</f>
        <v/>
      </c>
      <c r="BK84" s="331">
        <f>BI84-BJ84</f>
        <v/>
      </c>
      <c r="BL84" s="373">
        <f>BK84/BJ84</f>
        <v/>
      </c>
      <c r="BM84" s="191" t="n">
        <v>-0.0459</v>
      </c>
      <c r="BN84" s="182" t="n"/>
      <c r="BO84" s="364" t="n"/>
      <c r="BP84" s="365">
        <f>C84</f>
        <v/>
      </c>
      <c r="BQ84" s="696" t="n">
        <v>1192762.3921</v>
      </c>
      <c r="BR84" s="365">
        <f>BQ85</f>
        <v/>
      </c>
      <c r="BS84" s="325">
        <f>BQ84-BR84</f>
        <v/>
      </c>
      <c r="BT84" s="374">
        <f>BS84/BR84</f>
        <v/>
      </c>
      <c r="BU84" s="182" t="n">
        <v>-0.0437</v>
      </c>
      <c r="BV84" s="182" t="n"/>
      <c r="BW84" s="364" t="n"/>
      <c r="BX84" s="365">
        <f>C84</f>
        <v/>
      </c>
      <c r="BY84" s="365" t="n">
        <v>1793610.7019</v>
      </c>
      <c r="BZ84" s="365">
        <f>BY85</f>
        <v/>
      </c>
      <c r="CA84" s="381">
        <f>BY84-BZ84</f>
        <v/>
      </c>
      <c r="CB84" s="382">
        <f>CA84/BZ84</f>
        <v/>
      </c>
      <c r="CC84" s="182" t="n">
        <v>0</v>
      </c>
      <c r="CD84" s="383" t="n"/>
      <c r="CE84" s="364" t="n"/>
      <c r="CF84" s="365">
        <f>C84</f>
        <v/>
      </c>
      <c r="CG84" s="365" t="n">
        <v>1229103.9</v>
      </c>
      <c r="CH84" s="13">
        <f>CG85</f>
        <v/>
      </c>
      <c r="CI84" s="13">
        <f>CG84-CH84</f>
        <v/>
      </c>
      <c r="CJ84" s="193">
        <f>CI84/CH84</f>
        <v/>
      </c>
      <c r="CK84" s="182" t="n">
        <v>-0.0516</v>
      </c>
      <c r="CL84" s="366" t="n"/>
      <c r="CM84" s="364" t="n"/>
      <c r="CN84" s="365">
        <f>C84</f>
        <v/>
      </c>
      <c r="CO84" s="185" t="n">
        <v>525046.48</v>
      </c>
      <c r="CP84" s="365">
        <f>CO85</f>
        <v/>
      </c>
      <c r="CQ84" s="13">
        <f>CO84-CP84</f>
        <v/>
      </c>
      <c r="CR84" s="193">
        <f>CQ84/CP84</f>
        <v/>
      </c>
      <c r="CS84" s="366" t="n">
        <v>-0.0444</v>
      </c>
      <c r="CT84" s="366" t="n"/>
      <c r="CU84" s="364" t="n"/>
      <c r="CV84" s="365">
        <f>C84</f>
        <v/>
      </c>
      <c r="CW84" s="365" t="n">
        <v>584640.4</v>
      </c>
      <c r="CX84" s="365">
        <f>CW85</f>
        <v/>
      </c>
      <c r="CY84" s="384">
        <f>CW84-CX84</f>
        <v/>
      </c>
      <c r="CZ84" s="383">
        <f>CY84/CX84</f>
        <v/>
      </c>
      <c r="DA84" s="182" t="n">
        <v>-0.0503</v>
      </c>
      <c r="DB84" s="182" t="n"/>
      <c r="DC84" s="256" t="n"/>
      <c r="DD84" s="365">
        <f>C84</f>
        <v/>
      </c>
      <c r="DE84" s="385" t="n">
        <v>5500735.9972</v>
      </c>
      <c r="DF84" s="13">
        <f>DE85</f>
        <v/>
      </c>
      <c r="DG84" s="323">
        <f>DE84-DF84</f>
        <v/>
      </c>
      <c r="DH84" s="324">
        <f>DG84/DF84</f>
        <v/>
      </c>
      <c r="DI84" s="182" t="n">
        <v>-0.0553</v>
      </c>
      <c r="DJ84" s="182" t="n"/>
      <c r="DK84" s="364" t="n"/>
      <c r="DL84" s="365">
        <f>C84</f>
        <v/>
      </c>
      <c r="DM84" s="185" t="n">
        <v>1889000.72</v>
      </c>
      <c r="DN84" s="365">
        <f>DM85</f>
        <v/>
      </c>
      <c r="DO84" s="323">
        <f>DM84-DN84</f>
        <v/>
      </c>
      <c r="DP84" s="324">
        <f>DO84/DN84</f>
        <v/>
      </c>
      <c r="DQ84" s="182" t="n">
        <v>-0.07679999999999999</v>
      </c>
      <c r="DR84" s="182" t="n"/>
      <c r="DS84" s="364" t="n"/>
      <c r="DT84" s="365">
        <f>C84</f>
        <v/>
      </c>
      <c r="DU84" s="185" t="n">
        <v>1484189.48</v>
      </c>
      <c r="DV84" s="365">
        <f>DU85</f>
        <v/>
      </c>
      <c r="DW84" s="323">
        <f>DU84-DV84</f>
        <v/>
      </c>
      <c r="DX84" s="324">
        <f>DW84/DV84</f>
        <v/>
      </c>
      <c r="DY84" s="182" t="n">
        <v>-0.0804</v>
      </c>
      <c r="DZ84" s="182" t="n"/>
      <c r="EA84" s="364" t="n"/>
      <c r="EB84" s="365">
        <f>C84</f>
        <v/>
      </c>
      <c r="EC84" s="185" t="n">
        <v>3742466.82</v>
      </c>
      <c r="ED84" s="365">
        <f>EC85</f>
        <v/>
      </c>
      <c r="EE84" s="323">
        <f>EC84-ED84</f>
        <v/>
      </c>
      <c r="EF84" s="324">
        <f>EE84/ED84</f>
        <v/>
      </c>
      <c r="EG84" s="182" t="n">
        <v>-0.07099999999999999</v>
      </c>
      <c r="EH84" s="182" t="n"/>
      <c r="EI84" s="364" t="n"/>
      <c r="EJ84" s="365">
        <f>C84</f>
        <v/>
      </c>
      <c r="EK84" s="385" t="n">
        <v>1158522.9669</v>
      </c>
      <c r="EL84" s="365">
        <f>EK85</f>
        <v/>
      </c>
      <c r="EM84" s="323">
        <f>EK84-EL84</f>
        <v/>
      </c>
      <c r="EN84" s="182">
        <f>EM84/EL84</f>
        <v/>
      </c>
      <c r="EO84" s="182" t="n">
        <v>-0.0808</v>
      </c>
      <c r="EP84" s="182" t="n"/>
      <c r="EQ84" s="317" t="n"/>
      <c r="ER84" s="318">
        <f>C84</f>
        <v/>
      </c>
      <c r="ES84" s="318" t="n">
        <v>754894.04</v>
      </c>
      <c r="ET84" s="318">
        <f>ES85</f>
        <v/>
      </c>
      <c r="EU84" s="318">
        <f>ES84-ET84</f>
        <v/>
      </c>
      <c r="EV84" s="327">
        <f>EU84/ET84</f>
        <v/>
      </c>
      <c r="EW84" s="182" t="n">
        <v>-0.0815</v>
      </c>
      <c r="EX84" s="182" t="n"/>
      <c r="EY84" s="364" t="n"/>
      <c r="EZ84" s="365">
        <f>C84</f>
        <v/>
      </c>
      <c r="FA84" s="365" t="n">
        <v>579108</v>
      </c>
      <c r="FB84" s="365">
        <f>FA85</f>
        <v/>
      </c>
      <c r="FC84" s="386">
        <f>FA84-FB84</f>
        <v/>
      </c>
      <c r="FD84" s="387">
        <f>FC84/FB84</f>
        <v/>
      </c>
      <c r="FE84" s="182" t="n">
        <v>-0.0518</v>
      </c>
      <c r="FF84" s="182" t="n"/>
      <c r="FH84" s="365">
        <f>C84</f>
        <v/>
      </c>
      <c r="FI84" s="694" t="n">
        <v>1169795.3365</v>
      </c>
      <c r="FJ84" s="365">
        <f>FI85</f>
        <v/>
      </c>
      <c r="FK84" s="325">
        <f>FI84-FJ84</f>
        <v/>
      </c>
      <c r="FL84" s="326">
        <f>FK84/FJ84</f>
        <v/>
      </c>
      <c r="FM84" s="366" t="n">
        <v>-0.0867</v>
      </c>
      <c r="FN84" s="366" t="n"/>
      <c r="FO84" s="364" t="n"/>
      <c r="FP84" s="365">
        <f>C84</f>
        <v/>
      </c>
      <c r="FQ84" s="365" t="n">
        <v>1774168.73</v>
      </c>
      <c r="FR84" s="365">
        <f>FQ85</f>
        <v/>
      </c>
      <c r="FS84" s="388">
        <f>FQ84-FR84</f>
        <v/>
      </c>
      <c r="FT84" s="389">
        <f>FS84/FR84</f>
        <v/>
      </c>
      <c r="FU84" s="182" t="n">
        <v>-0.0603</v>
      </c>
      <c r="FV84" s="182" t="n"/>
      <c r="FW84" s="364" t="n"/>
      <c r="FX84" s="365">
        <f>C84</f>
        <v/>
      </c>
      <c r="FY84" s="365" t="n">
        <v>8031782.05</v>
      </c>
      <c r="FZ84" s="365">
        <f>FY85</f>
        <v/>
      </c>
      <c r="GA84" s="390">
        <f>FY84-FZ84</f>
        <v/>
      </c>
      <c r="GB84" s="391">
        <f>GA84/FZ84</f>
        <v/>
      </c>
      <c r="GC84" s="182" t="n">
        <v>-0.045</v>
      </c>
      <c r="GD84" s="182" t="n"/>
      <c r="GE84" s="364" t="n"/>
      <c r="GF84" s="365">
        <f>C84</f>
        <v/>
      </c>
      <c r="GG84" s="365" t="n">
        <v>4723469.49</v>
      </c>
      <c r="GH84" s="365">
        <f>GG85</f>
        <v/>
      </c>
      <c r="GI84" s="390">
        <f>GG84-GH84</f>
        <v/>
      </c>
      <c r="GJ84" s="391">
        <f>GI84/GH84</f>
        <v/>
      </c>
      <c r="GK84" s="182" t="n">
        <v>-0.037</v>
      </c>
      <c r="GL84" s="182" t="n"/>
      <c r="GM84" s="364" t="n"/>
      <c r="GN84" s="365">
        <f>C84</f>
        <v/>
      </c>
      <c r="GO84" s="365" t="n">
        <v>2044798.1217</v>
      </c>
      <c r="GP84" s="365">
        <f>GO85</f>
        <v/>
      </c>
      <c r="GQ84" s="390">
        <f>GO84-GP84</f>
        <v/>
      </c>
      <c r="GR84" s="391">
        <f>GQ84/GP84</f>
        <v/>
      </c>
      <c r="GS84" s="182" t="n">
        <v>-0.0726</v>
      </c>
      <c r="GT84" s="182" t="n"/>
      <c r="GU84" s="364" t="n"/>
      <c r="GV84" s="365">
        <f>C84</f>
        <v/>
      </c>
      <c r="GW84" s="365" t="n">
        <v>674749.4</v>
      </c>
      <c r="GX84" s="365">
        <f>GW85</f>
        <v/>
      </c>
      <c r="GY84" s="386">
        <f>GW84-GX84</f>
        <v/>
      </c>
      <c r="GZ84" s="387">
        <f>GY84/GX84</f>
        <v/>
      </c>
      <c r="HA84" s="182" t="n">
        <v>-0.0351</v>
      </c>
      <c r="HB84" s="182" t="n"/>
      <c r="HC84" s="364" t="n"/>
      <c r="HD84" s="365">
        <f>C84</f>
        <v/>
      </c>
      <c r="HE84" s="365" t="n">
        <v>917464.6746</v>
      </c>
      <c r="HF84" s="365">
        <f>HE85</f>
        <v/>
      </c>
      <c r="HG84" s="390">
        <f>HE84-HF84</f>
        <v/>
      </c>
      <c r="HH84" s="391">
        <f>HG84/HF84</f>
        <v/>
      </c>
      <c r="HI84" s="182" t="n">
        <v>-0.0234</v>
      </c>
      <c r="HJ84" s="182" t="n"/>
      <c r="HK84" s="364" t="n"/>
      <c r="HL84" s="365">
        <f>C84</f>
        <v/>
      </c>
      <c r="HM84" s="365" t="n">
        <v>112654.25</v>
      </c>
      <c r="HN84" s="365">
        <f>HM85</f>
        <v/>
      </c>
      <c r="HO84" s="381">
        <f>HM84-HN84</f>
        <v/>
      </c>
      <c r="HP84" s="382">
        <f>HO84/HN84</f>
        <v/>
      </c>
      <c r="HQ84" s="182" t="n">
        <v>-0.0268</v>
      </c>
      <c r="HR84" s="182" t="n"/>
      <c r="HS84" s="364" t="n"/>
      <c r="HT84" s="365">
        <f>C84</f>
        <v/>
      </c>
      <c r="HU84" s="365" t="n">
        <v>119568.8265</v>
      </c>
      <c r="HV84" s="365">
        <f>HU85</f>
        <v/>
      </c>
      <c r="HW84" s="381">
        <f>HU84-HV84</f>
        <v/>
      </c>
      <c r="HX84" s="382">
        <f>HW84/HV84</f>
        <v/>
      </c>
      <c r="HY84" s="182" t="n">
        <v>-0.0152</v>
      </c>
      <c r="HZ84" s="182" t="n"/>
      <c r="IA84" s="364" t="n"/>
      <c r="IB84" s="365">
        <f>C84</f>
        <v/>
      </c>
      <c r="IC84" s="185" t="n">
        <v>277509.79</v>
      </c>
      <c r="ID84" s="185">
        <f>IC85</f>
        <v/>
      </c>
      <c r="IE84" s="325">
        <f>IC84-ID84</f>
        <v/>
      </c>
      <c r="IF84" s="326">
        <f>IE84/ID84</f>
        <v/>
      </c>
      <c r="IG84" s="326" t="n">
        <v>-0.0438</v>
      </c>
      <c r="IH84" s="182" t="n"/>
      <c r="II84" s="364" t="n"/>
      <c r="IJ84" s="365">
        <f>C84</f>
        <v/>
      </c>
      <c r="IK84" s="365" t="n">
        <v>912956.29</v>
      </c>
      <c r="IL84" s="365">
        <f>IK85</f>
        <v/>
      </c>
      <c r="IM84" s="386">
        <f>IK84-IL84</f>
        <v/>
      </c>
      <c r="IN84" s="387">
        <f>IM84/IL84</f>
        <v/>
      </c>
      <c r="IO84" s="182" t="n">
        <v>0.0218</v>
      </c>
      <c r="IP84" s="182" t="n"/>
      <c r="IQ84" s="364" t="n"/>
      <c r="IR84" s="365">
        <f>C84</f>
        <v/>
      </c>
      <c r="IS84" s="185" t="n">
        <v>155489</v>
      </c>
      <c r="IT84" s="365">
        <f>IS85</f>
        <v/>
      </c>
      <c r="IU84" s="325">
        <f>IS84-IT84</f>
        <v/>
      </c>
      <c r="IV84" s="326">
        <f>IU84/IT84</f>
        <v/>
      </c>
      <c r="IW84" s="182" t="n">
        <v>-0.0649</v>
      </c>
      <c r="IX84" s="182" t="n"/>
      <c r="IY84" s="364" t="n"/>
      <c r="IZ84" s="365">
        <f>C84</f>
        <v/>
      </c>
      <c r="JA84" s="185" t="n">
        <v>5650629.15</v>
      </c>
      <c r="JB84" s="365">
        <f>JA85</f>
        <v/>
      </c>
      <c r="JC84" s="325">
        <f>JA84-JB84</f>
        <v/>
      </c>
      <c r="JD84" s="326">
        <f>JC84/JB84</f>
        <v/>
      </c>
      <c r="JE84" s="182" t="n">
        <v>-0.0144</v>
      </c>
      <c r="JF84" s="182" t="n"/>
      <c r="JG84" s="364" t="n"/>
      <c r="JH84" s="365">
        <f>C84</f>
        <v/>
      </c>
      <c r="JI84" s="365" t="n">
        <v>1599387.99</v>
      </c>
      <c r="JJ84" s="365">
        <f>JI85</f>
        <v/>
      </c>
      <c r="JK84" s="381">
        <f>JI84-JJ84</f>
        <v/>
      </c>
      <c r="JL84" s="382">
        <f>JK84/JJ84</f>
        <v/>
      </c>
      <c r="JM84" s="182" t="n">
        <v>0.008999999999999999</v>
      </c>
      <c r="JN84" s="182" t="n"/>
      <c r="JP84" s="365">
        <f>C84</f>
        <v/>
      </c>
      <c r="JQ84" s="365" t="n">
        <v>1046990.4148</v>
      </c>
      <c r="JR84" s="365">
        <f>JQ85</f>
        <v/>
      </c>
      <c r="JS84" s="388">
        <f>JQ84-JR84</f>
        <v/>
      </c>
      <c r="JT84" s="389">
        <f>JS84/JR84</f>
        <v/>
      </c>
      <c r="JU84" s="182" t="n">
        <v>-0.0302</v>
      </c>
      <c r="JV84" s="366" t="n"/>
      <c r="JX84" s="365">
        <f>C84</f>
        <v/>
      </c>
      <c r="JY84" s="365" t="n">
        <v>1037298.8</v>
      </c>
      <c r="JZ84" s="365">
        <f>JY85</f>
        <v/>
      </c>
      <c r="KA84" s="386">
        <f>JY84-JZ84</f>
        <v/>
      </c>
      <c r="KB84" s="387">
        <f>KA84/JZ84</f>
        <v/>
      </c>
      <c r="KC84" s="182" t="n">
        <v>-0.0275</v>
      </c>
      <c r="KD84" s="182" t="n"/>
      <c r="KF84" s="365">
        <f>C84</f>
        <v/>
      </c>
      <c r="KG84" s="365" t="n">
        <v>646355.9219</v>
      </c>
      <c r="KH84" s="365">
        <f>KG85</f>
        <v/>
      </c>
      <c r="KI84" s="388">
        <f>KG84-KH84</f>
        <v/>
      </c>
      <c r="KJ84" s="389">
        <f>KI84/KH84</f>
        <v/>
      </c>
      <c r="KK84" s="182" t="n">
        <v>-0.0216</v>
      </c>
      <c r="KL84" s="182" t="n"/>
      <c r="KM84" s="364" t="n"/>
      <c r="KN84" s="365">
        <f>C84</f>
        <v/>
      </c>
      <c r="KO84" s="185" t="n">
        <v>6982775.95</v>
      </c>
      <c r="KP84" s="365">
        <f>KO85</f>
        <v/>
      </c>
      <c r="KQ84" s="325">
        <f>KO84-KP84</f>
        <v/>
      </c>
      <c r="KR84" s="326">
        <f>KQ84/KP84</f>
        <v/>
      </c>
      <c r="KS84" s="182" t="n">
        <v>-0.044</v>
      </c>
      <c r="KT84" s="182" t="n"/>
      <c r="KU84" s="364" t="n"/>
      <c r="KV84" s="365">
        <f>C84</f>
        <v/>
      </c>
      <c r="KW84" s="222" t="n">
        <v>1103372.9726</v>
      </c>
      <c r="KX84" s="365">
        <f>KW85</f>
        <v/>
      </c>
      <c r="KY84" s="323">
        <f>KW84-KX84</f>
        <v/>
      </c>
      <c r="KZ84" s="324">
        <f>KY84/KX84</f>
        <v/>
      </c>
      <c r="LA84" s="366" t="n">
        <v>-0.0594</v>
      </c>
      <c r="LB84" s="182" t="n"/>
      <c r="LC84" s="364" t="n"/>
      <c r="LD84" s="365">
        <f>C84</f>
        <v/>
      </c>
      <c r="LE84" s="185" t="n">
        <v>368557.7</v>
      </c>
      <c r="LF84" s="185">
        <f>LE85</f>
        <v/>
      </c>
      <c r="LG84" s="323">
        <f>LE84-LF84</f>
        <v/>
      </c>
      <c r="LH84" s="324">
        <f>LG84/LF84</f>
        <v/>
      </c>
      <c r="LI84" s="182" t="n">
        <v>-0.0496</v>
      </c>
      <c r="LJ84" s="182" t="n"/>
      <c r="LK84" s="364" t="n"/>
      <c r="LL84" s="365">
        <f>C84</f>
        <v/>
      </c>
      <c r="LM84" s="694" t="n">
        <v>3345775.02</v>
      </c>
      <c r="LN84" s="365">
        <f>LM85</f>
        <v/>
      </c>
      <c r="LO84" s="381">
        <f>LM84-LN84</f>
        <v/>
      </c>
      <c r="LP84" s="382">
        <f>LO84/LN84</f>
        <v/>
      </c>
      <c r="LQ84" s="182" t="n">
        <v>-0.0167</v>
      </c>
      <c r="LR84" s="182" t="n"/>
      <c r="LS84" s="364" t="n"/>
      <c r="LT84" s="365">
        <f>C84</f>
        <v/>
      </c>
      <c r="LU84" s="365" t="n">
        <v>2326862.904</v>
      </c>
      <c r="LV84" s="365">
        <f>LU85</f>
        <v/>
      </c>
      <c r="LW84" s="381">
        <f>LU84-LV84</f>
        <v/>
      </c>
      <c r="LX84" s="382">
        <f>LW84/LV84</f>
        <v/>
      </c>
      <c r="LY84" s="182" t="n">
        <v>-0.018</v>
      </c>
      <c r="LZ84" s="182" t="n"/>
      <c r="MA84" s="364" t="n"/>
      <c r="MB84" s="365">
        <f>C84</f>
        <v/>
      </c>
      <c r="MC84" s="365" t="n">
        <v>1243017.69</v>
      </c>
      <c r="MD84" s="365">
        <f>MC85</f>
        <v/>
      </c>
      <c r="ME84" s="390">
        <f>MC84-MD84</f>
        <v/>
      </c>
      <c r="MF84" s="391">
        <f>ME84/MD84</f>
        <v/>
      </c>
      <c r="MG84" s="182" t="n">
        <v>-0.0181</v>
      </c>
      <c r="MH84" s="182" t="n"/>
      <c r="MI84" s="319" t="n"/>
      <c r="MJ84" s="318" t="n"/>
      <c r="MK84" s="318">
        <f>C84</f>
        <v/>
      </c>
      <c r="ML84" s="318" t="n">
        <v>161505.5354</v>
      </c>
      <c r="MM84" s="13">
        <f>ML85</f>
        <v/>
      </c>
      <c r="MN84" s="318">
        <f>ML84-MM84</f>
        <v/>
      </c>
      <c r="MO84" s="327">
        <f>MN84/MM84</f>
        <v/>
      </c>
      <c r="MP84" s="182" t="n">
        <v>-0.06909999999999999</v>
      </c>
      <c r="MQ84" s="369" t="n"/>
      <c r="MR84" s="369" t="n"/>
      <c r="MS84" s="188" t="n"/>
      <c r="MT84" s="274">
        <f>C84</f>
        <v/>
      </c>
      <c r="MU84" s="188" t="n">
        <v>131614.8</v>
      </c>
      <c r="MV84" s="188">
        <f>MU85</f>
        <v/>
      </c>
      <c r="MW84" s="188">
        <f>MU84-MV84</f>
        <v/>
      </c>
      <c r="MX84" s="271">
        <f>MW84/MV84</f>
        <v/>
      </c>
      <c r="MY84" s="182" t="n">
        <v>-0.0122</v>
      </c>
      <c r="MZ84" s="182" t="n"/>
      <c r="NA84" s="182" t="n"/>
      <c r="NB84" s="188" t="n"/>
      <c r="NC84" s="188">
        <f>C84</f>
        <v/>
      </c>
      <c r="ND84" s="188" t="n">
        <v>34091.48</v>
      </c>
      <c r="NE84" s="188">
        <f>ND85</f>
        <v/>
      </c>
      <c r="NF84" s="188">
        <f>ND84-NE84</f>
        <v/>
      </c>
      <c r="NG84" s="271">
        <f>NF84/NE84</f>
        <v/>
      </c>
      <c r="NH84" s="182" t="n">
        <v>-0.0345</v>
      </c>
      <c r="NI84" s="182" t="n"/>
      <c r="NJ84" s="182" t="n"/>
      <c r="NK84" s="182" t="n"/>
      <c r="NL84" s="188" t="n"/>
      <c r="NM84" s="188">
        <f>C84</f>
        <v/>
      </c>
      <c r="NN84" s="188" t="n">
        <v>2988211.08</v>
      </c>
      <c r="NO84" s="9">
        <f>NN85</f>
        <v/>
      </c>
      <c r="NP84" s="188">
        <f>NN84-NO84</f>
        <v/>
      </c>
      <c r="NQ84" s="271">
        <f>NP84/NO84</f>
        <v/>
      </c>
      <c r="NR84" s="272" t="n">
        <v>0.0044</v>
      </c>
      <c r="NS84" s="188" t="n"/>
      <c r="NT84" s="273" t="n"/>
      <c r="NU84" s="188">
        <f>C84</f>
        <v/>
      </c>
      <c r="NV84" s="188" t="n">
        <v>268376.5</v>
      </c>
      <c r="NW84" s="188">
        <f>NV85</f>
        <v/>
      </c>
      <c r="NX84" s="188">
        <f>NV84-NW84</f>
        <v/>
      </c>
      <c r="NY84" s="271">
        <f>NX84/NW84</f>
        <v/>
      </c>
      <c r="NZ84" s="366" t="n">
        <v>-0.033</v>
      </c>
      <c r="OA84" s="364" t="n"/>
      <c r="OB84" s="364" t="n"/>
      <c r="OC84" s="365">
        <f>C84</f>
        <v/>
      </c>
      <c r="OD84" s="185" t="n">
        <v>18012.97</v>
      </c>
      <c r="OE84" s="365">
        <f>OD85</f>
        <v/>
      </c>
      <c r="OF84" s="323">
        <f>OD84-OE84</f>
        <v/>
      </c>
      <c r="OG84" s="324">
        <f>OF84/OE84</f>
        <v/>
      </c>
      <c r="OH84" s="182" t="n">
        <v>0.0015</v>
      </c>
      <c r="OI84" s="182" t="n"/>
      <c r="OJ84" s="364" t="n"/>
      <c r="OK84" s="365">
        <f>C84</f>
        <v/>
      </c>
      <c r="OL84" s="185" t="n">
        <v>14558.65</v>
      </c>
      <c r="OM84" s="9">
        <f>OL85</f>
        <v/>
      </c>
      <c r="ON84" s="9">
        <f>OL84-OM84</f>
        <v/>
      </c>
      <c r="OO84" s="182">
        <f>ON84/OM84</f>
        <v/>
      </c>
      <c r="OP84" s="182" t="n">
        <v>0.0003</v>
      </c>
      <c r="OQ84" s="182" t="n"/>
      <c r="OT84" s="201">
        <f>OK84</f>
        <v/>
      </c>
      <c r="OU84" s="199" t="n">
        <v>152472.4066</v>
      </c>
      <c r="OV84" s="9">
        <f>OU85</f>
        <v/>
      </c>
      <c r="OW84" s="671">
        <f>OU84-OV84</f>
        <v/>
      </c>
      <c r="OX84" s="182">
        <f>OW84/OV84</f>
        <v/>
      </c>
      <c r="OY84" s="0" t="n">
        <v>-0.0116</v>
      </c>
    </row>
    <row r="85" ht="17" customFormat="1" customHeight="1" s="9">
      <c r="A85" s="631" t="n"/>
      <c r="B85" s="631" t="n"/>
      <c r="C85" s="693" t="inlineStr">
        <is>
          <t>2026//7/16</t>
        </is>
      </c>
      <c r="D85" s="362" t="n">
        <v>1970148.77</v>
      </c>
      <c r="E85" s="362">
        <f>D86</f>
        <v/>
      </c>
      <c r="F85" s="375">
        <f>D85-E85</f>
        <v/>
      </c>
      <c r="G85" s="376">
        <f>F85/E85</f>
        <v/>
      </c>
      <c r="H85" s="19" t="n">
        <v>-0.0176</v>
      </c>
      <c r="I85" s="111" t="n"/>
      <c r="J85" s="111" t="n"/>
      <c r="K85" s="362">
        <f>C85</f>
        <v/>
      </c>
      <c r="L85" s="362" t="n">
        <v>996994.4</v>
      </c>
      <c r="M85" s="362">
        <f>L86</f>
        <v/>
      </c>
      <c r="N85" s="375">
        <f>L85-M85</f>
        <v/>
      </c>
      <c r="O85" s="376">
        <f>N85/M85</f>
        <v/>
      </c>
      <c r="P85" s="19" t="n">
        <v>-0.0177</v>
      </c>
      <c r="Q85" s="111" t="n"/>
      <c r="R85" s="114" t="n"/>
      <c r="S85" s="362">
        <f>C85</f>
        <v/>
      </c>
      <c r="T85" s="362" t="n">
        <v>815016.6800000001</v>
      </c>
      <c r="U85" s="362">
        <f>T86</f>
        <v/>
      </c>
      <c r="V85" s="375">
        <f>T85-U85</f>
        <v/>
      </c>
      <c r="W85" s="376">
        <f>V85/U85</f>
        <v/>
      </c>
      <c r="X85" s="19" t="n">
        <v>-0.0196</v>
      </c>
      <c r="Y85" s="111" t="n"/>
      <c r="Z85" s="114" t="n"/>
      <c r="AA85" s="362">
        <f>S85</f>
        <v/>
      </c>
      <c r="AB85" s="362" t="n">
        <v>572216.86</v>
      </c>
      <c r="AC85" s="362">
        <f>AB86</f>
        <v/>
      </c>
      <c r="AD85" s="375">
        <f>AB85-AC85</f>
        <v/>
      </c>
      <c r="AE85" s="376">
        <f>AD85/AC85</f>
        <v/>
      </c>
      <c r="AF85" s="19" t="n">
        <v>-0.0239</v>
      </c>
      <c r="AG85" s="111" t="n"/>
      <c r="AH85" s="114" t="n"/>
      <c r="AI85" s="362">
        <f>C85</f>
        <v/>
      </c>
      <c r="AJ85" s="362" t="n">
        <v>870521.76</v>
      </c>
      <c r="AK85" s="362">
        <f>AJ86</f>
        <v/>
      </c>
      <c r="AL85" s="375">
        <f>AJ85-AK85</f>
        <v/>
      </c>
      <c r="AM85" s="376">
        <f>AL85/AK85</f>
        <v/>
      </c>
      <c r="AN85" s="19" t="n">
        <v>-0.0243</v>
      </c>
      <c r="AO85" s="19" t="n"/>
      <c r="AP85" s="114" t="n"/>
      <c r="AQ85" s="362">
        <f>C85</f>
        <v/>
      </c>
      <c r="AR85" s="697" t="n">
        <v>1302445.4936</v>
      </c>
      <c r="AS85" s="362">
        <f>AR86</f>
        <v/>
      </c>
      <c r="AT85" s="393">
        <f>AR85-AS85</f>
        <v/>
      </c>
      <c r="AU85" s="394">
        <f>AT85/AS85</f>
        <v/>
      </c>
      <c r="AV85" s="19" t="n">
        <v>-0.0274</v>
      </c>
      <c r="AW85" s="19" t="n"/>
      <c r="AX85" s="5" t="n"/>
      <c r="AY85" s="188" t="n"/>
      <c r="AZ85" s="188">
        <f>C85</f>
        <v/>
      </c>
      <c r="BA85" s="188" t="n">
        <v>568371.6676</v>
      </c>
      <c r="BB85" s="188">
        <f>BA86</f>
        <v/>
      </c>
      <c r="BC85" s="188">
        <f>BA85-BB85</f>
        <v/>
      </c>
      <c r="BD85" s="271">
        <f>BC85/BB85</f>
        <v/>
      </c>
      <c r="BE85" s="19" t="n">
        <v>-0.0182</v>
      </c>
      <c r="BF85" s="19" t="n"/>
      <c r="BG85" s="647" t="n"/>
      <c r="BH85" s="363">
        <f>C85</f>
        <v/>
      </c>
      <c r="BI85" s="363" t="n">
        <v>1097626.5525</v>
      </c>
      <c r="BJ85" s="363">
        <f>BI86</f>
        <v/>
      </c>
      <c r="BK85" s="395">
        <f>BI85-BJ85</f>
        <v/>
      </c>
      <c r="BL85" s="396">
        <f>BK85/BJ85</f>
        <v/>
      </c>
      <c r="BM85" s="191" t="n">
        <v>-0.0371</v>
      </c>
      <c r="BN85" s="182" t="n"/>
      <c r="BO85" s="364" t="n"/>
      <c r="BP85" s="365">
        <f>C85</f>
        <v/>
      </c>
      <c r="BQ85" s="694" t="n">
        <v>1175162.3921</v>
      </c>
      <c r="BR85" s="365">
        <f>BQ86</f>
        <v/>
      </c>
      <c r="BS85" s="386">
        <f>BQ85-BR85</f>
        <v/>
      </c>
      <c r="BT85" s="387">
        <f>BS85/BR85</f>
        <v/>
      </c>
      <c r="BU85" s="182" t="n">
        <v>0.0073</v>
      </c>
      <c r="BV85" s="182" t="n"/>
      <c r="BW85" s="364" t="n"/>
      <c r="BX85" s="365">
        <f>C85</f>
        <v/>
      </c>
      <c r="BY85" s="365" t="n">
        <v>1777360.7019</v>
      </c>
      <c r="BZ85" s="365">
        <f>BY86</f>
        <v/>
      </c>
      <c r="CA85" s="381">
        <f>BY85-BZ85</f>
        <v/>
      </c>
      <c r="CB85" s="382">
        <f>CA85/BZ85</f>
        <v/>
      </c>
      <c r="CC85" s="182" t="n">
        <v>-0.031</v>
      </c>
      <c r="CD85" s="383" t="n"/>
      <c r="CE85" s="364" t="n"/>
      <c r="CF85" s="365">
        <f>C85</f>
        <v/>
      </c>
      <c r="CG85" s="365" t="n">
        <v>1231303.9</v>
      </c>
      <c r="CH85" s="13">
        <f>CG86</f>
        <v/>
      </c>
      <c r="CI85" s="13">
        <f>CG85-CH85</f>
        <v/>
      </c>
      <c r="CJ85" s="193">
        <f>CI85/CH85</f>
        <v/>
      </c>
      <c r="CK85" s="182" t="n">
        <v>-0.0081</v>
      </c>
      <c r="CL85" s="366" t="n"/>
      <c r="CM85" s="364" t="n"/>
      <c r="CN85" s="365">
        <f>C85</f>
        <v/>
      </c>
      <c r="CO85" s="365" t="n">
        <v>523946.48</v>
      </c>
      <c r="CP85" s="365">
        <f>CO86</f>
        <v/>
      </c>
      <c r="CQ85" s="13">
        <f>CO85-CP85</f>
        <v/>
      </c>
      <c r="CR85" s="193">
        <f>CQ85/CP85</f>
        <v/>
      </c>
      <c r="CS85" s="366" t="n">
        <v>-0.0095</v>
      </c>
      <c r="CT85" s="366" t="n"/>
      <c r="CU85" s="364" t="n"/>
      <c r="CV85" s="365">
        <f>C85</f>
        <v/>
      </c>
      <c r="CW85" s="365" t="n">
        <v>585790.4</v>
      </c>
      <c r="CX85" s="365">
        <f>CW86</f>
        <v/>
      </c>
      <c r="CY85" s="390">
        <f>CW85-CX85</f>
        <v/>
      </c>
      <c r="CZ85" s="391">
        <f>CY85/CX85</f>
        <v/>
      </c>
      <c r="DA85" s="182" t="n">
        <v>0.0041</v>
      </c>
      <c r="DB85" s="182" t="n"/>
      <c r="DC85" s="256" t="n"/>
      <c r="DD85" s="365">
        <f>C85</f>
        <v/>
      </c>
      <c r="DE85" s="365" t="n">
        <v>5461435.9972</v>
      </c>
      <c r="DF85" s="13">
        <f>DE86</f>
        <v/>
      </c>
      <c r="DG85" s="381">
        <f>DE85-DF85</f>
        <v/>
      </c>
      <c r="DH85" s="382">
        <f>DG85/DF85</f>
        <v/>
      </c>
      <c r="DI85" s="182" t="n">
        <v>-0.076</v>
      </c>
      <c r="DJ85" s="182" t="n"/>
      <c r="DK85" s="364" t="n"/>
      <c r="DL85" s="365">
        <f>C85</f>
        <v/>
      </c>
      <c r="DM85" s="365" t="n">
        <v>1851000.72</v>
      </c>
      <c r="DN85" s="365">
        <f>DM86</f>
        <v/>
      </c>
      <c r="DO85" s="386">
        <f>DM85-DN85</f>
        <v/>
      </c>
      <c r="DP85" s="387">
        <f>DO85/DN85</f>
        <v/>
      </c>
      <c r="DQ85" s="182" t="n">
        <v>-0.0593</v>
      </c>
      <c r="DR85" s="182" t="n"/>
      <c r="DS85" s="364" t="n"/>
      <c r="DT85" s="365">
        <f>C85</f>
        <v/>
      </c>
      <c r="DU85" s="365" t="n">
        <v>1423589.48</v>
      </c>
      <c r="DV85" s="365">
        <f>DU86</f>
        <v/>
      </c>
      <c r="DW85" s="381">
        <f>DU85-DV85</f>
        <v/>
      </c>
      <c r="DX85" s="382">
        <f>DW85/DV85</f>
        <v/>
      </c>
      <c r="DY85" s="182" t="n">
        <v>-0.051</v>
      </c>
      <c r="DZ85" s="182" t="n"/>
      <c r="EA85" s="364" t="n"/>
      <c r="EB85" s="365">
        <f>C85</f>
        <v/>
      </c>
      <c r="EC85" s="365" t="n">
        <v>3464666.82</v>
      </c>
      <c r="ED85" s="365">
        <f>EC86</f>
        <v/>
      </c>
      <c r="EE85" s="388">
        <f>EC85-ED85</f>
        <v/>
      </c>
      <c r="EF85" s="389">
        <f>EE85/ED85</f>
        <v/>
      </c>
      <c r="EG85" s="182" t="n">
        <v>-0.0409</v>
      </c>
      <c r="EH85" s="182" t="n"/>
      <c r="EI85" s="364" t="n"/>
      <c r="EJ85" s="365">
        <f>C85</f>
        <v/>
      </c>
      <c r="EK85" s="365" t="n">
        <v>1141722.9669</v>
      </c>
      <c r="EL85" s="365">
        <f>EK86</f>
        <v/>
      </c>
      <c r="EM85" s="390">
        <f>EK85-EL85</f>
        <v/>
      </c>
      <c r="EN85" s="391">
        <f>EM85/EL85</f>
        <v/>
      </c>
      <c r="EO85" s="182" t="n">
        <v>-0.0241</v>
      </c>
      <c r="EP85" s="182" t="n"/>
      <c r="EQ85" s="317" t="n"/>
      <c r="ER85" s="318">
        <f>C85</f>
        <v/>
      </c>
      <c r="ES85" s="318" t="n">
        <v>749894.04</v>
      </c>
      <c r="ET85" s="318">
        <f>ES86</f>
        <v/>
      </c>
      <c r="EU85" s="318">
        <f>ES85-ET85</f>
        <v/>
      </c>
      <c r="EV85" s="327">
        <f>EU85/ET85</f>
        <v/>
      </c>
      <c r="EW85" s="182" t="n">
        <v>-0.0234</v>
      </c>
      <c r="EX85" s="182" t="n"/>
      <c r="EY85" s="364" t="n"/>
      <c r="EZ85" s="365">
        <f>C85</f>
        <v/>
      </c>
      <c r="FA85" s="365" t="n">
        <v>572808</v>
      </c>
      <c r="FB85" s="365">
        <f>FA86</f>
        <v/>
      </c>
      <c r="FC85" s="381">
        <f>FA85-FB85</f>
        <v/>
      </c>
      <c r="FD85" s="382">
        <f>FC85/FB85</f>
        <v/>
      </c>
      <c r="FE85" s="182" t="n">
        <v>-0.0201</v>
      </c>
      <c r="FF85" s="182" t="n"/>
      <c r="FH85" s="365">
        <f>C85</f>
        <v/>
      </c>
      <c r="FI85" s="694" t="n">
        <v>1195595.3365</v>
      </c>
      <c r="FJ85" s="365">
        <f>FI86</f>
        <v/>
      </c>
      <c r="FK85" s="325">
        <f>FI85-FJ85</f>
        <v/>
      </c>
      <c r="FL85" s="326">
        <f>FK85/FJ85</f>
        <v/>
      </c>
      <c r="FM85" s="366" t="n">
        <v>-0.0354</v>
      </c>
      <c r="FN85" s="366" t="n"/>
      <c r="FO85" s="364" t="n"/>
      <c r="FP85" s="365">
        <f>C85</f>
        <v/>
      </c>
      <c r="FQ85" s="365" t="n">
        <v>1737118.73</v>
      </c>
      <c r="FR85" s="365">
        <f>FQ86</f>
        <v/>
      </c>
      <c r="FS85" s="397">
        <f>FQ85-FR85</f>
        <v/>
      </c>
      <c r="FT85" s="398">
        <f>FS85/FR85</f>
        <v/>
      </c>
      <c r="FU85" s="182" t="n">
        <v>-0.0163</v>
      </c>
      <c r="FV85" s="182" t="n"/>
      <c r="FW85" s="364" t="n"/>
      <c r="FX85" s="365">
        <f>C85</f>
        <v/>
      </c>
      <c r="FY85" s="365" t="n">
        <v>7919082.05</v>
      </c>
      <c r="FZ85" s="365">
        <f>FY86</f>
        <v/>
      </c>
      <c r="GA85" s="390">
        <f>FY85-FZ85</f>
        <v/>
      </c>
      <c r="GB85" s="391">
        <f>GA85/FZ85</f>
        <v/>
      </c>
      <c r="GC85" s="182" t="n">
        <v>0.003</v>
      </c>
      <c r="GD85" s="182" t="n"/>
      <c r="GE85" s="364" t="n"/>
      <c r="GF85" s="365">
        <f>C85</f>
        <v/>
      </c>
      <c r="GG85" s="365" t="n">
        <v>4674769.49</v>
      </c>
      <c r="GH85" s="365">
        <f>GG86</f>
        <v/>
      </c>
      <c r="GI85" s="390">
        <f>GG85-GH85</f>
        <v/>
      </c>
      <c r="GJ85" s="391">
        <f>GI85/GH85</f>
        <v/>
      </c>
      <c r="GK85" s="182" t="n">
        <v>-0.0026</v>
      </c>
      <c r="GL85" s="182" t="n"/>
      <c r="GM85" s="364" t="n"/>
      <c r="GN85" s="365">
        <f>C85</f>
        <v/>
      </c>
      <c r="GO85" s="365" t="n">
        <v>1999498.1217</v>
      </c>
      <c r="GP85" s="365">
        <f>GO86</f>
        <v/>
      </c>
      <c r="GQ85" s="390">
        <f>GO85-GP85</f>
        <v/>
      </c>
      <c r="GR85" s="391">
        <f>GQ85/GP85</f>
        <v/>
      </c>
      <c r="GS85" s="182" t="n">
        <v>-0.0033</v>
      </c>
      <c r="GT85" s="182" t="n"/>
      <c r="GU85" s="364" t="n"/>
      <c r="GV85" s="365">
        <f>C85</f>
        <v/>
      </c>
      <c r="GW85" s="365" t="n">
        <v>680549.4</v>
      </c>
      <c r="GX85" s="365">
        <f>GW86</f>
        <v/>
      </c>
      <c r="GY85" s="386">
        <f>GW85-GX85</f>
        <v/>
      </c>
      <c r="GZ85" s="387">
        <f>GY85/GX85</f>
        <v/>
      </c>
      <c r="HA85" s="182" t="n">
        <v>-0.0282</v>
      </c>
      <c r="HB85" s="182" t="n"/>
      <c r="HC85" s="364" t="n"/>
      <c r="HD85" s="365">
        <f>C85</f>
        <v/>
      </c>
      <c r="HE85" s="365" t="n">
        <v>914964.6746</v>
      </c>
      <c r="HF85" s="365">
        <f>HE86</f>
        <v/>
      </c>
      <c r="HG85" s="388">
        <f>HE85-HF85</f>
        <v/>
      </c>
      <c r="HH85" s="389">
        <f>HG85/HF85</f>
        <v/>
      </c>
      <c r="HI85" s="182" t="n">
        <v>-0.0177</v>
      </c>
      <c r="HJ85" s="182" t="n"/>
      <c r="HK85" s="364" t="n"/>
      <c r="HL85" s="365">
        <f>C85</f>
        <v/>
      </c>
      <c r="HM85" s="365" t="n">
        <v>112554.25</v>
      </c>
      <c r="HN85" s="365">
        <f>HM86</f>
        <v/>
      </c>
      <c r="HO85" s="381">
        <f>HM85-HN85</f>
        <v/>
      </c>
      <c r="HP85" s="382">
        <f>HO85/HN85</f>
        <v/>
      </c>
      <c r="HQ85" s="182" t="n">
        <v>-0.0163</v>
      </c>
      <c r="HR85" s="182" t="n"/>
      <c r="HS85" s="364" t="n"/>
      <c r="HT85" s="365">
        <f>C85</f>
        <v/>
      </c>
      <c r="HU85" s="365" t="n">
        <v>117468.8265</v>
      </c>
      <c r="HV85" s="365">
        <f>HU86</f>
        <v/>
      </c>
      <c r="HW85" s="381">
        <f>HU85-HV85</f>
        <v/>
      </c>
      <c r="HX85" s="382">
        <f>HW85/HV85</f>
        <v/>
      </c>
      <c r="HY85" s="182" t="n">
        <v>-0.0075</v>
      </c>
      <c r="HZ85" s="182" t="n"/>
      <c r="IA85" s="364" t="n"/>
      <c r="IB85" s="365">
        <f>C85</f>
        <v/>
      </c>
      <c r="IC85" s="185" t="n">
        <v>278709.79</v>
      </c>
      <c r="ID85" s="185">
        <f>IC86</f>
        <v/>
      </c>
      <c r="IE85" s="323">
        <f>IC85-ID85</f>
        <v/>
      </c>
      <c r="IF85" s="324">
        <f>IE85/ID85</f>
        <v/>
      </c>
      <c r="IG85" s="366" t="n">
        <v>0.0126</v>
      </c>
      <c r="IH85" s="182" t="n"/>
      <c r="II85" s="364" t="n"/>
      <c r="IJ85" s="365">
        <f>C85</f>
        <v/>
      </c>
      <c r="IK85" s="365" t="n">
        <v>897196.29</v>
      </c>
      <c r="IL85" s="365">
        <f>IK86</f>
        <v/>
      </c>
      <c r="IM85" s="388">
        <f>IK85-IL85</f>
        <v/>
      </c>
      <c r="IN85" s="389">
        <f>IM85/IL85</f>
        <v/>
      </c>
      <c r="IO85" s="182" t="n">
        <v>-0.0165</v>
      </c>
      <c r="IP85" s="182" t="n"/>
      <c r="IQ85" s="364" t="n"/>
      <c r="IR85" s="365">
        <f>C85</f>
        <v/>
      </c>
      <c r="IS85" s="365" t="n">
        <v>161389</v>
      </c>
      <c r="IT85" s="365">
        <f>IS86</f>
        <v/>
      </c>
      <c r="IU85" s="390">
        <f>IS85-IT85</f>
        <v/>
      </c>
      <c r="IV85" s="391">
        <f>IU85/IT85</f>
        <v/>
      </c>
      <c r="IW85" s="182" t="n">
        <v>0.0116</v>
      </c>
      <c r="IX85" s="182" t="n"/>
      <c r="IY85" s="364" t="n"/>
      <c r="IZ85" s="365">
        <f>C85</f>
        <v/>
      </c>
      <c r="JA85" s="365" t="n">
        <v>5636029.15</v>
      </c>
      <c r="JB85" s="365">
        <f>JA86</f>
        <v/>
      </c>
      <c r="JC85" s="386">
        <f>JA85-JB85</f>
        <v/>
      </c>
      <c r="JD85" s="387">
        <f>JC85/JB85</f>
        <v/>
      </c>
      <c r="JE85" s="182" t="n">
        <v>-0.015</v>
      </c>
      <c r="JF85" s="182" t="n"/>
      <c r="JG85" s="364" t="n"/>
      <c r="JH85" s="365">
        <f>C85</f>
        <v/>
      </c>
      <c r="JI85" s="365" t="n">
        <v>1504647.99</v>
      </c>
      <c r="JJ85" s="365">
        <f>JI86</f>
        <v/>
      </c>
      <c r="JK85" s="381">
        <f>JI85-JJ85</f>
        <v/>
      </c>
      <c r="JL85" s="382">
        <f>JK85/JJ85</f>
        <v/>
      </c>
      <c r="JM85" s="182" t="n">
        <v>-0.0101</v>
      </c>
      <c r="JN85" s="182" t="n"/>
      <c r="JP85" s="365">
        <f>C85</f>
        <v/>
      </c>
      <c r="JQ85" s="365" t="n">
        <v>1042890.4148</v>
      </c>
      <c r="JR85" s="365">
        <f>JQ86</f>
        <v/>
      </c>
      <c r="JS85" s="390">
        <f>JQ85-JR85</f>
        <v/>
      </c>
      <c r="JT85" s="391">
        <f>JS85/JR85</f>
        <v/>
      </c>
      <c r="JU85" s="182" t="n">
        <v>0.0051</v>
      </c>
      <c r="JV85" s="366" t="n"/>
      <c r="JX85" s="365">
        <f>C85</f>
        <v/>
      </c>
      <c r="JY85" s="365" t="n">
        <v>1022398.8</v>
      </c>
      <c r="JZ85" s="365">
        <f>JY86</f>
        <v/>
      </c>
      <c r="KA85" s="388">
        <f>JY85-JZ85</f>
        <v/>
      </c>
      <c r="KB85" s="389">
        <f>KA85/JZ85</f>
        <v/>
      </c>
      <c r="KC85" s="182" t="n">
        <v>-0.0011</v>
      </c>
      <c r="KD85" s="366" t="n"/>
      <c r="KF85" s="365">
        <f>C85</f>
        <v/>
      </c>
      <c r="KG85" s="365" t="n">
        <v>646355.9219</v>
      </c>
      <c r="KH85" s="365">
        <f>KG86</f>
        <v/>
      </c>
      <c r="KI85" s="388">
        <f>KG85-KH85</f>
        <v/>
      </c>
      <c r="KJ85" s="389">
        <f>KI85/KH85</f>
        <v/>
      </c>
      <c r="KK85" s="182" t="n">
        <v>0.0109</v>
      </c>
      <c r="KL85" s="182" t="n"/>
      <c r="KM85" s="364" t="n"/>
      <c r="KN85" s="365">
        <f>C85</f>
        <v/>
      </c>
      <c r="KO85" s="365" t="n">
        <v>6982775.95</v>
      </c>
      <c r="KP85" s="365">
        <f>KO86</f>
        <v/>
      </c>
      <c r="KQ85" s="381">
        <f>KO85-KP85</f>
        <v/>
      </c>
      <c r="KR85" s="382">
        <f>KQ85/KP85</f>
        <v/>
      </c>
      <c r="KS85" s="182" t="n">
        <v>0.0166</v>
      </c>
      <c r="KT85" s="182" t="n"/>
      <c r="KU85" s="364" t="n"/>
      <c r="KV85" s="365">
        <f>C85</f>
        <v/>
      </c>
      <c r="KW85" s="365" t="n">
        <v>1091172.9726</v>
      </c>
      <c r="KX85" s="365">
        <f>KW86</f>
        <v/>
      </c>
      <c r="KY85" s="365">
        <f>KW85-KX85</f>
        <v/>
      </c>
      <c r="KZ85" s="366">
        <f>KY85/KX85</f>
        <v/>
      </c>
      <c r="LA85" s="366" t="n">
        <v>-0.0042</v>
      </c>
      <c r="LB85" s="182" t="n"/>
      <c r="LC85" s="364" t="n"/>
      <c r="LD85" s="365">
        <f>C85</f>
        <v/>
      </c>
      <c r="LE85" s="185" t="n">
        <v>370157.7</v>
      </c>
      <c r="LF85" s="365">
        <f>LE86</f>
        <v/>
      </c>
      <c r="LG85" s="323">
        <f>LE85-LF85</f>
        <v/>
      </c>
      <c r="LH85" s="324">
        <f>LG85/LF85</f>
        <v/>
      </c>
      <c r="LI85" s="182" t="n">
        <v>-0.025</v>
      </c>
      <c r="LJ85" s="182" t="n"/>
      <c r="LK85" s="364" t="n"/>
      <c r="LL85" s="365">
        <f>C85</f>
        <v/>
      </c>
      <c r="LM85" s="694" t="n">
        <v>3399235.02</v>
      </c>
      <c r="LN85" s="365">
        <f>LM86</f>
        <v/>
      </c>
      <c r="LO85" s="390">
        <f>LM85-LN85</f>
        <v/>
      </c>
      <c r="LP85" s="391">
        <f>LO85/LN85</f>
        <v/>
      </c>
      <c r="LQ85" s="182" t="n">
        <v>0.009599999999999999</v>
      </c>
      <c r="LR85" s="182" t="n"/>
      <c r="LS85" s="364" t="n"/>
      <c r="LT85" s="365">
        <f>C85</f>
        <v/>
      </c>
      <c r="LU85" s="365" t="n">
        <v>2329262.904</v>
      </c>
      <c r="LV85" s="365">
        <f>LU86</f>
        <v/>
      </c>
      <c r="LW85" s="390">
        <f>LU85-LV85</f>
        <v/>
      </c>
      <c r="LX85" s="391">
        <f>LW85/LV85</f>
        <v/>
      </c>
      <c r="LY85" s="182" t="n">
        <v>0.0137</v>
      </c>
      <c r="LZ85" s="182" t="n"/>
      <c r="MA85" s="364" t="n"/>
      <c r="MB85" s="365">
        <f>C85</f>
        <v/>
      </c>
      <c r="MC85" s="365" t="n">
        <v>1336567.69</v>
      </c>
      <c r="MD85" s="365">
        <f>MC86</f>
        <v/>
      </c>
      <c r="ME85" s="390">
        <f>MC85-MD85</f>
        <v/>
      </c>
      <c r="MF85" s="391">
        <f>ME85/MD85</f>
        <v/>
      </c>
      <c r="MG85" s="182" t="n">
        <v>-0.0228</v>
      </c>
      <c r="MH85" s="182" t="n"/>
      <c r="MI85" s="319" t="n"/>
      <c r="MJ85" s="318" t="n"/>
      <c r="MK85" s="318">
        <f>C85</f>
        <v/>
      </c>
      <c r="ML85" s="318" t="n">
        <v>173025.5354</v>
      </c>
      <c r="MM85" s="13">
        <f>ML86</f>
        <v/>
      </c>
      <c r="MN85" s="318">
        <f>ML85-MM85</f>
        <v/>
      </c>
      <c r="MO85" s="327">
        <f>MN85/MM85</f>
        <v/>
      </c>
      <c r="MP85" s="182" t="n">
        <v>-0.001</v>
      </c>
      <c r="MQ85" s="369" t="n"/>
      <c r="MR85" s="369" t="n"/>
      <c r="MS85" s="188" t="n"/>
      <c r="MT85" s="274">
        <f>C85</f>
        <v/>
      </c>
      <c r="MU85" s="188" t="n">
        <v>133314.8</v>
      </c>
      <c r="MV85" s="188">
        <f>MU86</f>
        <v/>
      </c>
      <c r="MW85" s="188">
        <f>MU85-MV85</f>
        <v/>
      </c>
      <c r="MX85" s="271">
        <f>MW85/MV85</f>
        <v/>
      </c>
      <c r="MY85" s="182" t="n">
        <v>-0.0275</v>
      </c>
      <c r="MZ85" s="182" t="n"/>
      <c r="NA85" s="182" t="n"/>
      <c r="NB85" s="188" t="n"/>
      <c r="NC85" s="188">
        <f>C85</f>
        <v/>
      </c>
      <c r="ND85" s="188" t="n">
        <v>34291.48</v>
      </c>
      <c r="NE85" s="188">
        <f>ND86</f>
        <v/>
      </c>
      <c r="NF85" s="188">
        <f>ND85-NE85</f>
        <v/>
      </c>
      <c r="NG85" s="271">
        <f>NF85/NE85</f>
        <v/>
      </c>
      <c r="NH85" s="182" t="n">
        <v>-0.0184</v>
      </c>
      <c r="NI85" s="182" t="n"/>
      <c r="NJ85" s="182" t="n"/>
      <c r="NK85" s="182" t="n"/>
      <c r="NL85" s="188" t="n"/>
      <c r="NM85" s="188">
        <f>C85</f>
        <v/>
      </c>
      <c r="NN85" s="188" t="n">
        <v>3017411.08</v>
      </c>
      <c r="NO85" s="9">
        <f>NN86</f>
        <v/>
      </c>
      <c r="NP85" s="188">
        <f>NN85-NO85</f>
        <v/>
      </c>
      <c r="NQ85" s="271">
        <f>NP85/NO85</f>
        <v/>
      </c>
      <c r="NR85" s="272" t="n">
        <v>-0.0095</v>
      </c>
      <c r="NS85" s="188" t="n"/>
      <c r="NT85" s="273" t="n"/>
      <c r="NU85" s="188">
        <f>C85</f>
        <v/>
      </c>
      <c r="NV85" s="188" t="n">
        <v>265876.5</v>
      </c>
      <c r="NW85" s="188">
        <f>NV86</f>
        <v/>
      </c>
      <c r="NX85" s="188">
        <f>NV85-NW85</f>
        <v/>
      </c>
      <c r="NY85" s="271">
        <f>NX85/NW85</f>
        <v/>
      </c>
      <c r="NZ85" s="366" t="n">
        <v>0.0218</v>
      </c>
      <c r="OA85" s="364" t="n"/>
      <c r="OB85" s="364" t="n"/>
      <c r="OC85" s="365">
        <f>C85</f>
        <v/>
      </c>
      <c r="OD85" s="365" t="n">
        <v>18069.97</v>
      </c>
      <c r="OE85" s="365">
        <f>OD86</f>
        <v/>
      </c>
      <c r="OF85" s="388">
        <f>OD85-OE85</f>
        <v/>
      </c>
      <c r="OG85" s="389">
        <f>OF85/OE85</f>
        <v/>
      </c>
      <c r="OH85" s="182" t="n">
        <v>-0.0018</v>
      </c>
      <c r="OI85" s="182" t="n"/>
      <c r="OJ85" s="364" t="n"/>
      <c r="OK85" s="365">
        <f>C85</f>
        <v/>
      </c>
      <c r="OL85" s="185" t="n">
        <v>14536.65</v>
      </c>
      <c r="OM85" s="9">
        <f>OL86</f>
        <v/>
      </c>
      <c r="ON85" s="9">
        <f>OL85-OM85</f>
        <v/>
      </c>
      <c r="OO85" s="182">
        <f>ON85/OM85</f>
        <v/>
      </c>
      <c r="OP85" s="182" t="n">
        <v>-0.0001</v>
      </c>
      <c r="OQ85" s="182" t="n"/>
      <c r="OT85" s="201">
        <f>OK85</f>
        <v/>
      </c>
      <c r="OU85" s="199" t="n">
        <v>152352.4066</v>
      </c>
      <c r="OV85" s="9">
        <f>OU86</f>
        <v/>
      </c>
      <c r="OW85" s="671">
        <f>OU85-OV85</f>
        <v/>
      </c>
      <c r="OX85" s="182">
        <f>OW85/OV85</f>
        <v/>
      </c>
      <c r="OY85" s="0" t="n">
        <v>-0.0372</v>
      </c>
    </row>
    <row r="86" ht="17" customFormat="1" customHeight="1" s="10">
      <c r="A86" s="674" t="n"/>
      <c r="B86" s="674" t="n"/>
      <c r="C86" s="698" t="inlineStr">
        <is>
          <t>2026//7/15</t>
        </is>
      </c>
      <c r="D86" s="400" t="n">
        <v>1839558.77</v>
      </c>
      <c r="E86" s="400">
        <f>D87</f>
        <v/>
      </c>
      <c r="F86" s="401">
        <f>D86-E86</f>
        <v/>
      </c>
      <c r="G86" s="402">
        <f>F86/E86</f>
        <v/>
      </c>
      <c r="H86" s="228" t="n">
        <v>0.0002</v>
      </c>
      <c r="I86" s="403" t="n"/>
      <c r="J86" s="403" t="n"/>
      <c r="K86" s="400">
        <f>C86</f>
        <v/>
      </c>
      <c r="L86" s="400" t="n">
        <v>975394.4</v>
      </c>
      <c r="M86" s="400">
        <f>L87</f>
        <v/>
      </c>
      <c r="N86" s="401">
        <f>L86-M86</f>
        <v/>
      </c>
      <c r="O86" s="402">
        <f>N86/M86</f>
        <v/>
      </c>
      <c r="P86" s="228" t="n">
        <v>-0.0017</v>
      </c>
      <c r="Q86" s="403" t="n"/>
      <c r="R86" s="404" t="n"/>
      <c r="S86" s="400">
        <f>C86</f>
        <v/>
      </c>
      <c r="T86" s="400" t="n">
        <v>726006.6800000001</v>
      </c>
      <c r="U86" s="400">
        <f>T87</f>
        <v/>
      </c>
      <c r="V86" s="401">
        <f>T86-U86</f>
        <v/>
      </c>
      <c r="W86" s="402">
        <f>V86/U86</f>
        <v/>
      </c>
      <c r="X86" s="228" t="n">
        <v>0.002</v>
      </c>
      <c r="Y86" s="403" t="n"/>
      <c r="Z86" s="404" t="n"/>
      <c r="AA86" s="400">
        <f>S86</f>
        <v/>
      </c>
      <c r="AB86" s="400" t="n">
        <v>543656.86</v>
      </c>
      <c r="AC86" s="400">
        <f>AB87</f>
        <v/>
      </c>
      <c r="AD86" s="405">
        <f>AB86-AC86</f>
        <v/>
      </c>
      <c r="AE86" s="406">
        <f>AD86/AC86</f>
        <v/>
      </c>
      <c r="AF86" s="228" t="n">
        <v>-0.0137</v>
      </c>
      <c r="AG86" s="403" t="n"/>
      <c r="AH86" s="404" t="n"/>
      <c r="AI86" s="400">
        <f>C86</f>
        <v/>
      </c>
      <c r="AJ86" s="400" t="n">
        <v>754521.76</v>
      </c>
      <c r="AK86" s="400">
        <f>AJ87</f>
        <v/>
      </c>
      <c r="AL86" s="401">
        <f>AJ86-AK86</f>
        <v/>
      </c>
      <c r="AM86" s="402">
        <f>AL86/AK86</f>
        <v/>
      </c>
      <c r="AN86" s="228" t="n">
        <v>-0.0115</v>
      </c>
      <c r="AO86" s="228" t="n"/>
      <c r="AP86" s="404" t="n"/>
      <c r="AQ86" s="400">
        <f>C86</f>
        <v/>
      </c>
      <c r="AR86" s="699" t="n">
        <v>1245645.4936</v>
      </c>
      <c r="AS86" s="400">
        <f>AR87</f>
        <v/>
      </c>
      <c r="AT86" s="405">
        <f>AR86-AS86</f>
        <v/>
      </c>
      <c r="AU86" s="406">
        <f>AT86/AS86</f>
        <v/>
      </c>
      <c r="AV86" s="228" t="n">
        <v>-0.0101</v>
      </c>
      <c r="AW86" s="228" t="n"/>
      <c r="AX86" s="230" t="n"/>
      <c r="AY86" s="240" t="n"/>
      <c r="AZ86" s="240">
        <f>C86</f>
        <v/>
      </c>
      <c r="BA86" s="240" t="n">
        <v>556941.6676</v>
      </c>
      <c r="BB86" s="240">
        <f>BA87</f>
        <v/>
      </c>
      <c r="BC86" s="240">
        <f>BA86-BB86</f>
        <v/>
      </c>
      <c r="BD86" s="292">
        <f>BC86/BB86</f>
        <v/>
      </c>
      <c r="BE86" s="228" t="n">
        <v>0.0002</v>
      </c>
      <c r="BF86" s="228" t="n"/>
      <c r="BG86" s="675" t="n"/>
      <c r="BH86" s="408">
        <f>C86</f>
        <v/>
      </c>
      <c r="BI86" s="408" t="n">
        <v>1091326.5525</v>
      </c>
      <c r="BJ86" s="408">
        <f>BI87</f>
        <v/>
      </c>
      <c r="BK86" s="409">
        <f>BI86-BJ86</f>
        <v/>
      </c>
      <c r="BL86" s="410">
        <f>BK86/BJ86</f>
        <v/>
      </c>
      <c r="BM86" s="235" t="n">
        <v>-0.0219</v>
      </c>
      <c r="BN86" s="236" t="n"/>
      <c r="BO86" s="411" t="n"/>
      <c r="BP86" s="412">
        <f>C86</f>
        <v/>
      </c>
      <c r="BQ86" s="700" t="n">
        <v>1168662.3921</v>
      </c>
      <c r="BR86" s="412">
        <f>BQ87</f>
        <v/>
      </c>
      <c r="BS86" s="414">
        <f>BQ86-BR86</f>
        <v/>
      </c>
      <c r="BT86" s="415">
        <f>BS86/BR86</f>
        <v/>
      </c>
      <c r="BU86" s="236" t="n">
        <v>0.0119</v>
      </c>
      <c r="BV86" s="236" t="n"/>
      <c r="BW86" s="411" t="n"/>
      <c r="BX86" s="412">
        <f>C86</f>
        <v/>
      </c>
      <c r="BY86" s="412" t="n">
        <v>1781110.7019</v>
      </c>
      <c r="BZ86" s="412">
        <f>BY87</f>
        <v/>
      </c>
      <c r="CA86" s="414">
        <f>BY86-BZ86</f>
        <v/>
      </c>
      <c r="CB86" s="415">
        <f>CA86/BZ86</f>
        <v/>
      </c>
      <c r="CC86" s="236" t="n">
        <v>-0.0039</v>
      </c>
      <c r="CD86" s="416" t="n"/>
      <c r="CE86" s="411" t="n"/>
      <c r="CF86" s="412">
        <f>C86</f>
        <v/>
      </c>
      <c r="CG86" s="412" t="n">
        <v>1232753.9</v>
      </c>
      <c r="CH86" s="14">
        <f>CG87</f>
        <v/>
      </c>
      <c r="CI86" s="14">
        <f>CG86-CH86</f>
        <v/>
      </c>
      <c r="CJ86" s="237">
        <f>CI86/CH86</f>
        <v/>
      </c>
      <c r="CK86" s="236" t="n">
        <v>-0.0197</v>
      </c>
      <c r="CL86" s="416" t="n"/>
      <c r="CM86" s="411" t="n"/>
      <c r="CN86" s="412">
        <f>C86</f>
        <v/>
      </c>
      <c r="CO86" s="412" t="n">
        <v>524646.48</v>
      </c>
      <c r="CP86" s="412">
        <f>CO87</f>
        <v/>
      </c>
      <c r="CQ86" s="14">
        <f>CO86-CP86</f>
        <v/>
      </c>
      <c r="CR86" s="237">
        <f>CQ86/CP86</f>
        <v/>
      </c>
      <c r="CS86" s="416" t="n">
        <v>-0.0175</v>
      </c>
      <c r="CT86" s="416" t="n"/>
      <c r="CU86" s="411" t="n"/>
      <c r="CV86" s="412">
        <f>C86</f>
        <v/>
      </c>
      <c r="CW86" s="412" t="n">
        <v>583190.4</v>
      </c>
      <c r="CX86" s="412">
        <f>CW87</f>
        <v/>
      </c>
      <c r="CY86" s="414">
        <f>CW86-CX86</f>
        <v/>
      </c>
      <c r="CZ86" s="415">
        <f>CY86/CX86</f>
        <v/>
      </c>
      <c r="DA86" s="236" t="n">
        <v>-0.019</v>
      </c>
      <c r="DB86" s="236" t="n"/>
      <c r="DC86" s="255" t="n"/>
      <c r="DD86" s="412">
        <f>C86</f>
        <v/>
      </c>
      <c r="DE86" s="412" t="n">
        <v>5696635.9972</v>
      </c>
      <c r="DF86" s="14">
        <f>DE87</f>
        <v/>
      </c>
      <c r="DG86" s="414">
        <f>DE86-DF86</f>
        <v/>
      </c>
      <c r="DH86" s="415">
        <f>DG86/DF86</f>
        <v/>
      </c>
      <c r="DI86" s="236" t="n">
        <v>-0.0684</v>
      </c>
      <c r="DJ86" s="236" t="n"/>
      <c r="DK86" s="411" t="n"/>
      <c r="DL86" s="412">
        <f>C86</f>
        <v/>
      </c>
      <c r="DM86" s="412" t="n">
        <v>1849400.72</v>
      </c>
      <c r="DN86" s="412">
        <f>DM87</f>
        <v/>
      </c>
      <c r="DO86" s="414">
        <f>DM86-DN86</f>
        <v/>
      </c>
      <c r="DP86" s="415">
        <f>DO86/DN86</f>
        <v/>
      </c>
      <c r="DQ86" s="236" t="n">
        <v>-0.0581</v>
      </c>
      <c r="DR86" s="236" t="n"/>
      <c r="DS86" s="411" t="n"/>
      <c r="DT86" s="412">
        <f>C86</f>
        <v/>
      </c>
      <c r="DU86" s="412" t="n">
        <v>1407089.48</v>
      </c>
      <c r="DV86" s="412">
        <f>DU87</f>
        <v/>
      </c>
      <c r="DW86" s="414">
        <f>DU86-DV86</f>
        <v/>
      </c>
      <c r="DX86" s="415">
        <f>DW86/DV86</f>
        <v/>
      </c>
      <c r="DY86" s="236" t="n">
        <v>-0.0591</v>
      </c>
      <c r="DZ86" s="236" t="n"/>
      <c r="EA86" s="411" t="n"/>
      <c r="EB86" s="412">
        <f>C86</f>
        <v/>
      </c>
      <c r="EC86" s="412" t="n">
        <v>3385766.82</v>
      </c>
      <c r="ED86" s="412">
        <f>EC87</f>
        <v/>
      </c>
      <c r="EE86" s="414">
        <f>EC86-ED86</f>
        <v/>
      </c>
      <c r="EF86" s="415">
        <f>EE86/ED86</f>
        <v/>
      </c>
      <c r="EG86" s="236" t="n">
        <v>-0.0456</v>
      </c>
      <c r="EH86" s="236" t="n"/>
      <c r="EI86" s="411" t="n"/>
      <c r="EJ86" s="412">
        <f>C86</f>
        <v/>
      </c>
      <c r="EK86" s="412" t="n">
        <v>1136322.9669</v>
      </c>
      <c r="EL86" s="412">
        <f>EK87</f>
        <v/>
      </c>
      <c r="EM86" s="414">
        <f>EK86-EL86</f>
        <v/>
      </c>
      <c r="EN86" s="415">
        <f>EM86/EL86</f>
        <v/>
      </c>
      <c r="EO86" s="236" t="n">
        <v>-0.0269</v>
      </c>
      <c r="EP86" s="236" t="n"/>
      <c r="EQ86" s="417" t="n"/>
      <c r="ER86" s="418">
        <f>C86</f>
        <v/>
      </c>
      <c r="ES86" s="418" t="n">
        <v>747094.04</v>
      </c>
      <c r="ET86" s="418">
        <f>ES87</f>
        <v/>
      </c>
      <c r="EU86" s="418">
        <f>ES86-ET86</f>
        <v/>
      </c>
      <c r="EV86" s="419">
        <f>EU86/ET86</f>
        <v/>
      </c>
      <c r="EW86" s="236" t="n">
        <v>-0.0273</v>
      </c>
      <c r="EX86" s="236" t="n"/>
      <c r="EY86" s="411" t="n"/>
      <c r="EZ86" s="412">
        <f>C86</f>
        <v/>
      </c>
      <c r="FA86" s="412" t="n">
        <v>562408</v>
      </c>
      <c r="FB86" s="412">
        <f>FA87</f>
        <v/>
      </c>
      <c r="FC86" s="420">
        <f>FA86-FB86</f>
        <v/>
      </c>
      <c r="FD86" s="421">
        <f>FC86/FB86</f>
        <v/>
      </c>
      <c r="FE86" s="236" t="n">
        <v>-0.013</v>
      </c>
      <c r="FF86" s="236" t="n"/>
      <c r="FH86" s="412">
        <f>C86</f>
        <v/>
      </c>
      <c r="FI86" s="700" t="n">
        <v>1206095.3365</v>
      </c>
      <c r="FJ86" s="412">
        <f>FI87</f>
        <v/>
      </c>
      <c r="FK86" s="414">
        <f>FI86-FJ86</f>
        <v/>
      </c>
      <c r="FL86" s="415">
        <f>FK86/FJ86</f>
        <v/>
      </c>
      <c r="FM86" s="416" t="n">
        <v>-0.0329</v>
      </c>
      <c r="FN86" s="416" t="n"/>
      <c r="FO86" s="411" t="n"/>
      <c r="FP86" s="412">
        <f>C86</f>
        <v/>
      </c>
      <c r="FQ86" s="412" t="n">
        <v>1722868.73</v>
      </c>
      <c r="FR86" s="412">
        <f>FQ87</f>
        <v/>
      </c>
      <c r="FS86" s="420">
        <f>FQ86-FR86</f>
        <v/>
      </c>
      <c r="FT86" s="421">
        <f>FS86/FR86</f>
        <v/>
      </c>
      <c r="FU86" s="236" t="n">
        <v>-0.0038</v>
      </c>
      <c r="FV86" s="236" t="n"/>
      <c r="FW86" s="411" t="n"/>
      <c r="FX86" s="412">
        <f>C86</f>
        <v/>
      </c>
      <c r="FY86" s="412" t="n">
        <v>8039582.05</v>
      </c>
      <c r="FZ86" s="412">
        <f>FY87</f>
        <v/>
      </c>
      <c r="GA86" s="414">
        <f>FY86-FZ86</f>
        <v/>
      </c>
      <c r="GB86" s="415">
        <f>GA86/FZ86</f>
        <v/>
      </c>
      <c r="GC86" s="236" t="n">
        <v>0.0408</v>
      </c>
      <c r="GD86" s="236" t="n"/>
      <c r="GE86" s="411" t="n"/>
      <c r="GF86" s="412">
        <f>C86</f>
        <v/>
      </c>
      <c r="GG86" s="412" t="n">
        <v>4672169.49</v>
      </c>
      <c r="GH86" s="412">
        <f>GG87</f>
        <v/>
      </c>
      <c r="GI86" s="414">
        <f>GG86-GH86</f>
        <v/>
      </c>
      <c r="GJ86" s="415">
        <f>GI86/GH86</f>
        <v/>
      </c>
      <c r="GK86" s="236" t="n">
        <v>0.0327</v>
      </c>
      <c r="GL86" s="236" t="n"/>
      <c r="GM86" s="411" t="n"/>
      <c r="GN86" s="412">
        <f>C86</f>
        <v/>
      </c>
      <c r="GO86" s="412" t="n">
        <v>1978558.1217</v>
      </c>
      <c r="GP86" s="412">
        <f>GO87</f>
        <v/>
      </c>
      <c r="GQ86" s="420">
        <f>GO86-GP86</f>
        <v/>
      </c>
      <c r="GR86" s="421">
        <f>GQ86/GP86</f>
        <v/>
      </c>
      <c r="GS86" s="236" t="n">
        <v>0.0387</v>
      </c>
      <c r="GT86" s="236" t="n"/>
      <c r="GU86" s="411" t="n"/>
      <c r="GV86" s="412">
        <f>C86</f>
        <v/>
      </c>
      <c r="GW86" s="412" t="n">
        <v>682149.4</v>
      </c>
      <c r="GX86" s="412">
        <f>GW87</f>
        <v/>
      </c>
      <c r="GY86" s="414">
        <f>GW86-GX86</f>
        <v/>
      </c>
      <c r="GZ86" s="415">
        <f>GY86/GX86</f>
        <v/>
      </c>
      <c r="HA86" s="236" t="n">
        <v>-0.0047</v>
      </c>
      <c r="HB86" s="236" t="n"/>
      <c r="HC86" s="411" t="n"/>
      <c r="HD86" s="412">
        <f>C86</f>
        <v/>
      </c>
      <c r="HE86" s="412" t="n">
        <v>918564.6746</v>
      </c>
      <c r="HF86" s="412">
        <f>HE87</f>
        <v/>
      </c>
      <c r="HG86" s="414">
        <f>HE86-HF86</f>
        <v/>
      </c>
      <c r="HH86" s="415">
        <f>HG86/HF86</f>
        <v/>
      </c>
      <c r="HI86" s="236" t="n">
        <v>-0.0062</v>
      </c>
      <c r="HJ86" s="236" t="n"/>
      <c r="HK86" s="411" t="n"/>
      <c r="HL86" s="412">
        <f>C86</f>
        <v/>
      </c>
      <c r="HM86" s="412" t="n">
        <v>113704.25</v>
      </c>
      <c r="HN86" s="412">
        <f>HM87</f>
        <v/>
      </c>
      <c r="HO86" s="412">
        <f>HM86-HN86</f>
        <v/>
      </c>
      <c r="HP86" s="416">
        <f>HO86/HN86</f>
        <v/>
      </c>
      <c r="HQ86" s="236" t="n">
        <v>0.0036</v>
      </c>
      <c r="HR86" s="236" t="n"/>
      <c r="HS86" s="411" t="n"/>
      <c r="HT86" s="412">
        <f>C86</f>
        <v/>
      </c>
      <c r="HU86" s="412" t="n">
        <v>117668.8265</v>
      </c>
      <c r="HV86" s="412">
        <f>HU87</f>
        <v/>
      </c>
      <c r="HW86" s="414">
        <f>HU86-HV86</f>
        <v/>
      </c>
      <c r="HX86" s="415">
        <f>HW86/HV86</f>
        <v/>
      </c>
      <c r="HY86" s="236" t="n">
        <v>0.0192</v>
      </c>
      <c r="HZ86" s="236" t="n"/>
      <c r="IA86" s="411" t="n"/>
      <c r="IB86" s="412">
        <f>C86</f>
        <v/>
      </c>
      <c r="IC86" s="241" t="n">
        <v>275959.79</v>
      </c>
      <c r="ID86" s="241">
        <f>IC87</f>
        <v/>
      </c>
      <c r="IE86" s="414">
        <f>IC86-ID86</f>
        <v/>
      </c>
      <c r="IF86" s="415">
        <f>IE86/ID86</f>
        <v/>
      </c>
      <c r="IG86" s="416" t="n">
        <v>0.0067</v>
      </c>
      <c r="IH86" s="236" t="n"/>
      <c r="II86" s="411" t="n"/>
      <c r="IJ86" s="412">
        <f>C86</f>
        <v/>
      </c>
      <c r="IK86" s="412" t="n">
        <v>887516.29</v>
      </c>
      <c r="IL86" s="412">
        <f>IK87</f>
        <v/>
      </c>
      <c r="IM86" s="420">
        <f>IK86-IL86</f>
        <v/>
      </c>
      <c r="IN86" s="421">
        <f>IM86/IL86</f>
        <v/>
      </c>
      <c r="IO86" s="236" t="n">
        <v>0.0059</v>
      </c>
      <c r="IP86" s="236" t="n"/>
      <c r="IQ86" s="411" t="n"/>
      <c r="IR86" s="412">
        <f>C86</f>
        <v/>
      </c>
      <c r="IS86" s="412" t="n">
        <v>165789</v>
      </c>
      <c r="IT86" s="412">
        <f>IS87</f>
        <v/>
      </c>
      <c r="IU86" s="414">
        <f>IS86-IT86</f>
        <v/>
      </c>
      <c r="IV86" s="415">
        <f>IU86/IT86</f>
        <v/>
      </c>
      <c r="IW86" s="236" t="n">
        <v>-0.0109</v>
      </c>
      <c r="IX86" s="236" t="n"/>
      <c r="IY86" s="411" t="n"/>
      <c r="IZ86" s="412">
        <f>C86</f>
        <v/>
      </c>
      <c r="JA86" s="412" t="n">
        <v>5534629.15</v>
      </c>
      <c r="JB86" s="412">
        <f>JA87</f>
        <v/>
      </c>
      <c r="JC86" s="414">
        <f>JA86-JB86</f>
        <v/>
      </c>
      <c r="JD86" s="415">
        <f>JC86/JB86</f>
        <v/>
      </c>
      <c r="JE86" s="236" t="n">
        <v>0.0236</v>
      </c>
      <c r="JF86" s="236" t="n"/>
      <c r="JG86" s="411" t="n"/>
      <c r="JH86" s="412">
        <f>C86</f>
        <v/>
      </c>
      <c r="JI86" s="412" t="n">
        <v>1505487.99</v>
      </c>
      <c r="JJ86" s="412">
        <f>JI87</f>
        <v/>
      </c>
      <c r="JK86" s="414">
        <f>JI86-JJ86</f>
        <v/>
      </c>
      <c r="JL86" s="415">
        <f>JK86/JJ86</f>
        <v/>
      </c>
      <c r="JM86" s="236" t="n">
        <v>0.0115</v>
      </c>
      <c r="JN86" s="236" t="n"/>
      <c r="JP86" s="412">
        <f>C86</f>
        <v/>
      </c>
      <c r="JQ86" s="412" t="n">
        <v>1050090.4148</v>
      </c>
      <c r="JR86" s="412">
        <f>JQ87</f>
        <v/>
      </c>
      <c r="JS86" s="414">
        <f>JQ86-JR86</f>
        <v/>
      </c>
      <c r="JT86" s="415">
        <f>JS86/JR86</f>
        <v/>
      </c>
      <c r="JU86" s="236" t="n">
        <v>0.0207</v>
      </c>
      <c r="JV86" s="416" t="n"/>
      <c r="JX86" s="412">
        <f>C86</f>
        <v/>
      </c>
      <c r="JY86" s="412" t="n">
        <v>1022448.8</v>
      </c>
      <c r="JZ86" s="412">
        <f>JY87</f>
        <v/>
      </c>
      <c r="KA86" s="412">
        <f>JY86-JZ86</f>
        <v/>
      </c>
      <c r="KB86" s="416">
        <f>KA86/JZ86</f>
        <v/>
      </c>
      <c r="KC86" s="236" t="n">
        <v>0.0334</v>
      </c>
      <c r="KD86" s="416" t="n"/>
      <c r="KF86" s="412">
        <f>C86</f>
        <v/>
      </c>
      <c r="KG86" s="412" t="n">
        <v>639955.9219</v>
      </c>
      <c r="KH86" s="412">
        <f>KG87</f>
        <v/>
      </c>
      <c r="KI86" s="412">
        <f>KG86-KH86</f>
        <v/>
      </c>
      <c r="KJ86" s="416">
        <f>KI86/KH86</f>
        <v/>
      </c>
      <c r="KK86" s="236" t="n">
        <v>0.0117</v>
      </c>
      <c r="KL86" s="236" t="n"/>
      <c r="KM86" s="411" t="n"/>
      <c r="KN86" s="412">
        <f>C86</f>
        <v/>
      </c>
      <c r="KO86" s="412" t="n">
        <v>6982775.95</v>
      </c>
      <c r="KP86" s="412">
        <f>KO87</f>
        <v/>
      </c>
      <c r="KQ86" s="414">
        <f>KO86-KP86</f>
        <v/>
      </c>
      <c r="KR86" s="415">
        <f>KQ86/KP86</f>
        <v/>
      </c>
      <c r="KS86" s="236" t="n">
        <v>0.0134</v>
      </c>
      <c r="KT86" s="236" t="n"/>
      <c r="KU86" s="411" t="n"/>
      <c r="KV86" s="412">
        <f>C86</f>
        <v/>
      </c>
      <c r="KW86" s="412" t="n">
        <v>1091172.9726</v>
      </c>
      <c r="KX86" s="412">
        <f>KW87</f>
        <v/>
      </c>
      <c r="KY86" s="422">
        <f>KW86-KX86</f>
        <v/>
      </c>
      <c r="KZ86" s="423">
        <f>KY86/KX86</f>
        <v/>
      </c>
      <c r="LA86" s="416" t="n">
        <v>0.0365</v>
      </c>
      <c r="LB86" s="236" t="n"/>
      <c r="LC86" s="411" t="n"/>
      <c r="LD86" s="412">
        <f>C86</f>
        <v/>
      </c>
      <c r="LE86" s="412" t="n">
        <v>370307.7</v>
      </c>
      <c r="LF86" s="412">
        <f>LE87</f>
        <v/>
      </c>
      <c r="LG86" s="420">
        <f>LE86-LF86</f>
        <v/>
      </c>
      <c r="LH86" s="421">
        <f>LG86/LF86</f>
        <v/>
      </c>
      <c r="LI86" s="236" t="n">
        <v>-0.0239</v>
      </c>
      <c r="LJ86" s="236" t="n"/>
      <c r="LK86" s="411" t="n"/>
      <c r="LL86" s="412">
        <f>C86</f>
        <v/>
      </c>
      <c r="LM86" s="700" t="n">
        <v>3430555.02</v>
      </c>
      <c r="LN86" s="412">
        <f>LM87</f>
        <v/>
      </c>
      <c r="LO86" s="414">
        <f>LM86-LN86</f>
        <v/>
      </c>
      <c r="LP86" s="415">
        <f>LO86/LN86</f>
        <v/>
      </c>
      <c r="LQ86" s="236" t="n">
        <v>0.0505</v>
      </c>
      <c r="LR86" s="236" t="n"/>
      <c r="LS86" s="411" t="n"/>
      <c r="LT86" s="412">
        <f>C86</f>
        <v/>
      </c>
      <c r="LU86" s="412" t="n">
        <v>2323862.904</v>
      </c>
      <c r="LV86" s="412">
        <f>LU87</f>
        <v/>
      </c>
      <c r="LW86" s="420">
        <f>LU86-LV86</f>
        <v/>
      </c>
      <c r="LX86" s="421">
        <f>LW86/LV86</f>
        <v/>
      </c>
      <c r="LY86" s="236" t="n">
        <v>0.038</v>
      </c>
      <c r="LZ86" s="236" t="n"/>
      <c r="MA86" s="411" t="n"/>
      <c r="MB86" s="412">
        <f>C86</f>
        <v/>
      </c>
      <c r="MC86" s="412" t="n">
        <v>1324867.69</v>
      </c>
      <c r="MD86" s="412">
        <f>MC87</f>
        <v/>
      </c>
      <c r="ME86" s="414">
        <f>MC86-MD86</f>
        <v/>
      </c>
      <c r="MF86" s="415">
        <f>ME86/MD86</f>
        <v/>
      </c>
      <c r="MG86" s="236" t="n">
        <v>0.0172</v>
      </c>
      <c r="MH86" s="236" t="n"/>
      <c r="MI86" s="424" t="n"/>
      <c r="MJ86" s="418" t="n"/>
      <c r="MK86" s="418">
        <f>C86</f>
        <v/>
      </c>
      <c r="ML86" s="418" t="n">
        <v>166545.5354</v>
      </c>
      <c r="MM86" s="14">
        <f>ML87</f>
        <v/>
      </c>
      <c r="MN86" s="418">
        <f>ML86-MM86</f>
        <v/>
      </c>
      <c r="MO86" s="419">
        <f>MN86/MM86</f>
        <v/>
      </c>
      <c r="MP86" s="236" t="n">
        <v>-0.0138</v>
      </c>
      <c r="MQ86" s="425" t="n"/>
      <c r="MR86" s="425" t="n"/>
      <c r="MS86" s="240" t="n"/>
      <c r="MT86" s="294">
        <f>C86</f>
        <v/>
      </c>
      <c r="MU86" s="240" t="n">
        <v>134114.8</v>
      </c>
      <c r="MV86" s="240">
        <f>MU87</f>
        <v/>
      </c>
      <c r="MW86" s="240">
        <f>MU86-MV86</f>
        <v/>
      </c>
      <c r="MX86" s="292">
        <f>MW86/MV86</f>
        <v/>
      </c>
      <c r="MY86" s="236" t="n">
        <v>-0.0081</v>
      </c>
      <c r="MZ86" s="236" t="n"/>
      <c r="NA86" s="236" t="n"/>
      <c r="NB86" s="240" t="n"/>
      <c r="NC86" s="240">
        <f>C86</f>
        <v/>
      </c>
      <c r="ND86" s="240" t="n">
        <v>34491.48</v>
      </c>
      <c r="NE86" s="240">
        <f>ND87</f>
        <v/>
      </c>
      <c r="NF86" s="240">
        <f>ND86-NE86</f>
        <v/>
      </c>
      <c r="NG86" s="292">
        <f>NF86/NE86</f>
        <v/>
      </c>
      <c r="NH86" s="236" t="n">
        <v>-0.0121</v>
      </c>
      <c r="NI86" s="236" t="n"/>
      <c r="NJ86" s="236" t="n"/>
      <c r="NK86" s="236" t="n"/>
      <c r="NL86" s="240" t="n"/>
      <c r="NM86" s="240">
        <f>C86</f>
        <v/>
      </c>
      <c r="NN86" s="240" t="n">
        <v>3013411.08</v>
      </c>
      <c r="NO86" s="10">
        <f>NN87</f>
        <v/>
      </c>
      <c r="NP86" s="240">
        <f>NN86-NO86</f>
        <v/>
      </c>
      <c r="NQ86" s="292">
        <f>NP86/NO86</f>
        <v/>
      </c>
      <c r="NR86" s="269" t="n">
        <v>0.0114</v>
      </c>
      <c r="NS86" s="240" t="n"/>
      <c r="NT86" s="270" t="n"/>
      <c r="NU86" s="240">
        <f>C86</f>
        <v/>
      </c>
      <c r="NV86" s="240" t="n">
        <v>267926.5</v>
      </c>
      <c r="NW86" s="240">
        <f>NV87</f>
        <v/>
      </c>
      <c r="NX86" s="240">
        <f>NV86-NW86</f>
        <v/>
      </c>
      <c r="NY86" s="292">
        <f>NX86/NW86</f>
        <v/>
      </c>
      <c r="NZ86" s="416" t="n">
        <v>0.0223</v>
      </c>
      <c r="OA86" s="411" t="n"/>
      <c r="OB86" s="411" t="n"/>
      <c r="OC86" s="412">
        <f>C86</f>
        <v/>
      </c>
      <c r="OD86" s="412" t="n">
        <v>17834.97</v>
      </c>
      <c r="OE86" s="412">
        <f>OD87</f>
        <v/>
      </c>
      <c r="OF86" s="420">
        <f>OD86-OE86</f>
        <v/>
      </c>
      <c r="OG86" s="421">
        <f>OF86/OE86</f>
        <v/>
      </c>
      <c r="OH86" s="236" t="n">
        <v>0.0009</v>
      </c>
      <c r="OI86" s="236" t="n"/>
      <c r="OJ86" s="411" t="n"/>
      <c r="OK86" s="412">
        <f>C86</f>
        <v/>
      </c>
      <c r="OL86" s="241" t="n">
        <v>14543.65</v>
      </c>
      <c r="OM86" s="10">
        <f>OL87</f>
        <v/>
      </c>
      <c r="ON86" s="414">
        <f>OL86-OM86</f>
        <v/>
      </c>
      <c r="OO86" s="415">
        <f>ON86/OM86</f>
        <v/>
      </c>
      <c r="OP86" s="236" t="n">
        <v>0.0003</v>
      </c>
      <c r="OQ86" s="236" t="n"/>
      <c r="OT86" s="201">
        <f>OK86</f>
        <v/>
      </c>
      <c r="OU86" s="199" t="n">
        <v>152232.4066</v>
      </c>
      <c r="OV86" s="9">
        <f>OU87</f>
        <v/>
      </c>
      <c r="OW86" s="671">
        <f>OU86-OV86</f>
        <v/>
      </c>
      <c r="OX86" s="182">
        <f>OW86/OV86</f>
        <v/>
      </c>
      <c r="OY86" s="0" t="n">
        <v>0.0127</v>
      </c>
    </row>
    <row r="87" ht="17" customFormat="1" customHeight="1" s="9">
      <c r="A87" s="631" t="n"/>
      <c r="B87" s="631" t="n"/>
      <c r="C87" s="693" t="inlineStr">
        <is>
          <t>2026//7/14</t>
        </is>
      </c>
      <c r="D87" s="311" t="n">
        <v>1848198.77</v>
      </c>
      <c r="E87" s="362">
        <f>D88</f>
        <v/>
      </c>
      <c r="F87" s="114">
        <f>D87-E87</f>
        <v/>
      </c>
      <c r="G87" s="111">
        <f>F87/E87</f>
        <v/>
      </c>
      <c r="H87" s="19" t="n">
        <v>0.0196</v>
      </c>
      <c r="I87" s="426" t="n"/>
      <c r="J87" s="426" t="n"/>
      <c r="K87" s="362">
        <f>C87</f>
        <v/>
      </c>
      <c r="L87" s="311" t="n">
        <v>966034.4</v>
      </c>
      <c r="M87" s="362">
        <f>L88</f>
        <v/>
      </c>
      <c r="N87" s="114">
        <f>L87-M87</f>
        <v/>
      </c>
      <c r="O87" s="111">
        <f>N87/M87</f>
        <v/>
      </c>
      <c r="P87" s="19" t="n">
        <v>0.0222</v>
      </c>
      <c r="Q87" s="426" t="n"/>
      <c r="R87" s="427" t="n"/>
      <c r="S87" s="362">
        <f>C87</f>
        <v/>
      </c>
      <c r="T87" s="311" t="n">
        <v>685236.6800000001</v>
      </c>
      <c r="U87" s="362">
        <f>T88</f>
        <v/>
      </c>
      <c r="V87" s="114">
        <f>T87-U87</f>
        <v/>
      </c>
      <c r="W87" s="111">
        <f>V87/U87</f>
        <v/>
      </c>
      <c r="X87" s="19" t="n">
        <v>0.0156</v>
      </c>
      <c r="Y87" s="426" t="n"/>
      <c r="Z87" s="427" t="n"/>
      <c r="AA87" s="362">
        <f>S87</f>
        <v/>
      </c>
      <c r="AB87" s="311" t="n">
        <v>547856.86</v>
      </c>
      <c r="AC87" s="362">
        <f>AB88</f>
        <v/>
      </c>
      <c r="AD87" s="114">
        <f>AB87-AC87</f>
        <v/>
      </c>
      <c r="AE87" s="111">
        <f>AD87/AC87</f>
        <v/>
      </c>
      <c r="AF87" s="19" t="n">
        <v>0.0146</v>
      </c>
      <c r="AG87" s="426" t="n"/>
      <c r="AH87" s="427" t="n"/>
      <c r="AI87" s="362">
        <f>C87</f>
        <v/>
      </c>
      <c r="AJ87" s="311" t="n">
        <v>762921.76</v>
      </c>
      <c r="AK87" s="362">
        <f>AJ88</f>
        <v/>
      </c>
      <c r="AL87" s="114">
        <f>AJ87-AK87</f>
        <v/>
      </c>
      <c r="AM87" s="111">
        <f>AL87/AK87</f>
        <v/>
      </c>
      <c r="AN87" s="19" t="n">
        <v>0.0152</v>
      </c>
      <c r="AO87" s="19" t="n"/>
      <c r="AP87" s="427" t="n"/>
      <c r="AQ87" s="362">
        <f>C87</f>
        <v/>
      </c>
      <c r="AR87" s="661" t="n">
        <v>1246945.4936</v>
      </c>
      <c r="AS87" s="362">
        <f>AR88</f>
        <v/>
      </c>
      <c r="AT87" s="114">
        <f>AR87-AS87</f>
        <v/>
      </c>
      <c r="AU87" s="111">
        <f>AT87/AS87</f>
        <v/>
      </c>
      <c r="AV87" s="19" t="n">
        <v>0.0309</v>
      </c>
      <c r="AW87" s="19" t="n"/>
      <c r="AX87" s="5" t="n"/>
      <c r="AY87" s="188" t="n"/>
      <c r="AZ87" s="188">
        <f>C87</f>
        <v/>
      </c>
      <c r="BA87" s="188" t="n">
        <v>561441.6676</v>
      </c>
      <c r="BB87" s="188">
        <f>BA88</f>
        <v/>
      </c>
      <c r="BC87" s="188">
        <f>BA87-BB87</f>
        <v/>
      </c>
      <c r="BD87" s="271">
        <f>BC87/BB87</f>
        <v/>
      </c>
      <c r="BE87" s="19" t="n">
        <v>0.0196</v>
      </c>
      <c r="BF87" s="19" t="n"/>
      <c r="BG87" s="647" t="n"/>
      <c r="BH87" s="363">
        <f>C87</f>
        <v/>
      </c>
      <c r="BI87" s="363" t="n">
        <v>1095726.5525</v>
      </c>
      <c r="BJ87" s="363">
        <f>BI88</f>
        <v/>
      </c>
      <c r="BK87" s="331">
        <f>BI87-BJ87</f>
        <v/>
      </c>
      <c r="BL87" s="332">
        <f>BK87/BJ87</f>
        <v/>
      </c>
      <c r="BM87" s="191" t="n">
        <v>0.0254</v>
      </c>
      <c r="BN87" s="182" t="n"/>
      <c r="BO87" s="364" t="n"/>
      <c r="BP87" s="365">
        <f>C87</f>
        <v/>
      </c>
      <c r="BQ87" s="694" t="n">
        <v>1163362.3921</v>
      </c>
      <c r="BR87" s="365">
        <f>BQ88</f>
        <v/>
      </c>
      <c r="BS87" s="325">
        <f>BQ87-BR87</f>
        <v/>
      </c>
      <c r="BT87" s="326">
        <f>BS87/BR87</f>
        <v/>
      </c>
      <c r="BU87" s="182" t="n">
        <v>-0.0246</v>
      </c>
      <c r="BV87" s="182" t="n"/>
      <c r="BW87" s="364" t="n"/>
      <c r="BX87" s="365">
        <f>C87</f>
        <v/>
      </c>
      <c r="BY87" s="365" t="n">
        <v>1784960.7019</v>
      </c>
      <c r="BZ87" s="365">
        <f>BY88</f>
        <v/>
      </c>
      <c r="CA87" s="390">
        <f>BY87-BZ87</f>
        <v/>
      </c>
      <c r="CB87" s="391">
        <f>CA87/BZ87</f>
        <v/>
      </c>
      <c r="CC87" s="182" t="n">
        <v>0.0319</v>
      </c>
      <c r="CD87" s="383" t="n"/>
      <c r="CE87" s="364" t="n"/>
      <c r="CF87" s="365">
        <f>C87</f>
        <v/>
      </c>
      <c r="CG87" s="365" t="n">
        <v>1225153.9</v>
      </c>
      <c r="CH87" s="13">
        <f>CG88</f>
        <v/>
      </c>
      <c r="CI87" s="13">
        <f>CG87-CH87</f>
        <v/>
      </c>
      <c r="CJ87" s="193">
        <f>CI87/CH87</f>
        <v/>
      </c>
      <c r="CK87" s="182" t="n">
        <v>0.0566</v>
      </c>
      <c r="CL87" s="366" t="n"/>
      <c r="CM87" s="364" t="n"/>
      <c r="CN87" s="365">
        <f>C87</f>
        <v/>
      </c>
      <c r="CO87" s="365" t="n">
        <v>528146.48</v>
      </c>
      <c r="CP87" s="365">
        <f>CO88</f>
        <v/>
      </c>
      <c r="CQ87" s="13">
        <f>CO87-CP87</f>
        <v/>
      </c>
      <c r="CR87" s="193">
        <f>CQ87/CP87</f>
        <v/>
      </c>
      <c r="CS87" s="366" t="n">
        <v>0.0536</v>
      </c>
      <c r="CT87" s="366" t="n"/>
      <c r="CU87" s="364" t="n"/>
      <c r="CV87" s="365">
        <f>C87</f>
        <v/>
      </c>
      <c r="CW87" s="365" t="n">
        <v>579390.4</v>
      </c>
      <c r="CX87" s="365">
        <f>CW88</f>
        <v/>
      </c>
      <c r="CY87" s="390">
        <f>CW87-CX87</f>
        <v/>
      </c>
      <c r="CZ87" s="391">
        <f>CY87/CX87</f>
        <v/>
      </c>
      <c r="DA87" s="182" t="n">
        <v>0.0464</v>
      </c>
      <c r="DB87" s="182" t="n"/>
      <c r="DC87" s="256" t="n"/>
      <c r="DD87" s="365">
        <f>C87</f>
        <v/>
      </c>
      <c r="DE87" s="365" t="n">
        <v>5504635.9972</v>
      </c>
      <c r="DF87" s="13">
        <f>DE88</f>
        <v/>
      </c>
      <c r="DG87" s="325">
        <f>DE87-DF87</f>
        <v/>
      </c>
      <c r="DH87" s="326">
        <f>DG87/DF87</f>
        <v/>
      </c>
      <c r="DI87" s="182" t="n">
        <v>-0.0035</v>
      </c>
      <c r="DJ87" s="182" t="n"/>
      <c r="DK87" s="364" t="n"/>
      <c r="DL87" s="365">
        <f>C87</f>
        <v/>
      </c>
      <c r="DM87" s="365" t="n">
        <v>1820600.72</v>
      </c>
      <c r="DN87" s="365">
        <f>DM88</f>
        <v/>
      </c>
      <c r="DO87" s="325">
        <f>DM87-DN87</f>
        <v/>
      </c>
      <c r="DP87" s="326">
        <f>DO87/DN87</f>
        <v/>
      </c>
      <c r="DQ87" s="182" t="n">
        <v>0.0124</v>
      </c>
      <c r="DR87" s="182" t="n"/>
      <c r="DS87" s="364" t="n"/>
      <c r="DT87" s="365">
        <f>C87</f>
        <v/>
      </c>
      <c r="DU87" s="365" t="n">
        <v>1392089.48</v>
      </c>
      <c r="DV87" s="365">
        <f>DU88</f>
        <v/>
      </c>
      <c r="DW87" s="325">
        <f>DU87-DV87</f>
        <v/>
      </c>
      <c r="DX87" s="326">
        <f>DW87/DV87</f>
        <v/>
      </c>
      <c r="DY87" s="182" t="n">
        <v>0.0157</v>
      </c>
      <c r="DZ87" s="182" t="n"/>
      <c r="EA87" s="364" t="n"/>
      <c r="EB87" s="365">
        <f>C87</f>
        <v/>
      </c>
      <c r="EC87" s="365" t="n">
        <v>3317666.82</v>
      </c>
      <c r="ED87" s="365">
        <f>EC88</f>
        <v/>
      </c>
      <c r="EE87" s="386">
        <f>EC87-ED87</f>
        <v/>
      </c>
      <c r="EF87" s="387">
        <f>EE87/ED87</f>
        <v/>
      </c>
      <c r="EG87" s="182" t="n">
        <v>0.0119</v>
      </c>
      <c r="EH87" s="182" t="n"/>
      <c r="EI87" s="364" t="n"/>
      <c r="EJ87" s="365">
        <f>C87</f>
        <v/>
      </c>
      <c r="EK87" s="365" t="n">
        <v>1129122.9669</v>
      </c>
      <c r="EL87" s="365">
        <f>EK88</f>
        <v/>
      </c>
      <c r="EM87" s="428">
        <f>EK87-EL87</f>
        <v/>
      </c>
      <c r="EN87" s="429">
        <f>EM87/EL87</f>
        <v/>
      </c>
      <c r="EO87" s="182" t="n">
        <v>0.0166</v>
      </c>
      <c r="EP87" s="182" t="n"/>
      <c r="EQ87" s="317" t="n"/>
      <c r="ER87" s="318">
        <f>C87</f>
        <v/>
      </c>
      <c r="ES87" s="318" t="n">
        <v>746694.04</v>
      </c>
      <c r="ET87" s="318">
        <f>ES88</f>
        <v/>
      </c>
      <c r="EU87" s="318">
        <f>ES87-ET87</f>
        <v/>
      </c>
      <c r="EV87" s="327">
        <f>EU87/ET87</f>
        <v/>
      </c>
      <c r="EW87" s="182" t="n">
        <v>0.017</v>
      </c>
      <c r="EX87" s="182" t="n"/>
      <c r="EY87" s="364" t="n"/>
      <c r="EZ87" s="365">
        <f>C87</f>
        <v/>
      </c>
      <c r="FA87" s="365" t="n">
        <v>554008</v>
      </c>
      <c r="FB87" s="365">
        <f>FA88</f>
        <v/>
      </c>
      <c r="FC87" s="397">
        <f>FA87-FB87</f>
        <v/>
      </c>
      <c r="FD87" s="398">
        <f>FC87/FB87</f>
        <v/>
      </c>
      <c r="FE87" s="182" t="n">
        <v>-0.0285</v>
      </c>
      <c r="FF87" s="182" t="n"/>
      <c r="FH87" s="365">
        <f>C87</f>
        <v/>
      </c>
      <c r="FI87" s="694" t="n">
        <v>1227695.3365</v>
      </c>
      <c r="FJ87" s="365">
        <f>FI88</f>
        <v/>
      </c>
      <c r="FK87" s="323">
        <f>FI87-FJ87</f>
        <v/>
      </c>
      <c r="FL87" s="324">
        <f>FK87/FJ87</f>
        <v/>
      </c>
      <c r="FM87" s="366" t="n">
        <v>-0.0594</v>
      </c>
      <c r="FN87" s="366" t="n"/>
      <c r="FO87" s="364" t="n"/>
      <c r="FP87" s="365">
        <f>C87</f>
        <v/>
      </c>
      <c r="FQ87" s="365" t="n">
        <v>1721668.73</v>
      </c>
      <c r="FR87" s="365">
        <f>FQ88</f>
        <v/>
      </c>
      <c r="FS87" s="430">
        <f>FQ87-FR87</f>
        <v/>
      </c>
      <c r="FT87" s="431">
        <f>FS87/FR87</f>
        <v/>
      </c>
      <c r="FU87" s="182" t="n">
        <v>0.0077</v>
      </c>
      <c r="FV87" s="182" t="n"/>
      <c r="FW87" s="364" t="n"/>
      <c r="FX87" s="365">
        <f>C87</f>
        <v/>
      </c>
      <c r="FY87" s="365" t="n">
        <v>8281582.05</v>
      </c>
      <c r="FZ87" s="365">
        <f>FY88</f>
        <v/>
      </c>
      <c r="GA87" s="390">
        <f>FY87-FZ87</f>
        <v/>
      </c>
      <c r="GB87" s="391">
        <f>GA87/FZ87</f>
        <v/>
      </c>
      <c r="GC87" s="182" t="n">
        <v>0.0257</v>
      </c>
      <c r="GD87" s="182" t="n"/>
      <c r="GE87" s="364" t="n"/>
      <c r="GF87" s="365">
        <f>C87</f>
        <v/>
      </c>
      <c r="GG87" s="365" t="n">
        <v>4842369.49</v>
      </c>
      <c r="GH87" s="365">
        <f>GG88</f>
        <v/>
      </c>
      <c r="GI87" s="390">
        <f>GG87-GH87</f>
        <v/>
      </c>
      <c r="GJ87" s="391">
        <f>GI87/GH87</f>
        <v/>
      </c>
      <c r="GK87" s="182" t="n">
        <v>0.0194</v>
      </c>
      <c r="GL87" s="182" t="n"/>
      <c r="GM87" s="364" t="n"/>
      <c r="GN87" s="365">
        <f>C87</f>
        <v/>
      </c>
      <c r="GO87" s="365" t="n">
        <v>2054578.1217</v>
      </c>
      <c r="GP87" s="365">
        <f>GO88</f>
        <v/>
      </c>
      <c r="GQ87" s="390">
        <f>GO87-GP87</f>
        <v/>
      </c>
      <c r="GR87" s="391">
        <f>GQ87/GP87</f>
        <v/>
      </c>
      <c r="GS87" s="182" t="n">
        <v>0.0354</v>
      </c>
      <c r="GT87" s="182" t="n"/>
      <c r="GU87" s="364" t="n"/>
      <c r="GV87" s="365">
        <f>C87</f>
        <v/>
      </c>
      <c r="GW87" s="365" t="n">
        <v>681149.4</v>
      </c>
      <c r="GX87" s="365">
        <f>GW88</f>
        <v/>
      </c>
      <c r="GY87" s="428">
        <f>GW87-GX87</f>
        <v/>
      </c>
      <c r="GZ87" s="429">
        <f>GY87/GX87</f>
        <v/>
      </c>
      <c r="HA87" s="182" t="n">
        <v>0.0059</v>
      </c>
      <c r="HB87" s="182" t="n"/>
      <c r="HC87" s="364" t="n"/>
      <c r="HD87" s="365">
        <f>C87</f>
        <v/>
      </c>
      <c r="HE87" s="365" t="n">
        <v>919364.6746</v>
      </c>
      <c r="HF87" s="365">
        <f>HE88</f>
        <v/>
      </c>
      <c r="HG87" s="390">
        <f>HE87-HF87</f>
        <v/>
      </c>
      <c r="HH87" s="391">
        <f>HG87/HF87</f>
        <v/>
      </c>
      <c r="HI87" s="366" t="n">
        <v>0.0277</v>
      </c>
      <c r="HJ87" s="182" t="n"/>
      <c r="HK87" s="364" t="n"/>
      <c r="HL87" s="365">
        <f>C87</f>
        <v/>
      </c>
      <c r="HM87" s="365" t="n">
        <v>113304.25</v>
      </c>
      <c r="HN87" s="365">
        <f>HM88</f>
        <v/>
      </c>
      <c r="HO87" s="325">
        <f>HM87-HN87</f>
        <v/>
      </c>
      <c r="HP87" s="326">
        <f>HO87/HN87</f>
        <v/>
      </c>
      <c r="HQ87" s="182" t="n">
        <v>0.0101</v>
      </c>
      <c r="HR87" s="182" t="n"/>
      <c r="HS87" s="364" t="n"/>
      <c r="HT87" s="365">
        <f>C87</f>
        <v/>
      </c>
      <c r="HU87" s="365" t="n">
        <v>120068.8265</v>
      </c>
      <c r="HV87" s="365">
        <f>HU88</f>
        <v/>
      </c>
      <c r="HW87" s="390">
        <f>HU87-HV87</f>
        <v/>
      </c>
      <c r="HX87" s="391">
        <f>HW87/HV87</f>
        <v/>
      </c>
      <c r="HY87" s="182" t="n">
        <v>0.0039</v>
      </c>
      <c r="HZ87" s="182" t="n"/>
      <c r="IA87" s="364" t="n"/>
      <c r="IB87" s="365">
        <f>C87</f>
        <v/>
      </c>
      <c r="IC87" s="185" t="n">
        <v>266809.79</v>
      </c>
      <c r="ID87" s="185">
        <f>IC88</f>
        <v/>
      </c>
      <c r="IE87" s="325">
        <f>IC87-ID87</f>
        <v/>
      </c>
      <c r="IF87" s="326">
        <f>IE87/ID87</f>
        <v/>
      </c>
      <c r="IG87" s="366" t="n">
        <v>0.0076</v>
      </c>
      <c r="IH87" s="182" t="n"/>
      <c r="II87" s="364" t="n"/>
      <c r="IJ87" s="365">
        <f>C87</f>
        <v/>
      </c>
      <c r="IK87" s="365" t="n">
        <v>872796.29</v>
      </c>
      <c r="IL87" s="365">
        <f>IK88</f>
        <v/>
      </c>
      <c r="IM87" s="390">
        <f>IK87-IL87</f>
        <v/>
      </c>
      <c r="IN87" s="391">
        <f>IM87/IL87</f>
        <v/>
      </c>
      <c r="IO87" s="182" t="n">
        <v>0.0159</v>
      </c>
      <c r="IP87" s="182" t="n"/>
      <c r="IQ87" s="364" t="n"/>
      <c r="IR87" s="365">
        <f>C87</f>
        <v/>
      </c>
      <c r="IS87" s="365" t="n">
        <v>169689</v>
      </c>
      <c r="IT87" s="365">
        <f>IS88</f>
        <v/>
      </c>
      <c r="IU87" s="388">
        <f>IS87-IT87</f>
        <v/>
      </c>
      <c r="IV87" s="389">
        <f>IU87/IT87</f>
        <v/>
      </c>
      <c r="IW87" s="182" t="n">
        <v>-0.0192</v>
      </c>
      <c r="IX87" s="182" t="n"/>
      <c r="IY87" s="364" t="n"/>
      <c r="IZ87" s="365">
        <f>C87</f>
        <v/>
      </c>
      <c r="JA87" s="365" t="n">
        <v>5582329.15</v>
      </c>
      <c r="JB87" s="365">
        <f>JA88</f>
        <v/>
      </c>
      <c r="JC87" s="428">
        <f>JA87-JB87</f>
        <v/>
      </c>
      <c r="JD87" s="429">
        <f>JC87/JB87</f>
        <v/>
      </c>
      <c r="JE87" s="182" t="n">
        <v>0.0055</v>
      </c>
      <c r="JF87" s="182" t="n"/>
      <c r="JG87" s="364" t="n"/>
      <c r="JH87" s="365">
        <f>C87</f>
        <v/>
      </c>
      <c r="JI87" s="365" t="n">
        <v>1417467.99</v>
      </c>
      <c r="JJ87" s="365">
        <f>JI88</f>
        <v/>
      </c>
      <c r="JK87" s="390">
        <f>JI87-JJ87</f>
        <v/>
      </c>
      <c r="JL87" s="391">
        <f>JK87/JJ87</f>
        <v/>
      </c>
      <c r="JM87" s="182" t="n">
        <v>0.0026</v>
      </c>
      <c r="JN87" s="182" t="n"/>
      <c r="JP87" s="365">
        <f>C87</f>
        <v/>
      </c>
      <c r="JQ87" s="365" t="n">
        <v>1061090.4148</v>
      </c>
      <c r="JR87" s="365">
        <f>JQ88</f>
        <v/>
      </c>
      <c r="JS87" s="390">
        <f>JQ87-JR87</f>
        <v/>
      </c>
      <c r="JT87" s="391">
        <f>JS87/JR87</f>
        <v/>
      </c>
      <c r="JU87" s="182" t="n">
        <v>-0.0068</v>
      </c>
      <c r="JV87" s="383" t="n"/>
      <c r="JX87" s="365">
        <f>C87</f>
        <v/>
      </c>
      <c r="JY87" s="365" t="n">
        <v>1040698.8</v>
      </c>
      <c r="JZ87" s="365">
        <f>JY88</f>
        <v/>
      </c>
      <c r="KA87" s="386">
        <f>JY87-JZ87</f>
        <v/>
      </c>
      <c r="KB87" s="387">
        <f>KA87/JZ87</f>
        <v/>
      </c>
      <c r="KC87" s="182" t="n">
        <v>0.0045</v>
      </c>
      <c r="KD87" s="383" t="n"/>
      <c r="KF87" s="365">
        <f>C87</f>
        <v/>
      </c>
      <c r="KG87" s="365" t="n">
        <v>639155.9219</v>
      </c>
      <c r="KH87" s="365">
        <f>KG88</f>
        <v/>
      </c>
      <c r="KI87" s="388">
        <f>KG87-KH87</f>
        <v/>
      </c>
      <c r="KJ87" s="389">
        <f>KI87/KH87</f>
        <v/>
      </c>
      <c r="KK87" s="182" t="n">
        <v>0.0126</v>
      </c>
      <c r="KL87" s="182" t="n"/>
      <c r="KM87" s="364" t="n"/>
      <c r="KN87" s="365">
        <f>C87</f>
        <v/>
      </c>
      <c r="KO87" s="365" t="n">
        <v>7000375.95</v>
      </c>
      <c r="KP87" s="365">
        <f>KO88</f>
        <v/>
      </c>
      <c r="KQ87" s="390">
        <f>KO87-KP87</f>
        <v/>
      </c>
      <c r="KR87" s="391">
        <f>KQ87/KP87</f>
        <v/>
      </c>
      <c r="KS87" s="182" t="n">
        <v>0.0034</v>
      </c>
      <c r="KT87" s="182" t="n"/>
      <c r="KU87" s="364" t="n"/>
      <c r="KV87" s="365">
        <f>C87</f>
        <v/>
      </c>
      <c r="KW87" s="365" t="n">
        <v>1099872.9726</v>
      </c>
      <c r="KX87" s="365">
        <f>KW88</f>
        <v/>
      </c>
      <c r="KY87" s="323">
        <f>KW87-KX87</f>
        <v/>
      </c>
      <c r="KZ87" s="324">
        <f>KY87/KX87</f>
        <v/>
      </c>
      <c r="LA87" s="366" t="n">
        <v>0.0029</v>
      </c>
      <c r="LB87" s="182" t="n"/>
      <c r="LC87" s="364" t="n"/>
      <c r="LD87" s="365">
        <f>C87</f>
        <v/>
      </c>
      <c r="LE87" s="365" t="n">
        <v>369057.7</v>
      </c>
      <c r="LF87" s="365">
        <f>LE88</f>
        <v/>
      </c>
      <c r="LG87" s="388">
        <f>LE87-LF87</f>
        <v/>
      </c>
      <c r="LH87" s="389">
        <f>LG87/LF87</f>
        <v/>
      </c>
      <c r="LI87" s="182" t="n">
        <v>0.0287</v>
      </c>
      <c r="LJ87" s="182" t="n"/>
      <c r="LK87" s="364" t="n"/>
      <c r="LL87" s="365">
        <f>C87</f>
        <v/>
      </c>
      <c r="LM87" s="694" t="n">
        <v>3421375.02</v>
      </c>
      <c r="LN87" s="365">
        <f>LM88</f>
        <v/>
      </c>
      <c r="LO87" s="390">
        <f>LM87-LN87</f>
        <v/>
      </c>
      <c r="LP87" s="391">
        <f>LO87/LN87</f>
        <v/>
      </c>
      <c r="LQ87" s="182" t="n">
        <v>0.0076</v>
      </c>
      <c r="LR87" s="182" t="n"/>
      <c r="LS87" s="364" t="n"/>
      <c r="LT87" s="365">
        <f>C87</f>
        <v/>
      </c>
      <c r="LU87" s="365" t="n">
        <v>2333262.904</v>
      </c>
      <c r="LV87" s="365">
        <f>LU88</f>
        <v/>
      </c>
      <c r="LW87" s="388">
        <f>LU87-LV87</f>
        <v/>
      </c>
      <c r="LX87" s="389">
        <f>LW87/LV87</f>
        <v/>
      </c>
      <c r="LY87" s="182" t="n">
        <v>0.0016</v>
      </c>
      <c r="LZ87" s="182" t="n"/>
      <c r="MA87" s="364" t="n"/>
      <c r="MB87" s="365">
        <f>C87</f>
        <v/>
      </c>
      <c r="MC87" s="365" t="n">
        <v>1298267.69</v>
      </c>
      <c r="MD87" s="365">
        <f>MC88</f>
        <v/>
      </c>
      <c r="ME87" s="388">
        <f>MC87-MD87</f>
        <v/>
      </c>
      <c r="MF87" s="389">
        <f>ME87/MD87</f>
        <v/>
      </c>
      <c r="MG87" s="182" t="n">
        <v>0.0411</v>
      </c>
      <c r="MH87" s="182" t="n"/>
      <c r="MI87" s="319" t="n"/>
      <c r="MJ87" s="318" t="n"/>
      <c r="MK87" s="318">
        <f>C87</f>
        <v/>
      </c>
      <c r="ML87" s="318" t="n">
        <v>177705.5354</v>
      </c>
      <c r="MM87" s="13">
        <f>ML88</f>
        <v/>
      </c>
      <c r="MN87" s="318">
        <f>ML87-MM87</f>
        <v/>
      </c>
      <c r="MO87" s="327">
        <f>MN87/MM87</f>
        <v/>
      </c>
      <c r="MP87" s="182" t="n">
        <v>-0.0146</v>
      </c>
      <c r="MQ87" s="369" t="n"/>
      <c r="MR87" s="369" t="n"/>
      <c r="MS87" s="188" t="n"/>
      <c r="MT87" s="274">
        <f>C87</f>
        <v/>
      </c>
      <c r="MU87" s="188" t="n">
        <v>131714.8</v>
      </c>
      <c r="MV87" s="188">
        <f>MU88</f>
        <v/>
      </c>
      <c r="MW87" s="188">
        <f>MU87-MV87</f>
        <v/>
      </c>
      <c r="MX87" s="271">
        <f>MW87/MV87</f>
        <v/>
      </c>
      <c r="MY87" s="182" t="n">
        <v>0.0328</v>
      </c>
      <c r="MZ87" s="182" t="n"/>
      <c r="NA87" s="182" t="n"/>
      <c r="NB87" s="188" t="n"/>
      <c r="NC87" s="188">
        <f>C87</f>
        <v/>
      </c>
      <c r="ND87" s="188" t="n">
        <v>34491.48</v>
      </c>
      <c r="NE87" s="188">
        <f>ND88</f>
        <v/>
      </c>
      <c r="NF87" s="188">
        <f>ND87-NE87</f>
        <v/>
      </c>
      <c r="NG87" s="271">
        <f>NF87/NE87</f>
        <v/>
      </c>
      <c r="NH87" s="182" t="n">
        <v>0.0469</v>
      </c>
      <c r="NI87" s="182" t="n"/>
      <c r="NJ87" s="182" t="n"/>
      <c r="NK87" s="182" t="n"/>
      <c r="NL87" s="188" t="n"/>
      <c r="NM87" s="188">
        <f>C87</f>
        <v/>
      </c>
      <c r="NN87" s="188" t="n">
        <v>3011911.08</v>
      </c>
      <c r="NO87" s="9">
        <f>NN88</f>
        <v/>
      </c>
      <c r="NP87" s="188">
        <f>NN87-NO87</f>
        <v/>
      </c>
      <c r="NQ87" s="271">
        <f>NP87/NO87</f>
        <v/>
      </c>
      <c r="NR87" s="272" t="n">
        <v>0.0115</v>
      </c>
      <c r="NS87" s="188" t="n"/>
      <c r="NT87" s="273" t="n"/>
      <c r="NU87" s="188">
        <f>C87</f>
        <v/>
      </c>
      <c r="NV87" s="188" t="n">
        <v>269526.5</v>
      </c>
      <c r="NW87" s="188">
        <f>NV88</f>
        <v/>
      </c>
      <c r="NX87" s="188">
        <f>NV87-NW87</f>
        <v/>
      </c>
      <c r="NY87" s="271">
        <f>NX87/NW87</f>
        <v/>
      </c>
      <c r="NZ87" s="366" t="n">
        <v>0.0123</v>
      </c>
      <c r="OA87" s="364" t="n"/>
      <c r="OB87" s="364" t="n"/>
      <c r="OC87" s="365">
        <f>C87</f>
        <v/>
      </c>
      <c r="OD87" s="365" t="n">
        <v>17785.97</v>
      </c>
      <c r="OE87" s="365">
        <f>OD88</f>
        <v/>
      </c>
      <c r="OF87" s="388">
        <f>OD87-OE87</f>
        <v/>
      </c>
      <c r="OG87" s="389">
        <f>OF87/OE87</f>
        <v/>
      </c>
      <c r="OH87" s="182" t="n">
        <v>-0.0014</v>
      </c>
      <c r="OI87" s="182" t="n"/>
      <c r="OJ87" s="364" t="n"/>
      <c r="OK87" s="365">
        <f>C87</f>
        <v/>
      </c>
      <c r="OL87" s="185" t="n">
        <v>14581.65</v>
      </c>
      <c r="OM87" s="9">
        <f>OL88</f>
        <v/>
      </c>
      <c r="ON87" s="9">
        <f>OL87-OM87</f>
        <v/>
      </c>
      <c r="OO87" s="182">
        <f>ON87/OM87</f>
        <v/>
      </c>
      <c r="OP87" s="182" t="n">
        <v>-0.0002</v>
      </c>
      <c r="OQ87" s="182" t="n"/>
      <c r="OT87" s="201">
        <f>OK87</f>
        <v/>
      </c>
      <c r="OU87" s="199" t="n">
        <v>152112.4066</v>
      </c>
      <c r="OV87" s="9">
        <f>OU88</f>
        <v/>
      </c>
      <c r="OW87" s="671">
        <f>OU87-OV87</f>
        <v/>
      </c>
      <c r="OX87" s="182">
        <f>OW87/OV87</f>
        <v/>
      </c>
      <c r="OY87" s="0" t="n">
        <v>-0.0014</v>
      </c>
    </row>
    <row r="88" ht="17" customFormat="1" customHeight="1" s="9">
      <c r="A88" s="631" t="n"/>
      <c r="B88" s="631" t="n"/>
      <c r="C88" s="693" t="inlineStr">
        <is>
          <t>2026//7/13</t>
        </is>
      </c>
      <c r="D88" s="362" t="n">
        <v>1832088.77</v>
      </c>
      <c r="E88" s="362">
        <f>D89</f>
        <v/>
      </c>
      <c r="F88" s="377">
        <f>D88-E88</f>
        <v/>
      </c>
      <c r="G88" s="378">
        <f>F88/E88</f>
        <v/>
      </c>
      <c r="H88" s="19" t="n">
        <v>-0.0176</v>
      </c>
      <c r="I88" s="426" t="n"/>
      <c r="J88" s="426" t="n"/>
      <c r="K88" s="362">
        <f>C88</f>
        <v/>
      </c>
      <c r="L88" s="362" t="n">
        <v>942814.4</v>
      </c>
      <c r="M88" s="362">
        <f>L89</f>
        <v/>
      </c>
      <c r="N88" s="377">
        <f>L88-M88</f>
        <v/>
      </c>
      <c r="O88" s="378">
        <f>N88/M88</f>
        <v/>
      </c>
      <c r="P88" s="19" t="n">
        <v>-0.0183</v>
      </c>
      <c r="Q88" s="426" t="n"/>
      <c r="R88" s="427" t="n"/>
      <c r="S88" s="362">
        <f>C88</f>
        <v/>
      </c>
      <c r="T88" s="362" t="n">
        <v>666786.6800000001</v>
      </c>
      <c r="U88" s="362">
        <f>T89</f>
        <v/>
      </c>
      <c r="V88" s="377">
        <f>T88-U88</f>
        <v/>
      </c>
      <c r="W88" s="378">
        <f>V88/U88</f>
        <v/>
      </c>
      <c r="X88" s="19" t="n">
        <v>-0.015</v>
      </c>
      <c r="Y88" s="426" t="n"/>
      <c r="Z88" s="427" t="n"/>
      <c r="AA88" s="362">
        <f>S88</f>
        <v/>
      </c>
      <c r="AB88" s="362" t="n">
        <v>525256.86</v>
      </c>
      <c r="AC88" s="362">
        <f>AB89</f>
        <v/>
      </c>
      <c r="AD88" s="432">
        <f>AB88-AC88</f>
        <v/>
      </c>
      <c r="AE88" s="433">
        <f>AD88/AC88</f>
        <v/>
      </c>
      <c r="AF88" s="19" t="n">
        <v>-0.0467</v>
      </c>
      <c r="AG88" s="426" t="n"/>
      <c r="AH88" s="427" t="n"/>
      <c r="AI88" s="362">
        <f>C88</f>
        <v/>
      </c>
      <c r="AJ88" s="362" t="n">
        <v>712121.76</v>
      </c>
      <c r="AK88" s="362">
        <f>AJ89</f>
        <v/>
      </c>
      <c r="AL88" s="377">
        <f>AJ88-AK88</f>
        <v/>
      </c>
      <c r="AM88" s="378">
        <f>AL88/AK88</f>
        <v/>
      </c>
      <c r="AN88" s="19" t="n">
        <v>-0.0465</v>
      </c>
      <c r="AO88" s="19" t="n"/>
      <c r="AP88" s="427" t="n"/>
      <c r="AQ88" s="362">
        <f>C88</f>
        <v/>
      </c>
      <c r="AR88" s="697" t="n">
        <v>1233845.4936</v>
      </c>
      <c r="AS88" s="362">
        <f>AR89</f>
        <v/>
      </c>
      <c r="AT88" s="377">
        <f>AR88-AS88</f>
        <v/>
      </c>
      <c r="AU88" s="378">
        <f>AT88/AS88</f>
        <v/>
      </c>
      <c r="AV88" s="19" t="n">
        <v>-0.0287</v>
      </c>
      <c r="AW88" s="19" t="n"/>
      <c r="AX88" s="5" t="n"/>
      <c r="AY88" s="188" t="n"/>
      <c r="AZ88" s="188">
        <f>C88</f>
        <v/>
      </c>
      <c r="BA88" s="188" t="n">
        <v>560991.6676</v>
      </c>
      <c r="BB88" s="188">
        <f>BA89</f>
        <v/>
      </c>
      <c r="BC88" s="188">
        <f>BA88-BB88</f>
        <v/>
      </c>
      <c r="BD88" s="271">
        <f>BC88/BB88</f>
        <v/>
      </c>
      <c r="BE88" s="19" t="n">
        <v>-0.0177</v>
      </c>
      <c r="BF88" s="19" t="n"/>
      <c r="BG88" s="647" t="n"/>
      <c r="BH88" s="363">
        <f>C88</f>
        <v/>
      </c>
      <c r="BI88" s="363" t="n">
        <v>1115026.5525</v>
      </c>
      <c r="BJ88" s="363">
        <f>BI89</f>
        <v/>
      </c>
      <c r="BK88" s="395">
        <f>BI88-BJ88</f>
        <v/>
      </c>
      <c r="BL88" s="396">
        <f>BK88/BJ88</f>
        <v/>
      </c>
      <c r="BM88" s="191" t="n">
        <v>-0.0569</v>
      </c>
      <c r="BN88" s="182" t="n"/>
      <c r="BO88" s="364" t="n"/>
      <c r="BP88" s="365">
        <f>C88</f>
        <v/>
      </c>
      <c r="BQ88" s="694" t="n">
        <v>1137862.3921</v>
      </c>
      <c r="BR88" s="365">
        <f>BQ89</f>
        <v/>
      </c>
      <c r="BS88" s="390">
        <f>BQ88-BR88</f>
        <v/>
      </c>
      <c r="BT88" s="391">
        <f>BS88/BR88</f>
        <v/>
      </c>
      <c r="BU88" s="182" t="n">
        <v>-0.024</v>
      </c>
      <c r="BV88" s="182" t="n"/>
      <c r="BW88" s="364" t="n"/>
      <c r="BX88" s="365">
        <f>C88</f>
        <v/>
      </c>
      <c r="BY88" s="365" t="n">
        <v>1777410.7019</v>
      </c>
      <c r="BZ88" s="365">
        <f>BY89</f>
        <v/>
      </c>
      <c r="CA88" s="390">
        <f>BY88-BZ88</f>
        <v/>
      </c>
      <c r="CB88" s="391">
        <f>CA88/BZ88</f>
        <v/>
      </c>
      <c r="CC88" s="182" t="n">
        <v>-0.0433</v>
      </c>
      <c r="CD88" s="383" t="n"/>
      <c r="CE88" s="364" t="n"/>
      <c r="CF88" s="365">
        <f>C88</f>
        <v/>
      </c>
      <c r="CG88" s="365" t="n">
        <v>1232703.9</v>
      </c>
      <c r="CH88" s="13">
        <f>CG89</f>
        <v/>
      </c>
      <c r="CI88" s="13">
        <f>CG88-CH88</f>
        <v/>
      </c>
      <c r="CJ88" s="193">
        <f>CI88/CH88</f>
        <v/>
      </c>
      <c r="CK88" s="182" t="n">
        <v>-0.0438</v>
      </c>
      <c r="CL88" s="366" t="n"/>
      <c r="CM88" s="364" t="n"/>
      <c r="CN88" s="365">
        <f>C88</f>
        <v/>
      </c>
      <c r="CO88" s="365" t="n">
        <v>530646.48</v>
      </c>
      <c r="CP88" s="365">
        <f>CO89</f>
        <v/>
      </c>
      <c r="CQ88" s="13">
        <f>CO88-CP88</f>
        <v/>
      </c>
      <c r="CR88" s="193">
        <f>CQ88/CP88</f>
        <v/>
      </c>
      <c r="CS88" s="366" t="n">
        <v>-0.043</v>
      </c>
      <c r="CT88" s="366" t="n"/>
      <c r="CU88" s="364" t="n"/>
      <c r="CV88" s="365">
        <f>C88</f>
        <v/>
      </c>
      <c r="CW88" s="365" t="n">
        <v>541090.4</v>
      </c>
      <c r="CX88" s="365">
        <f>CW89</f>
        <v/>
      </c>
      <c r="CY88" s="390">
        <f>CW88-CX88</f>
        <v/>
      </c>
      <c r="CZ88" s="391">
        <f>CY88/CX88</f>
        <v/>
      </c>
      <c r="DA88" s="182" t="n">
        <v>-0.0332</v>
      </c>
      <c r="DB88" s="182" t="n"/>
      <c r="DC88" s="256" t="n"/>
      <c r="DD88" s="365">
        <f>C88</f>
        <v/>
      </c>
      <c r="DE88" s="365" t="n">
        <v>5543935.9972</v>
      </c>
      <c r="DF88" s="13">
        <f>DE89</f>
        <v/>
      </c>
      <c r="DG88" s="390">
        <f>DE88-DF88</f>
        <v/>
      </c>
      <c r="DH88" s="391">
        <f>DG88/DF88</f>
        <v/>
      </c>
      <c r="DI88" s="182" t="n">
        <v>-0.0442</v>
      </c>
      <c r="DJ88" s="182" t="n"/>
      <c r="DK88" s="364" t="n"/>
      <c r="DL88" s="365">
        <f>C88</f>
        <v/>
      </c>
      <c r="DM88" s="365" t="n">
        <v>1807000.72</v>
      </c>
      <c r="DN88" s="365">
        <f>DM89</f>
        <v/>
      </c>
      <c r="DO88" s="388">
        <f>DM88-DN88</f>
        <v/>
      </c>
      <c r="DP88" s="389">
        <f>DO88/DN88</f>
        <v/>
      </c>
      <c r="DQ88" s="182" t="n">
        <v>-0.0562</v>
      </c>
      <c r="DR88" s="182" t="n"/>
      <c r="DS88" s="364" t="n"/>
      <c r="DT88" s="365">
        <f>C88</f>
        <v/>
      </c>
      <c r="DU88" s="365" t="n">
        <v>1384889.48</v>
      </c>
      <c r="DV88" s="365">
        <f>DU89</f>
        <v/>
      </c>
      <c r="DW88" s="388">
        <f>DU88-DV88</f>
        <v/>
      </c>
      <c r="DX88" s="389">
        <f>DW88/DV88</f>
        <v/>
      </c>
      <c r="DY88" s="182" t="n">
        <v>-0.051</v>
      </c>
      <c r="DZ88" s="182" t="n"/>
      <c r="EA88" s="364" t="n"/>
      <c r="EB88" s="365">
        <f>C88</f>
        <v/>
      </c>
      <c r="EC88" s="365" t="n">
        <v>3268166.82</v>
      </c>
      <c r="ED88" s="365">
        <f>EC89</f>
        <v/>
      </c>
      <c r="EE88" s="388">
        <f>EC88-ED88</f>
        <v/>
      </c>
      <c r="EF88" s="389">
        <f>EE88/ED88</f>
        <v/>
      </c>
      <c r="EG88" s="182" t="n">
        <v>-0.0493</v>
      </c>
      <c r="EH88" s="182" t="n"/>
      <c r="EI88" s="364" t="n"/>
      <c r="EJ88" s="365">
        <f>C88</f>
        <v/>
      </c>
      <c r="EK88" s="365" t="n">
        <v>1117522.9669</v>
      </c>
      <c r="EL88" s="365">
        <f>EK89</f>
        <v/>
      </c>
      <c r="EM88" s="397">
        <f>EK88-EL88</f>
        <v/>
      </c>
      <c r="EN88" s="398">
        <f>EM88/EL88</f>
        <v/>
      </c>
      <c r="EO88" s="182" t="n">
        <v>-0.0307</v>
      </c>
      <c r="EP88" s="182" t="n"/>
      <c r="EQ88" s="317" t="n"/>
      <c r="ER88" s="318">
        <f>C88</f>
        <v/>
      </c>
      <c r="ES88" s="318" t="n">
        <v>739694.04</v>
      </c>
      <c r="ET88" s="318">
        <f>ES89</f>
        <v/>
      </c>
      <c r="EU88" s="318">
        <f>ES88-ET88</f>
        <v/>
      </c>
      <c r="EV88" s="327">
        <f>EU88/ET88</f>
        <v/>
      </c>
      <c r="EW88" s="182" t="n">
        <v>-0.0336</v>
      </c>
      <c r="EX88" s="182" t="n"/>
      <c r="EY88" s="364" t="n"/>
      <c r="EZ88" s="365">
        <f>C88</f>
        <v/>
      </c>
      <c r="FA88" s="365" t="n">
        <v>544808</v>
      </c>
      <c r="FB88" s="365">
        <f>FA89</f>
        <v/>
      </c>
      <c r="FC88" s="388">
        <f>FA88-FB88</f>
        <v/>
      </c>
      <c r="FD88" s="389">
        <f>FC88/FB88</f>
        <v/>
      </c>
      <c r="FE88" s="182" t="n">
        <v>-0.06950000000000001</v>
      </c>
      <c r="FF88" s="182" t="n"/>
      <c r="FH88" s="365">
        <f>C88</f>
        <v/>
      </c>
      <c r="FI88" s="694" t="n">
        <v>1314595.3365</v>
      </c>
      <c r="FJ88" s="365">
        <f>FI89</f>
        <v/>
      </c>
      <c r="FK88" s="323">
        <f>FI88-FJ88</f>
        <v/>
      </c>
      <c r="FL88" s="324">
        <f>FK88/FJ88</f>
        <v/>
      </c>
      <c r="FM88" s="366" t="n">
        <v>-0.0992</v>
      </c>
      <c r="FN88" s="366" t="n"/>
      <c r="FO88" s="364" t="n"/>
      <c r="FP88" s="365">
        <f>C88</f>
        <v/>
      </c>
      <c r="FQ88" s="365" t="n">
        <v>1717168.73</v>
      </c>
      <c r="FR88" s="365">
        <f>FQ89</f>
        <v/>
      </c>
      <c r="FS88" s="388">
        <f>FQ88-FR88</f>
        <v/>
      </c>
      <c r="FT88" s="389">
        <f>FS88/FR88</f>
        <v/>
      </c>
      <c r="FU88" s="182" t="n">
        <v>-0.0596</v>
      </c>
      <c r="FV88" s="182" t="n"/>
      <c r="FW88" s="364" t="n"/>
      <c r="FX88" s="365">
        <f>C88</f>
        <v/>
      </c>
      <c r="FY88" s="365" t="n">
        <v>8335182.05</v>
      </c>
      <c r="FZ88" s="365">
        <f>FY89</f>
        <v/>
      </c>
      <c r="GA88" s="390">
        <f>FY88-FZ88</f>
        <v/>
      </c>
      <c r="GB88" s="391">
        <f>GA88/FZ88</f>
        <v/>
      </c>
      <c r="GC88" s="182" t="n">
        <v>-0.0158</v>
      </c>
      <c r="GD88" s="182" t="n"/>
      <c r="GE88" s="364" t="n"/>
      <c r="GF88" s="365">
        <f>C88</f>
        <v/>
      </c>
      <c r="GG88" s="365" t="n">
        <v>4872669.49</v>
      </c>
      <c r="GH88" s="365">
        <f>GG89</f>
        <v/>
      </c>
      <c r="GI88" s="390">
        <f>GG88-GH88</f>
        <v/>
      </c>
      <c r="GJ88" s="391">
        <f>GI88/GH88</f>
        <v/>
      </c>
      <c r="GK88" s="182" t="n">
        <v>-0.0083</v>
      </c>
      <c r="GL88" s="182" t="n"/>
      <c r="GM88" s="364" t="n"/>
      <c r="GN88" s="365">
        <f>C88</f>
        <v/>
      </c>
      <c r="GO88" s="365" t="n">
        <v>2029018.1217</v>
      </c>
      <c r="GP88" s="365">
        <f>GO89</f>
        <v/>
      </c>
      <c r="GQ88" s="390">
        <f>GO88-GP88</f>
        <v/>
      </c>
      <c r="GR88" s="391">
        <f>GQ88/GP88</f>
        <v/>
      </c>
      <c r="GS88" s="182" t="n">
        <v>-0.008200000000000001</v>
      </c>
      <c r="GT88" s="182" t="n"/>
      <c r="GU88" s="364" t="n"/>
      <c r="GV88" s="365">
        <f>C88</f>
        <v/>
      </c>
      <c r="GW88" s="365" t="n">
        <v>681549.4</v>
      </c>
      <c r="GX88" s="365">
        <f>GW89</f>
        <v/>
      </c>
      <c r="GY88" s="388">
        <f>GW88-GX88</f>
        <v/>
      </c>
      <c r="GZ88" s="389">
        <f>GY88/GX88</f>
        <v/>
      </c>
      <c r="HA88" s="182" t="n">
        <v>-0.0535</v>
      </c>
      <c r="HB88" s="182" t="n"/>
      <c r="HC88" s="364" t="n"/>
      <c r="HD88" s="365">
        <f>C88</f>
        <v/>
      </c>
      <c r="HE88" s="365" t="n">
        <v>927364.6746</v>
      </c>
      <c r="HF88" s="365">
        <f>HE89</f>
        <v/>
      </c>
      <c r="HG88" s="388">
        <f>HE88-HF88</f>
        <v/>
      </c>
      <c r="HH88" s="389">
        <f>HG88/HF88</f>
        <v/>
      </c>
      <c r="HI88" s="366" t="n">
        <v>-0.0409</v>
      </c>
      <c r="HJ88" s="182" t="n"/>
      <c r="HK88" s="364" t="n"/>
      <c r="HL88" s="365">
        <f>C88</f>
        <v/>
      </c>
      <c r="HM88" s="365" t="n">
        <v>112504.25</v>
      </c>
      <c r="HN88" s="365">
        <f>HM89</f>
        <v/>
      </c>
      <c r="HO88" s="388">
        <f>HM88-HN88</f>
        <v/>
      </c>
      <c r="HP88" s="389">
        <f>HO88/HN88</f>
        <v/>
      </c>
      <c r="HQ88" s="182" t="n">
        <v>-0.0234</v>
      </c>
      <c r="HR88" s="182" t="n"/>
      <c r="HS88" s="364" t="n"/>
      <c r="HT88" s="365">
        <f>C88</f>
        <v/>
      </c>
      <c r="HU88" s="365" t="n">
        <v>120268.8265</v>
      </c>
      <c r="HV88" s="365">
        <f>HU89</f>
        <v/>
      </c>
      <c r="HW88" s="390">
        <f>HU88-HV88</f>
        <v/>
      </c>
      <c r="HX88" s="391">
        <f>HW88/HV88</f>
        <v/>
      </c>
      <c r="HY88" s="182" t="n">
        <v>-0.0336</v>
      </c>
      <c r="HZ88" s="182" t="n"/>
      <c r="IA88" s="364" t="n"/>
      <c r="IB88" s="365">
        <f>C88</f>
        <v/>
      </c>
      <c r="IC88" s="185" t="n">
        <v>265609.79</v>
      </c>
      <c r="ID88" s="185">
        <f>IC89</f>
        <v/>
      </c>
      <c r="IE88" s="325">
        <f>IC88-ID88</f>
        <v/>
      </c>
      <c r="IF88" s="326">
        <f>IE88/ID88</f>
        <v/>
      </c>
      <c r="IG88" s="366" t="n">
        <v>-0.0313</v>
      </c>
      <c r="IH88" s="182" t="n"/>
      <c r="II88" s="364" t="n"/>
      <c r="IJ88" s="365">
        <f>C88</f>
        <v/>
      </c>
      <c r="IK88" s="365" t="n">
        <v>871276.29</v>
      </c>
      <c r="IL88" s="365">
        <f>IK89</f>
        <v/>
      </c>
      <c r="IM88" s="390">
        <f>IK88-IL88</f>
        <v/>
      </c>
      <c r="IN88" s="391">
        <f>IM88/IL88</f>
        <v/>
      </c>
      <c r="IO88" s="182" t="n">
        <v>-0.0157</v>
      </c>
      <c r="IP88" s="182" t="n"/>
      <c r="IQ88" s="364" t="n"/>
      <c r="IR88" s="365">
        <f>C88</f>
        <v/>
      </c>
      <c r="IS88" s="365" t="n">
        <v>169689</v>
      </c>
      <c r="IT88" s="365">
        <f>IS89</f>
        <v/>
      </c>
      <c r="IU88" s="388">
        <f>IS88-IT88</f>
        <v/>
      </c>
      <c r="IV88" s="389">
        <f>IU88/IT88</f>
        <v/>
      </c>
      <c r="IW88" s="182" t="n">
        <v>-0.0264</v>
      </c>
      <c r="IX88" s="182" t="n"/>
      <c r="IY88" s="364" t="n"/>
      <c r="IZ88" s="365">
        <f>C88</f>
        <v/>
      </c>
      <c r="JA88" s="365" t="n">
        <v>5574729.15</v>
      </c>
      <c r="JB88" s="365">
        <f>JA89</f>
        <v/>
      </c>
      <c r="JC88" s="388">
        <f>JA88-JB88</f>
        <v/>
      </c>
      <c r="JD88" s="389">
        <f>JC88/JB88</f>
        <v/>
      </c>
      <c r="JE88" s="182" t="n">
        <v>-0.0108</v>
      </c>
      <c r="JF88" s="182" t="n"/>
      <c r="JG88" s="364" t="n"/>
      <c r="JH88" s="365">
        <f>C88</f>
        <v/>
      </c>
      <c r="JI88" s="365" t="n">
        <v>1409187.99</v>
      </c>
      <c r="JJ88" s="365">
        <f>JI89</f>
        <v/>
      </c>
      <c r="JK88" s="390">
        <f>JI88-JJ88</f>
        <v/>
      </c>
      <c r="JL88" s="391">
        <f>JK88/JJ88</f>
        <v/>
      </c>
      <c r="JM88" s="182" t="n">
        <v>0.0156</v>
      </c>
      <c r="JN88" s="182" t="n"/>
      <c r="JP88" s="365">
        <f>C88</f>
        <v/>
      </c>
      <c r="JQ88" s="365" t="n">
        <v>1059990.4148</v>
      </c>
      <c r="JR88" s="365">
        <f>JQ89</f>
        <v/>
      </c>
      <c r="JS88" s="390">
        <f>JQ88-JR88</f>
        <v/>
      </c>
      <c r="JT88" s="391">
        <f>JS88/JR88</f>
        <v/>
      </c>
      <c r="JU88" s="182" t="n">
        <v>-0.0394</v>
      </c>
      <c r="JV88" s="383" t="n"/>
      <c r="JX88" s="365">
        <f>C88</f>
        <v/>
      </c>
      <c r="JY88" s="365" t="n">
        <v>1041198.8</v>
      </c>
      <c r="JZ88" s="365">
        <f>JY89</f>
        <v/>
      </c>
      <c r="KA88" s="384">
        <f>JY88-JZ88</f>
        <v/>
      </c>
      <c r="KB88" s="383">
        <f>KA88/JZ88</f>
        <v/>
      </c>
      <c r="KC88" s="182" t="n">
        <v>-0.0187</v>
      </c>
      <c r="KD88" s="383" t="n"/>
      <c r="KF88" s="365">
        <f>C88</f>
        <v/>
      </c>
      <c r="KG88" s="365" t="n">
        <v>614355.9219</v>
      </c>
      <c r="KH88" s="365">
        <f>KG89</f>
        <v/>
      </c>
      <c r="KI88" s="384">
        <f>KG88-KH88</f>
        <v/>
      </c>
      <c r="KJ88" s="383">
        <f>KI88/KH88</f>
        <v/>
      </c>
      <c r="KK88" s="182" t="n">
        <v>-0.0014</v>
      </c>
      <c r="KL88" s="182" t="n"/>
      <c r="KM88" s="364" t="n"/>
      <c r="KN88" s="365">
        <f>C88</f>
        <v/>
      </c>
      <c r="KO88" s="365" t="n">
        <v>7000375.95</v>
      </c>
      <c r="KP88" s="365">
        <f>KO89</f>
        <v/>
      </c>
      <c r="KQ88" s="390">
        <f>KO88-KP88</f>
        <v/>
      </c>
      <c r="KR88" s="391">
        <f>KQ88/KP88</f>
        <v/>
      </c>
      <c r="KS88" s="182" t="n">
        <v>-0.0215</v>
      </c>
      <c r="KT88" s="182" t="n"/>
      <c r="KU88" s="364" t="n"/>
      <c r="KV88" s="365">
        <f>C88</f>
        <v/>
      </c>
      <c r="KW88" s="365" t="n">
        <v>1096572.9726</v>
      </c>
      <c r="KX88" s="365">
        <f>KW89</f>
        <v/>
      </c>
      <c r="KY88" s="323">
        <f>KW88-KX88</f>
        <v/>
      </c>
      <c r="KZ88" s="324">
        <f>KY88/KX88</f>
        <v/>
      </c>
      <c r="LA88" s="366" t="n">
        <v>-0.0159</v>
      </c>
      <c r="LB88" s="182" t="n"/>
      <c r="LC88" s="364" t="n"/>
      <c r="LD88" s="365">
        <f>C88</f>
        <v/>
      </c>
      <c r="LE88" s="365" t="n">
        <v>366457.7</v>
      </c>
      <c r="LF88" s="365">
        <f>LE89</f>
        <v/>
      </c>
      <c r="LG88" s="388">
        <f>LE88-LF88</f>
        <v/>
      </c>
      <c r="LH88" s="389">
        <f>LG88/LF88</f>
        <v/>
      </c>
      <c r="LI88" s="182" t="n">
        <v>-0.06909999999999999</v>
      </c>
      <c r="LJ88" s="182" t="n"/>
      <c r="LK88" s="364" t="n"/>
      <c r="LL88" s="365">
        <f>C88</f>
        <v/>
      </c>
      <c r="LM88" s="694" t="n">
        <v>3428035.02</v>
      </c>
      <c r="LN88" s="365">
        <f>LM89</f>
        <v/>
      </c>
      <c r="LO88" s="390">
        <f>LM88-LN88</f>
        <v/>
      </c>
      <c r="LP88" s="391">
        <f>LO88/LN88</f>
        <v/>
      </c>
      <c r="LQ88" s="182" t="n">
        <v>-0.0101</v>
      </c>
      <c r="LR88" s="182" t="n"/>
      <c r="LS88" s="364" t="n"/>
      <c r="LT88" s="365">
        <f>C88</f>
        <v/>
      </c>
      <c r="LU88" s="365" t="n">
        <v>2335862.904</v>
      </c>
      <c r="LV88" s="365">
        <f>LU89</f>
        <v/>
      </c>
      <c r="LW88" s="390">
        <f>LU88-LV88</f>
        <v/>
      </c>
      <c r="LX88" s="391">
        <f>LW88/LV88</f>
        <v/>
      </c>
      <c r="LY88" s="182" t="n">
        <v>-0.0016</v>
      </c>
      <c r="LZ88" s="182" t="n"/>
      <c r="MA88" s="364" t="n"/>
      <c r="MB88" s="365">
        <f>C88</f>
        <v/>
      </c>
      <c r="MC88" s="365" t="n">
        <v>1271567.69</v>
      </c>
      <c r="MD88" s="365">
        <f>MC89</f>
        <v/>
      </c>
      <c r="ME88" s="390">
        <f>MC88-MD88</f>
        <v/>
      </c>
      <c r="MF88" s="391">
        <f>ME88/MD88</f>
        <v/>
      </c>
      <c r="MG88" s="182" t="n">
        <v>0.0009</v>
      </c>
      <c r="MH88" s="182" t="n"/>
      <c r="MI88" s="319" t="n"/>
      <c r="MJ88" s="318" t="n"/>
      <c r="MK88" s="318">
        <f>C88</f>
        <v/>
      </c>
      <c r="ML88" s="318" t="n">
        <v>173985.5354</v>
      </c>
      <c r="MM88" s="13">
        <f>ML89</f>
        <v/>
      </c>
      <c r="MN88" s="318">
        <f>ML88-MM88</f>
        <v/>
      </c>
      <c r="MO88" s="327">
        <f>MN88/MM88</f>
        <v/>
      </c>
      <c r="MP88" s="182" t="n">
        <v>-0.0437</v>
      </c>
      <c r="MQ88" s="369" t="n"/>
      <c r="MR88" s="369" t="n"/>
      <c r="MS88" s="188" t="n"/>
      <c r="MT88" s="274">
        <f>C88</f>
        <v/>
      </c>
      <c r="MU88" s="188" t="n">
        <v>130914.8</v>
      </c>
      <c r="MV88" s="188">
        <f>MU89</f>
        <v/>
      </c>
      <c r="MW88" s="188">
        <f>MU88-MV88</f>
        <v/>
      </c>
      <c r="MX88" s="271">
        <f>MW88/MV88</f>
        <v/>
      </c>
      <c r="MY88" s="182" t="n">
        <v>-0.0143</v>
      </c>
      <c r="MZ88" s="182" t="n"/>
      <c r="NA88" s="182" t="n"/>
      <c r="NB88" s="188" t="n"/>
      <c r="NC88" s="188">
        <f>C88</f>
        <v/>
      </c>
      <c r="ND88" s="188" t="n">
        <v>36891.48</v>
      </c>
      <c r="NE88" s="188">
        <f>ND89</f>
        <v/>
      </c>
      <c r="NF88" s="188">
        <f>ND88-NE88</f>
        <v/>
      </c>
      <c r="NG88" s="271">
        <f>NF88/NE88</f>
        <v/>
      </c>
      <c r="NH88" s="182" t="n">
        <v>-0.0323</v>
      </c>
      <c r="NI88" s="182" t="n"/>
      <c r="NJ88" s="182" t="n"/>
      <c r="NK88" s="182" t="n"/>
      <c r="NL88" s="188" t="n"/>
      <c r="NM88" s="188">
        <f>C88</f>
        <v/>
      </c>
      <c r="NN88" s="188" t="n">
        <v>3014411.08</v>
      </c>
      <c r="NO88" s="9">
        <f>NN89</f>
        <v/>
      </c>
      <c r="NP88" s="188">
        <f>NN88-NO88</f>
        <v/>
      </c>
      <c r="NQ88" s="271">
        <f>NP88/NO88</f>
        <v/>
      </c>
      <c r="NR88" s="272" t="n">
        <v>0.0117</v>
      </c>
      <c r="NS88" s="188" t="n"/>
      <c r="NT88" s="273" t="n"/>
      <c r="NU88" s="188">
        <f>C88</f>
        <v/>
      </c>
      <c r="NV88" s="188" t="n">
        <v>271026.5</v>
      </c>
      <c r="NW88" s="188">
        <f>NV89</f>
        <v/>
      </c>
      <c r="NX88" s="188">
        <f>NV88-NW88</f>
        <v/>
      </c>
      <c r="NY88" s="271">
        <f>NX88/NW88</f>
        <v/>
      </c>
      <c r="NZ88" s="366" t="n">
        <v>0.0417</v>
      </c>
      <c r="OA88" s="364" t="n"/>
      <c r="OB88" s="364" t="n"/>
      <c r="OC88" s="365">
        <f>C88</f>
        <v/>
      </c>
      <c r="OD88" s="365" t="n">
        <v>17362.97</v>
      </c>
      <c r="OE88" s="365">
        <f>OD89</f>
        <v/>
      </c>
      <c r="OF88" s="388">
        <f>OD88-OE88</f>
        <v/>
      </c>
      <c r="OG88" s="389">
        <f>OF88/OE88</f>
        <v/>
      </c>
      <c r="OH88" s="182" t="n">
        <v>-0.0012</v>
      </c>
      <c r="OI88" s="182" t="n"/>
      <c r="OJ88" s="364" t="n"/>
      <c r="OK88" s="365">
        <f>C88</f>
        <v/>
      </c>
      <c r="OL88" s="185" t="n">
        <v>14589.65</v>
      </c>
      <c r="OM88" s="9">
        <f>OL89</f>
        <v/>
      </c>
      <c r="ON88" s="9">
        <f>OL88-OM88</f>
        <v/>
      </c>
      <c r="OO88" s="182">
        <f>ON88/OM88</f>
        <v/>
      </c>
      <c r="OP88" s="182" t="n">
        <v>-0.0001</v>
      </c>
      <c r="OQ88" s="182" t="n"/>
      <c r="OT88" s="201">
        <f>OK88</f>
        <v/>
      </c>
      <c r="OU88" s="199" t="n">
        <v>151992.4066</v>
      </c>
      <c r="OV88" s="9">
        <f>OU89</f>
        <v/>
      </c>
      <c r="OW88" s="671">
        <f>OU88-OV88</f>
        <v/>
      </c>
      <c r="OX88" s="182">
        <f>OW88/OV88</f>
        <v/>
      </c>
      <c r="OY88" s="0" t="n">
        <v>0.0289</v>
      </c>
    </row>
    <row r="89" ht="17" customFormat="1" customHeight="1" s="9">
      <c r="A89" s="631" t="n"/>
      <c r="B89" s="631" t="n"/>
      <c r="C89" s="693" t="inlineStr">
        <is>
          <t>2026//7/10</t>
        </is>
      </c>
      <c r="D89" s="362" t="n">
        <v>1715718.77</v>
      </c>
      <c r="E89" s="362">
        <f>D90</f>
        <v/>
      </c>
      <c r="F89" s="377">
        <f>D89-E89</f>
        <v/>
      </c>
      <c r="G89" s="378">
        <f>F89/E89</f>
        <v/>
      </c>
      <c r="H89" s="19" t="n">
        <v>-0.0177</v>
      </c>
      <c r="I89" s="426" t="n"/>
      <c r="J89" s="426" t="n"/>
      <c r="K89" s="362">
        <f>C89</f>
        <v/>
      </c>
      <c r="L89" s="362" t="n">
        <v>917704.4</v>
      </c>
      <c r="M89" s="362">
        <f>L90</f>
        <v/>
      </c>
      <c r="N89" s="377">
        <f>L89-M89</f>
        <v/>
      </c>
      <c r="O89" s="378">
        <f>N89/M89</f>
        <v/>
      </c>
      <c r="P89" s="19" t="n">
        <v>-0.017</v>
      </c>
      <c r="Q89" s="426" t="n"/>
      <c r="R89" s="427" t="n"/>
      <c r="S89" s="362">
        <f>C89</f>
        <v/>
      </c>
      <c r="T89" s="362" t="n">
        <v>640866.6800000001</v>
      </c>
      <c r="U89" s="362">
        <f>T90</f>
        <v/>
      </c>
      <c r="V89" s="377">
        <f>T89-U89</f>
        <v/>
      </c>
      <c r="W89" s="378">
        <f>V89/U89</f>
        <v/>
      </c>
      <c r="X89" s="19" t="n">
        <v>-0.0104</v>
      </c>
      <c r="Y89" s="426" t="n"/>
      <c r="Z89" s="427" t="n"/>
      <c r="AA89" s="362">
        <f>S89</f>
        <v/>
      </c>
      <c r="AB89" s="362" t="n">
        <v>453656.86</v>
      </c>
      <c r="AC89" s="362">
        <f>AB90</f>
        <v/>
      </c>
      <c r="AD89" s="377">
        <f>AB89-AC89</f>
        <v/>
      </c>
      <c r="AE89" s="378">
        <f>AD89/AC89</f>
        <v/>
      </c>
      <c r="AF89" s="19" t="n">
        <v>-0.012</v>
      </c>
      <c r="AG89" s="426" t="n"/>
      <c r="AH89" s="427" t="n"/>
      <c r="AI89" s="362">
        <f>C89</f>
        <v/>
      </c>
      <c r="AJ89" s="362" t="n">
        <v>525921.76</v>
      </c>
      <c r="AK89" s="362">
        <f>AJ90</f>
        <v/>
      </c>
      <c r="AL89" s="377">
        <f>AJ89-AK89</f>
        <v/>
      </c>
      <c r="AM89" s="378">
        <f>AL89/AK89</f>
        <v/>
      </c>
      <c r="AN89" s="19" t="n">
        <v>-0.0125</v>
      </c>
      <c r="AO89" s="19" t="n"/>
      <c r="AP89" s="427" t="n"/>
      <c r="AQ89" s="362">
        <f>C89</f>
        <v/>
      </c>
      <c r="AR89" s="697" t="n">
        <v>1180145.4936</v>
      </c>
      <c r="AS89" s="362">
        <f>AR90</f>
        <v/>
      </c>
      <c r="AT89" s="377">
        <f>AR89-AS89</f>
        <v/>
      </c>
      <c r="AU89" s="378">
        <f>AT89/AS89</f>
        <v/>
      </c>
      <c r="AV89" s="19" t="n">
        <v>-0.0441</v>
      </c>
      <c r="AW89" s="19" t="n"/>
      <c r="AX89" s="5" t="n"/>
      <c r="AY89" s="188" t="n"/>
      <c r="AZ89" s="188">
        <f>C89</f>
        <v/>
      </c>
      <c r="BA89" s="188" t="n">
        <v>538041.6676</v>
      </c>
      <c r="BB89" s="188">
        <f>BA90</f>
        <v/>
      </c>
      <c r="BC89" s="188">
        <f>BA89-BB89</f>
        <v/>
      </c>
      <c r="BD89" s="271">
        <f>BC89/BB89</f>
        <v/>
      </c>
      <c r="BE89" s="19" t="n">
        <v>-0.0174</v>
      </c>
      <c r="BF89" s="19" t="n"/>
      <c r="BG89" s="647" t="n"/>
      <c r="BH89" s="363">
        <f>C89</f>
        <v/>
      </c>
      <c r="BI89" s="363" t="n">
        <v>1121326.5525</v>
      </c>
      <c r="BJ89" s="363">
        <f>BI90</f>
        <v/>
      </c>
      <c r="BK89" s="395">
        <f>BI89-BJ89</f>
        <v/>
      </c>
      <c r="BL89" s="396">
        <f>BK89/BJ89</f>
        <v/>
      </c>
      <c r="BM89" s="191" t="n">
        <v>-0.0121</v>
      </c>
      <c r="BN89" s="182" t="n"/>
      <c r="BO89" s="364" t="n"/>
      <c r="BP89" s="365">
        <f>C89</f>
        <v/>
      </c>
      <c r="BQ89" s="694" t="n">
        <v>1121162.3921</v>
      </c>
      <c r="BR89" s="365">
        <f>BQ90</f>
        <v/>
      </c>
      <c r="BS89" s="390">
        <f>BQ89-BR89</f>
        <v/>
      </c>
      <c r="BT89" s="391">
        <f>BS89/BR89</f>
        <v/>
      </c>
      <c r="BU89" s="182" t="n">
        <v>0.0158</v>
      </c>
      <c r="BV89" s="182" t="n"/>
      <c r="BW89" s="364" t="n"/>
      <c r="BX89" s="365">
        <f>C89</f>
        <v/>
      </c>
      <c r="BY89" s="365" t="n">
        <v>1786610.7019</v>
      </c>
      <c r="BZ89" s="365">
        <f>BY90</f>
        <v/>
      </c>
      <c r="CA89" s="390">
        <f>BY89-BZ89</f>
        <v/>
      </c>
      <c r="CB89" s="391">
        <f>CA89/BZ89</f>
        <v/>
      </c>
      <c r="CC89" s="182" t="n">
        <v>-0.0187</v>
      </c>
      <c r="CD89" s="383" t="n"/>
      <c r="CE89" s="364" t="n"/>
      <c r="CF89" s="365">
        <f>C89</f>
        <v/>
      </c>
      <c r="CG89" s="365" t="n">
        <v>1235803.9</v>
      </c>
      <c r="CH89" s="13">
        <f>CG90</f>
        <v/>
      </c>
      <c r="CI89" s="13">
        <f>CG89-CH89</f>
        <v/>
      </c>
      <c r="CJ89" s="193">
        <f>CI89/CH89</f>
        <v/>
      </c>
      <c r="CK89" s="182" t="n">
        <v>0.0063</v>
      </c>
      <c r="CL89" s="366" t="n"/>
      <c r="CM89" s="364" t="n"/>
      <c r="CN89" s="365">
        <f>C89</f>
        <v/>
      </c>
      <c r="CO89" s="365" t="n">
        <v>533046.48</v>
      </c>
      <c r="CP89" s="365">
        <f>CO90</f>
        <v/>
      </c>
      <c r="CQ89" s="13">
        <f>CO89-CP89</f>
        <v/>
      </c>
      <c r="CR89" s="193">
        <f>CQ89/CP89</f>
        <v/>
      </c>
      <c r="CS89" s="366" t="n">
        <v>0.0059</v>
      </c>
      <c r="CT89" s="366" t="n"/>
      <c r="CU89" s="364" t="n"/>
      <c r="CV89" s="365">
        <f>C89</f>
        <v/>
      </c>
      <c r="CW89" s="365" t="n">
        <v>539790.4</v>
      </c>
      <c r="CX89" s="365">
        <f>CW90</f>
        <v/>
      </c>
      <c r="CY89" s="390">
        <f>CW89-CX89</f>
        <v/>
      </c>
      <c r="CZ89" s="391">
        <f>CY89/CX89</f>
        <v/>
      </c>
      <c r="DA89" s="182" t="n">
        <v>0.0202</v>
      </c>
      <c r="DB89" s="182" t="n"/>
      <c r="DC89" s="256" t="n"/>
      <c r="DD89" s="365">
        <f>C89</f>
        <v/>
      </c>
      <c r="DE89" s="365" t="n">
        <v>5660335.9972</v>
      </c>
      <c r="DF89" s="13">
        <f>DE90</f>
        <v/>
      </c>
      <c r="DG89" s="390">
        <f>DE89-DF89</f>
        <v/>
      </c>
      <c r="DH89" s="391">
        <f>DG89/DF89</f>
        <v/>
      </c>
      <c r="DI89" s="182" t="n">
        <v>-0.0699</v>
      </c>
      <c r="DJ89" s="182" t="n"/>
      <c r="DK89" s="364" t="n"/>
      <c r="DL89" s="365">
        <f>C89</f>
        <v/>
      </c>
      <c r="DM89" s="365" t="n">
        <v>1784200.72</v>
      </c>
      <c r="DN89" s="365">
        <f>DM90</f>
        <v/>
      </c>
      <c r="DO89" s="388">
        <f>DM89-DN89</f>
        <v/>
      </c>
      <c r="DP89" s="389">
        <f>DO89/DN89</f>
        <v/>
      </c>
      <c r="DQ89" s="182" t="n">
        <v>-0.0693</v>
      </c>
      <c r="DR89" s="182" t="n"/>
      <c r="DS89" s="364" t="n"/>
      <c r="DT89" s="365">
        <f>C89</f>
        <v/>
      </c>
      <c r="DU89" s="365" t="n">
        <v>1377689.48</v>
      </c>
      <c r="DV89" s="365">
        <f>DU90</f>
        <v/>
      </c>
      <c r="DW89" s="390">
        <f>DU89-DV89</f>
        <v/>
      </c>
      <c r="DX89" s="391">
        <f>DW89/DV89</f>
        <v/>
      </c>
      <c r="DY89" s="182" t="n">
        <v>-0.0678</v>
      </c>
      <c r="DZ89" s="182" t="n"/>
      <c r="EA89" s="364" t="n"/>
      <c r="EB89" s="365">
        <f>C89</f>
        <v/>
      </c>
      <c r="EC89" s="365" t="n">
        <v>3173366.82</v>
      </c>
      <c r="ED89" s="365">
        <f>EC90</f>
        <v/>
      </c>
      <c r="EE89" s="388">
        <f>EC89-ED89</f>
        <v/>
      </c>
      <c r="EF89" s="389">
        <f>EE89/ED89</f>
        <v/>
      </c>
      <c r="EG89" s="182" t="n">
        <v>-0.0511</v>
      </c>
      <c r="EH89" s="182" t="n"/>
      <c r="EI89" s="364" t="n"/>
      <c r="EJ89" s="365">
        <f>C89</f>
        <v/>
      </c>
      <c r="EK89" s="365" t="n">
        <v>1105522.9669</v>
      </c>
      <c r="EL89" s="365">
        <f>EK90</f>
        <v/>
      </c>
      <c r="EM89" s="390">
        <f>EK89-EL89</f>
        <v/>
      </c>
      <c r="EN89" s="391">
        <f>EM89/EL89</f>
        <v/>
      </c>
      <c r="EO89" s="182" t="n">
        <v>-0.0316</v>
      </c>
      <c r="EP89" s="182" t="n"/>
      <c r="EQ89" s="317" t="n"/>
      <c r="ER89" s="318">
        <f>C89</f>
        <v/>
      </c>
      <c r="ES89" s="318" t="n">
        <v>739494.04</v>
      </c>
      <c r="ET89" s="318">
        <f>ES90</f>
        <v/>
      </c>
      <c r="EU89" s="318">
        <f>ES89-ET89</f>
        <v/>
      </c>
      <c r="EV89" s="327">
        <f>EU89/ET89</f>
        <v/>
      </c>
      <c r="EW89" s="182" t="n">
        <v>-0.0276</v>
      </c>
      <c r="EX89" s="182" t="n"/>
      <c r="EY89" s="364" t="n"/>
      <c r="EZ89" s="365">
        <f>C89</f>
        <v/>
      </c>
      <c r="FA89" s="365" t="n">
        <v>526008</v>
      </c>
      <c r="FB89" s="365">
        <f>FA90</f>
        <v/>
      </c>
      <c r="FC89" s="388">
        <f>FA89-FB89</f>
        <v/>
      </c>
      <c r="FD89" s="389">
        <f>FC89/FB89</f>
        <v/>
      </c>
      <c r="FE89" s="182" t="n">
        <v>0.0306</v>
      </c>
      <c r="FF89" s="182" t="n"/>
      <c r="FH89" s="365">
        <f>C89</f>
        <v/>
      </c>
      <c r="FI89" s="694" t="n">
        <v>1318795.3365</v>
      </c>
      <c r="FJ89" s="365">
        <f>FI90</f>
        <v/>
      </c>
      <c r="FK89" s="323">
        <f>FI89-FJ89</f>
        <v/>
      </c>
      <c r="FL89" s="324">
        <f>FK89/FJ89</f>
        <v/>
      </c>
      <c r="FM89" s="366" t="n">
        <v>0.0584</v>
      </c>
      <c r="FN89" s="366" t="n"/>
      <c r="FO89" s="364" t="n"/>
      <c r="FP89" s="365">
        <f>C89</f>
        <v/>
      </c>
      <c r="FQ89" s="365" t="n">
        <v>1681918.73</v>
      </c>
      <c r="FR89" s="365">
        <f>FQ90</f>
        <v/>
      </c>
      <c r="FS89" s="388">
        <f>FQ89-FR89</f>
        <v/>
      </c>
      <c r="FT89" s="389">
        <f>FS89/FR89</f>
        <v/>
      </c>
      <c r="FU89" s="182" t="n">
        <v>-0.0009</v>
      </c>
      <c r="FV89" s="182" t="n"/>
      <c r="FW89" s="364" t="n"/>
      <c r="FX89" s="365">
        <f>C89</f>
        <v/>
      </c>
      <c r="FY89" s="365" t="n">
        <v>8266382.05</v>
      </c>
      <c r="FZ89" s="365">
        <f>FY90</f>
        <v/>
      </c>
      <c r="GA89" s="390">
        <f>FY89-FZ89</f>
        <v/>
      </c>
      <c r="GB89" s="391">
        <f>GA89/FZ89</f>
        <v/>
      </c>
      <c r="GC89" s="182" t="n">
        <v>0.0293</v>
      </c>
      <c r="GD89" s="182" t="n"/>
      <c r="GE89" s="364" t="n"/>
      <c r="GF89" s="365">
        <f>C89</f>
        <v/>
      </c>
      <c r="GG89" s="365" t="n">
        <v>4858969.49</v>
      </c>
      <c r="GH89" s="365">
        <f>GG90</f>
        <v/>
      </c>
      <c r="GI89" s="390">
        <f>GG89-GH89</f>
        <v/>
      </c>
      <c r="GJ89" s="391">
        <f>GI89/GH89</f>
        <v/>
      </c>
      <c r="GK89" s="182" t="n">
        <v>0.0197</v>
      </c>
      <c r="GL89" s="182" t="n"/>
      <c r="GM89" s="364" t="n"/>
      <c r="GN89" s="365">
        <f>C89</f>
        <v/>
      </c>
      <c r="GO89" s="365" t="n">
        <v>2006038.1217</v>
      </c>
      <c r="GP89" s="365">
        <f>GO90</f>
        <v/>
      </c>
      <c r="GQ89" s="390">
        <f>GO89-GP89</f>
        <v/>
      </c>
      <c r="GR89" s="391">
        <f>GQ89/GP89</f>
        <v/>
      </c>
      <c r="GS89" s="182" t="n">
        <v>0.0314</v>
      </c>
      <c r="GT89" s="182" t="n"/>
      <c r="GU89" s="364" t="n"/>
      <c r="GV89" s="365">
        <f>C89</f>
        <v/>
      </c>
      <c r="GW89" s="365" t="n">
        <v>678349.4</v>
      </c>
      <c r="GX89" s="365">
        <f>GW90</f>
        <v/>
      </c>
      <c r="GY89" s="388">
        <f>GW89-GX89</f>
        <v/>
      </c>
      <c r="GZ89" s="389">
        <f>GY89/GX89</f>
        <v/>
      </c>
      <c r="HA89" s="182" t="n">
        <v>-0.0175</v>
      </c>
      <c r="HB89" s="182" t="n"/>
      <c r="HC89" s="364" t="n"/>
      <c r="HD89" s="365">
        <f>C89</f>
        <v/>
      </c>
      <c r="HE89" s="365" t="n">
        <v>930164.6746</v>
      </c>
      <c r="HF89" s="365">
        <f>HE90</f>
        <v/>
      </c>
      <c r="HG89" s="388">
        <f>HE89-HF89</f>
        <v/>
      </c>
      <c r="HH89" s="389">
        <f>HG89/HF89</f>
        <v/>
      </c>
      <c r="HI89" s="366" t="n">
        <v>-0.0259</v>
      </c>
      <c r="HJ89" s="182" t="n"/>
      <c r="HK89" s="364" t="n"/>
      <c r="HL89" s="365">
        <f>C89</f>
        <v/>
      </c>
      <c r="HM89" s="365" t="n">
        <v>112604.25</v>
      </c>
      <c r="HN89" s="365">
        <f>HM90</f>
        <v/>
      </c>
      <c r="HO89" s="390">
        <f>HM89-HN89</f>
        <v/>
      </c>
      <c r="HP89" s="391">
        <f>HO89/HN89</f>
        <v/>
      </c>
      <c r="HQ89" s="182" t="n">
        <v>0.0091</v>
      </c>
      <c r="HR89" s="182" t="n"/>
      <c r="HS89" s="364" t="n"/>
      <c r="HT89" s="365">
        <f>C89</f>
        <v/>
      </c>
      <c r="HU89" s="365" t="n">
        <v>118768.8265</v>
      </c>
      <c r="HV89" s="365">
        <f>HU90</f>
        <v/>
      </c>
      <c r="HW89" s="390">
        <f>HU89-HV89</f>
        <v/>
      </c>
      <c r="HX89" s="391">
        <f>HW89/HV89</f>
        <v/>
      </c>
      <c r="HY89" s="182" t="n">
        <v>0.0056</v>
      </c>
      <c r="HZ89" s="182" t="n"/>
      <c r="IA89" s="364" t="n"/>
      <c r="IB89" s="365">
        <f>C89</f>
        <v/>
      </c>
      <c r="IC89" s="185" t="n">
        <v>265234.79</v>
      </c>
      <c r="ID89" s="185">
        <f>IC90</f>
        <v/>
      </c>
      <c r="IE89" s="325">
        <f>IC89-ID89</f>
        <v/>
      </c>
      <c r="IF89" s="326">
        <f>IE89/ID89</f>
        <v/>
      </c>
      <c r="IG89" s="366" t="n">
        <v>0.0227</v>
      </c>
      <c r="IH89" s="182" t="n"/>
      <c r="II89" s="364" t="n"/>
      <c r="IJ89" s="365">
        <f>C89</f>
        <v/>
      </c>
      <c r="IK89" s="365" t="n">
        <v>869836.29</v>
      </c>
      <c r="IL89" s="365">
        <f>IK90</f>
        <v/>
      </c>
      <c r="IM89" s="390">
        <f>IK89-IL89</f>
        <v/>
      </c>
      <c r="IN89" s="391">
        <f>IM89/IL89</f>
        <v/>
      </c>
      <c r="IO89" s="182" t="n">
        <v>0.0149</v>
      </c>
      <c r="IP89" s="182" t="n"/>
      <c r="IQ89" s="364" t="n"/>
      <c r="IR89" s="365">
        <f>C89</f>
        <v/>
      </c>
      <c r="IS89" s="365" t="n">
        <v>163389</v>
      </c>
      <c r="IT89" s="365">
        <f>IS90</f>
        <v/>
      </c>
      <c r="IU89" s="384">
        <f>IS89-IT89</f>
        <v/>
      </c>
      <c r="IV89" s="383">
        <f>IU89/IT89</f>
        <v/>
      </c>
      <c r="IW89" s="182" t="n">
        <v>0.0089</v>
      </c>
      <c r="IX89" s="182" t="n"/>
      <c r="IY89" s="364" t="n"/>
      <c r="IZ89" s="365">
        <f>C89</f>
        <v/>
      </c>
      <c r="JA89" s="365" t="n">
        <v>5548329.15</v>
      </c>
      <c r="JB89" s="365">
        <f>JA90</f>
        <v/>
      </c>
      <c r="JC89" s="388">
        <f>JA89-JB89</f>
        <v/>
      </c>
      <c r="JD89" s="389">
        <f>JC89/JB89</f>
        <v/>
      </c>
      <c r="JE89" s="182" t="n">
        <v>-0.0194</v>
      </c>
      <c r="JF89" s="182" t="n"/>
      <c r="JG89" s="364" t="n"/>
      <c r="JH89" s="365">
        <f>C89</f>
        <v/>
      </c>
      <c r="JI89" s="365" t="n">
        <v>1381407.99</v>
      </c>
      <c r="JJ89" s="365">
        <f>JI90</f>
        <v/>
      </c>
      <c r="JK89" s="390">
        <f>JI89-JJ89</f>
        <v/>
      </c>
      <c r="JL89" s="391">
        <f>JK89/JJ89</f>
        <v/>
      </c>
      <c r="JM89" s="182" t="n">
        <v>0.007900000000000001</v>
      </c>
      <c r="JN89" s="182" t="n"/>
      <c r="JP89" s="365">
        <f>C89</f>
        <v/>
      </c>
      <c r="JQ89" s="365" t="n">
        <v>1048790.4148</v>
      </c>
      <c r="JR89" s="365">
        <f>JQ90</f>
        <v/>
      </c>
      <c r="JS89" s="390">
        <f>JQ89-JR89</f>
        <v/>
      </c>
      <c r="JT89" s="391">
        <f>JS89/JR89</f>
        <v/>
      </c>
      <c r="JU89" s="182" t="n">
        <v>0</v>
      </c>
      <c r="JV89" s="383" t="n"/>
      <c r="JX89" s="365">
        <f>C89</f>
        <v/>
      </c>
      <c r="JY89" s="365" t="n">
        <v>1039748.8</v>
      </c>
      <c r="JZ89" s="365">
        <f>JY90</f>
        <v/>
      </c>
      <c r="KA89" s="388">
        <f>JY89-JZ89</f>
        <v/>
      </c>
      <c r="KB89" s="389">
        <f>KA89/JZ89</f>
        <v/>
      </c>
      <c r="KC89" s="182" t="n">
        <v>-0.0098</v>
      </c>
      <c r="KD89" s="383" t="n"/>
      <c r="KF89" s="365">
        <f>C89</f>
        <v/>
      </c>
      <c r="KG89" s="365" t="n">
        <v>614355.9219</v>
      </c>
      <c r="KH89" s="365">
        <f>KG90</f>
        <v/>
      </c>
      <c r="KI89" s="388">
        <f>KG89-KH89</f>
        <v/>
      </c>
      <c r="KJ89" s="389">
        <f>KI89/KH89</f>
        <v/>
      </c>
      <c r="KK89" s="182" t="n">
        <v>0.007</v>
      </c>
      <c r="KL89" s="182" t="n"/>
      <c r="KM89" s="364" t="n"/>
      <c r="KN89" s="365">
        <f>C89</f>
        <v/>
      </c>
      <c r="KO89" s="365" t="n">
        <v>7000375.95</v>
      </c>
      <c r="KP89" s="365">
        <f>KO90</f>
        <v/>
      </c>
      <c r="KQ89" s="390">
        <f>KO89-KP89</f>
        <v/>
      </c>
      <c r="KR89" s="391">
        <f>KQ89/KP89</f>
        <v/>
      </c>
      <c r="KS89" s="182" t="n">
        <v>0.0066</v>
      </c>
      <c r="KT89" s="182" t="n"/>
      <c r="KU89" s="364" t="n"/>
      <c r="KV89" s="365">
        <f>C89</f>
        <v/>
      </c>
      <c r="KW89" s="365" t="n">
        <v>1072072.9726</v>
      </c>
      <c r="KX89" s="365">
        <f>KW90</f>
        <v/>
      </c>
      <c r="KY89" s="323">
        <f>KW89-KX89</f>
        <v/>
      </c>
      <c r="KZ89" s="324">
        <f>KY89/KX89</f>
        <v/>
      </c>
      <c r="LA89" s="366" t="n">
        <v>0.0436</v>
      </c>
      <c r="LB89" s="182" t="n"/>
      <c r="LC89" s="364" t="n"/>
      <c r="LD89" s="365">
        <f>C89</f>
        <v/>
      </c>
      <c r="LE89" s="365" t="n">
        <v>370707.7</v>
      </c>
      <c r="LF89" s="365">
        <f>LE90</f>
        <v/>
      </c>
      <c r="LG89" s="388">
        <f>LE89-LF89</f>
        <v/>
      </c>
      <c r="LH89" s="389">
        <f>LG89/LF89</f>
        <v/>
      </c>
      <c r="LI89" s="182" t="n">
        <v>0.0011</v>
      </c>
      <c r="LJ89" s="182" t="n"/>
      <c r="LK89" s="364" t="n"/>
      <c r="LL89" s="365">
        <f>C89</f>
        <v/>
      </c>
      <c r="LM89" s="694" t="n">
        <v>3424435.02</v>
      </c>
      <c r="LN89" s="365">
        <f>LM90</f>
        <v/>
      </c>
      <c r="LO89" s="388">
        <f>LM89-LN89</f>
        <v/>
      </c>
      <c r="LP89" s="389">
        <f>LO89/LN89</f>
        <v/>
      </c>
      <c r="LQ89" s="182" t="n">
        <v>0.0366</v>
      </c>
      <c r="LR89" s="182" t="n"/>
      <c r="LS89" s="364" t="n"/>
      <c r="LT89" s="365">
        <f>C89</f>
        <v/>
      </c>
      <c r="LU89" s="365" t="n">
        <v>2319262.904</v>
      </c>
      <c r="LV89" s="365">
        <f>LU90</f>
        <v/>
      </c>
      <c r="LW89" s="388">
        <f>LU89-LV89</f>
        <v/>
      </c>
      <c r="LX89" s="389">
        <f>LW89/LV89</f>
        <v/>
      </c>
      <c r="LY89" s="182" t="n">
        <v>0.0227</v>
      </c>
      <c r="LZ89" s="182" t="n"/>
      <c r="MA89" s="364" t="n"/>
      <c r="MB89" s="365">
        <f>C89</f>
        <v/>
      </c>
      <c r="MC89" s="365" t="n">
        <v>1262517.69</v>
      </c>
      <c r="MD89" s="365">
        <f>MC90</f>
        <v/>
      </c>
      <c r="ME89" s="388">
        <f>MC89-MD89</f>
        <v/>
      </c>
      <c r="MF89" s="389">
        <f>ME89/MD89</f>
        <v/>
      </c>
      <c r="MG89" s="182" t="n">
        <v>0</v>
      </c>
      <c r="MH89" s="182" t="n"/>
      <c r="MI89" s="319" t="n"/>
      <c r="MJ89" s="318" t="n"/>
      <c r="MK89" s="318">
        <f>C89</f>
        <v/>
      </c>
      <c r="ML89" s="318" t="n">
        <v>170145.5354</v>
      </c>
      <c r="MM89" s="13">
        <f>ML90</f>
        <v/>
      </c>
      <c r="MN89" s="318">
        <f>ML89-MM89</f>
        <v/>
      </c>
      <c r="MO89" s="327">
        <f>MN89/MM89</f>
        <v/>
      </c>
      <c r="MP89" s="182" t="n">
        <v>0.0056</v>
      </c>
      <c r="MQ89" s="369" t="n"/>
      <c r="MR89" s="369" t="n"/>
      <c r="MS89" s="188" t="n"/>
      <c r="MT89" s="274">
        <f>C89</f>
        <v/>
      </c>
      <c r="MU89" s="188" t="n">
        <v>129714.8</v>
      </c>
      <c r="MV89" s="188">
        <f>MU90</f>
        <v/>
      </c>
      <c r="MW89" s="188">
        <f>MU89-MV89</f>
        <v/>
      </c>
      <c r="MX89" s="271">
        <f>MW89/MV89</f>
        <v/>
      </c>
      <c r="MY89" s="182" t="n">
        <v>-0.0097</v>
      </c>
      <c r="MZ89" s="182" t="n"/>
      <c r="NA89" s="182" t="n"/>
      <c r="NB89" s="188" t="n"/>
      <c r="NC89" s="188">
        <f>C89</f>
        <v/>
      </c>
      <c r="ND89" s="188" t="n">
        <v>37491.48</v>
      </c>
      <c r="NE89" s="188">
        <f>ND90</f>
        <v/>
      </c>
      <c r="NF89" s="188">
        <f>ND89-NE89</f>
        <v/>
      </c>
      <c r="NG89" s="271">
        <f>NF89/NE89</f>
        <v/>
      </c>
      <c r="NH89" s="182" t="n">
        <v>-0.0054</v>
      </c>
      <c r="NI89" s="182" t="n"/>
      <c r="NJ89" s="182" t="n"/>
      <c r="NK89" s="182" t="n"/>
      <c r="NL89" s="188" t="n"/>
      <c r="NM89" s="188">
        <f>C89</f>
        <v/>
      </c>
      <c r="NN89" s="188" t="n">
        <v>2998511.08</v>
      </c>
      <c r="NO89" s="9">
        <f>NN90</f>
        <v/>
      </c>
      <c r="NP89" s="188">
        <f>NN89-NO89</f>
        <v/>
      </c>
      <c r="NQ89" s="271">
        <f>NP89/NO89</f>
        <v/>
      </c>
      <c r="NR89" s="272" t="n">
        <v>0.0072</v>
      </c>
      <c r="NS89" s="188" t="n"/>
      <c r="NT89" s="273" t="n"/>
      <c r="NU89" s="188">
        <f>C89</f>
        <v/>
      </c>
      <c r="NV89" s="188" t="n">
        <v>262676.5</v>
      </c>
      <c r="NW89" s="188">
        <f>NV90</f>
        <v/>
      </c>
      <c r="NX89" s="188">
        <f>NV89-NW89</f>
        <v/>
      </c>
      <c r="NY89" s="271">
        <f>NX89/NW89</f>
        <v/>
      </c>
      <c r="NZ89" s="366" t="n">
        <v>0.0174</v>
      </c>
      <c r="OA89" s="364" t="n"/>
      <c r="OB89" s="364" t="n"/>
      <c r="OC89" s="365">
        <f>C89</f>
        <v/>
      </c>
      <c r="OD89" s="365" t="n">
        <v>17362.97</v>
      </c>
      <c r="OE89" s="365">
        <f>OD90</f>
        <v/>
      </c>
      <c r="OF89" s="390">
        <f>OD89-OE89</f>
        <v/>
      </c>
      <c r="OG89" s="391">
        <f>OF89/OE89</f>
        <v/>
      </c>
      <c r="OH89" s="182" t="n">
        <v>0.0003</v>
      </c>
      <c r="OI89" s="182" t="n"/>
      <c r="OJ89" s="364" t="n"/>
      <c r="OK89" s="365">
        <f>C89</f>
        <v/>
      </c>
      <c r="OL89" s="24" t="n">
        <v>14589.65</v>
      </c>
      <c r="OM89" s="24">
        <f>OL90</f>
        <v/>
      </c>
      <c r="ON89" s="24">
        <f>OL89-OM89</f>
        <v/>
      </c>
      <c r="OO89" s="182">
        <f>ON89/OM89</f>
        <v/>
      </c>
      <c r="OP89" s="182" t="n">
        <v>-0.0001</v>
      </c>
      <c r="OQ89" s="182" t="n"/>
      <c r="OT89" s="201">
        <f>OK89</f>
        <v/>
      </c>
      <c r="OU89" s="199" t="n">
        <v>151872.4066</v>
      </c>
      <c r="OV89" s="9">
        <f>OU90</f>
        <v/>
      </c>
      <c r="OW89" s="671">
        <f>OU89-OV89</f>
        <v/>
      </c>
      <c r="OX89" s="182">
        <f>OW89/OV89</f>
        <v/>
      </c>
      <c r="OY89" s="0" t="n">
        <v>-0.006</v>
      </c>
    </row>
    <row r="90" ht="17" customFormat="1" customHeight="1" s="9">
      <c r="A90" s="631" t="n"/>
      <c r="B90" s="631" t="n"/>
      <c r="C90" s="693" t="inlineStr">
        <is>
          <t>2026//7/9</t>
        </is>
      </c>
      <c r="D90" s="362" t="n">
        <v>1721478.77</v>
      </c>
      <c r="E90" s="362">
        <f>D91</f>
        <v/>
      </c>
      <c r="F90" s="377">
        <f>D90-E90</f>
        <v/>
      </c>
      <c r="G90" s="378">
        <f>F90/E90</f>
        <v/>
      </c>
      <c r="H90" s="19" t="n">
        <v>0.0246</v>
      </c>
      <c r="I90" s="426" t="n"/>
      <c r="J90" s="426" t="n"/>
      <c r="K90" s="362">
        <f>C90</f>
        <v/>
      </c>
      <c r="L90" s="362" t="n">
        <v>917794.4</v>
      </c>
      <c r="M90" s="362">
        <f>L91</f>
        <v/>
      </c>
      <c r="N90" s="377">
        <f>L90-M90</f>
        <v/>
      </c>
      <c r="O90" s="378">
        <f>N90/M90</f>
        <v/>
      </c>
      <c r="P90" s="19" t="n">
        <v>0.0238</v>
      </c>
      <c r="Q90" s="426" t="n"/>
      <c r="R90" s="427" t="n"/>
      <c r="S90" s="362">
        <f>C90</f>
        <v/>
      </c>
      <c r="T90" s="362" t="n">
        <v>658686.6800000001</v>
      </c>
      <c r="U90" s="362">
        <f>T91</f>
        <v/>
      </c>
      <c r="V90" s="377">
        <f>T90-U90</f>
        <v/>
      </c>
      <c r="W90" s="378">
        <f>V90/U90</f>
        <v/>
      </c>
      <c r="X90" s="19" t="n">
        <v>0.0266</v>
      </c>
      <c r="Y90" s="426" t="n"/>
      <c r="Z90" s="427" t="n"/>
      <c r="AA90" s="362">
        <f>S90</f>
        <v/>
      </c>
      <c r="AB90" s="362" t="n">
        <v>468056.86</v>
      </c>
      <c r="AC90" s="362">
        <f>AB91</f>
        <v/>
      </c>
      <c r="AD90" s="377">
        <f>AB90-AC90</f>
        <v/>
      </c>
      <c r="AE90" s="378">
        <f>AD90/AC90</f>
        <v/>
      </c>
      <c r="AF90" s="19" t="n">
        <v>0.0296</v>
      </c>
      <c r="AG90" s="426" t="n"/>
      <c r="AH90" s="427" t="n"/>
      <c r="AI90" s="362">
        <f>C90</f>
        <v/>
      </c>
      <c r="AJ90" s="362" t="n">
        <v>590521.76</v>
      </c>
      <c r="AK90" s="362">
        <f>AJ91</f>
        <v/>
      </c>
      <c r="AL90" s="377">
        <f>AJ90-AK90</f>
        <v/>
      </c>
      <c r="AM90" s="378">
        <f>AL90/AK90</f>
        <v/>
      </c>
      <c r="AN90" s="19" t="n">
        <v>0.0195</v>
      </c>
      <c r="AO90" s="19" t="n"/>
      <c r="AP90" s="427" t="n"/>
      <c r="AQ90" s="362">
        <f>C90</f>
        <v/>
      </c>
      <c r="AR90" s="697" t="n">
        <v>1180045.4936</v>
      </c>
      <c r="AS90" s="362">
        <f>AR91</f>
        <v/>
      </c>
      <c r="AT90" s="377">
        <f>AR90-AS90</f>
        <v/>
      </c>
      <c r="AU90" s="378">
        <f>AT90/AS90</f>
        <v/>
      </c>
      <c r="AV90" s="19" t="n">
        <v>0.0447</v>
      </c>
      <c r="AW90" s="19" t="n"/>
      <c r="AX90" s="5" t="n"/>
      <c r="AY90" s="188" t="n"/>
      <c r="AZ90" s="188">
        <f>C90</f>
        <v/>
      </c>
      <c r="BA90" s="188" t="n">
        <v>534351.6676</v>
      </c>
      <c r="BB90" s="188">
        <f>BA91</f>
        <v/>
      </c>
      <c r="BC90" s="188">
        <f>BA90-BB90</f>
        <v/>
      </c>
      <c r="BD90" s="271">
        <f>BC90/BB90</f>
        <v/>
      </c>
      <c r="BE90" s="19" t="n">
        <v>0.0238</v>
      </c>
      <c r="BF90" s="19" t="n"/>
      <c r="BG90" s="647" t="n"/>
      <c r="BH90" s="363">
        <f>C90</f>
        <v/>
      </c>
      <c r="BI90" s="363" t="n">
        <v>1117426.5525</v>
      </c>
      <c r="BJ90" s="363">
        <f>BI91</f>
        <v/>
      </c>
      <c r="BK90" s="395">
        <f>BI90-BJ90</f>
        <v/>
      </c>
      <c r="BL90" s="396">
        <f>BK90/BJ90</f>
        <v/>
      </c>
      <c r="BM90" s="191" t="n">
        <v>0.0128</v>
      </c>
      <c r="BN90" s="182" t="n"/>
      <c r="BO90" s="364" t="n"/>
      <c r="BP90" s="365">
        <f>C90</f>
        <v/>
      </c>
      <c r="BQ90" s="694" t="n">
        <v>1136362.3921</v>
      </c>
      <c r="BR90" s="365">
        <f>BQ91</f>
        <v/>
      </c>
      <c r="BS90" s="390">
        <f>BQ90-BR90</f>
        <v/>
      </c>
      <c r="BT90" s="391">
        <f>BS90/BR90</f>
        <v/>
      </c>
      <c r="BU90" s="182" t="n">
        <v>0.025</v>
      </c>
      <c r="BV90" s="182" t="n"/>
      <c r="BW90" s="364" t="n"/>
      <c r="BX90" s="365">
        <f>C90</f>
        <v/>
      </c>
      <c r="BY90" s="365" t="n">
        <v>1792660.7019</v>
      </c>
      <c r="BZ90" s="365">
        <f>BY91</f>
        <v/>
      </c>
      <c r="CA90" s="390">
        <f>BY90-BZ90</f>
        <v/>
      </c>
      <c r="CB90" s="391">
        <f>CA90/BZ90</f>
        <v/>
      </c>
      <c r="CC90" s="182" t="n">
        <v>-0.005</v>
      </c>
      <c r="CD90" s="383" t="n"/>
      <c r="CE90" s="364" t="n"/>
      <c r="CF90" s="365">
        <f>C90</f>
        <v/>
      </c>
      <c r="CG90" s="365" t="n">
        <v>1243253.9</v>
      </c>
      <c r="CH90" s="13">
        <f>CG91</f>
        <v/>
      </c>
      <c r="CI90" s="13">
        <f>CG90-CH90</f>
        <v/>
      </c>
      <c r="CJ90" s="193">
        <f>CI90/CH90</f>
        <v/>
      </c>
      <c r="CK90" s="182" t="n">
        <v>-0.0029</v>
      </c>
      <c r="CL90" s="366" t="n"/>
      <c r="CM90" s="364" t="n"/>
      <c r="CN90" s="365">
        <f>C90</f>
        <v/>
      </c>
      <c r="CO90" s="365" t="n">
        <v>535746.48</v>
      </c>
      <c r="CP90" s="365">
        <f>CO91</f>
        <v/>
      </c>
      <c r="CQ90" s="13">
        <f>CO90-CP90</f>
        <v/>
      </c>
      <c r="CR90" s="193">
        <f>CQ90/CP90</f>
        <v/>
      </c>
      <c r="CS90" s="366" t="n">
        <v>-0.0065</v>
      </c>
      <c r="CT90" s="366" t="n"/>
      <c r="CU90" s="364" t="n"/>
      <c r="CV90" s="365">
        <f>C90</f>
        <v/>
      </c>
      <c r="CW90" s="365" t="n">
        <v>529140.4</v>
      </c>
      <c r="CX90" s="365">
        <f>CW91</f>
        <v/>
      </c>
      <c r="CY90" s="390">
        <f>CW90-CX90</f>
        <v/>
      </c>
      <c r="CZ90" s="391">
        <f>CY90/CX90</f>
        <v/>
      </c>
      <c r="DA90" s="182" t="n">
        <v>-0.0047</v>
      </c>
      <c r="DB90" s="182" t="n"/>
      <c r="DC90" s="256" t="n"/>
      <c r="DD90" s="365">
        <f>C90</f>
        <v/>
      </c>
      <c r="DE90" s="365" t="n">
        <v>5177035.9972</v>
      </c>
      <c r="DF90" s="13">
        <f>DE91</f>
        <v/>
      </c>
      <c r="DG90" s="390">
        <f>DE90-DF90</f>
        <v/>
      </c>
      <c r="DH90" s="391">
        <f>DG90/DF90</f>
        <v/>
      </c>
      <c r="DI90" s="182" t="n">
        <v>0.1001</v>
      </c>
      <c r="DJ90" s="182" t="n"/>
      <c r="DK90" s="364" t="n"/>
      <c r="DL90" s="365">
        <f>C90</f>
        <v/>
      </c>
      <c r="DM90" s="365" t="n">
        <v>1687000.72</v>
      </c>
      <c r="DN90" s="365">
        <f>DM91</f>
        <v/>
      </c>
      <c r="DO90" s="390">
        <f>DM90-DN90</f>
        <v/>
      </c>
      <c r="DP90" s="391">
        <f>DO90/DN90</f>
        <v/>
      </c>
      <c r="DQ90" s="182" t="n">
        <v>0.09859999999999999</v>
      </c>
      <c r="DR90" s="182" t="n"/>
      <c r="DS90" s="364" t="n"/>
      <c r="DT90" s="365">
        <f>C90</f>
        <v/>
      </c>
      <c r="DU90" s="365" t="n">
        <v>1354889.48</v>
      </c>
      <c r="DV90" s="365">
        <f>DU91</f>
        <v/>
      </c>
      <c r="DW90" s="390">
        <f>DU90-DV90</f>
        <v/>
      </c>
      <c r="DX90" s="391">
        <f>DW90/DV90</f>
        <v/>
      </c>
      <c r="DY90" s="182" t="n">
        <v>0.0921</v>
      </c>
      <c r="DZ90" s="182" t="n"/>
      <c r="EA90" s="364" t="n"/>
      <c r="EB90" s="365">
        <f>C90</f>
        <v/>
      </c>
      <c r="EC90" s="365" t="n">
        <v>3124166.82</v>
      </c>
      <c r="ED90" s="365">
        <f>EC91</f>
        <v/>
      </c>
      <c r="EE90" s="388">
        <f>EC90-ED90</f>
        <v/>
      </c>
      <c r="EF90" s="389">
        <f>EE90/ED90</f>
        <v/>
      </c>
      <c r="EG90" s="182" t="n">
        <v>0.0853</v>
      </c>
      <c r="EH90" s="182" t="n"/>
      <c r="EI90" s="364" t="n"/>
      <c r="EJ90" s="365">
        <f>C90</f>
        <v/>
      </c>
      <c r="EK90" s="365" t="n">
        <v>1111322.9669</v>
      </c>
      <c r="EL90" s="365">
        <f>EK91</f>
        <v/>
      </c>
      <c r="EM90" s="390">
        <f>EK90-EL90</f>
        <v/>
      </c>
      <c r="EN90" s="391">
        <f>EM90/EL90</f>
        <v/>
      </c>
      <c r="EO90" s="182" t="n">
        <v>0.0648</v>
      </c>
      <c r="EP90" s="182" t="n"/>
      <c r="EQ90" s="317" t="n"/>
      <c r="ER90" s="318">
        <f>C90</f>
        <v/>
      </c>
      <c r="ES90" s="318" t="n">
        <v>740894.04</v>
      </c>
      <c r="ET90" s="318">
        <f>ES91</f>
        <v/>
      </c>
      <c r="EU90" s="318">
        <f>ES90-ET90</f>
        <v/>
      </c>
      <c r="EV90" s="327">
        <f>EU90/ET90</f>
        <v/>
      </c>
      <c r="EW90" s="182" t="n">
        <v>0.064</v>
      </c>
      <c r="EX90" s="182" t="n"/>
      <c r="EY90" s="364" t="n"/>
      <c r="EZ90" s="365">
        <f>C90</f>
        <v/>
      </c>
      <c r="FA90" s="365" t="n">
        <v>541108</v>
      </c>
      <c r="FB90" s="365">
        <f>FA91</f>
        <v/>
      </c>
      <c r="FC90" s="388">
        <f>FA90-FB90</f>
        <v/>
      </c>
      <c r="FD90" s="389">
        <f>FC90/FB90</f>
        <v/>
      </c>
      <c r="FE90" s="182" t="n">
        <v>0.0197</v>
      </c>
      <c r="FF90" s="182" t="n"/>
      <c r="FH90" s="365">
        <f>C90</f>
        <v/>
      </c>
      <c r="FI90" s="694" t="n">
        <v>1200495.3365</v>
      </c>
      <c r="FJ90" s="365">
        <f>FI91</f>
        <v/>
      </c>
      <c r="FK90" s="323">
        <f>FI90-FJ90</f>
        <v/>
      </c>
      <c r="FL90" s="324">
        <f>FK90/FJ90</f>
        <v/>
      </c>
      <c r="FM90" s="366" t="n">
        <v>0.0489</v>
      </c>
      <c r="FN90" s="366" t="n"/>
      <c r="FO90" s="364" t="n"/>
      <c r="FP90" s="365">
        <f>C90</f>
        <v/>
      </c>
      <c r="FQ90" s="365" t="n">
        <v>1691368.73</v>
      </c>
      <c r="FR90" s="365">
        <f>FQ91</f>
        <v/>
      </c>
      <c r="FS90" s="390">
        <f>FQ90-FR90</f>
        <v/>
      </c>
      <c r="FT90" s="391">
        <f>FS90/FR90</f>
        <v/>
      </c>
      <c r="FU90" s="182" t="n">
        <v>0.0231</v>
      </c>
      <c r="FV90" s="182" t="n"/>
      <c r="FW90" s="364" t="n"/>
      <c r="FX90" s="365">
        <f>C90</f>
        <v/>
      </c>
      <c r="FY90" s="365" t="n">
        <v>8419582.050000001</v>
      </c>
      <c r="FZ90" s="365">
        <f>FY91</f>
        <v/>
      </c>
      <c r="GA90" s="390">
        <f>FY90-FZ90</f>
        <v/>
      </c>
      <c r="GB90" s="391">
        <f>GA90/FZ90</f>
        <v/>
      </c>
      <c r="GC90" s="182" t="n">
        <v>0.009900000000000001</v>
      </c>
      <c r="GD90" s="182" t="n"/>
      <c r="GE90" s="364" t="n"/>
      <c r="GF90" s="365">
        <f>C90</f>
        <v/>
      </c>
      <c r="GG90" s="365" t="n">
        <v>4894869.49</v>
      </c>
      <c r="GH90" s="365">
        <f>GG91</f>
        <v/>
      </c>
      <c r="GI90" s="390">
        <f>GG90-GH90</f>
        <v/>
      </c>
      <c r="GJ90" s="391">
        <f>GI90/GH90</f>
        <v/>
      </c>
      <c r="GK90" s="182" t="n">
        <v>0.0201</v>
      </c>
      <c r="GL90" s="182" t="n"/>
      <c r="GM90" s="364" t="n"/>
      <c r="GN90" s="365">
        <f>C90</f>
        <v/>
      </c>
      <c r="GO90" s="365" t="n">
        <v>2028598.1217</v>
      </c>
      <c r="GP90" s="365">
        <f>GO91</f>
        <v/>
      </c>
      <c r="GQ90" s="390">
        <f>GO90-GP90</f>
        <v/>
      </c>
      <c r="GR90" s="391">
        <f>GQ90/GP90</f>
        <v/>
      </c>
      <c r="GS90" s="182" t="n">
        <v>0.0209</v>
      </c>
      <c r="GT90" s="182" t="n"/>
      <c r="GU90" s="364" t="n"/>
      <c r="GV90" s="365">
        <f>C90</f>
        <v/>
      </c>
      <c r="GW90" s="365" t="n">
        <v>680749.4</v>
      </c>
      <c r="GX90" s="365">
        <f>GW91</f>
        <v/>
      </c>
      <c r="GY90" s="388">
        <f>GW90-GX90</f>
        <v/>
      </c>
      <c r="GZ90" s="389">
        <f>GY90/GX90</f>
        <v/>
      </c>
      <c r="HA90" s="182" t="n">
        <v>0.0156</v>
      </c>
      <c r="HB90" s="182" t="n"/>
      <c r="HC90" s="364" t="n"/>
      <c r="HD90" s="365">
        <f>C90</f>
        <v/>
      </c>
      <c r="HE90" s="365" t="n">
        <v>938264.6746</v>
      </c>
      <c r="HF90" s="365">
        <f>HE91</f>
        <v/>
      </c>
      <c r="HG90" s="390">
        <f>HE90-HF90</f>
        <v/>
      </c>
      <c r="HH90" s="391">
        <f>HG90/HF90</f>
        <v/>
      </c>
      <c r="HI90" s="366" t="n">
        <v>-0.002</v>
      </c>
      <c r="HJ90" s="182" t="n"/>
      <c r="HK90" s="364" t="n"/>
      <c r="HL90" s="365">
        <f>C90</f>
        <v/>
      </c>
      <c r="HM90" s="365" t="n">
        <v>111954.25</v>
      </c>
      <c r="HN90" s="365">
        <f>HM91</f>
        <v/>
      </c>
      <c r="HO90" s="388">
        <f>HM90-HN90</f>
        <v/>
      </c>
      <c r="HP90" s="389">
        <f>HO90/HN90</f>
        <v/>
      </c>
      <c r="HQ90" s="182" t="n">
        <v>0.0064</v>
      </c>
      <c r="HR90" s="182" t="n"/>
      <c r="HS90" s="364" t="n"/>
      <c r="HT90" s="365">
        <f>C90</f>
        <v/>
      </c>
      <c r="HU90" s="365" t="n">
        <v>119468.8265</v>
      </c>
      <c r="HV90" s="365">
        <f>HU91</f>
        <v/>
      </c>
      <c r="HW90" s="388">
        <f>HU90-HV90</f>
        <v/>
      </c>
      <c r="HX90" s="389">
        <f>HW90/HV90</f>
        <v/>
      </c>
      <c r="HY90" s="182" t="n">
        <v>-0.0037</v>
      </c>
      <c r="HZ90" s="182" t="n"/>
      <c r="IA90" s="364" t="n"/>
      <c r="IB90" s="365">
        <f>C90</f>
        <v/>
      </c>
      <c r="IC90" s="185" t="n">
        <v>260134.79</v>
      </c>
      <c r="ID90" s="185">
        <f>IC91</f>
        <v/>
      </c>
      <c r="IE90" s="325">
        <f>IC90-ID90</f>
        <v/>
      </c>
      <c r="IF90" s="326">
        <f>IE90/ID90</f>
        <v/>
      </c>
      <c r="IG90" s="366" t="n">
        <v>0.0102</v>
      </c>
      <c r="IH90" s="182" t="n"/>
      <c r="II90" s="364" t="n"/>
      <c r="IJ90" s="365">
        <f>C90</f>
        <v/>
      </c>
      <c r="IK90" s="365" t="n">
        <v>868076.29</v>
      </c>
      <c r="IL90" s="365">
        <f>IK91</f>
        <v/>
      </c>
      <c r="IM90" s="390">
        <f>IK90-IL90</f>
        <v/>
      </c>
      <c r="IN90" s="391">
        <f>IM90/IL90</f>
        <v/>
      </c>
      <c r="IO90" s="182" t="n">
        <v>-0.002</v>
      </c>
      <c r="IP90" s="182" t="n"/>
      <c r="IQ90" s="364" t="n"/>
      <c r="IR90" s="365">
        <f>C90</f>
        <v/>
      </c>
      <c r="IS90" s="365" t="n">
        <v>151189</v>
      </c>
      <c r="IT90" s="365">
        <f>IS91</f>
        <v/>
      </c>
      <c r="IU90" s="390">
        <f>IS90-IT90</f>
        <v/>
      </c>
      <c r="IV90" s="391">
        <f>IU90/IT90</f>
        <v/>
      </c>
      <c r="IW90" s="182" t="n">
        <v>0.0256</v>
      </c>
      <c r="IX90" s="182" t="n"/>
      <c r="IY90" s="364" t="n"/>
      <c r="IZ90" s="365">
        <f>C90</f>
        <v/>
      </c>
      <c r="JA90" s="365" t="n">
        <v>5472729.15</v>
      </c>
      <c r="JB90" s="365">
        <f>JA91</f>
        <v/>
      </c>
      <c r="JC90" s="390">
        <f>JA90-JB90</f>
        <v/>
      </c>
      <c r="JD90" s="391">
        <f>JC90/JB90</f>
        <v/>
      </c>
      <c r="JE90" s="182" t="n">
        <v>0.0189</v>
      </c>
      <c r="JF90" s="182" t="n"/>
      <c r="JG90" s="364" t="n"/>
      <c r="JH90" s="365">
        <f>C90</f>
        <v/>
      </c>
      <c r="JI90" s="365" t="n">
        <v>1403427.99</v>
      </c>
      <c r="JJ90" s="365">
        <f>JI91</f>
        <v/>
      </c>
      <c r="JK90" s="388">
        <f>JI90-JJ90</f>
        <v/>
      </c>
      <c r="JL90" s="389">
        <f>JK90/JJ90</f>
        <v/>
      </c>
      <c r="JM90" s="182" t="n">
        <v>-0.0117</v>
      </c>
      <c r="JN90" s="182" t="n"/>
      <c r="JP90" s="365">
        <f>C90</f>
        <v/>
      </c>
      <c r="JQ90" s="365" t="n">
        <v>1058390.4148</v>
      </c>
      <c r="JR90" s="365">
        <f>JQ91</f>
        <v/>
      </c>
      <c r="JS90" s="390">
        <f>JQ90-JR90</f>
        <v/>
      </c>
      <c r="JT90" s="391">
        <f>JS90/JR90</f>
        <v/>
      </c>
      <c r="JU90" s="182" t="n">
        <v>0.015</v>
      </c>
      <c r="JV90" s="383" t="n"/>
      <c r="JX90" s="365">
        <f>C90</f>
        <v/>
      </c>
      <c r="JY90" s="365" t="n">
        <v>1044198.8</v>
      </c>
      <c r="JZ90" s="365">
        <f>JY91</f>
        <v/>
      </c>
      <c r="KA90" s="384">
        <f>JY90-JZ90</f>
        <v/>
      </c>
      <c r="KB90" s="383">
        <f>KA90/JZ90</f>
        <v/>
      </c>
      <c r="KC90" s="182" t="n">
        <v>0.0132</v>
      </c>
      <c r="KD90" s="383" t="n"/>
      <c r="KF90" s="365">
        <f>C90</f>
        <v/>
      </c>
      <c r="KG90" s="365" t="n">
        <v>619155.9219</v>
      </c>
      <c r="KH90" s="365">
        <f>KG91</f>
        <v/>
      </c>
      <c r="KI90" s="388">
        <f>KG90-KH90</f>
        <v/>
      </c>
      <c r="KJ90" s="389">
        <f>KI90/KH90</f>
        <v/>
      </c>
      <c r="KK90" s="182" t="n">
        <v>-0.0049</v>
      </c>
      <c r="KL90" s="182" t="n"/>
      <c r="KM90" s="364" t="n"/>
      <c r="KN90" s="365">
        <f>C90</f>
        <v/>
      </c>
      <c r="KO90" s="365" t="n">
        <v>7000375.95</v>
      </c>
      <c r="KP90" s="365">
        <f>KO91</f>
        <v/>
      </c>
      <c r="KQ90" s="390">
        <f>KO90-KP90</f>
        <v/>
      </c>
      <c r="KR90" s="391">
        <f>KQ90/KP90</f>
        <v/>
      </c>
      <c r="KS90" s="182" t="n">
        <v>0.005</v>
      </c>
      <c r="KT90" s="182" t="n"/>
      <c r="KU90" s="364" t="n"/>
      <c r="KV90" s="365">
        <f>C90</f>
        <v/>
      </c>
      <c r="KW90" s="365" t="n">
        <v>1077772.9726</v>
      </c>
      <c r="KX90" s="365">
        <f>KW91</f>
        <v/>
      </c>
      <c r="KY90" s="323">
        <f>KW90-KX90</f>
        <v/>
      </c>
      <c r="KZ90" s="324">
        <f>KY90/KX90</f>
        <v/>
      </c>
      <c r="LA90" s="366" t="n">
        <v>-0.003</v>
      </c>
      <c r="LB90" s="182" t="n"/>
      <c r="LC90" s="364" t="n"/>
      <c r="LD90" s="365">
        <f>C90</f>
        <v/>
      </c>
      <c r="LE90" s="365" t="n">
        <v>370407.7</v>
      </c>
      <c r="LF90" s="365">
        <f>LE91</f>
        <v/>
      </c>
      <c r="LG90" s="388">
        <f>LE90-LF90</f>
        <v/>
      </c>
      <c r="LH90" s="389">
        <f>LG90/LF90</f>
        <v/>
      </c>
      <c r="LI90" s="182" t="n">
        <v>-0.0166</v>
      </c>
      <c r="LJ90" s="182" t="n"/>
      <c r="LK90" s="364" t="n"/>
      <c r="LL90" s="365">
        <f>C90</f>
        <v/>
      </c>
      <c r="LM90" s="694" t="n">
        <v>3511735.02</v>
      </c>
      <c r="LN90" s="365">
        <f>LM91</f>
        <v/>
      </c>
      <c r="LO90" s="390">
        <f>LM90-LN90</f>
        <v/>
      </c>
      <c r="LP90" s="391">
        <f>LO90/LN90</f>
        <v/>
      </c>
      <c r="LQ90" s="182" t="n">
        <v>-0.0179</v>
      </c>
      <c r="LR90" s="182" t="n"/>
      <c r="LS90" s="364" t="n"/>
      <c r="LT90" s="365">
        <f>C90</f>
        <v/>
      </c>
      <c r="LU90" s="365" t="n">
        <v>2327062.904</v>
      </c>
      <c r="LV90" s="365">
        <f>LU91</f>
        <v/>
      </c>
      <c r="LW90" s="390">
        <f>LU90-LV90</f>
        <v/>
      </c>
      <c r="LX90" s="391">
        <f>LW90/LV90</f>
        <v/>
      </c>
      <c r="LY90" s="182" t="n">
        <v>-0.0112</v>
      </c>
      <c r="LZ90" s="182" t="n"/>
      <c r="MA90" s="364" t="n"/>
      <c r="MB90" s="365">
        <f>C90</f>
        <v/>
      </c>
      <c r="MC90" s="365" t="n">
        <v>1274817.69</v>
      </c>
      <c r="MD90" s="365">
        <f>MC91</f>
        <v/>
      </c>
      <c r="ME90" s="388">
        <f>MC90-MD90</f>
        <v/>
      </c>
      <c r="MF90" s="389">
        <f>ME90/MD90</f>
        <v/>
      </c>
      <c r="MG90" s="182" t="n">
        <v>-0.0193</v>
      </c>
      <c r="MH90" s="182" t="n"/>
      <c r="MI90" s="319" t="n"/>
      <c r="MJ90" s="318" t="n"/>
      <c r="MK90" s="318">
        <f>C90</f>
        <v/>
      </c>
      <c r="ML90" s="318" t="n">
        <v>165225.5354</v>
      </c>
      <c r="MM90" s="13">
        <f>ML91</f>
        <v/>
      </c>
      <c r="MN90" s="318">
        <f>ML90-MM90</f>
        <v/>
      </c>
      <c r="MO90" s="327">
        <f>MN90/MM90</f>
        <v/>
      </c>
      <c r="MP90" s="182" t="n">
        <v>0.0348</v>
      </c>
      <c r="MQ90" s="369" t="n"/>
      <c r="MR90" s="369" t="n"/>
      <c r="MS90" s="188" t="n"/>
      <c r="MT90" s="274">
        <f>C90</f>
        <v/>
      </c>
      <c r="MU90" s="188" t="n">
        <v>130714.8</v>
      </c>
      <c r="MV90" s="188">
        <f>MU91</f>
        <v/>
      </c>
      <c r="MW90" s="188">
        <f>MU90-MV90</f>
        <v/>
      </c>
      <c r="MX90" s="271">
        <f>MW90/MV90</f>
        <v/>
      </c>
      <c r="MY90" s="182" t="n">
        <v>0.0075</v>
      </c>
      <c r="MZ90" s="182" t="n"/>
      <c r="NA90" s="182" t="n"/>
      <c r="NB90" s="188" t="n"/>
      <c r="NC90" s="188">
        <f>C90</f>
        <v/>
      </c>
      <c r="ND90" s="188" t="n">
        <v>37691.48</v>
      </c>
      <c r="NE90" s="188">
        <f>ND91</f>
        <v/>
      </c>
      <c r="NF90" s="188">
        <f>ND90-NE90</f>
        <v/>
      </c>
      <c r="NG90" s="271">
        <f>NF90/NE90</f>
        <v/>
      </c>
      <c r="NH90" s="182" t="n">
        <v>0.0031</v>
      </c>
      <c r="NI90" s="182" t="n"/>
      <c r="NJ90" s="182" t="n"/>
      <c r="NK90" s="182" t="n"/>
      <c r="NL90" s="188" t="n"/>
      <c r="NM90" s="188">
        <f>C90</f>
        <v/>
      </c>
      <c r="NN90" s="188" t="n">
        <v>3003411.08</v>
      </c>
      <c r="NO90" s="9">
        <f>NN91</f>
        <v/>
      </c>
      <c r="NP90" s="188">
        <f>NN90-NO90</f>
        <v/>
      </c>
      <c r="NQ90" s="271">
        <f>NP90/NO90</f>
        <v/>
      </c>
      <c r="NR90" s="272" t="n">
        <v>-0.0134</v>
      </c>
      <c r="NS90" s="188" t="n"/>
      <c r="NT90" s="273" t="n"/>
      <c r="NU90" s="188">
        <f>C90</f>
        <v/>
      </c>
      <c r="NV90" s="188" t="n">
        <v>264326.5</v>
      </c>
      <c r="NW90" s="188">
        <f>NV91</f>
        <v/>
      </c>
      <c r="NX90" s="188">
        <f>NV90-NW90</f>
        <v/>
      </c>
      <c r="NY90" s="271">
        <f>NX90/NW90</f>
        <v/>
      </c>
      <c r="NZ90" s="366" t="n">
        <v>-0.0011</v>
      </c>
      <c r="OA90" s="364" t="n"/>
      <c r="OB90" s="364" t="n"/>
      <c r="OC90" s="365">
        <f>C90</f>
        <v/>
      </c>
      <c r="OD90" s="365" t="n">
        <v>17473.97</v>
      </c>
      <c r="OE90" s="365">
        <f>OD91</f>
        <v/>
      </c>
      <c r="OF90" s="388">
        <f>OD90-OE90</f>
        <v/>
      </c>
      <c r="OG90" s="389">
        <f>OF90/OE90</f>
        <v/>
      </c>
      <c r="OH90" s="182" t="n">
        <v>0.0002</v>
      </c>
      <c r="OI90" s="182" t="n"/>
      <c r="OJ90" s="364" t="n"/>
      <c r="OK90" s="365">
        <f>C90</f>
        <v/>
      </c>
      <c r="OL90" s="24" t="n">
        <v>14589.65</v>
      </c>
      <c r="OM90" s="0">
        <f>OL91</f>
        <v/>
      </c>
      <c r="ON90" s="24">
        <f>OL90-OM90</f>
        <v/>
      </c>
      <c r="OO90" s="182">
        <f>ON90/OM90</f>
        <v/>
      </c>
      <c r="OP90" s="182" t="n">
        <v>0.0002</v>
      </c>
      <c r="OQ90" s="182" t="n"/>
      <c r="OT90" s="201">
        <f>OK90</f>
        <v/>
      </c>
      <c r="OU90" s="199" t="n">
        <v>151752.4066</v>
      </c>
      <c r="OV90" s="9">
        <f>OU91</f>
        <v/>
      </c>
      <c r="OW90" s="671">
        <f>OU90-OV90</f>
        <v/>
      </c>
      <c r="OX90" s="182">
        <f>OW90/OV90</f>
        <v/>
      </c>
      <c r="OY90" s="0" t="n">
        <v>-0.0106</v>
      </c>
    </row>
    <row r="91" ht="17" customFormat="1" customHeight="1" s="10">
      <c r="A91" s="674" t="n"/>
      <c r="B91" s="674" t="n"/>
      <c r="C91" s="698" t="inlineStr">
        <is>
          <t>2026//7/8</t>
        </is>
      </c>
      <c r="D91" s="400" t="n">
        <v>1720308.77</v>
      </c>
      <c r="E91" s="400">
        <f>D92</f>
        <v/>
      </c>
      <c r="F91" s="401">
        <f>D91-E91</f>
        <v/>
      </c>
      <c r="G91" s="402">
        <f>F91/E91</f>
        <v/>
      </c>
      <c r="H91" s="228" t="n">
        <v>-0.0058</v>
      </c>
      <c r="I91" s="403" t="n"/>
      <c r="J91" s="403" t="n"/>
      <c r="K91" s="400">
        <f>C91</f>
        <v/>
      </c>
      <c r="L91" s="400" t="n">
        <v>916984.4</v>
      </c>
      <c r="M91" s="400">
        <f>L92</f>
        <v/>
      </c>
      <c r="N91" s="401">
        <f>L91-M91</f>
        <v/>
      </c>
      <c r="O91" s="402">
        <f>N91/M91</f>
        <v/>
      </c>
      <c r="P91" s="228" t="n">
        <v>-0.0049</v>
      </c>
      <c r="Q91" s="403" t="n"/>
      <c r="R91" s="404" t="n"/>
      <c r="S91" s="400">
        <f>C91</f>
        <v/>
      </c>
      <c r="T91" s="400" t="n">
        <v>659586.6800000001</v>
      </c>
      <c r="U91" s="400">
        <f>T92</f>
        <v/>
      </c>
      <c r="V91" s="401">
        <f>T91-U91</f>
        <v/>
      </c>
      <c r="W91" s="402">
        <f>V91/U91</f>
        <v/>
      </c>
      <c r="X91" s="228" t="n">
        <v>-0.001</v>
      </c>
      <c r="Y91" s="403" t="n"/>
      <c r="Z91" s="404" t="n"/>
      <c r="AA91" s="400">
        <f>S91</f>
        <v/>
      </c>
      <c r="AB91" s="400" t="n">
        <v>462136.86</v>
      </c>
      <c r="AC91" s="400">
        <f>AB92</f>
        <v/>
      </c>
      <c r="AD91" s="401">
        <f>AB91-AC91</f>
        <v/>
      </c>
      <c r="AE91" s="402">
        <f>AD91/AC91</f>
        <v/>
      </c>
      <c r="AF91" s="228" t="n">
        <v>-0.0122</v>
      </c>
      <c r="AG91" s="403" t="n"/>
      <c r="AH91" s="404" t="n"/>
      <c r="AI91" s="400">
        <f>C91</f>
        <v/>
      </c>
      <c r="AJ91" s="400" t="n">
        <v>578921.76</v>
      </c>
      <c r="AK91" s="400">
        <f>AJ92</f>
        <v/>
      </c>
      <c r="AL91" s="401">
        <f>AJ91-AK91</f>
        <v/>
      </c>
      <c r="AM91" s="402">
        <f>AL91/AK91</f>
        <v/>
      </c>
      <c r="AN91" s="228" t="n">
        <v>-0.0232</v>
      </c>
      <c r="AO91" s="228" t="n"/>
      <c r="AP91" s="404" t="n"/>
      <c r="AQ91" s="400">
        <f>C91</f>
        <v/>
      </c>
      <c r="AR91" s="699" t="n">
        <v>1174645.4936</v>
      </c>
      <c r="AS91" s="400">
        <f>AR92</f>
        <v/>
      </c>
      <c r="AT91" s="401">
        <f>AR91-AS91</f>
        <v/>
      </c>
      <c r="AU91" s="402">
        <f>AT91/AS91</f>
        <v/>
      </c>
      <c r="AV91" s="228" t="n">
        <v>-0.0165</v>
      </c>
      <c r="AW91" s="228" t="n"/>
      <c r="AX91" s="230" t="n"/>
      <c r="AY91" s="240" t="n"/>
      <c r="AZ91" s="240">
        <f>C91</f>
        <v/>
      </c>
      <c r="BA91" s="240" t="n">
        <v>536871.6676</v>
      </c>
      <c r="BB91" s="240">
        <f>BA92</f>
        <v/>
      </c>
      <c r="BC91" s="240">
        <f>BA91-BB91</f>
        <v/>
      </c>
      <c r="BD91" s="292">
        <f>BC91/BB91</f>
        <v/>
      </c>
      <c r="BE91" s="228" t="n">
        <v>-0.0048</v>
      </c>
      <c r="BF91" s="228" t="n"/>
      <c r="BG91" s="675" t="n"/>
      <c r="BH91" s="408">
        <f>C91</f>
        <v/>
      </c>
      <c r="BI91" s="408" t="n">
        <v>1121426.5525</v>
      </c>
      <c r="BJ91" s="408">
        <f>BI92</f>
        <v/>
      </c>
      <c r="BK91" s="409">
        <f>BI91-BJ91</f>
        <v/>
      </c>
      <c r="BL91" s="410">
        <f>BK91/BJ91</f>
        <v/>
      </c>
      <c r="BM91" s="235" t="n">
        <v>-0.0345</v>
      </c>
      <c r="BN91" s="236" t="n"/>
      <c r="BO91" s="411" t="n"/>
      <c r="BP91" s="412">
        <f>C91</f>
        <v/>
      </c>
      <c r="BQ91" s="700" t="n">
        <v>1150662.3921</v>
      </c>
      <c r="BR91" s="412">
        <f>BQ92</f>
        <v/>
      </c>
      <c r="BS91" s="414">
        <f>BQ91-BR91</f>
        <v/>
      </c>
      <c r="BT91" s="415">
        <f>BS91/BR91</f>
        <v/>
      </c>
      <c r="BU91" s="236" t="n">
        <v>0.0334</v>
      </c>
      <c r="BV91" s="236" t="n"/>
      <c r="BW91" s="411" t="n"/>
      <c r="BX91" s="412">
        <f>C91</f>
        <v/>
      </c>
      <c r="BY91" s="412" t="n">
        <v>1832660.7019</v>
      </c>
      <c r="BZ91" s="412">
        <f>BY92</f>
        <v/>
      </c>
      <c r="CA91" s="414">
        <f>BY91-BZ91</f>
        <v/>
      </c>
      <c r="CB91" s="415">
        <f>CA91/BZ91</f>
        <v/>
      </c>
      <c r="CC91" s="236" t="n">
        <v>-0.0405</v>
      </c>
      <c r="CD91" s="416" t="n"/>
      <c r="CE91" s="411" t="n"/>
      <c r="CF91" s="412">
        <f>C91</f>
        <v/>
      </c>
      <c r="CG91" s="412" t="n">
        <v>1265403.9</v>
      </c>
      <c r="CH91" s="14">
        <f>CG92</f>
        <v/>
      </c>
      <c r="CI91" s="14">
        <f>CG91-CH91</f>
        <v/>
      </c>
      <c r="CJ91" s="237">
        <f>CI91/CH91</f>
        <v/>
      </c>
      <c r="CK91" s="236" t="n">
        <v>-0.0294</v>
      </c>
      <c r="CL91" s="416" t="n"/>
      <c r="CM91" s="411" t="n"/>
      <c r="CN91" s="412">
        <f>C91</f>
        <v/>
      </c>
      <c r="CO91" s="412" t="n">
        <v>532146.48</v>
      </c>
      <c r="CP91" s="412">
        <f>CO92</f>
        <v/>
      </c>
      <c r="CQ91" s="14">
        <f>CO91-CP91</f>
        <v/>
      </c>
      <c r="CR91" s="237">
        <f>CQ91/CP91</f>
        <v/>
      </c>
      <c r="CS91" s="416" t="n">
        <v>-0.0297</v>
      </c>
      <c r="CT91" s="416" t="n"/>
      <c r="CU91" s="411" t="n"/>
      <c r="CV91" s="412">
        <f>C91</f>
        <v/>
      </c>
      <c r="CW91" s="412" t="n">
        <v>524290.4</v>
      </c>
      <c r="CX91" s="412">
        <f>CW92</f>
        <v/>
      </c>
      <c r="CY91" s="414">
        <f>CW91-CX91</f>
        <v/>
      </c>
      <c r="CZ91" s="415">
        <f>CY91/CX91</f>
        <v/>
      </c>
      <c r="DA91" s="236" t="n">
        <v>0.0024</v>
      </c>
      <c r="DB91" s="236" t="n"/>
      <c r="DC91" s="255" t="n"/>
      <c r="DD91" s="412">
        <f>C91</f>
        <v/>
      </c>
      <c r="DE91" s="412" t="n">
        <v>2456917.9986</v>
      </c>
      <c r="DF91" s="14">
        <f>DE92</f>
        <v/>
      </c>
      <c r="DG91" s="414">
        <f>DE91-DF91</f>
        <v/>
      </c>
      <c r="DH91" s="415">
        <f>DG91/DF91</f>
        <v/>
      </c>
      <c r="DI91" s="236" t="n">
        <v>0.012</v>
      </c>
      <c r="DJ91" s="236" t="n"/>
      <c r="DK91" s="411" t="n"/>
      <c r="DL91" s="412">
        <f>C91</f>
        <v/>
      </c>
      <c r="DM91" s="412" t="n">
        <v>1691000.72</v>
      </c>
      <c r="DN91" s="412">
        <f>DM92</f>
        <v/>
      </c>
      <c r="DO91" s="414">
        <f>DM91-DN91</f>
        <v/>
      </c>
      <c r="DP91" s="415">
        <f>DO91/DN91</f>
        <v/>
      </c>
      <c r="DQ91" s="236" t="n">
        <v>0.0022</v>
      </c>
      <c r="DR91" s="236" t="n"/>
      <c r="DS91" s="411" t="n"/>
      <c r="DT91" s="412">
        <f>C91</f>
        <v/>
      </c>
      <c r="DU91" s="412" t="n">
        <v>1342589.48</v>
      </c>
      <c r="DV91" s="412">
        <f>DU92</f>
        <v/>
      </c>
      <c r="DW91" s="414">
        <f>DU91-DV91</f>
        <v/>
      </c>
      <c r="DX91" s="415">
        <f>DW91/DV91</f>
        <v/>
      </c>
      <c r="DY91" s="236" t="n">
        <v>0.0117</v>
      </c>
      <c r="DZ91" s="236" t="n"/>
      <c r="EA91" s="411" t="n"/>
      <c r="EB91" s="412">
        <f>C91</f>
        <v/>
      </c>
      <c r="EC91" s="412" t="n">
        <v>3080066.82</v>
      </c>
      <c r="ED91" s="412">
        <f>EC92</f>
        <v/>
      </c>
      <c r="EE91" s="414">
        <f>EC91-ED91</f>
        <v/>
      </c>
      <c r="EF91" s="415">
        <f>EE91/ED91</f>
        <v/>
      </c>
      <c r="EG91" s="236" t="n">
        <v>0.0089</v>
      </c>
      <c r="EH91" s="236" t="n"/>
      <c r="EI91" s="411" t="n"/>
      <c r="EJ91" s="412">
        <f>C91</f>
        <v/>
      </c>
      <c r="EK91" s="412" t="n">
        <v>1117322.9669</v>
      </c>
      <c r="EL91" s="412">
        <f>EK92</f>
        <v/>
      </c>
      <c r="EM91" s="414">
        <f>EK91-EL91</f>
        <v/>
      </c>
      <c r="EN91" s="415">
        <f>EM91/EL91</f>
        <v/>
      </c>
      <c r="EO91" s="236" t="n">
        <v>0.0184</v>
      </c>
      <c r="EP91" s="236" t="n"/>
      <c r="EQ91" s="417" t="n"/>
      <c r="ER91" s="418">
        <f>C91</f>
        <v/>
      </c>
      <c r="ES91" s="418" t="n">
        <v>743694.04</v>
      </c>
      <c r="ET91" s="418">
        <f>ES92</f>
        <v/>
      </c>
      <c r="EU91" s="418">
        <f>ES91-ET91</f>
        <v/>
      </c>
      <c r="EV91" s="419">
        <f>EU91/ET91</f>
        <v/>
      </c>
      <c r="EW91" s="236" t="n">
        <v>0.0141</v>
      </c>
      <c r="EX91" s="236" t="n"/>
      <c r="EY91" s="411" t="n"/>
      <c r="EZ91" s="412">
        <f>C91</f>
        <v/>
      </c>
      <c r="FA91" s="412" t="n">
        <v>546908</v>
      </c>
      <c r="FB91" s="412">
        <f>FA92</f>
        <v/>
      </c>
      <c r="FC91" s="420">
        <f>FA91-FB91</f>
        <v/>
      </c>
      <c r="FD91" s="421">
        <f>FC91/FB91</f>
        <v/>
      </c>
      <c r="FE91" s="236" t="n">
        <v>-0.0201</v>
      </c>
      <c r="FF91" s="236" t="n"/>
      <c r="FH91" s="412">
        <f>C91</f>
        <v/>
      </c>
      <c r="FI91" s="700" t="n">
        <v>1210695.3365</v>
      </c>
      <c r="FJ91" s="412">
        <f>FI92</f>
        <v/>
      </c>
      <c r="FK91" s="412">
        <f>FI91-FJ91</f>
        <v/>
      </c>
      <c r="FL91" s="416">
        <f>FK91/FJ91</f>
        <v/>
      </c>
      <c r="FM91" s="416" t="n">
        <v>-0.0247</v>
      </c>
      <c r="FN91" s="416" t="n"/>
      <c r="FO91" s="411" t="n"/>
      <c r="FP91" s="412">
        <f>C91</f>
        <v/>
      </c>
      <c r="FQ91" s="412" t="n">
        <v>1679068.73</v>
      </c>
      <c r="FR91" s="412">
        <f>FQ92</f>
        <v/>
      </c>
      <c r="FS91" s="420">
        <f>FQ91-FR91</f>
        <v/>
      </c>
      <c r="FT91" s="421">
        <f>FS91/FR91</f>
        <v/>
      </c>
      <c r="FU91" s="236" t="n">
        <v>-0.0449</v>
      </c>
      <c r="FV91" s="236" t="n"/>
      <c r="FW91" s="411" t="n"/>
      <c r="FX91" s="412">
        <f>C91</f>
        <v/>
      </c>
      <c r="FY91" s="412" t="n">
        <v>8417482.050000001</v>
      </c>
      <c r="FZ91" s="412">
        <f>FY92</f>
        <v/>
      </c>
      <c r="GA91" s="420">
        <f>FY91-FZ91</f>
        <v/>
      </c>
      <c r="GB91" s="421">
        <f>GA91/FZ91</f>
        <v/>
      </c>
      <c r="GC91" s="236" t="n">
        <v>-0.0065</v>
      </c>
      <c r="GD91" s="236" t="n"/>
      <c r="GE91" s="411" t="n"/>
      <c r="GF91" s="412">
        <f>C91</f>
        <v/>
      </c>
      <c r="GG91" s="412" t="n">
        <v>4908969.49</v>
      </c>
      <c r="GH91" s="412">
        <f>GG92</f>
        <v/>
      </c>
      <c r="GI91" s="414">
        <f>GG91-GH91</f>
        <v/>
      </c>
      <c r="GJ91" s="415">
        <f>GI91/GH91</f>
        <v/>
      </c>
      <c r="GK91" s="236" t="n">
        <v>-0.0141</v>
      </c>
      <c r="GL91" s="236" t="n"/>
      <c r="GM91" s="411" t="n"/>
      <c r="GN91" s="412">
        <f>C91</f>
        <v/>
      </c>
      <c r="GO91" s="412" t="n">
        <v>2026438.1217</v>
      </c>
      <c r="GP91" s="412">
        <f>GO92</f>
        <v/>
      </c>
      <c r="GQ91" s="414">
        <f>GO91-GP91</f>
        <v/>
      </c>
      <c r="GR91" s="415">
        <f>GQ91/GP91</f>
        <v/>
      </c>
      <c r="GS91" s="236" t="n">
        <v>-0.0229</v>
      </c>
      <c r="GT91" s="236" t="n"/>
      <c r="GU91" s="411" t="n"/>
      <c r="GV91" s="412">
        <f>C91</f>
        <v/>
      </c>
      <c r="GW91" s="412" t="n">
        <v>689949.4</v>
      </c>
      <c r="GX91" s="412">
        <f>GW92</f>
        <v/>
      </c>
      <c r="GY91" s="420">
        <f>GW91-GX91</f>
        <v/>
      </c>
      <c r="GZ91" s="421">
        <f>GY91/GX91</f>
        <v/>
      </c>
      <c r="HA91" s="236" t="n">
        <v>-0.0302</v>
      </c>
      <c r="HB91" s="236" t="n"/>
      <c r="HC91" s="411" t="n"/>
      <c r="HD91" s="412">
        <f>C91</f>
        <v/>
      </c>
      <c r="HE91" s="412" t="n">
        <v>953564.6746</v>
      </c>
      <c r="HF91" s="412">
        <f>HE92</f>
        <v/>
      </c>
      <c r="HG91" s="414">
        <f>HE91-HF91</f>
        <v/>
      </c>
      <c r="HH91" s="415">
        <f>HG91/HF91</f>
        <v/>
      </c>
      <c r="HI91" s="416" t="n">
        <v>-0.0446</v>
      </c>
      <c r="HJ91" s="236" t="n"/>
      <c r="HK91" s="411" t="n"/>
      <c r="HL91" s="412">
        <f>C91</f>
        <v/>
      </c>
      <c r="HM91" s="412" t="n">
        <v>111454.25</v>
      </c>
      <c r="HN91" s="412">
        <f>HM92</f>
        <v/>
      </c>
      <c r="HO91" s="420">
        <f>HM91-HN91</f>
        <v/>
      </c>
      <c r="HP91" s="421">
        <f>HO91/HN91</f>
        <v/>
      </c>
      <c r="HQ91" s="236" t="n">
        <v>-0.0045</v>
      </c>
      <c r="HR91" s="236" t="n"/>
      <c r="HS91" s="411" t="n"/>
      <c r="HT91" s="412">
        <f>C91</f>
        <v/>
      </c>
      <c r="HU91" s="412" t="n">
        <v>120068.8265</v>
      </c>
      <c r="HV91" s="412">
        <f>HU92</f>
        <v/>
      </c>
      <c r="HW91" s="420">
        <f>HU91-HV91</f>
        <v/>
      </c>
      <c r="HX91" s="421">
        <f>HW91/HV91</f>
        <v/>
      </c>
      <c r="HY91" s="236" t="n">
        <v>-0.0111</v>
      </c>
      <c r="HZ91" s="236" t="n"/>
      <c r="IA91" s="411" t="n"/>
      <c r="IB91" s="412">
        <f>C91</f>
        <v/>
      </c>
      <c r="IC91" s="241" t="n">
        <v>260509.79</v>
      </c>
      <c r="ID91" s="241">
        <f>IC92</f>
        <v/>
      </c>
      <c r="IE91" s="414">
        <f>IC91-ID91</f>
        <v/>
      </c>
      <c r="IF91" s="415">
        <f>IE91/ID91</f>
        <v/>
      </c>
      <c r="IG91" s="416" t="n">
        <v>0.0051</v>
      </c>
      <c r="IH91" s="236" t="n"/>
      <c r="II91" s="411" t="n"/>
      <c r="IJ91" s="412">
        <f>C91</f>
        <v/>
      </c>
      <c r="IK91" s="412" t="n">
        <v>873596.29</v>
      </c>
      <c r="IL91" s="412">
        <f>IK92</f>
        <v/>
      </c>
      <c r="IM91" s="414">
        <f>IK91-IL91</f>
        <v/>
      </c>
      <c r="IN91" s="415">
        <f>IM91/IL91</f>
        <v/>
      </c>
      <c r="IO91" s="236" t="n">
        <v>-0.002</v>
      </c>
      <c r="IP91" s="236" t="n"/>
      <c r="IQ91" s="411" t="n"/>
      <c r="IR91" s="412">
        <f>C91</f>
        <v/>
      </c>
      <c r="IS91" s="412" t="n">
        <v>146089</v>
      </c>
      <c r="IT91" s="412">
        <f>IS92</f>
        <v/>
      </c>
      <c r="IU91" s="414">
        <f>IS91-IT91</f>
        <v/>
      </c>
      <c r="IV91" s="415">
        <f>IU91/IT91</f>
        <v/>
      </c>
      <c r="IW91" s="236" t="n">
        <v>0.0622</v>
      </c>
      <c r="IX91" s="236" t="n"/>
      <c r="IY91" s="411" t="n"/>
      <c r="IZ91" s="412">
        <f>C91</f>
        <v/>
      </c>
      <c r="JA91" s="412" t="n">
        <v>5486329.15</v>
      </c>
      <c r="JB91" s="412">
        <f>JA92</f>
        <v/>
      </c>
      <c r="JC91" s="414">
        <f>JA91-JB91</f>
        <v/>
      </c>
      <c r="JD91" s="415">
        <f>JC91/JB91</f>
        <v/>
      </c>
      <c r="JE91" s="236" t="n">
        <v>-0.0107</v>
      </c>
      <c r="JF91" s="236" t="n"/>
      <c r="JG91" s="411" t="n"/>
      <c r="JH91" s="412">
        <f>C91</f>
        <v/>
      </c>
      <c r="JI91" s="412" t="n">
        <v>1386507.99</v>
      </c>
      <c r="JJ91" s="412">
        <f>JI92</f>
        <v/>
      </c>
      <c r="JK91" s="420">
        <f>JI91-JJ91</f>
        <v/>
      </c>
      <c r="JL91" s="421">
        <f>JK91/JJ91</f>
        <v/>
      </c>
      <c r="JM91" s="236" t="n">
        <v>0.0145</v>
      </c>
      <c r="JN91" s="236" t="n"/>
      <c r="JP91" s="412">
        <f>C91</f>
        <v/>
      </c>
      <c r="JQ91" s="412" t="n">
        <v>1058090.4148</v>
      </c>
      <c r="JR91" s="412">
        <f>JQ92</f>
        <v/>
      </c>
      <c r="JS91" s="420">
        <f>JQ91-JR91</f>
        <v/>
      </c>
      <c r="JT91" s="421">
        <f>JS91/JR91</f>
        <v/>
      </c>
      <c r="JU91" s="236" t="n">
        <v>0.0033</v>
      </c>
      <c r="JV91" s="416" t="n"/>
      <c r="JX91" s="412">
        <f>C91</f>
        <v/>
      </c>
      <c r="JY91" s="412" t="n">
        <v>1046098.8</v>
      </c>
      <c r="JZ91" s="412">
        <f>JY92</f>
        <v/>
      </c>
      <c r="KA91" s="420">
        <f>JY91-JZ91</f>
        <v/>
      </c>
      <c r="KB91" s="421">
        <f>KA91/JZ91</f>
        <v/>
      </c>
      <c r="KC91" s="236" t="n">
        <v>0.0005999999999999999</v>
      </c>
      <c r="KD91" s="416" t="n"/>
      <c r="KF91" s="412">
        <f>C91</f>
        <v/>
      </c>
      <c r="KG91" s="412" t="n">
        <v>619155.9219</v>
      </c>
      <c r="KH91" s="412">
        <f>KG92</f>
        <v/>
      </c>
      <c r="KI91" s="420">
        <f>KG91-KH91</f>
        <v/>
      </c>
      <c r="KJ91" s="421">
        <f>KI91/KH91</f>
        <v/>
      </c>
      <c r="KK91" s="416" t="n">
        <v>0.0287</v>
      </c>
      <c r="KL91" s="416" t="n"/>
      <c r="KM91" s="411" t="n"/>
      <c r="KN91" s="412">
        <f>C91</f>
        <v/>
      </c>
      <c r="KO91" s="412" t="n">
        <v>7083975.95</v>
      </c>
      <c r="KP91" s="412">
        <f>KO92</f>
        <v/>
      </c>
      <c r="KQ91" s="414">
        <f>KO91-KP91</f>
        <v/>
      </c>
      <c r="KR91" s="415">
        <f>KQ91/KP91</f>
        <v/>
      </c>
      <c r="KS91" s="236" t="n">
        <v>0.0472</v>
      </c>
      <c r="KT91" s="236" t="n"/>
      <c r="KU91" s="411" t="n"/>
      <c r="KV91" s="412">
        <f>C91</f>
        <v/>
      </c>
      <c r="KW91" s="412" t="n">
        <v>1080972.9726</v>
      </c>
      <c r="KX91" s="412">
        <f>KW92</f>
        <v/>
      </c>
      <c r="KY91" s="422">
        <f>KW91-KX91</f>
        <v/>
      </c>
      <c r="KZ91" s="423">
        <f>KY91/KX91</f>
        <v/>
      </c>
      <c r="LA91" s="416" t="n">
        <v>-0.006</v>
      </c>
      <c r="LB91" s="236" t="n"/>
      <c r="LC91" s="411" t="n"/>
      <c r="LD91" s="412">
        <f>C91</f>
        <v/>
      </c>
      <c r="LE91" s="412" t="n">
        <v>374707.7</v>
      </c>
      <c r="LF91" s="412">
        <f>LE92</f>
        <v/>
      </c>
      <c r="LG91" s="420">
        <f>LE91-LF91</f>
        <v/>
      </c>
      <c r="LH91" s="421">
        <f>LG91/LF91</f>
        <v/>
      </c>
      <c r="LI91" s="236" t="n">
        <v>-0.0455</v>
      </c>
      <c r="LJ91" s="236" t="n"/>
      <c r="LK91" s="411" t="n"/>
      <c r="LL91" s="412">
        <f>C91</f>
        <v/>
      </c>
      <c r="LM91" s="700" t="n">
        <v>3498235.02</v>
      </c>
      <c r="LN91" s="412">
        <f>LM92</f>
        <v/>
      </c>
      <c r="LO91" s="414">
        <f>LM91-LN91</f>
        <v/>
      </c>
      <c r="LP91" s="415">
        <f>LO91/LN91</f>
        <v/>
      </c>
      <c r="LQ91" s="236" t="n">
        <v>0</v>
      </c>
      <c r="LR91" s="236" t="n"/>
      <c r="LS91" s="411" t="n"/>
      <c r="LT91" s="412">
        <f>C91</f>
        <v/>
      </c>
      <c r="LU91" s="412" t="n">
        <v>2337262.904</v>
      </c>
      <c r="LV91" s="412">
        <f>LU92</f>
        <v/>
      </c>
      <c r="LW91" s="414">
        <f>LU91-LV91</f>
        <v/>
      </c>
      <c r="LX91" s="415">
        <f>LW91/LV91</f>
        <v/>
      </c>
      <c r="LY91" s="236" t="n">
        <v>-0.007900000000000001</v>
      </c>
      <c r="LZ91" s="236" t="n"/>
      <c r="MA91" s="411" t="n"/>
      <c r="MB91" s="412">
        <f>C91</f>
        <v/>
      </c>
      <c r="MC91" s="412" t="n">
        <v>1283067.69</v>
      </c>
      <c r="MD91" s="412">
        <f>MC92</f>
        <v/>
      </c>
      <c r="ME91" s="420">
        <f>MC91-MD91</f>
        <v/>
      </c>
      <c r="MF91" s="421">
        <f>ME91/MD91</f>
        <v/>
      </c>
      <c r="MG91" s="236" t="n">
        <v>0.0115</v>
      </c>
      <c r="MH91" s="236" t="n"/>
      <c r="MI91" s="424" t="n"/>
      <c r="MJ91" s="418" t="n"/>
      <c r="MK91" s="418">
        <f>C91</f>
        <v/>
      </c>
      <c r="ML91" s="418" t="n">
        <v>160185.5354</v>
      </c>
      <c r="MM91" s="14">
        <f>ML92</f>
        <v/>
      </c>
      <c r="MN91" s="418">
        <f>ML91-MM91</f>
        <v/>
      </c>
      <c r="MO91" s="419">
        <f>MN91/MM91</f>
        <v/>
      </c>
      <c r="MP91" s="236" t="n">
        <v>0.0371</v>
      </c>
      <c r="MQ91" s="425" t="n"/>
      <c r="MR91" s="425" t="n"/>
      <c r="MS91" s="240" t="n"/>
      <c r="MT91" s="294">
        <f>C91</f>
        <v/>
      </c>
      <c r="MU91" s="240" t="n">
        <v>130014.8</v>
      </c>
      <c r="MV91" s="240">
        <f>MU92</f>
        <v/>
      </c>
      <c r="MW91" s="240">
        <f>MU91-MV91</f>
        <v/>
      </c>
      <c r="MX91" s="292">
        <f>MW91/MV91</f>
        <v/>
      </c>
      <c r="MY91" s="236" t="n">
        <v>-0.0104</v>
      </c>
      <c r="MZ91" s="236" t="n"/>
      <c r="NA91" s="236" t="n"/>
      <c r="NB91" s="240" t="n"/>
      <c r="NC91" s="240">
        <f>C91</f>
        <v/>
      </c>
      <c r="ND91" s="240" t="n">
        <v>37691.48</v>
      </c>
      <c r="NE91" s="240">
        <f>ND92</f>
        <v/>
      </c>
      <c r="NF91" s="240">
        <f>ND91-NE91</f>
        <v/>
      </c>
      <c r="NG91" s="292">
        <f>NF91/NE91</f>
        <v/>
      </c>
      <c r="NH91" s="236" t="n">
        <v>-0.0136</v>
      </c>
      <c r="NI91" s="236" t="n"/>
      <c r="NJ91" s="236" t="n"/>
      <c r="NK91" s="236" t="n"/>
      <c r="NL91" s="240" t="n"/>
      <c r="NM91" s="240">
        <f>C91</f>
        <v/>
      </c>
      <c r="NN91" s="240" t="n">
        <v>2994511.08</v>
      </c>
      <c r="NO91" s="10">
        <f>NN92</f>
        <v/>
      </c>
      <c r="NP91" s="240">
        <f>NN91-NO91</f>
        <v/>
      </c>
      <c r="NQ91" s="292">
        <f>NP91/NO91</f>
        <v/>
      </c>
      <c r="NR91" s="269" t="n">
        <v>0.0145</v>
      </c>
      <c r="NS91" s="240" t="n"/>
      <c r="NT91" s="270" t="n"/>
      <c r="NU91" s="240">
        <f>C91</f>
        <v/>
      </c>
      <c r="NV91" s="240" t="n">
        <v>264876.5</v>
      </c>
      <c r="NW91" s="240">
        <f>NV92</f>
        <v/>
      </c>
      <c r="NX91" s="240">
        <f>NV91-NW91</f>
        <v/>
      </c>
      <c r="NY91" s="292">
        <f>NX91/NW91</f>
        <v/>
      </c>
      <c r="NZ91" s="416" t="n">
        <v>0.0066</v>
      </c>
      <c r="OA91" s="411" t="n"/>
      <c r="OB91" s="411" t="n"/>
      <c r="OC91" s="412">
        <f>C91</f>
        <v/>
      </c>
      <c r="OD91" s="412" t="n">
        <v>17415.97</v>
      </c>
      <c r="OE91" s="412">
        <f>OD92</f>
        <v/>
      </c>
      <c r="OF91" s="420">
        <f>OD91-OE91</f>
        <v/>
      </c>
      <c r="OG91" s="421">
        <f>OF91/OE91</f>
        <v/>
      </c>
      <c r="OH91" s="236" t="n">
        <v>0.0032</v>
      </c>
      <c r="OI91" s="236" t="n"/>
      <c r="OJ91" s="411" t="n"/>
      <c r="OK91" s="412">
        <f>C91</f>
        <v/>
      </c>
      <c r="OL91" s="0" t="n">
        <v>14519.65</v>
      </c>
      <c r="OM91" s="0">
        <f>OL92</f>
        <v/>
      </c>
      <c r="ON91" s="0">
        <f>OL91-OM91</f>
        <v/>
      </c>
      <c r="OO91" s="236">
        <f>ON91/OM91</f>
        <v/>
      </c>
      <c r="OP91" s="236" t="n">
        <v>0.0004</v>
      </c>
      <c r="OQ91" s="236" t="n"/>
      <c r="OT91" s="201">
        <f>OK91</f>
        <v/>
      </c>
      <c r="OU91" s="199" t="n">
        <v>151632.4066</v>
      </c>
      <c r="OV91" s="9">
        <f>OU92</f>
        <v/>
      </c>
      <c r="OW91" s="671">
        <f>OU91-OV91</f>
        <v/>
      </c>
      <c r="OX91" s="182">
        <f>OW91/OV91</f>
        <v/>
      </c>
      <c r="OY91" s="0" t="n">
        <v>0.0135</v>
      </c>
    </row>
    <row r="92" ht="17" customFormat="1" customHeight="1" s="9">
      <c r="A92" s="631" t="n"/>
      <c r="B92" s="631" t="n"/>
      <c r="C92" s="693" t="inlineStr">
        <is>
          <t>2026//7/7</t>
        </is>
      </c>
      <c r="D92" s="362" t="n">
        <v>1709418.77</v>
      </c>
      <c r="E92" s="362">
        <f>D93</f>
        <v/>
      </c>
      <c r="F92" s="377">
        <f>D92-E92</f>
        <v/>
      </c>
      <c r="G92" s="378">
        <f>F92/E92</f>
        <v/>
      </c>
      <c r="H92" s="19" t="n">
        <v>-0.0105</v>
      </c>
      <c r="I92" s="426" t="n"/>
      <c r="J92" s="426" t="n"/>
      <c r="K92" s="362">
        <f>C92</f>
        <v/>
      </c>
      <c r="L92" s="362" t="n">
        <v>912934.4</v>
      </c>
      <c r="M92" s="362">
        <f>L93</f>
        <v/>
      </c>
      <c r="N92" s="377">
        <f>L92-M92</f>
        <v/>
      </c>
      <c r="O92" s="378">
        <f>N92/M92</f>
        <v/>
      </c>
      <c r="P92" s="19" t="n">
        <v>-0.0104</v>
      </c>
      <c r="Q92" s="426" t="n"/>
      <c r="R92" s="427" t="n"/>
      <c r="S92" s="362">
        <f>C92</f>
        <v/>
      </c>
      <c r="T92" s="362" t="n">
        <v>654456.6800000001</v>
      </c>
      <c r="U92" s="362">
        <f>T93</f>
        <v/>
      </c>
      <c r="V92" s="377">
        <f>T92-U92</f>
        <v/>
      </c>
      <c r="W92" s="378">
        <f>V92/U92</f>
        <v/>
      </c>
      <c r="X92" s="19" t="n">
        <v>-0.0112</v>
      </c>
      <c r="Y92" s="426" t="n"/>
      <c r="Z92" s="427" t="n"/>
      <c r="AA92" s="362">
        <f>S92</f>
        <v/>
      </c>
      <c r="AB92" s="362" t="n">
        <v>446496.86</v>
      </c>
      <c r="AC92" s="362">
        <f>AB93</f>
        <v/>
      </c>
      <c r="AD92" s="377">
        <f>AB92-AC92</f>
        <v/>
      </c>
      <c r="AE92" s="378">
        <f>AD92/AC92</f>
        <v/>
      </c>
      <c r="AF92" s="19" t="n">
        <v>-0.0174</v>
      </c>
      <c r="AG92" s="426" t="n"/>
      <c r="AH92" s="427" t="n"/>
      <c r="AI92" s="362">
        <f>C92</f>
        <v/>
      </c>
      <c r="AJ92" s="362" t="n">
        <v>473921.76</v>
      </c>
      <c r="AK92" s="362">
        <f>AJ93</f>
        <v/>
      </c>
      <c r="AL92" s="377">
        <f>AJ92-AK92</f>
        <v/>
      </c>
      <c r="AM92" s="378">
        <f>AL92/AK92</f>
        <v/>
      </c>
      <c r="AN92" s="19" t="n">
        <v>-0.0195</v>
      </c>
      <c r="AO92" s="19" t="n"/>
      <c r="AP92" s="427" t="n"/>
      <c r="AQ92" s="362">
        <f>C92</f>
        <v/>
      </c>
      <c r="AR92" s="697" t="n">
        <v>1153345.4936</v>
      </c>
      <c r="AS92" s="362">
        <f>AR93</f>
        <v/>
      </c>
      <c r="AT92" s="377">
        <f>AR92-AS92</f>
        <v/>
      </c>
      <c r="AU92" s="378">
        <f>AT92/AS92</f>
        <v/>
      </c>
      <c r="AV92" s="19" t="n">
        <v>-0.009599999999999999</v>
      </c>
      <c r="AW92" s="19" t="n"/>
      <c r="AX92" s="5" t="n"/>
      <c r="AY92" s="188" t="n"/>
      <c r="AZ92" s="188">
        <f>C92</f>
        <v/>
      </c>
      <c r="BA92" s="188" t="n">
        <v>535611.6676</v>
      </c>
      <c r="BB92" s="188">
        <f>BA93</f>
        <v/>
      </c>
      <c r="BC92" s="188">
        <f>BA92-BB92</f>
        <v/>
      </c>
      <c r="BD92" s="271">
        <f>BC92/BB92</f>
        <v/>
      </c>
      <c r="BE92" s="19" t="n">
        <v>-0.0108</v>
      </c>
      <c r="BF92" s="19" t="n"/>
      <c r="BG92" s="647" t="n"/>
      <c r="BH92" s="363">
        <f>C92</f>
        <v/>
      </c>
      <c r="BI92" s="363" t="n">
        <v>1118126.5525</v>
      </c>
      <c r="BJ92" s="363">
        <f>BI93</f>
        <v/>
      </c>
      <c r="BK92" s="395">
        <f>BI92-BJ92</f>
        <v/>
      </c>
      <c r="BL92" s="396">
        <f>BK92/BJ92</f>
        <v/>
      </c>
      <c r="BM92" s="191" t="n">
        <v>-0.0318</v>
      </c>
      <c r="BN92" s="182" t="n"/>
      <c r="BO92" s="364" t="n"/>
      <c r="BP92" s="365">
        <f>C92</f>
        <v/>
      </c>
      <c r="BQ92" s="694" t="n">
        <v>1157662.3921</v>
      </c>
      <c r="BR92" s="365">
        <f>BQ93</f>
        <v/>
      </c>
      <c r="BS92" s="390">
        <f>BQ92-BR92</f>
        <v/>
      </c>
      <c r="BT92" s="391">
        <f>BS92/BR92</f>
        <v/>
      </c>
      <c r="BU92" s="182" t="n">
        <v>-0.0252</v>
      </c>
      <c r="BV92" s="182" t="n"/>
      <c r="BW92" s="364" t="n"/>
      <c r="BX92" s="365">
        <f>C92</f>
        <v/>
      </c>
      <c r="BY92" s="365" t="n">
        <v>1874510.7019</v>
      </c>
      <c r="BZ92" s="365">
        <f>BY93</f>
        <v/>
      </c>
      <c r="CA92" s="390">
        <f>BY92-BZ92</f>
        <v/>
      </c>
      <c r="CB92" s="391">
        <f>CA92/BZ92</f>
        <v/>
      </c>
      <c r="CC92" s="182" t="n">
        <v>-0.0256</v>
      </c>
      <c r="CD92" s="383" t="n"/>
      <c r="CE92" s="364" t="n"/>
      <c r="CF92" s="365">
        <f>C92</f>
        <v/>
      </c>
      <c r="CG92" s="365" t="n">
        <v>1267203.9</v>
      </c>
      <c r="CH92" s="13">
        <f>CG93</f>
        <v/>
      </c>
      <c r="CI92" s="13">
        <f>CG92-CH92</f>
        <v/>
      </c>
      <c r="CJ92" s="193">
        <f>CI92/CH92</f>
        <v/>
      </c>
      <c r="CK92" s="182" t="n">
        <v>-0.0332</v>
      </c>
      <c r="CL92" s="366" t="n"/>
      <c r="CM92" s="364" t="n"/>
      <c r="CN92" s="365">
        <f>C92</f>
        <v/>
      </c>
      <c r="CO92" s="365" t="n">
        <v>531446.48</v>
      </c>
      <c r="CP92" s="365">
        <f>CO93</f>
        <v/>
      </c>
      <c r="CQ92" s="13">
        <f>CO92-CP92</f>
        <v/>
      </c>
      <c r="CR92" s="193">
        <f>CQ92/CP92</f>
        <v/>
      </c>
      <c r="CS92" s="366" t="n">
        <v>-0.0256</v>
      </c>
      <c r="CT92" s="366" t="n"/>
      <c r="CU92" s="364" t="n"/>
      <c r="CV92" s="365">
        <f>C92</f>
        <v/>
      </c>
      <c r="CW92" s="365" t="n">
        <v>517040.4</v>
      </c>
      <c r="CX92" s="365">
        <f>CW93</f>
        <v/>
      </c>
      <c r="CY92" s="388">
        <f>CW92-CX92</f>
        <v/>
      </c>
      <c r="CZ92" s="389">
        <f>CY92/CX92</f>
        <v/>
      </c>
      <c r="DA92" s="182" t="n">
        <v>-0.0355</v>
      </c>
      <c r="DB92" s="182" t="n"/>
      <c r="DC92" s="256" t="n"/>
      <c r="DD92" s="365">
        <f>C92</f>
        <v/>
      </c>
      <c r="DE92" s="365" t="n">
        <v>2461517.9986</v>
      </c>
      <c r="DF92" s="13">
        <f>DE93</f>
        <v/>
      </c>
      <c r="DG92" s="390">
        <f>DE92-DF92</f>
        <v/>
      </c>
      <c r="DH92" s="391">
        <f>DG92/DF92</f>
        <v/>
      </c>
      <c r="DI92" s="182" t="n">
        <v>0.0193</v>
      </c>
      <c r="DJ92" s="182" t="n"/>
      <c r="DK92" s="364" t="n"/>
      <c r="DL92" s="365">
        <f>C92</f>
        <v/>
      </c>
      <c r="DM92" s="365" t="n">
        <v>1703800.72</v>
      </c>
      <c r="DN92" s="365">
        <f>DM93</f>
        <v/>
      </c>
      <c r="DO92" s="388">
        <f>DM92-DN92</f>
        <v/>
      </c>
      <c r="DP92" s="389">
        <f>DO92/DN92</f>
        <v/>
      </c>
      <c r="DQ92" s="182" t="n">
        <v>0.0015</v>
      </c>
      <c r="DR92" s="182" t="n"/>
      <c r="DS92" s="364" t="n"/>
      <c r="DT92" s="365">
        <f>C92</f>
        <v/>
      </c>
      <c r="DU92" s="365" t="n">
        <v>1332989.48</v>
      </c>
      <c r="DV92" s="365">
        <f>DU93</f>
        <v/>
      </c>
      <c r="DW92" s="390">
        <f>DU92-DV92</f>
        <v/>
      </c>
      <c r="DX92" s="391">
        <f>DW92/DV92</f>
        <v/>
      </c>
      <c r="DY92" s="182" t="n">
        <v>0.0068</v>
      </c>
      <c r="DZ92" s="182" t="n"/>
      <c r="EA92" s="364" t="n"/>
      <c r="EB92" s="365">
        <f>C92</f>
        <v/>
      </c>
      <c r="EC92" s="365" t="n">
        <v>3091766.82</v>
      </c>
      <c r="ED92" s="365">
        <f>EC93</f>
        <v/>
      </c>
      <c r="EE92" s="390">
        <f>EC92-ED92</f>
        <v/>
      </c>
      <c r="EF92" s="391">
        <f>EE92/ED92</f>
        <v/>
      </c>
      <c r="EG92" s="182" t="n">
        <v>0.0047</v>
      </c>
      <c r="EH92" s="182" t="n"/>
      <c r="EI92" s="364" t="n"/>
      <c r="EJ92" s="365">
        <f>C92</f>
        <v/>
      </c>
      <c r="EK92" s="365" t="n">
        <v>1115922.9669</v>
      </c>
      <c r="EL92" s="365">
        <f>EK93</f>
        <v/>
      </c>
      <c r="EM92" s="390">
        <f>EK92-EL92</f>
        <v/>
      </c>
      <c r="EN92" s="391">
        <f>EM92/EL92</f>
        <v/>
      </c>
      <c r="EO92" s="182" t="n">
        <v>-0.003</v>
      </c>
      <c r="EP92" s="182" t="n"/>
      <c r="EQ92" s="317" t="n"/>
      <c r="ER92" s="318">
        <f>C92</f>
        <v/>
      </c>
      <c r="ES92" s="318" t="n">
        <v>743694.04</v>
      </c>
      <c r="ET92" s="318">
        <f>ES93</f>
        <v/>
      </c>
      <c r="EU92" s="318">
        <f>ES92-ET92</f>
        <v/>
      </c>
      <c r="EV92" s="327">
        <f>EU92/ET92</f>
        <v/>
      </c>
      <c r="EW92" s="182" t="n">
        <v>-0.0023</v>
      </c>
      <c r="EX92" s="182" t="n"/>
      <c r="EY92" s="364" t="n"/>
      <c r="EZ92" s="365">
        <f>C92</f>
        <v/>
      </c>
      <c r="FA92" s="365" t="n">
        <v>547308</v>
      </c>
      <c r="FB92" s="365">
        <f>FA93</f>
        <v/>
      </c>
      <c r="FC92" s="388">
        <f>FA92-FB92</f>
        <v/>
      </c>
      <c r="FD92" s="389">
        <f>FC92/FB92</f>
        <v/>
      </c>
      <c r="FE92" s="182" t="n">
        <v>-0.0312</v>
      </c>
      <c r="FF92" s="182" t="n"/>
      <c r="FH92" s="365">
        <f>C92</f>
        <v/>
      </c>
      <c r="FI92" s="694" t="n">
        <v>1221795.3365</v>
      </c>
      <c r="FJ92" s="365">
        <f>FI93</f>
        <v/>
      </c>
      <c r="FK92" s="323">
        <f>FI92-FJ92</f>
        <v/>
      </c>
      <c r="FL92" s="324">
        <f>FK92/FJ92</f>
        <v/>
      </c>
      <c r="FM92" s="366" t="n">
        <v>-0.0349</v>
      </c>
      <c r="FN92" s="366" t="n"/>
      <c r="FO92" s="364" t="n"/>
      <c r="FP92" s="365">
        <f>C92</f>
        <v/>
      </c>
      <c r="FQ92" s="365" t="n">
        <v>1661068.73</v>
      </c>
      <c r="FR92" s="365">
        <f>FQ93</f>
        <v/>
      </c>
      <c r="FS92" s="388">
        <f>FQ92-FR92</f>
        <v/>
      </c>
      <c r="FT92" s="389">
        <f>FS92/FR92</f>
        <v/>
      </c>
      <c r="FU92" s="182" t="n">
        <v>-0.0139</v>
      </c>
      <c r="FV92" s="182" t="n"/>
      <c r="FW92" s="364" t="n"/>
      <c r="FX92" s="365">
        <f>C92</f>
        <v/>
      </c>
      <c r="FY92" s="365" t="n">
        <v>8377182.05</v>
      </c>
      <c r="FZ92" s="365">
        <f>FY93</f>
        <v/>
      </c>
      <c r="GA92" s="388">
        <f>FY92-FZ92</f>
        <v/>
      </c>
      <c r="GB92" s="389">
        <f>GA92/FZ92</f>
        <v/>
      </c>
      <c r="GC92" s="182" t="n">
        <v>-0.0347</v>
      </c>
      <c r="GD92" s="182" t="n"/>
      <c r="GE92" s="364" t="n"/>
      <c r="GF92" s="365">
        <f>C92</f>
        <v/>
      </c>
      <c r="GG92" s="365" t="n">
        <v>4885369.49</v>
      </c>
      <c r="GH92" s="365">
        <f>GG93</f>
        <v/>
      </c>
      <c r="GI92" s="388">
        <f>GG92-GH92</f>
        <v/>
      </c>
      <c r="GJ92" s="389">
        <f>GI92/GH92</f>
        <v/>
      </c>
      <c r="GK92" s="182" t="n">
        <v>-0.0354</v>
      </c>
      <c r="GL92" s="182" t="n"/>
      <c r="GM92" s="364" t="n"/>
      <c r="GN92" s="365">
        <f>C92</f>
        <v/>
      </c>
      <c r="GO92" s="365" t="n">
        <v>2030638.1217</v>
      </c>
      <c r="GP92" s="365">
        <f>GO93</f>
        <v/>
      </c>
      <c r="GQ92" s="388">
        <f>GO92-GP92</f>
        <v/>
      </c>
      <c r="GR92" s="389">
        <f>GQ92/GP92</f>
        <v/>
      </c>
      <c r="GS92" s="182" t="n">
        <v>-0.0448</v>
      </c>
      <c r="GT92" s="182" t="n"/>
      <c r="GU92" s="364" t="n"/>
      <c r="GV92" s="365">
        <f>C92</f>
        <v/>
      </c>
      <c r="GW92" s="365" t="n">
        <v>689749.4</v>
      </c>
      <c r="GX92" s="365">
        <f>GW93</f>
        <v/>
      </c>
      <c r="GY92" s="388">
        <f>GW92-GX92</f>
        <v/>
      </c>
      <c r="GZ92" s="389">
        <f>GY92/GX92</f>
        <v/>
      </c>
      <c r="HA92" s="182" t="n">
        <v>-0.009599999999999999</v>
      </c>
      <c r="HB92" s="182" t="n"/>
      <c r="HC92" s="364" t="n"/>
      <c r="HD92" s="365">
        <f>C92</f>
        <v/>
      </c>
      <c r="HE92" s="365" t="n">
        <v>948064.6746</v>
      </c>
      <c r="HF92" s="365">
        <f>HE93</f>
        <v/>
      </c>
      <c r="HG92" s="388">
        <f>HE92-HF92</f>
        <v/>
      </c>
      <c r="HH92" s="389">
        <f>HG92/HF92</f>
        <v/>
      </c>
      <c r="HI92" s="366" t="n">
        <v>-0.0113</v>
      </c>
      <c r="HJ92" s="182" t="n"/>
      <c r="HK92" s="364" t="n"/>
      <c r="HL92" s="365">
        <f>C92</f>
        <v/>
      </c>
      <c r="HM92" s="365" t="n">
        <v>111604.25</v>
      </c>
      <c r="HN92" s="365">
        <f>HM93</f>
        <v/>
      </c>
      <c r="HO92" s="388">
        <f>HM92-HN92</f>
        <v/>
      </c>
      <c r="HP92" s="389">
        <f>HO92/HN92</f>
        <v/>
      </c>
      <c r="HQ92" s="182" t="n">
        <v>-0.0248</v>
      </c>
      <c r="HR92" s="182" t="n"/>
      <c r="HS92" s="364" t="n"/>
      <c r="HT92" s="365">
        <f>C92</f>
        <v/>
      </c>
      <c r="HU92" s="365" t="n">
        <v>119068.8265</v>
      </c>
      <c r="HV92" s="365">
        <f>HU93</f>
        <v/>
      </c>
      <c r="HW92" s="388">
        <f>HU92-HV92</f>
        <v/>
      </c>
      <c r="HX92" s="389">
        <f>HW92/HV92</f>
        <v/>
      </c>
      <c r="HY92" s="182" t="n">
        <v>-0.0287</v>
      </c>
      <c r="HZ92" s="182" t="n"/>
      <c r="IA92" s="364" t="n"/>
      <c r="IB92" s="365">
        <f>C92</f>
        <v/>
      </c>
      <c r="IC92" s="185" t="n">
        <v>260509.79</v>
      </c>
      <c r="ID92" s="185">
        <f>IC93</f>
        <v/>
      </c>
      <c r="IE92" s="325">
        <f>IC92-ID92</f>
        <v/>
      </c>
      <c r="IF92" s="326">
        <f>IE92/ID92</f>
        <v/>
      </c>
      <c r="IG92" s="366" t="n">
        <v>-0.0217</v>
      </c>
      <c r="IH92" s="182" t="n"/>
      <c r="II92" s="364" t="n"/>
      <c r="IJ92" s="365">
        <f>C92</f>
        <v/>
      </c>
      <c r="IK92" s="365" t="n">
        <v>875436.29</v>
      </c>
      <c r="IL92" s="365">
        <f>IK93</f>
        <v/>
      </c>
      <c r="IM92" s="390">
        <f>IK92-IL92</f>
        <v/>
      </c>
      <c r="IN92" s="391">
        <f>IM92/IL92</f>
        <v/>
      </c>
      <c r="IO92" s="182" t="n">
        <v>-0.0222</v>
      </c>
      <c r="IP92" s="182" t="n"/>
      <c r="IQ92" s="364" t="n"/>
      <c r="IR92" s="365">
        <f>C92</f>
        <v/>
      </c>
      <c r="IS92" s="365" t="n">
        <v>142989</v>
      </c>
      <c r="IT92" s="365">
        <f>IS93</f>
        <v/>
      </c>
      <c r="IU92" s="390">
        <f>IS92-IT92</f>
        <v/>
      </c>
      <c r="IV92" s="391">
        <f>IU92/IT92</f>
        <v/>
      </c>
      <c r="IW92" s="182" t="n">
        <v>-0.0201</v>
      </c>
      <c r="IX92" s="182" t="n"/>
      <c r="IY92" s="364" t="n"/>
      <c r="IZ92" s="365">
        <f>C92</f>
        <v/>
      </c>
      <c r="JA92" s="365" t="n">
        <v>5456329.15</v>
      </c>
      <c r="JB92" s="365">
        <f>JA93</f>
        <v/>
      </c>
      <c r="JC92" s="390">
        <f>JA92-JB92</f>
        <v/>
      </c>
      <c r="JD92" s="391">
        <f>JC92/JB92</f>
        <v/>
      </c>
      <c r="JE92" s="182" t="n">
        <v>-0.0319</v>
      </c>
      <c r="JF92" s="182" t="n"/>
      <c r="JG92" s="364" t="n"/>
      <c r="JH92" s="365">
        <f>C92</f>
        <v/>
      </c>
      <c r="JI92" s="365" t="n">
        <v>1388727.99</v>
      </c>
      <c r="JJ92" s="365">
        <f>JI93</f>
        <v/>
      </c>
      <c r="JK92" s="388">
        <f>JI92-JJ92</f>
        <v/>
      </c>
      <c r="JL92" s="389">
        <f>JK92/JJ92</f>
        <v/>
      </c>
      <c r="JM92" s="182" t="n">
        <v>-0.0013</v>
      </c>
      <c r="JN92" s="182" t="n"/>
      <c r="JP92" s="365">
        <f>C92</f>
        <v/>
      </c>
      <c r="JQ92" s="365" t="n">
        <v>1055590.4148</v>
      </c>
      <c r="JR92" s="365">
        <f>JQ93</f>
        <v/>
      </c>
      <c r="JS92" s="388">
        <f>JQ92-JR92</f>
        <v/>
      </c>
      <c r="JT92" s="389">
        <f>JS92/JR92</f>
        <v/>
      </c>
      <c r="JU92" s="182" t="n">
        <v>-0.0324</v>
      </c>
      <c r="JV92" s="383" t="n"/>
      <c r="JX92" s="365">
        <f>C92</f>
        <v/>
      </c>
      <c r="JY92" s="365" t="n">
        <v>1046448.8</v>
      </c>
      <c r="JZ92" s="365">
        <f>JY93</f>
        <v/>
      </c>
      <c r="KA92" s="388">
        <f>JY92-JZ92</f>
        <v/>
      </c>
      <c r="KB92" s="389">
        <f>KA92/JZ92</f>
        <v/>
      </c>
      <c r="KC92" s="182" t="n">
        <v>-0.0231</v>
      </c>
      <c r="KD92" s="383" t="n"/>
      <c r="KF92" s="365">
        <f>C92</f>
        <v/>
      </c>
      <c r="KG92" s="365" t="n">
        <v>619155.9219</v>
      </c>
      <c r="KH92" s="365">
        <f>KG93</f>
        <v/>
      </c>
      <c r="KI92" s="384">
        <f>KG92-KH92</f>
        <v/>
      </c>
      <c r="KJ92" s="383">
        <f>KI92/KH92</f>
        <v/>
      </c>
      <c r="KK92" s="366" t="n">
        <v>0</v>
      </c>
      <c r="KL92" s="366" t="n"/>
      <c r="KM92" s="364" t="n"/>
      <c r="KN92" s="365">
        <f>C92</f>
        <v/>
      </c>
      <c r="KO92" s="365" t="n">
        <v>7189475.95</v>
      </c>
      <c r="KP92" s="365">
        <f>KO93</f>
        <v/>
      </c>
      <c r="KQ92" s="390">
        <f>KO92-KP92</f>
        <v/>
      </c>
      <c r="KR92" s="391">
        <f>KQ92/KP92</f>
        <v/>
      </c>
      <c r="KS92" s="182" t="n">
        <v>-0.0035</v>
      </c>
      <c r="KT92" s="182" t="n"/>
      <c r="KU92" s="364" t="n"/>
      <c r="KV92" s="365">
        <f>C92</f>
        <v/>
      </c>
      <c r="KW92" s="365" t="n">
        <v>1081472.9726</v>
      </c>
      <c r="KX92" s="365">
        <f>KW93</f>
        <v/>
      </c>
      <c r="KY92" s="323">
        <f>KW92-KX92</f>
        <v/>
      </c>
      <c r="KZ92" s="324">
        <f>KY92/KX92</f>
        <v/>
      </c>
      <c r="LA92" s="366" t="n">
        <v>-0.0387</v>
      </c>
      <c r="LB92" s="182" t="n"/>
      <c r="LC92" s="364" t="n"/>
      <c r="LD92" s="365">
        <f>C92</f>
        <v/>
      </c>
      <c r="LE92" s="365" t="n">
        <v>376057.7</v>
      </c>
      <c r="LF92" s="365">
        <f>LE93</f>
        <v/>
      </c>
      <c r="LG92" s="390">
        <f>LE92-LF92</f>
        <v/>
      </c>
      <c r="LH92" s="391">
        <f>LG92/LF92</f>
        <v/>
      </c>
      <c r="LI92" s="182" t="n">
        <v>-0.009599999999999999</v>
      </c>
      <c r="LJ92" s="182" t="n"/>
      <c r="LK92" s="364" t="n"/>
      <c r="LL92" s="365">
        <f>C92</f>
        <v/>
      </c>
      <c r="LM92" s="694" t="n">
        <v>3495175.02</v>
      </c>
      <c r="LN92" s="365">
        <f>LM93</f>
        <v/>
      </c>
      <c r="LO92" s="390">
        <f>LM92-LN92</f>
        <v/>
      </c>
      <c r="LP92" s="391">
        <f>LO92/LN92</f>
        <v/>
      </c>
      <c r="LQ92" s="182" t="n">
        <v>-0.0274</v>
      </c>
      <c r="LR92" s="182" t="n"/>
      <c r="LS92" s="364" t="n"/>
      <c r="LT92" s="365">
        <f>C92</f>
        <v/>
      </c>
      <c r="LU92" s="365" t="n">
        <v>2335662.904</v>
      </c>
      <c r="LV92" s="365">
        <f>LU93</f>
        <v/>
      </c>
      <c r="LW92" s="390">
        <f>LU92-LV92</f>
        <v/>
      </c>
      <c r="LX92" s="391">
        <f>LW92/LV92</f>
        <v/>
      </c>
      <c r="LY92" s="182" t="n">
        <v>-0.0156</v>
      </c>
      <c r="LZ92" s="182" t="n"/>
      <c r="MA92" s="364" t="n"/>
      <c r="MB92" s="365">
        <f>C92</f>
        <v/>
      </c>
      <c r="MC92" s="365" t="n">
        <v>1266117.69</v>
      </c>
      <c r="MD92" s="365">
        <f>MC93</f>
        <v/>
      </c>
      <c r="ME92" s="388">
        <f>MC92-MD92</f>
        <v/>
      </c>
      <c r="MF92" s="389">
        <f>ME92/MD92</f>
        <v/>
      </c>
      <c r="MG92" s="182" t="n">
        <v>-0.0293</v>
      </c>
      <c r="MH92" s="182" t="n"/>
      <c r="MI92" s="319" t="n"/>
      <c r="MJ92" s="318" t="n"/>
      <c r="MK92" s="318">
        <f>C92</f>
        <v/>
      </c>
      <c r="ML92" s="318" t="n">
        <v>163065.5354</v>
      </c>
      <c r="MM92" s="13">
        <f>ML93</f>
        <v/>
      </c>
      <c r="MN92" s="318">
        <f>ML92-MM92</f>
        <v/>
      </c>
      <c r="MO92" s="327">
        <f>MN92/MM92</f>
        <v/>
      </c>
      <c r="MP92" s="182" t="n">
        <v>-0.0292</v>
      </c>
      <c r="MQ92" s="369" t="n"/>
      <c r="MR92" s="369" t="n"/>
      <c r="MS92" s="188" t="n"/>
      <c r="MT92" s="274">
        <f>C92</f>
        <v/>
      </c>
      <c r="MU92" s="188" t="n">
        <v>129414.8</v>
      </c>
      <c r="MV92" s="188">
        <f>MU93</f>
        <v/>
      </c>
      <c r="MW92" s="188">
        <f>MU92-MV92</f>
        <v/>
      </c>
      <c r="MX92" s="271">
        <f>MW92/MV92</f>
        <v/>
      </c>
      <c r="MY92" s="182" t="n">
        <v>-0.0316</v>
      </c>
      <c r="MZ92" s="182" t="n"/>
      <c r="NA92" s="182" t="n"/>
      <c r="NB92" s="188" t="n"/>
      <c r="NC92" s="188">
        <f>C92</f>
        <v/>
      </c>
      <c r="ND92" s="188" t="n">
        <v>37491.48</v>
      </c>
      <c r="NE92" s="188">
        <f>ND93</f>
        <v/>
      </c>
      <c r="NF92" s="188">
        <f>ND92-NE92</f>
        <v/>
      </c>
      <c r="NG92" s="271">
        <f>NF92/NE92</f>
        <v/>
      </c>
      <c r="NH92" s="182" t="n">
        <v>-0.0287</v>
      </c>
      <c r="NI92" s="182" t="n"/>
      <c r="NJ92" s="182" t="n"/>
      <c r="NK92" s="182" t="n"/>
      <c r="NL92" s="188" t="n"/>
      <c r="NM92" s="188">
        <f>C92</f>
        <v/>
      </c>
      <c r="NN92" s="188" t="n">
        <v>2979111.08</v>
      </c>
      <c r="NO92" s="9">
        <f>NN93</f>
        <v/>
      </c>
      <c r="NP92" s="188">
        <f>NN92-NO92</f>
        <v/>
      </c>
      <c r="NQ92" s="271">
        <f>NP92/NO92</f>
        <v/>
      </c>
      <c r="NR92" s="272" t="n">
        <v>-0.0072</v>
      </c>
      <c r="NS92" s="188" t="n"/>
      <c r="NT92" s="273" t="n"/>
      <c r="NU92" s="188">
        <f>C92</f>
        <v/>
      </c>
      <c r="NV92" s="188" t="n">
        <v>265376.5</v>
      </c>
      <c r="NW92" s="188">
        <f>NV93</f>
        <v/>
      </c>
      <c r="NX92" s="188">
        <f>NV92-NW92</f>
        <v/>
      </c>
      <c r="NY92" s="271">
        <f>NX92/NW92</f>
        <v/>
      </c>
      <c r="NZ92" s="366" t="n">
        <v>-0.0256</v>
      </c>
      <c r="OA92" s="364" t="n"/>
      <c r="OB92" s="364" t="n"/>
      <c r="OC92" s="365">
        <f>C92</f>
        <v/>
      </c>
      <c r="OD92" s="365" t="n">
        <v>17568.97</v>
      </c>
      <c r="OE92" s="365">
        <f>OD93</f>
        <v/>
      </c>
      <c r="OF92" s="388">
        <f>OD92-OE92</f>
        <v/>
      </c>
      <c r="OG92" s="389">
        <f>OF92/OE92</f>
        <v/>
      </c>
      <c r="OH92" s="182" t="n">
        <v>-0.0004</v>
      </c>
      <c r="OI92" s="182" t="n"/>
      <c r="OJ92" s="364" t="n"/>
      <c r="OK92" s="365">
        <f>C92</f>
        <v/>
      </c>
      <c r="OL92" s="0" t="n">
        <v>14514.65</v>
      </c>
      <c r="OM92" s="0">
        <f>OL93</f>
        <v/>
      </c>
      <c r="ON92" s="0">
        <f>OL92-OM92</f>
        <v/>
      </c>
      <c r="OO92" s="182">
        <f>ON92/OM92</f>
        <v/>
      </c>
      <c r="OP92" s="182" t="n">
        <v>0.0001</v>
      </c>
      <c r="OQ92" s="182" t="n"/>
      <c r="OT92" s="201">
        <f>OK92</f>
        <v/>
      </c>
      <c r="OU92" s="199" t="n">
        <v>151512.4066</v>
      </c>
      <c r="OV92" s="9">
        <f>OU93</f>
        <v/>
      </c>
      <c r="OW92" s="671">
        <f>OU92-OV92</f>
        <v/>
      </c>
      <c r="OX92" s="182">
        <f>OW92/OV92</f>
        <v/>
      </c>
      <c r="OY92" s="0" t="n">
        <v>0.0122</v>
      </c>
    </row>
    <row r="93" ht="17" customFormat="1" customHeight="1" s="9">
      <c r="A93" s="631" t="n"/>
      <c r="B93" s="631" t="n"/>
      <c r="C93" s="693" t="inlineStr">
        <is>
          <t>2026//7/6</t>
        </is>
      </c>
      <c r="D93" s="362" t="n">
        <v>1682148.77</v>
      </c>
      <c r="E93" s="362">
        <f>D94</f>
        <v/>
      </c>
      <c r="F93" s="377">
        <f>D93-E93</f>
        <v/>
      </c>
      <c r="G93" s="378">
        <f>F93/E93</f>
        <v/>
      </c>
      <c r="H93" s="19" t="n">
        <v>0.0002</v>
      </c>
      <c r="I93" s="426" t="n"/>
      <c r="J93" s="426" t="n"/>
      <c r="K93" s="362">
        <f>C93</f>
        <v/>
      </c>
      <c r="L93" s="362" t="n">
        <v>912124.4</v>
      </c>
      <c r="M93" s="362">
        <f>L94</f>
        <v/>
      </c>
      <c r="N93" s="377">
        <f>L93-M93</f>
        <v/>
      </c>
      <c r="O93" s="378">
        <f>N93/M93</f>
        <v/>
      </c>
      <c r="P93" s="19" t="n">
        <v>-0.0004</v>
      </c>
      <c r="Q93" s="426" t="n"/>
      <c r="R93" s="427" t="n"/>
      <c r="S93" s="362">
        <f>C93</f>
        <v/>
      </c>
      <c r="T93" s="362" t="n">
        <v>640506.6800000001</v>
      </c>
      <c r="U93" s="362">
        <f>T94</f>
        <v/>
      </c>
      <c r="V93" s="377">
        <f>T93-U93</f>
        <v/>
      </c>
      <c r="W93" s="378">
        <f>V93/U93</f>
        <v/>
      </c>
      <c r="X93" s="19" t="n">
        <v>0.0076</v>
      </c>
      <c r="Y93" s="426" t="n"/>
      <c r="Z93" s="427" t="n"/>
      <c r="AA93" s="362">
        <f>S93</f>
        <v/>
      </c>
      <c r="AB93" s="362" t="n">
        <v>437696.86</v>
      </c>
      <c r="AC93" s="362">
        <f>AB94</f>
        <v/>
      </c>
      <c r="AD93" s="432">
        <f>AB93-AC93</f>
        <v/>
      </c>
      <c r="AE93" s="433">
        <f>AD93/AC93</f>
        <v/>
      </c>
      <c r="AF93" s="19" t="n">
        <v>-0.0102</v>
      </c>
      <c r="AG93" s="426" t="n"/>
      <c r="AH93" s="427" t="n"/>
      <c r="AI93" s="362">
        <f>C93</f>
        <v/>
      </c>
      <c r="AJ93" s="362" t="n">
        <v>396121.76</v>
      </c>
      <c r="AK93" s="362">
        <f>AJ94</f>
        <v/>
      </c>
      <c r="AL93" s="377">
        <f>AJ93-AK93</f>
        <v/>
      </c>
      <c r="AM93" s="378">
        <f>AL93/AK93</f>
        <v/>
      </c>
      <c r="AN93" s="19" t="n">
        <v>-0.0152</v>
      </c>
      <c r="AO93" s="19" t="n"/>
      <c r="AP93" s="427" t="n"/>
      <c r="AQ93" s="362">
        <f>C93</f>
        <v/>
      </c>
      <c r="AR93" s="697" t="n">
        <v>1114345.4936</v>
      </c>
      <c r="AS93" s="362">
        <f>AR94</f>
        <v/>
      </c>
      <c r="AT93" s="377">
        <f>AR93-AS93</f>
        <v/>
      </c>
      <c r="AU93" s="378">
        <f>AT93/AS93</f>
        <v/>
      </c>
      <c r="AV93" s="19" t="n">
        <v>-0.0166</v>
      </c>
      <c r="AW93" s="19" t="n"/>
      <c r="AX93" s="5" t="n"/>
      <c r="AY93" s="188" t="n"/>
      <c r="AZ93" s="188">
        <f>C93</f>
        <v/>
      </c>
      <c r="BA93" s="188" t="n">
        <v>536151.6676</v>
      </c>
      <c r="BB93" s="188">
        <f>BA94</f>
        <v/>
      </c>
      <c r="BC93" s="188">
        <f>BA93-BB93</f>
        <v/>
      </c>
      <c r="BD93" s="271">
        <f>BC93/BB93</f>
        <v/>
      </c>
      <c r="BE93" s="19" t="n">
        <v>-0.0002</v>
      </c>
      <c r="BF93" s="19" t="n"/>
      <c r="BG93" s="647" t="n"/>
      <c r="BH93" s="363">
        <f>C93</f>
        <v/>
      </c>
      <c r="BI93" s="363" t="n">
        <v>1115826.5525</v>
      </c>
      <c r="BJ93" s="363">
        <f>BI94</f>
        <v/>
      </c>
      <c r="BK93" s="395">
        <f>BI93-BJ93</f>
        <v/>
      </c>
      <c r="BL93" s="396">
        <f>BK93/BJ93</f>
        <v/>
      </c>
      <c r="BM93" s="191" t="n">
        <v>-0.0189</v>
      </c>
      <c r="BN93" s="182" t="n"/>
      <c r="BO93" s="364" t="n"/>
      <c r="BP93" s="365">
        <f>C93</f>
        <v/>
      </c>
      <c r="BQ93" s="694" t="n">
        <v>1148162.3921</v>
      </c>
      <c r="BR93" s="365">
        <f>BQ94</f>
        <v/>
      </c>
      <c r="BS93" s="390">
        <f>BQ93-BR93</f>
        <v/>
      </c>
      <c r="BT93" s="391">
        <f>BS93/BR93</f>
        <v/>
      </c>
      <c r="BU93" s="182" t="n">
        <v>-0.0232</v>
      </c>
      <c r="BV93" s="182" t="n"/>
      <c r="BW93" s="364" t="n"/>
      <c r="BX93" s="365">
        <f>C93</f>
        <v/>
      </c>
      <c r="BY93" s="365" t="n">
        <v>1918810.7019</v>
      </c>
      <c r="BZ93" s="365">
        <f>BY94</f>
        <v/>
      </c>
      <c r="CA93" s="390">
        <f>BY93-BZ93</f>
        <v/>
      </c>
      <c r="CB93" s="391">
        <f>CA93/BZ93</f>
        <v/>
      </c>
      <c r="CC93" s="182" t="n">
        <v>-0.0081</v>
      </c>
      <c r="CD93" s="383" t="n"/>
      <c r="CE93" s="364" t="n"/>
      <c r="CF93" s="365">
        <f>C93</f>
        <v/>
      </c>
      <c r="CG93" s="365" t="n">
        <v>1267953.9</v>
      </c>
      <c r="CH93" s="13">
        <f>CG94</f>
        <v/>
      </c>
      <c r="CI93" s="13">
        <f>CG93-CH93</f>
        <v/>
      </c>
      <c r="CJ93" s="193">
        <f>CI93/CH93</f>
        <v/>
      </c>
      <c r="CK93" s="182" t="n">
        <v>-0.0143</v>
      </c>
      <c r="CL93" s="366" t="n"/>
      <c r="CM93" s="364" t="n"/>
      <c r="CN93" s="365">
        <f>C93</f>
        <v/>
      </c>
      <c r="CO93" s="365" t="n">
        <v>530846.48</v>
      </c>
      <c r="CP93" s="365">
        <f>CO94</f>
        <v/>
      </c>
      <c r="CQ93" s="13">
        <f>CO93-CP93</f>
        <v/>
      </c>
      <c r="CR93" s="193">
        <f>CQ93/CP93</f>
        <v/>
      </c>
      <c r="CS93" s="366" t="n">
        <v>-0.009900000000000001</v>
      </c>
      <c r="CT93" s="366" t="n"/>
      <c r="CU93" s="364" t="n"/>
      <c r="CV93" s="365">
        <f>C93</f>
        <v/>
      </c>
      <c r="CW93" s="365" t="n">
        <v>515090.4</v>
      </c>
      <c r="CX93" s="365">
        <f>CW94</f>
        <v/>
      </c>
      <c r="CY93" s="390">
        <f>CW93-CX93</f>
        <v/>
      </c>
      <c r="CZ93" s="391">
        <f>CY93/CX93</f>
        <v/>
      </c>
      <c r="DA93" s="182" t="n">
        <v>-0.0158</v>
      </c>
      <c r="DB93" s="182" t="n"/>
      <c r="DC93" s="256" t="n"/>
      <c r="DD93" s="365">
        <f>C93</f>
        <v/>
      </c>
      <c r="DE93" s="365" t="n">
        <v>2467117.9986</v>
      </c>
      <c r="DF93" s="13">
        <f>DE94</f>
        <v/>
      </c>
      <c r="DG93" s="388">
        <f>DE93-DF93</f>
        <v/>
      </c>
      <c r="DH93" s="389">
        <f>DG93/DF93</f>
        <v/>
      </c>
      <c r="DI93" s="182" t="n">
        <v>-0.0092</v>
      </c>
      <c r="DJ93" s="182" t="n"/>
      <c r="DK93" s="364" t="n"/>
      <c r="DL93" s="365">
        <f>C93</f>
        <v/>
      </c>
      <c r="DM93" s="365" t="n">
        <v>1697800.72</v>
      </c>
      <c r="DN93" s="365">
        <f>DM94</f>
        <v/>
      </c>
      <c r="DO93" s="388">
        <f>DM93-DN93</f>
        <v/>
      </c>
      <c r="DP93" s="389">
        <f>DO93/DN93</f>
        <v/>
      </c>
      <c r="DQ93" s="182" t="n">
        <v>0.0023</v>
      </c>
      <c r="DR93" s="182" t="n"/>
      <c r="DS93" s="364" t="n"/>
      <c r="DT93" s="365">
        <f>C93</f>
        <v/>
      </c>
      <c r="DU93" s="365" t="n">
        <v>1330889.48</v>
      </c>
      <c r="DV93" s="365">
        <f>DU94</f>
        <v/>
      </c>
      <c r="DW93" s="388">
        <f>DU93-DV93</f>
        <v/>
      </c>
      <c r="DX93" s="389">
        <f>DW93/DV93</f>
        <v/>
      </c>
      <c r="DY93" s="182" t="n">
        <v>0.0066</v>
      </c>
      <c r="DZ93" s="182" t="n"/>
      <c r="EA93" s="364" t="n"/>
      <c r="EB93" s="365">
        <f>C93</f>
        <v/>
      </c>
      <c r="EC93" s="365" t="n">
        <v>3114866.82</v>
      </c>
      <c r="ED93" s="365">
        <f>EC94</f>
        <v/>
      </c>
      <c r="EE93" s="388">
        <f>EC93-ED93</f>
        <v/>
      </c>
      <c r="EF93" s="389">
        <f>EE93/ED93</f>
        <v/>
      </c>
      <c r="EG93" s="182" t="n">
        <v>0.0067</v>
      </c>
      <c r="EH93" s="182" t="n"/>
      <c r="EI93" s="364" t="n"/>
      <c r="EJ93" s="365">
        <f>C93</f>
        <v/>
      </c>
      <c r="EK93" s="365" t="n">
        <v>1113522.9669</v>
      </c>
      <c r="EL93" s="365">
        <f>EK94</f>
        <v/>
      </c>
      <c r="EM93" s="390">
        <f>EK93-EL93</f>
        <v/>
      </c>
      <c r="EN93" s="391">
        <f>EM93/EL93</f>
        <v/>
      </c>
      <c r="EO93" s="182" t="n">
        <v>-0.009299999999999999</v>
      </c>
      <c r="EP93" s="182" t="n"/>
      <c r="EQ93" s="317" t="n"/>
      <c r="ER93" s="318">
        <f>C93</f>
        <v/>
      </c>
      <c r="ES93" s="318" t="n">
        <v>740494.04</v>
      </c>
      <c r="ET93" s="318">
        <f>ES94</f>
        <v/>
      </c>
      <c r="EU93" s="318">
        <f>ES93-ET93</f>
        <v/>
      </c>
      <c r="EV93" s="327">
        <f>EU93/ET93</f>
        <v/>
      </c>
      <c r="EW93" s="182" t="n">
        <v>-0.008500000000000001</v>
      </c>
      <c r="EX93" s="182" t="n"/>
      <c r="EY93" s="364" t="n"/>
      <c r="EZ93" s="365">
        <f>C93</f>
        <v/>
      </c>
      <c r="FA93" s="365" t="n">
        <v>541708</v>
      </c>
      <c r="FB93" s="365">
        <f>FA94</f>
        <v/>
      </c>
      <c r="FC93" s="388">
        <f>FA93-FB93</f>
        <v/>
      </c>
      <c r="FD93" s="389">
        <f>FC93/FB93</f>
        <v/>
      </c>
      <c r="FE93" s="182" t="n">
        <v>-0.0131</v>
      </c>
      <c r="FF93" s="182" t="n"/>
      <c r="FH93" s="365">
        <f>C93</f>
        <v/>
      </c>
      <c r="FI93" s="694" t="n">
        <v>1224695.3365</v>
      </c>
      <c r="FJ93" s="365">
        <f>FI94</f>
        <v/>
      </c>
      <c r="FK93" s="325">
        <f>FI93-FJ93</f>
        <v/>
      </c>
      <c r="FL93" s="326">
        <f>FK93/FJ93</f>
        <v/>
      </c>
      <c r="FM93" s="366" t="n">
        <v>-0.0429</v>
      </c>
      <c r="FN93" s="366" t="n"/>
      <c r="FO93" s="364" t="n"/>
      <c r="FP93" s="365">
        <f>C93</f>
        <v/>
      </c>
      <c r="FQ93" s="365" t="n">
        <v>1644868.73</v>
      </c>
      <c r="FR93" s="365">
        <f>FQ94</f>
        <v/>
      </c>
      <c r="FS93" s="388">
        <f>FQ93-FR93</f>
        <v/>
      </c>
      <c r="FT93" s="389">
        <f>FS93/FR93</f>
        <v/>
      </c>
      <c r="FU93" s="182" t="n">
        <v>-0.0432</v>
      </c>
      <c r="FV93" s="182" t="n"/>
      <c r="FW93" s="364" t="n"/>
      <c r="FX93" s="365">
        <f>C93</f>
        <v/>
      </c>
      <c r="FY93" s="365" t="n">
        <v>8328982.05</v>
      </c>
      <c r="FZ93" s="365">
        <f>FY94</f>
        <v/>
      </c>
      <c r="GA93" s="388">
        <f>FY93-FZ93</f>
        <v/>
      </c>
      <c r="GB93" s="389">
        <f>GA93/FZ93</f>
        <v/>
      </c>
      <c r="GC93" s="182" t="n">
        <v>0.0032</v>
      </c>
      <c r="GD93" s="182" t="n"/>
      <c r="GE93" s="364" t="n"/>
      <c r="GF93" s="365">
        <f>C93</f>
        <v/>
      </c>
      <c r="GG93" s="365" t="n">
        <v>4840569.49</v>
      </c>
      <c r="GH93" s="365">
        <f>GG94</f>
        <v/>
      </c>
      <c r="GI93" s="388">
        <f>GG93-GH93</f>
        <v/>
      </c>
      <c r="GJ93" s="389">
        <f>GI93/GH93</f>
        <v/>
      </c>
      <c r="GK93" s="182" t="n">
        <v>0.011</v>
      </c>
      <c r="GL93" s="182" t="n"/>
      <c r="GM93" s="364" t="n"/>
      <c r="GN93" s="365">
        <f>C93</f>
        <v/>
      </c>
      <c r="GO93" s="365" t="n">
        <v>2023978.1217</v>
      </c>
      <c r="GP93" s="365">
        <f>GO94</f>
        <v/>
      </c>
      <c r="GQ93" s="390">
        <f>GO93-GP93</f>
        <v/>
      </c>
      <c r="GR93" s="391">
        <f>GQ93/GP93</f>
        <v/>
      </c>
      <c r="GS93" s="182" t="n">
        <v>0.009299999999999999</v>
      </c>
      <c r="GT93" s="182" t="n"/>
      <c r="GU93" s="364" t="n"/>
      <c r="GV93" s="365">
        <f>C93</f>
        <v/>
      </c>
      <c r="GW93" s="365" t="n">
        <v>689349.4</v>
      </c>
      <c r="GX93" s="365">
        <f>GW94</f>
        <v/>
      </c>
      <c r="GY93" s="388">
        <f>GW93-GX93</f>
        <v/>
      </c>
      <c r="GZ93" s="389">
        <f>GY93/GX93</f>
        <v/>
      </c>
      <c r="HA93" s="182" t="n">
        <v>-0.0219</v>
      </c>
      <c r="HB93" s="182" t="n"/>
      <c r="HC93" s="364" t="n"/>
      <c r="HD93" s="365">
        <f>C93</f>
        <v/>
      </c>
      <c r="HE93" s="365" t="n">
        <v>946664.6746</v>
      </c>
      <c r="HF93" s="365">
        <f>HE94</f>
        <v/>
      </c>
      <c r="HG93" s="388">
        <f>HE93-HF93</f>
        <v/>
      </c>
      <c r="HH93" s="389">
        <f>HG93/HF93</f>
        <v/>
      </c>
      <c r="HI93" s="366" t="n">
        <v>-0.0292</v>
      </c>
      <c r="HJ93" s="182" t="n"/>
      <c r="HK93" s="364" t="n"/>
      <c r="HL93" s="365">
        <f>C93</f>
        <v/>
      </c>
      <c r="HM93" s="365" t="n">
        <v>111054.25</v>
      </c>
      <c r="HN93" s="365">
        <f>HM94</f>
        <v/>
      </c>
      <c r="HO93" s="388">
        <f>HM93-HN93</f>
        <v/>
      </c>
      <c r="HP93" s="389">
        <f>HO93/HN93</f>
        <v/>
      </c>
      <c r="HQ93" s="182" t="n">
        <v>-0.008800000000000001</v>
      </c>
      <c r="HR93" s="182" t="n"/>
      <c r="HS93" s="364" t="n"/>
      <c r="HT93" s="365">
        <f>C93</f>
        <v/>
      </c>
      <c r="HU93" s="365" t="n">
        <v>119068.8265</v>
      </c>
      <c r="HV93" s="365">
        <f>HU94</f>
        <v/>
      </c>
      <c r="HW93" s="388">
        <f>HU93-HV93</f>
        <v/>
      </c>
      <c r="HX93" s="389">
        <f>HW93/HV93</f>
        <v/>
      </c>
      <c r="HY93" s="182" t="n">
        <v>-0.0036</v>
      </c>
      <c r="HZ93" s="182" t="n"/>
      <c r="IA93" s="364" t="n"/>
      <c r="IB93" s="365">
        <f>C93</f>
        <v/>
      </c>
      <c r="IC93" s="185" t="n">
        <v>260909.79</v>
      </c>
      <c r="ID93" s="185">
        <f>IC94</f>
        <v/>
      </c>
      <c r="IE93" s="323">
        <f>IC93-ID93</f>
        <v/>
      </c>
      <c r="IF93" s="324">
        <f>IE93/ID93</f>
        <v/>
      </c>
      <c r="IG93" s="366" t="n">
        <v>0.0059</v>
      </c>
      <c r="IH93" s="182" t="n"/>
      <c r="II93" s="364" t="n"/>
      <c r="IJ93" s="365">
        <f>C93</f>
        <v/>
      </c>
      <c r="IK93" s="365" t="n">
        <v>879436.29</v>
      </c>
      <c r="IL93" s="365">
        <f>IK94</f>
        <v/>
      </c>
      <c r="IM93" s="390">
        <f>IK93-IL93</f>
        <v/>
      </c>
      <c r="IN93" s="391">
        <f>IM93/IL93</f>
        <v/>
      </c>
      <c r="IO93" s="182" t="n">
        <v>-0.0058</v>
      </c>
      <c r="IP93" s="182" t="n"/>
      <c r="IQ93" s="364" t="n"/>
      <c r="IR93" s="365">
        <f>C93</f>
        <v/>
      </c>
      <c r="IS93" s="365" t="n">
        <v>143889</v>
      </c>
      <c r="IT93" s="365">
        <f>IS94</f>
        <v/>
      </c>
      <c r="IU93" s="390">
        <f>IS93-IT93</f>
        <v/>
      </c>
      <c r="IV93" s="391">
        <f>IU93/IT93</f>
        <v/>
      </c>
      <c r="IW93" s="182" t="n">
        <v>-0.007</v>
      </c>
      <c r="IX93" s="182" t="n"/>
      <c r="IY93" s="364" t="n"/>
      <c r="IZ93" s="365">
        <f>C93</f>
        <v/>
      </c>
      <c r="JA93" s="365" t="n">
        <v>5381229.15</v>
      </c>
      <c r="JB93" s="365">
        <f>JA94</f>
        <v/>
      </c>
      <c r="JC93" s="388">
        <f>JA93-JB93</f>
        <v/>
      </c>
      <c r="JD93" s="389">
        <f>JC93/JB93</f>
        <v/>
      </c>
      <c r="JE93" s="182" t="n">
        <v>0.0043</v>
      </c>
      <c r="JF93" s="182" t="n"/>
      <c r="JG93" s="364" t="n"/>
      <c r="JH93" s="365">
        <f>C93</f>
        <v/>
      </c>
      <c r="JI93" s="365" t="n">
        <v>1445307.99</v>
      </c>
      <c r="JJ93" s="365">
        <f>JI94</f>
        <v/>
      </c>
      <c r="JK93" s="390">
        <f>JI93-JJ93</f>
        <v/>
      </c>
      <c r="JL93" s="391">
        <f>JK93/JJ93</f>
        <v/>
      </c>
      <c r="JM93" s="182" t="n">
        <v>0.0174</v>
      </c>
      <c r="JN93" s="182" t="n"/>
      <c r="JP93" s="365">
        <f>C93</f>
        <v/>
      </c>
      <c r="JQ93" s="365" t="n">
        <v>1051190.4148</v>
      </c>
      <c r="JR93" s="365">
        <f>JQ94</f>
        <v/>
      </c>
      <c r="JS93" s="388">
        <f>JQ93-JR93</f>
        <v/>
      </c>
      <c r="JT93" s="389">
        <f>JS93/JR93</f>
        <v/>
      </c>
      <c r="JU93" s="182" t="n">
        <v>-0.0206</v>
      </c>
      <c r="JV93" s="383" t="n"/>
      <c r="JX93" s="365">
        <f>C93</f>
        <v/>
      </c>
      <c r="JY93" s="365" t="n">
        <v>1056498.8</v>
      </c>
      <c r="JZ93" s="365">
        <f>JY94</f>
        <v/>
      </c>
      <c r="KA93" s="388">
        <f>JY93-JZ93</f>
        <v/>
      </c>
      <c r="KB93" s="389">
        <f>KA93/JZ93</f>
        <v/>
      </c>
      <c r="KC93" s="182" t="n">
        <v>0.012</v>
      </c>
      <c r="KD93" s="383" t="n"/>
      <c r="KF93" s="365">
        <f>C93</f>
        <v/>
      </c>
      <c r="KG93" s="365" t="n">
        <v>621155.9219</v>
      </c>
      <c r="KH93" s="365">
        <f>KG94</f>
        <v/>
      </c>
      <c r="KI93" s="388">
        <f>KG93-KH93</f>
        <v/>
      </c>
      <c r="KJ93" s="389">
        <f>KI93/KH93</f>
        <v/>
      </c>
      <c r="KK93" s="366" t="n">
        <v>0.008699999999999999</v>
      </c>
      <c r="KL93" s="366" t="n"/>
      <c r="KM93" s="364" t="n"/>
      <c r="KN93" s="365">
        <f>C93</f>
        <v/>
      </c>
      <c r="KO93" s="365" t="n">
        <v>7224175.95</v>
      </c>
      <c r="KP93" s="365">
        <f>KO94</f>
        <v/>
      </c>
      <c r="KQ93" s="390">
        <f>KO93-KP93</f>
        <v/>
      </c>
      <c r="KR93" s="391">
        <f>KQ93/KP93</f>
        <v/>
      </c>
      <c r="KS93" s="182" t="n">
        <v>0.007</v>
      </c>
      <c r="KT93" s="182" t="n"/>
      <c r="KU93" s="364" t="n"/>
      <c r="KV93" s="365">
        <f>C93</f>
        <v/>
      </c>
      <c r="KW93" s="365" t="n">
        <v>1079072.9726</v>
      </c>
      <c r="KX93" s="365">
        <f>KW94</f>
        <v/>
      </c>
      <c r="KY93" s="365">
        <f>KW93-KX93</f>
        <v/>
      </c>
      <c r="KZ93" s="366">
        <f>KY93/KX93</f>
        <v/>
      </c>
      <c r="LA93" s="366" t="n">
        <v>0.0235</v>
      </c>
      <c r="LB93" s="182" t="n"/>
      <c r="LC93" s="364" t="n"/>
      <c r="LD93" s="365">
        <f>C93</f>
        <v/>
      </c>
      <c r="LE93" s="365" t="n">
        <v>376807.7</v>
      </c>
      <c r="LF93" s="365">
        <f>LE94</f>
        <v/>
      </c>
      <c r="LG93" s="390">
        <f>LE93-LF93</f>
        <v/>
      </c>
      <c r="LH93" s="391">
        <f>LG93/LF93</f>
        <v/>
      </c>
      <c r="LI93" s="182" t="n">
        <v>-0.0366</v>
      </c>
      <c r="LJ93" s="182" t="n"/>
      <c r="LK93" s="364" t="n"/>
      <c r="LL93" s="365">
        <f>C93</f>
        <v/>
      </c>
      <c r="LM93" s="694" t="n">
        <v>3450895.02</v>
      </c>
      <c r="LN93" s="365">
        <f>LM94</f>
        <v/>
      </c>
      <c r="LO93" s="390">
        <f>LM93-LN93</f>
        <v/>
      </c>
      <c r="LP93" s="391">
        <f>LO93/LN93</f>
        <v/>
      </c>
      <c r="LQ93" s="182" t="n">
        <v>0.0126</v>
      </c>
      <c r="LR93" s="182" t="n"/>
      <c r="LS93" s="364" t="n"/>
      <c r="LT93" s="365">
        <f>C93</f>
        <v/>
      </c>
      <c r="LU93" s="365" t="n">
        <v>2336462.904</v>
      </c>
      <c r="LV93" s="365">
        <f>LU94</f>
        <v/>
      </c>
      <c r="LW93" s="390">
        <f>LU93-LV93</f>
        <v/>
      </c>
      <c r="LX93" s="391">
        <f>LW93/LV93</f>
        <v/>
      </c>
      <c r="LY93" s="182" t="n">
        <v>0.0191</v>
      </c>
      <c r="LZ93" s="182" t="n"/>
      <c r="MA93" s="364" t="n"/>
      <c r="MB93" s="365">
        <f>C93</f>
        <v/>
      </c>
      <c r="MC93" s="365" t="n">
        <v>1241517.69</v>
      </c>
      <c r="MD93" s="365">
        <f>MC94</f>
        <v/>
      </c>
      <c r="ME93" s="388">
        <f>MC93-MD93</f>
        <v/>
      </c>
      <c r="MF93" s="389">
        <f>ME93/MD93</f>
        <v/>
      </c>
      <c r="MG93" s="182" t="n">
        <v>0.0422</v>
      </c>
      <c r="MH93" s="182" t="n"/>
      <c r="MI93" s="319" t="n"/>
      <c r="MJ93" s="318" t="n"/>
      <c r="MK93" s="318">
        <f>C93</f>
        <v/>
      </c>
      <c r="ML93" s="318" t="n">
        <v>165825.5354</v>
      </c>
      <c r="MM93" s="13">
        <f>ML94</f>
        <v/>
      </c>
      <c r="MN93" s="318">
        <f>ML93-MM93</f>
        <v/>
      </c>
      <c r="MO93" s="327">
        <f>MN93/MM93</f>
        <v/>
      </c>
      <c r="MP93" s="182" t="n">
        <v>0.0059</v>
      </c>
      <c r="MQ93" s="369" t="n"/>
      <c r="MR93" s="369" t="n"/>
      <c r="MS93" s="188" t="n"/>
      <c r="MT93" s="274">
        <f>C93</f>
        <v/>
      </c>
      <c r="MU93" s="188" t="n">
        <v>128914.8</v>
      </c>
      <c r="MV93" s="188">
        <f>MU94</f>
        <v/>
      </c>
      <c r="MW93" s="188">
        <f>MU93-MV93</f>
        <v/>
      </c>
      <c r="MX93" s="271">
        <f>MW93/MV93</f>
        <v/>
      </c>
      <c r="MY93" s="182" t="n">
        <v>0.0161</v>
      </c>
      <c r="MZ93" s="182" t="n"/>
      <c r="NA93" s="182" t="n"/>
      <c r="NB93" s="188" t="n"/>
      <c r="NC93" s="188">
        <f>C93</f>
        <v/>
      </c>
      <c r="ND93" s="188" t="n">
        <v>37491.48</v>
      </c>
      <c r="NE93" s="188">
        <f>ND94</f>
        <v/>
      </c>
      <c r="NF93" s="188">
        <f>ND93-NE93</f>
        <v/>
      </c>
      <c r="NG93" s="271">
        <f>NF93/NE93</f>
        <v/>
      </c>
      <c r="NH93" s="182" t="n">
        <v>-0.0123</v>
      </c>
      <c r="NI93" s="182" t="n"/>
      <c r="NJ93" s="182" t="n"/>
      <c r="NK93" s="182" t="n"/>
      <c r="NL93" s="188" t="n"/>
      <c r="NM93" s="188">
        <f>C93</f>
        <v/>
      </c>
      <c r="NN93" s="188" t="n">
        <v>2959011.08</v>
      </c>
      <c r="NO93" s="9">
        <f>NN94</f>
        <v/>
      </c>
      <c r="NP93" s="188">
        <f>NN93-NO93</f>
        <v/>
      </c>
      <c r="NQ93" s="271">
        <f>NP93/NO93</f>
        <v/>
      </c>
      <c r="NR93" s="272" t="n">
        <v>0.0202</v>
      </c>
      <c r="NS93" s="188" t="n"/>
      <c r="NT93" s="273" t="n"/>
      <c r="NU93" s="188">
        <f>C93</f>
        <v/>
      </c>
      <c r="NV93" s="188" t="n">
        <v>259976.5</v>
      </c>
      <c r="NW93" s="188">
        <f>NV94</f>
        <v/>
      </c>
      <c r="NX93" s="188">
        <f>NV93-NW93</f>
        <v/>
      </c>
      <c r="NY93" s="271">
        <f>NX93/NW93</f>
        <v/>
      </c>
      <c r="NZ93" s="366" t="n">
        <v>0.0119</v>
      </c>
      <c r="OA93" s="364" t="n"/>
      <c r="OB93" s="364" t="n"/>
      <c r="OC93" s="365">
        <f>C93</f>
        <v/>
      </c>
      <c r="OD93" s="365" t="n">
        <v>17560.97</v>
      </c>
      <c r="OE93" s="365">
        <f>OD94</f>
        <v/>
      </c>
      <c r="OF93" s="390">
        <f>OD93-OE93</f>
        <v/>
      </c>
      <c r="OG93" s="391">
        <f>OF93/OE93</f>
        <v/>
      </c>
      <c r="OH93" s="182" t="n">
        <v>0.0019</v>
      </c>
      <c r="OI93" s="182" t="n"/>
      <c r="OJ93" s="364" t="n"/>
      <c r="OK93" s="365">
        <f>C93</f>
        <v/>
      </c>
      <c r="OL93" s="0" t="n">
        <v>14501.65</v>
      </c>
      <c r="OM93" s="0">
        <f>OL94</f>
        <v/>
      </c>
      <c r="ON93" s="0">
        <f>OL93-OM93</f>
        <v/>
      </c>
      <c r="OO93" s="182">
        <f>ON93/OM93</f>
        <v/>
      </c>
      <c r="OP93" s="182" t="n">
        <v>0.0008</v>
      </c>
      <c r="OQ93" s="182" t="n"/>
      <c r="OT93" s="201">
        <f>OK93</f>
        <v/>
      </c>
      <c r="OU93" s="199" t="n">
        <v>151392.4066</v>
      </c>
      <c r="OV93" s="9">
        <f>OU94</f>
        <v/>
      </c>
      <c r="OW93" s="671">
        <f>OU93-OV93</f>
        <v/>
      </c>
      <c r="OX93" s="182">
        <f>OW93/OV93</f>
        <v/>
      </c>
      <c r="OY93" s="0" t="n">
        <v>0.0291</v>
      </c>
    </row>
    <row r="94" ht="17" customFormat="1" customHeight="1" s="9">
      <c r="A94" s="631" t="n"/>
      <c r="B94" s="631" t="n"/>
      <c r="C94" s="693" t="inlineStr">
        <is>
          <t>2026//7/3</t>
        </is>
      </c>
      <c r="D94" s="362" t="n">
        <v>1706988.77</v>
      </c>
      <c r="E94" s="362">
        <f>D95</f>
        <v/>
      </c>
      <c r="F94" s="377">
        <f>D94-E94</f>
        <v/>
      </c>
      <c r="G94" s="378">
        <f>F94/E94</f>
        <v/>
      </c>
      <c r="H94" s="19" t="n">
        <v>0.0054</v>
      </c>
      <c r="I94" s="426" t="n"/>
      <c r="J94" s="426" t="n"/>
      <c r="K94" s="362">
        <f>C94</f>
        <v/>
      </c>
      <c r="L94" s="362" t="n">
        <v>917524.4</v>
      </c>
      <c r="M94" s="362">
        <f>L95</f>
        <v/>
      </c>
      <c r="N94" s="377">
        <f>L94-M94</f>
        <v/>
      </c>
      <c r="O94" s="378">
        <f>N94/M94</f>
        <v/>
      </c>
      <c r="P94" s="19" t="n">
        <v>0.0077</v>
      </c>
      <c r="Q94" s="426" t="n"/>
      <c r="R94" s="427" t="n"/>
      <c r="S94" s="362">
        <f>C94</f>
        <v/>
      </c>
      <c r="T94" s="362" t="n">
        <v>653736.6800000001</v>
      </c>
      <c r="U94" s="362">
        <f>T95</f>
        <v/>
      </c>
      <c r="V94" s="377">
        <f>T94-U94</f>
        <v/>
      </c>
      <c r="W94" s="378">
        <f>V94/U94</f>
        <v/>
      </c>
      <c r="X94" s="19" t="n">
        <v>0.0067</v>
      </c>
      <c r="Y94" s="426" t="n"/>
      <c r="Z94" s="427" t="n"/>
      <c r="AA94" s="362">
        <f>S94</f>
        <v/>
      </c>
      <c r="AB94" s="362" t="n">
        <v>431776.86</v>
      </c>
      <c r="AC94" s="362">
        <f>AB95</f>
        <v/>
      </c>
      <c r="AD94" s="377">
        <f>AB94-AC94</f>
        <v/>
      </c>
      <c r="AE94" s="378">
        <f>AD94/AC94</f>
        <v/>
      </c>
      <c r="AF94" s="19" t="n">
        <v>0.0059</v>
      </c>
      <c r="AG94" s="426" t="n"/>
      <c r="AH94" s="427" t="n"/>
      <c r="AI94" s="362">
        <f>C94</f>
        <v/>
      </c>
      <c r="AJ94" s="362" t="n">
        <v>345321.76</v>
      </c>
      <c r="AK94" s="362">
        <f>AJ95</f>
        <v/>
      </c>
      <c r="AL94" s="432">
        <f>AJ94-AK94</f>
        <v/>
      </c>
      <c r="AM94" s="433">
        <f>AL94/AK94</f>
        <v/>
      </c>
      <c r="AN94" s="19" t="n">
        <v>-0.0009</v>
      </c>
      <c r="AO94" s="19" t="n"/>
      <c r="AP94" s="427" t="n"/>
      <c r="AQ94" s="362">
        <f>C94</f>
        <v/>
      </c>
      <c r="AR94" s="697" t="n">
        <v>1104245.4936</v>
      </c>
      <c r="AS94" s="362">
        <f>AR95</f>
        <v/>
      </c>
      <c r="AT94" s="377">
        <f>AR94-AS94</f>
        <v/>
      </c>
      <c r="AU94" s="378">
        <f>AT94/AS94</f>
        <v/>
      </c>
      <c r="AV94" s="19" t="n">
        <v>0.0002</v>
      </c>
      <c r="AW94" s="19" t="n"/>
      <c r="AX94" s="5" t="n"/>
      <c r="AY94" s="188" t="n"/>
      <c r="AZ94" s="188">
        <f>C94</f>
        <v/>
      </c>
      <c r="BA94" s="188" t="n">
        <v>542811.6676</v>
      </c>
      <c r="BB94" s="188">
        <f>BA95</f>
        <v/>
      </c>
      <c r="BC94" s="188">
        <f>BA94-BB94</f>
        <v/>
      </c>
      <c r="BD94" s="271">
        <f>BC94/BB94</f>
        <v/>
      </c>
      <c r="BE94" s="19" t="n">
        <v>0.0053</v>
      </c>
      <c r="BF94" s="19" t="n"/>
      <c r="BG94" s="647" t="n"/>
      <c r="BH94" s="363">
        <f>C94</f>
        <v/>
      </c>
      <c r="BI94" s="363" t="n">
        <v>1124026.5525</v>
      </c>
      <c r="BJ94" s="363">
        <f>BI95</f>
        <v/>
      </c>
      <c r="BK94" s="395">
        <f>BI94-BJ94</f>
        <v/>
      </c>
      <c r="BL94" s="396">
        <f>BK94/BJ94</f>
        <v/>
      </c>
      <c r="BM94" s="191" t="n">
        <v>0.0057</v>
      </c>
      <c r="BN94" s="182" t="n"/>
      <c r="BO94" s="364" t="n"/>
      <c r="BP94" s="365">
        <f>C94</f>
        <v/>
      </c>
      <c r="BQ94" s="694" t="n">
        <v>1144862.3921</v>
      </c>
      <c r="BR94" s="365">
        <f>BQ95</f>
        <v/>
      </c>
      <c r="BS94" s="390">
        <f>BQ94-BR94</f>
        <v/>
      </c>
      <c r="BT94" s="391">
        <f>BS94/BR94</f>
        <v/>
      </c>
      <c r="BU94" s="182" t="n">
        <v>-0.0029</v>
      </c>
      <c r="BV94" s="182" t="n"/>
      <c r="BW94" s="364" t="n"/>
      <c r="BX94" s="365">
        <f>C94</f>
        <v/>
      </c>
      <c r="BY94" s="365" t="n">
        <v>1879560.7019</v>
      </c>
      <c r="BZ94" s="365">
        <f>BY95</f>
        <v/>
      </c>
      <c r="CA94" s="390">
        <f>BY94-BZ94</f>
        <v/>
      </c>
      <c r="CB94" s="391">
        <f>CA94/BZ94</f>
        <v/>
      </c>
      <c r="CC94" s="182" t="n">
        <v>-0.0125</v>
      </c>
      <c r="CD94" s="383" t="n"/>
      <c r="CE94" s="364" t="n"/>
      <c r="CF94" s="365">
        <f>C94</f>
        <v/>
      </c>
      <c r="CG94" s="365" t="n">
        <v>1256153.9</v>
      </c>
      <c r="CH94" s="13">
        <f>CG95</f>
        <v/>
      </c>
      <c r="CI94" s="13">
        <f>CG94-CH94</f>
        <v/>
      </c>
      <c r="CJ94" s="193">
        <f>CI94/CH94</f>
        <v/>
      </c>
      <c r="CK94" s="182" t="n">
        <v>0.0064</v>
      </c>
      <c r="CL94" s="366" t="n"/>
      <c r="CM94" s="364" t="n"/>
      <c r="CN94" s="365">
        <f>C94</f>
        <v/>
      </c>
      <c r="CO94" s="365" t="n">
        <v>529146.48</v>
      </c>
      <c r="CP94" s="365">
        <f>CO95</f>
        <v/>
      </c>
      <c r="CQ94" s="13">
        <f>CO94-CP94</f>
        <v/>
      </c>
      <c r="CR94" s="193">
        <f>CQ94/CP94</f>
        <v/>
      </c>
      <c r="CS94" s="366" t="n">
        <v>0.0157</v>
      </c>
      <c r="CT94" s="366" t="n"/>
      <c r="CU94" s="364" t="n"/>
      <c r="CV94" s="365">
        <f>C94</f>
        <v/>
      </c>
      <c r="CW94" s="365" t="n">
        <v>501740.4</v>
      </c>
      <c r="CX94" s="365">
        <f>CW95</f>
        <v/>
      </c>
      <c r="CY94" s="390">
        <f>CW94-CX94</f>
        <v/>
      </c>
      <c r="CZ94" s="391">
        <f>CY94/CX94</f>
        <v/>
      </c>
      <c r="DA94" s="182" t="n">
        <v>0.0725</v>
      </c>
      <c r="DB94" s="182" t="n"/>
      <c r="DC94" s="256" t="n"/>
      <c r="DD94" s="365">
        <f>C94</f>
        <v/>
      </c>
      <c r="DE94" s="365" t="n">
        <v>2442317.9986</v>
      </c>
      <c r="DF94" s="13">
        <f>DE95</f>
        <v/>
      </c>
      <c r="DG94" s="388">
        <f>DE94-DF94</f>
        <v/>
      </c>
      <c r="DH94" s="389">
        <f>DG94/DF94</f>
        <v/>
      </c>
      <c r="DI94" s="182" t="n">
        <v>-0.0357</v>
      </c>
      <c r="DJ94" s="182" t="n"/>
      <c r="DK94" s="364" t="n"/>
      <c r="DL94" s="365">
        <f>C94</f>
        <v/>
      </c>
      <c r="DM94" s="365" t="n">
        <v>1712600.72</v>
      </c>
      <c r="DN94" s="365">
        <f>DM95</f>
        <v/>
      </c>
      <c r="DO94" s="388">
        <f>DM94-DN94</f>
        <v/>
      </c>
      <c r="DP94" s="389">
        <f>DO94/DN94</f>
        <v/>
      </c>
      <c r="DQ94" s="182" t="n">
        <v>-0.0141</v>
      </c>
      <c r="DR94" s="182" t="n"/>
      <c r="DS94" s="364" t="n"/>
      <c r="DT94" s="365">
        <f>C94</f>
        <v/>
      </c>
      <c r="DU94" s="365" t="n">
        <v>1322489.48</v>
      </c>
      <c r="DV94" s="365">
        <f>DU95</f>
        <v/>
      </c>
      <c r="DW94" s="390">
        <f>DU94-DV94</f>
        <v/>
      </c>
      <c r="DX94" s="391">
        <f>DW94/DV94</f>
        <v/>
      </c>
      <c r="DY94" s="182" t="n">
        <v>-0.0097</v>
      </c>
      <c r="DZ94" s="182" t="n"/>
      <c r="EA94" s="364" t="n"/>
      <c r="EB94" s="365">
        <f>C94</f>
        <v/>
      </c>
      <c r="EC94" s="365" t="n">
        <v>3119066.82</v>
      </c>
      <c r="ED94" s="365">
        <f>EC95</f>
        <v/>
      </c>
      <c r="EE94" s="390">
        <f>EC94-ED94</f>
        <v/>
      </c>
      <c r="EF94" s="391">
        <f>EE94/ED94</f>
        <v/>
      </c>
      <c r="EG94" s="182" t="n">
        <v>-0.008</v>
      </c>
      <c r="EH94" s="182" t="n"/>
      <c r="EI94" s="364" t="n"/>
      <c r="EJ94" s="365">
        <f>C94</f>
        <v/>
      </c>
      <c r="EK94" s="365" t="n">
        <v>1111722.9669</v>
      </c>
      <c r="EL94" s="365">
        <f>EK95</f>
        <v/>
      </c>
      <c r="EM94" s="390">
        <f>EK94-EL94</f>
        <v/>
      </c>
      <c r="EN94" s="391">
        <f>EM94/EL94</f>
        <v/>
      </c>
      <c r="EO94" s="182" t="n">
        <v>0.0074</v>
      </c>
      <c r="EP94" s="182" t="n"/>
      <c r="EQ94" s="317" t="n"/>
      <c r="ER94" s="318">
        <f>C94</f>
        <v/>
      </c>
      <c r="ES94" s="318" t="n">
        <v>741094.04</v>
      </c>
      <c r="ET94" s="318">
        <f>ES95</f>
        <v/>
      </c>
      <c r="EU94" s="318">
        <f>ES94-ET94</f>
        <v/>
      </c>
      <c r="EV94" s="327">
        <f>EU94/ET94</f>
        <v/>
      </c>
      <c r="EW94" s="182" t="n">
        <v>0.0051</v>
      </c>
      <c r="EX94" s="182" t="n"/>
      <c r="EY94" s="364" t="n"/>
      <c r="EZ94" s="365">
        <f>C94</f>
        <v/>
      </c>
      <c r="FA94" s="365" t="n">
        <v>535508</v>
      </c>
      <c r="FB94" s="365">
        <f>FA95</f>
        <v/>
      </c>
      <c r="FC94" s="388">
        <f>FA94-FB94</f>
        <v/>
      </c>
      <c r="FD94" s="389">
        <f>FC94/FB94</f>
        <v/>
      </c>
      <c r="FE94" s="182" t="n">
        <v>0.0358</v>
      </c>
      <c r="FF94" s="182" t="n"/>
      <c r="FH94" s="365">
        <f>C94</f>
        <v/>
      </c>
      <c r="FI94" s="694" t="n">
        <v>1190495.3365</v>
      </c>
      <c r="FJ94" s="365">
        <f>FI95</f>
        <v/>
      </c>
      <c r="FK94" s="325">
        <f>FI94-FJ94</f>
        <v/>
      </c>
      <c r="FL94" s="326">
        <f>FK94/FJ94</f>
        <v/>
      </c>
      <c r="FM94" s="366" t="n">
        <v>0.0522</v>
      </c>
      <c r="FN94" s="366" t="n"/>
      <c r="FO94" s="364" t="n"/>
      <c r="FP94" s="365">
        <f>C94</f>
        <v/>
      </c>
      <c r="FQ94" s="365" t="n">
        <v>1594618.73</v>
      </c>
      <c r="FR94" s="365">
        <f>FQ95</f>
        <v/>
      </c>
      <c r="FS94" s="388">
        <f>FQ94-FR94</f>
        <v/>
      </c>
      <c r="FT94" s="389">
        <f>FS94/FR94</f>
        <v/>
      </c>
      <c r="FU94" s="182" t="n">
        <v>0.0674</v>
      </c>
      <c r="FV94" s="182" t="n"/>
      <c r="FW94" s="364" t="n"/>
      <c r="FX94" s="365">
        <f>C94</f>
        <v/>
      </c>
      <c r="FY94" s="365" t="n">
        <v>8341182.05</v>
      </c>
      <c r="FZ94" s="365">
        <f>FY95</f>
        <v/>
      </c>
      <c r="GA94" s="388">
        <f>FY94-FZ94</f>
        <v/>
      </c>
      <c r="GB94" s="389">
        <f>GA94/FZ94</f>
        <v/>
      </c>
      <c r="GC94" s="182" t="n">
        <v>0.0161</v>
      </c>
      <c r="GD94" s="182" t="n"/>
      <c r="GE94" s="364" t="n"/>
      <c r="GF94" s="365">
        <f>C94</f>
        <v/>
      </c>
      <c r="GG94" s="365" t="n">
        <v>4911169.49</v>
      </c>
      <c r="GH94" s="365">
        <f>GG95</f>
        <v/>
      </c>
      <c r="GI94" s="388">
        <f>GG94-GH94</f>
        <v/>
      </c>
      <c r="GJ94" s="389">
        <f>GI94/GH94</f>
        <v/>
      </c>
      <c r="GK94" s="182" t="n">
        <v>0.0168</v>
      </c>
      <c r="GL94" s="182" t="n"/>
      <c r="GM94" s="364" t="n"/>
      <c r="GN94" s="365">
        <f>C94</f>
        <v/>
      </c>
      <c r="GO94" s="365" t="n">
        <v>2041858.1217</v>
      </c>
      <c r="GP94" s="365">
        <f>GO95</f>
        <v/>
      </c>
      <c r="GQ94" s="390">
        <f>GO94-GP94</f>
        <v/>
      </c>
      <c r="GR94" s="391">
        <f>GQ94/GP94</f>
        <v/>
      </c>
      <c r="GS94" s="182" t="n">
        <v>0.0262</v>
      </c>
      <c r="GT94" s="182" t="n"/>
      <c r="GU94" s="364" t="n"/>
      <c r="GV94" s="365">
        <f>C94</f>
        <v/>
      </c>
      <c r="GW94" s="365" t="n">
        <v>690749.4</v>
      </c>
      <c r="GX94" s="365">
        <f>GW95</f>
        <v/>
      </c>
      <c r="GY94" s="388">
        <f>GW94-GX94</f>
        <v/>
      </c>
      <c r="GZ94" s="389">
        <f>GY94/GX94</f>
        <v/>
      </c>
      <c r="HA94" s="182" t="n">
        <v>-0.0225</v>
      </c>
      <c r="HB94" s="182" t="n"/>
      <c r="HC94" s="364" t="n"/>
      <c r="HD94" s="365">
        <f>C94</f>
        <v/>
      </c>
      <c r="HE94" s="365" t="n">
        <v>946264.6746</v>
      </c>
      <c r="HF94" s="365">
        <f>HE95</f>
        <v/>
      </c>
      <c r="HG94" s="388">
        <f>HE94-HF94</f>
        <v/>
      </c>
      <c r="HH94" s="389">
        <f>HG94/HF94</f>
        <v/>
      </c>
      <c r="HI94" s="366" t="n">
        <v>0.0083</v>
      </c>
      <c r="HJ94" s="182" t="n"/>
      <c r="HK94" s="364" t="n"/>
      <c r="HL94" s="365">
        <f>C94</f>
        <v/>
      </c>
      <c r="HM94" s="365" t="n">
        <v>111104.25</v>
      </c>
      <c r="HN94" s="365">
        <f>HM95</f>
        <v/>
      </c>
      <c r="HO94" s="388">
        <f>HM94-HN94</f>
        <v/>
      </c>
      <c r="HP94" s="389">
        <f>HO94/HN94</f>
        <v/>
      </c>
      <c r="HQ94" s="182" t="n">
        <v>0.0124</v>
      </c>
      <c r="HR94" s="182" t="n"/>
      <c r="HS94" s="364" t="n"/>
      <c r="HT94" s="365">
        <f>C94</f>
        <v/>
      </c>
      <c r="HU94" s="365" t="n">
        <v>127268.8265</v>
      </c>
      <c r="HV94" s="365">
        <f>HU95</f>
        <v/>
      </c>
      <c r="HW94" s="388">
        <f>HU94-HV94</f>
        <v/>
      </c>
      <c r="HX94" s="389">
        <f>HW94/HV94</f>
        <v/>
      </c>
      <c r="HY94" s="182" t="n">
        <v>0.0018</v>
      </c>
      <c r="HZ94" s="182" t="n"/>
      <c r="IA94" s="364" t="n"/>
      <c r="IB94" s="365">
        <f>C94</f>
        <v/>
      </c>
      <c r="IC94" s="185" t="n">
        <v>260284.79</v>
      </c>
      <c r="ID94" s="185">
        <f>IC95</f>
        <v/>
      </c>
      <c r="IE94" s="323">
        <f>IC94-ID94</f>
        <v/>
      </c>
      <c r="IF94" s="324">
        <f>IE94/ID94</f>
        <v/>
      </c>
      <c r="IG94" s="366" t="n">
        <v>0</v>
      </c>
      <c r="IH94" s="182" t="n"/>
      <c r="II94" s="364" t="n"/>
      <c r="IJ94" s="365">
        <f>C94</f>
        <v/>
      </c>
      <c r="IK94" s="365" t="n">
        <v>863756.29</v>
      </c>
      <c r="IL94" s="365">
        <f>IK95</f>
        <v/>
      </c>
      <c r="IM94" s="390">
        <f>IK94-IL94</f>
        <v/>
      </c>
      <c r="IN94" s="391">
        <f>IM94/IL94</f>
        <v/>
      </c>
      <c r="IO94" s="182" t="n">
        <v>0.0019</v>
      </c>
      <c r="IP94" s="182" t="n"/>
      <c r="IQ94" s="364" t="n"/>
      <c r="IR94" s="365">
        <f>C94</f>
        <v/>
      </c>
      <c r="IS94" s="365" t="n">
        <v>145189</v>
      </c>
      <c r="IT94" s="365">
        <f>IS95</f>
        <v/>
      </c>
      <c r="IU94" s="390">
        <f>IS94-IT94</f>
        <v/>
      </c>
      <c r="IV94" s="391">
        <f>IU94/IT94</f>
        <v/>
      </c>
      <c r="IW94" s="182" t="n">
        <v>0.0018</v>
      </c>
      <c r="IX94" s="182" t="n"/>
      <c r="IY94" s="364" t="n"/>
      <c r="IZ94" s="365">
        <f>C94</f>
        <v/>
      </c>
      <c r="JA94" s="365" t="n">
        <v>5340529.15</v>
      </c>
      <c r="JB94" s="365">
        <f>JA95</f>
        <v/>
      </c>
      <c r="JC94" s="388">
        <f>JA94-JB94</f>
        <v/>
      </c>
      <c r="JD94" s="389">
        <f>JC94/JB94</f>
        <v/>
      </c>
      <c r="JE94" s="182" t="n">
        <v>0.0043</v>
      </c>
      <c r="JF94" s="182" t="n"/>
      <c r="JG94" s="364" t="n"/>
      <c r="JH94" s="365">
        <f>C94</f>
        <v/>
      </c>
      <c r="JI94" s="365" t="n">
        <v>1453287.99</v>
      </c>
      <c r="JJ94" s="365">
        <f>JI95</f>
        <v/>
      </c>
      <c r="JK94" s="388">
        <f>JI94-JJ94</f>
        <v/>
      </c>
      <c r="JL94" s="389">
        <f>JK94/JJ94</f>
        <v/>
      </c>
      <c r="JM94" s="182" t="n">
        <v>-0.0013</v>
      </c>
      <c r="JN94" s="182" t="n"/>
      <c r="JP94" s="365">
        <f>C94</f>
        <v/>
      </c>
      <c r="JQ94" s="365" t="n">
        <v>1042390.4148</v>
      </c>
      <c r="JR94" s="365">
        <f>JQ95</f>
        <v/>
      </c>
      <c r="JS94" s="388">
        <f>JQ94-JR94</f>
        <v/>
      </c>
      <c r="JT94" s="389">
        <f>JS94/JR94</f>
        <v/>
      </c>
      <c r="JU94" s="182" t="n">
        <v>-0.0016</v>
      </c>
      <c r="JV94" s="383" t="n"/>
      <c r="JX94" s="365">
        <f>C94</f>
        <v/>
      </c>
      <c r="JY94" s="365" t="n">
        <v>1058648.8</v>
      </c>
      <c r="JZ94" s="365">
        <f>JY95</f>
        <v/>
      </c>
      <c r="KA94" s="388">
        <f>JY94-JZ94</f>
        <v/>
      </c>
      <c r="KB94" s="389">
        <f>KA94/JZ94</f>
        <v/>
      </c>
      <c r="KC94" s="182" t="n">
        <v>0.0217</v>
      </c>
      <c r="KD94" s="383" t="n"/>
      <c r="KF94" s="365">
        <f>C94</f>
        <v/>
      </c>
      <c r="KG94" s="365" t="n">
        <v>626955.9219</v>
      </c>
      <c r="KH94" s="365">
        <f>KG95</f>
        <v/>
      </c>
      <c r="KI94" s="384">
        <f>KG94-KH94</f>
        <v/>
      </c>
      <c r="KJ94" s="383">
        <f>KI94/KH94</f>
        <v/>
      </c>
      <c r="KK94" s="366" t="n">
        <v>0.0147</v>
      </c>
      <c r="KL94" s="366" t="n"/>
      <c r="KM94" s="364" t="n"/>
      <c r="KN94" s="365">
        <f>C94</f>
        <v/>
      </c>
      <c r="KO94" s="365" t="n">
        <v>7264975.95</v>
      </c>
      <c r="KP94" s="365">
        <f>KO95</f>
        <v/>
      </c>
      <c r="KQ94" s="390">
        <f>KO94-KP94</f>
        <v/>
      </c>
      <c r="KR94" s="391">
        <f>KQ94/KP94</f>
        <v/>
      </c>
      <c r="KS94" s="182" t="n">
        <v>0.0106</v>
      </c>
      <c r="KT94" s="182" t="n"/>
      <c r="KU94" s="364" t="n"/>
      <c r="KV94" s="365">
        <f>C94</f>
        <v/>
      </c>
      <c r="KW94" s="365" t="n">
        <v>1078772.9726</v>
      </c>
      <c r="KX94" s="365">
        <f>KW95</f>
        <v/>
      </c>
      <c r="KY94" s="323">
        <f>KW94-KX94</f>
        <v/>
      </c>
      <c r="KZ94" s="324">
        <f>KY94/KX94</f>
        <v/>
      </c>
      <c r="LA94" s="366" t="n">
        <v>0.0574</v>
      </c>
      <c r="LB94" s="182" t="n"/>
      <c r="LC94" s="364" t="n"/>
      <c r="LD94" s="365">
        <f>C94</f>
        <v/>
      </c>
      <c r="LE94" s="365" t="n">
        <v>383407.7</v>
      </c>
      <c r="LF94" s="365">
        <f>LE95</f>
        <v/>
      </c>
      <c r="LG94" s="390">
        <f>LE94-LF94</f>
        <v/>
      </c>
      <c r="LH94" s="391">
        <f>LG94/LF94</f>
        <v/>
      </c>
      <c r="LI94" s="182" t="n">
        <v>0.0074</v>
      </c>
      <c r="LJ94" s="182" t="n"/>
      <c r="LK94" s="364" t="n"/>
      <c r="LL94" s="365">
        <f>C94</f>
        <v/>
      </c>
      <c r="LM94" s="694" t="n">
        <v>3467815.02</v>
      </c>
      <c r="LN94" s="365">
        <f>LM95</f>
        <v/>
      </c>
      <c r="LO94" s="390">
        <f>LM94-LN94</f>
        <v/>
      </c>
      <c r="LP94" s="391">
        <f>LO94/LN94</f>
        <v/>
      </c>
      <c r="LQ94" s="182" t="n">
        <v>0</v>
      </c>
      <c r="LR94" s="182" t="n"/>
      <c r="LS94" s="364" t="n"/>
      <c r="LT94" s="365">
        <f>C94</f>
        <v/>
      </c>
      <c r="LU94" s="365" t="n">
        <v>2331662.904</v>
      </c>
      <c r="LV94" s="365">
        <f>LU95</f>
        <v/>
      </c>
      <c r="LW94" s="390">
        <f>LU94-LV94</f>
        <v/>
      </c>
      <c r="LX94" s="391">
        <f>LW94/LV94</f>
        <v/>
      </c>
      <c r="LY94" s="182" t="n">
        <v>0</v>
      </c>
      <c r="LZ94" s="182" t="n"/>
      <c r="MA94" s="364" t="n"/>
      <c r="MB94" s="365">
        <f>C94</f>
        <v/>
      </c>
      <c r="MC94" s="365" t="n">
        <v>1180717.69</v>
      </c>
      <c r="MD94" s="365">
        <f>MC95</f>
        <v/>
      </c>
      <c r="ME94" s="388">
        <f>MC94-MD94</f>
        <v/>
      </c>
      <c r="MF94" s="389">
        <f>ME94/MD94</f>
        <v/>
      </c>
      <c r="MG94" s="182" t="n">
        <v>0.0109</v>
      </c>
      <c r="MH94" s="182" t="n"/>
      <c r="MI94" s="319" t="n"/>
      <c r="MJ94" s="318" t="n"/>
      <c r="MK94" s="318">
        <f>C94</f>
        <v/>
      </c>
      <c r="ML94" s="318" t="n">
        <v>168465.5354</v>
      </c>
      <c r="MM94" s="13">
        <f>ML95</f>
        <v/>
      </c>
      <c r="MN94" s="318">
        <f>ML94-MM94</f>
        <v/>
      </c>
      <c r="MO94" s="327">
        <f>MN94/MM94</f>
        <v/>
      </c>
      <c r="MP94" s="182" t="n">
        <v>0.0059</v>
      </c>
      <c r="MQ94" s="369" t="n"/>
      <c r="MR94" s="369" t="n"/>
      <c r="MS94" s="188" t="n"/>
      <c r="MT94" s="274">
        <f>C94</f>
        <v/>
      </c>
      <c r="MU94" s="188" t="n">
        <v>129514.8</v>
      </c>
      <c r="MV94" s="188">
        <f>MU95</f>
        <v/>
      </c>
      <c r="MW94" s="188">
        <f>MU94-MV94</f>
        <v/>
      </c>
      <c r="MX94" s="271">
        <f>MW94/MV94</f>
        <v/>
      </c>
      <c r="MY94" s="182" t="n">
        <v>0.0239</v>
      </c>
      <c r="MZ94" s="182" t="n"/>
      <c r="NA94" s="182" t="n"/>
      <c r="NB94" s="188" t="n"/>
      <c r="NC94" s="188">
        <f>C94</f>
        <v/>
      </c>
      <c r="ND94" s="188" t="n">
        <v>37491.48</v>
      </c>
      <c r="NE94" s="188">
        <f>ND95</f>
        <v/>
      </c>
      <c r="NF94" s="188">
        <f>ND94-NE94</f>
        <v/>
      </c>
      <c r="NG94" s="271">
        <f>NF94/NE94</f>
        <v/>
      </c>
      <c r="NH94" s="182" t="n">
        <v>0.011</v>
      </c>
      <c r="NI94" s="182" t="n"/>
      <c r="NJ94" s="182" t="n"/>
      <c r="NK94" s="182" t="n"/>
      <c r="NL94" s="188" t="n"/>
      <c r="NM94" s="188">
        <f>C94</f>
        <v/>
      </c>
      <c r="NN94" s="188" t="n">
        <v>2944211.08</v>
      </c>
      <c r="NO94" s="9">
        <f>NN95</f>
        <v/>
      </c>
      <c r="NP94" s="188">
        <f>NN94-NO94</f>
        <v/>
      </c>
      <c r="NQ94" s="271">
        <f>NP94/NO94</f>
        <v/>
      </c>
      <c r="NR94" s="272" t="n">
        <v>0.0028</v>
      </c>
      <c r="NS94" s="188" t="n"/>
      <c r="NT94" s="273" t="n"/>
      <c r="NU94" s="188">
        <f>C94</f>
        <v/>
      </c>
      <c r="NV94" s="188" t="n">
        <v>261626.5</v>
      </c>
      <c r="NW94" s="188">
        <f>NV95</f>
        <v/>
      </c>
      <c r="NX94" s="188">
        <f>NV94-NW94</f>
        <v/>
      </c>
      <c r="NY94" s="271">
        <f>NX94/NW94</f>
        <v/>
      </c>
      <c r="NZ94" s="366" t="n">
        <v>0.012</v>
      </c>
      <c r="OA94" s="364" t="n"/>
      <c r="OB94" s="364" t="n"/>
      <c r="OC94" s="365">
        <f>C94</f>
        <v/>
      </c>
      <c r="OD94" s="365" t="n">
        <v>17586.97</v>
      </c>
      <c r="OE94" s="365">
        <f>OD95</f>
        <v/>
      </c>
      <c r="OF94" s="388">
        <f>OD94-OE94</f>
        <v/>
      </c>
      <c r="OG94" s="389">
        <f>OF94/OE94</f>
        <v/>
      </c>
      <c r="OH94" s="182" t="n">
        <v>-0.0026</v>
      </c>
      <c r="OI94" s="182" t="n"/>
      <c r="OJ94" s="364" t="n"/>
      <c r="OK94" s="365">
        <f>C94</f>
        <v/>
      </c>
      <c r="OL94" s="0" t="n">
        <v>14481.65</v>
      </c>
      <c r="OM94" s="0">
        <f>OL95</f>
        <v/>
      </c>
      <c r="ON94" s="0">
        <f>OL94-OM94</f>
        <v/>
      </c>
      <c r="OO94" s="182">
        <f>ON94/OM94</f>
        <v/>
      </c>
      <c r="OP94" s="182" t="n">
        <v>-0.0003</v>
      </c>
      <c r="OQ94" s="182" t="n"/>
      <c r="OT94" s="201">
        <f>OK94</f>
        <v/>
      </c>
      <c r="OU94" s="199" t="n">
        <v>151272.4066</v>
      </c>
      <c r="OV94" s="9">
        <f>OU95</f>
        <v/>
      </c>
      <c r="OW94" s="671">
        <f>OU94-OV94</f>
        <v/>
      </c>
      <c r="OX94" s="182">
        <f>OW94/OV94</f>
        <v/>
      </c>
      <c r="OY94" s="0" t="n">
        <v>-0.0005</v>
      </c>
    </row>
    <row r="95" ht="17" customFormat="1" customHeight="1" s="9">
      <c r="A95" s="631" t="n"/>
      <c r="B95" s="631" t="n"/>
      <c r="C95" s="693" t="inlineStr">
        <is>
          <t>2026//7/2</t>
        </is>
      </c>
      <c r="D95" s="362" t="n">
        <v>1853238.77</v>
      </c>
      <c r="E95" s="362">
        <f>D96</f>
        <v/>
      </c>
      <c r="F95" s="377">
        <f>D95-E95</f>
        <v/>
      </c>
      <c r="G95" s="378">
        <f>F95/E95</f>
        <v/>
      </c>
      <c r="H95" s="19" t="n">
        <v>-0.0296</v>
      </c>
      <c r="I95" s="426" t="n"/>
      <c r="J95" s="426" t="n"/>
      <c r="K95" s="362">
        <f>C95</f>
        <v/>
      </c>
      <c r="L95" s="362" t="n">
        <v>1082224.4</v>
      </c>
      <c r="M95" s="362">
        <f>L96</f>
        <v/>
      </c>
      <c r="N95" s="377">
        <f>L95-M95</f>
        <v/>
      </c>
      <c r="O95" s="378">
        <f>N95/M95</f>
        <v/>
      </c>
      <c r="P95" s="19" t="n">
        <v>-0.0302</v>
      </c>
      <c r="Q95" s="426" t="n"/>
      <c r="R95" s="427" t="n"/>
      <c r="S95" s="362">
        <f>C95</f>
        <v/>
      </c>
      <c r="T95" s="362" t="n">
        <v>667596.6800000001</v>
      </c>
      <c r="U95" s="362">
        <f>T96</f>
        <v/>
      </c>
      <c r="V95" s="377">
        <f>T95-U95</f>
        <v/>
      </c>
      <c r="W95" s="378">
        <f>V95/U95</f>
        <v/>
      </c>
      <c r="X95" s="19" t="n">
        <v>-0.0231</v>
      </c>
      <c r="Y95" s="426" t="n"/>
      <c r="Z95" s="427" t="n"/>
      <c r="AA95" s="362">
        <f>S95</f>
        <v/>
      </c>
      <c r="AB95" s="362" t="n">
        <v>434856.86</v>
      </c>
      <c r="AC95" s="362">
        <f>AB96</f>
        <v/>
      </c>
      <c r="AD95" s="432">
        <f>AB95-AC95</f>
        <v/>
      </c>
      <c r="AE95" s="433">
        <f>AD95/AC95</f>
        <v/>
      </c>
      <c r="AF95" s="19" t="n">
        <v>-0.0361</v>
      </c>
      <c r="AG95" s="426" t="n"/>
      <c r="AH95" s="427" t="n"/>
      <c r="AI95" s="362">
        <f>C95</f>
        <v/>
      </c>
      <c r="AJ95" s="362" t="n">
        <v>339521.76</v>
      </c>
      <c r="AK95" s="362">
        <f>AJ96</f>
        <v/>
      </c>
      <c r="AL95" s="432">
        <f>AJ95-AK95</f>
        <v/>
      </c>
      <c r="AM95" s="433">
        <f>AL95/AK95</f>
        <v/>
      </c>
      <c r="AN95" s="19" t="n">
        <v>-0.0262</v>
      </c>
      <c r="AO95" s="19" t="n"/>
      <c r="AP95" s="427" t="n"/>
      <c r="AQ95" s="362">
        <f>C95</f>
        <v/>
      </c>
      <c r="AR95" s="697" t="n">
        <v>1116545.4936</v>
      </c>
      <c r="AS95" s="362">
        <f>AR96</f>
        <v/>
      </c>
      <c r="AT95" s="377">
        <f>AR95-AS95</f>
        <v/>
      </c>
      <c r="AU95" s="378">
        <f>AT95/AS95</f>
        <v/>
      </c>
      <c r="AV95" s="19" t="n">
        <v>-0.0557</v>
      </c>
      <c r="AW95" s="19" t="n"/>
      <c r="AX95" s="5" t="n"/>
      <c r="AY95" s="188" t="n"/>
      <c r="AZ95" s="188">
        <f>C95</f>
        <v/>
      </c>
      <c r="BA95" s="188" t="n">
        <v>631911.6676</v>
      </c>
      <c r="BB95" s="188">
        <f>BA96</f>
        <v/>
      </c>
      <c r="BC95" s="188">
        <f>BA95-BB95</f>
        <v/>
      </c>
      <c r="BD95" s="271">
        <f>BC95/BB95</f>
        <v/>
      </c>
      <c r="BE95" s="19" t="n">
        <v>-0.0295</v>
      </c>
      <c r="BF95" s="19" t="n"/>
      <c r="BG95" s="647" t="n"/>
      <c r="BH95" s="363">
        <f>C95</f>
        <v/>
      </c>
      <c r="BI95" s="363" t="n">
        <v>1138226.5525</v>
      </c>
      <c r="BJ95" s="363">
        <f>BI96</f>
        <v/>
      </c>
      <c r="BK95" s="395">
        <f>BI95-BJ95</f>
        <v/>
      </c>
      <c r="BL95" s="396">
        <f>BK95/BJ95</f>
        <v/>
      </c>
      <c r="BM95" s="191" t="n">
        <v>-0.0395</v>
      </c>
      <c r="BN95" s="182" t="n"/>
      <c r="BO95" s="364" t="n"/>
      <c r="BP95" s="365">
        <f>C95</f>
        <v/>
      </c>
      <c r="BQ95" s="694" t="n">
        <v>1142862.3921</v>
      </c>
      <c r="BR95" s="365">
        <f>BQ96</f>
        <v/>
      </c>
      <c r="BS95" s="390">
        <f>BQ95-BR95</f>
        <v/>
      </c>
      <c r="BT95" s="391">
        <f>BS95/BR95</f>
        <v/>
      </c>
      <c r="BU95" s="182" t="n">
        <v>-0.0184</v>
      </c>
      <c r="BV95" s="182" t="n"/>
      <c r="BW95" s="364" t="n"/>
      <c r="BX95" s="365">
        <f>C95</f>
        <v/>
      </c>
      <c r="BY95" s="365" t="n">
        <v>1869310.7019</v>
      </c>
      <c r="BZ95" s="365">
        <f>BY96</f>
        <v/>
      </c>
      <c r="CA95" s="390">
        <f>BY95-BZ95</f>
        <v/>
      </c>
      <c r="CB95" s="391">
        <f>CA95/BZ95</f>
        <v/>
      </c>
      <c r="CC95" s="182" t="n">
        <v>-0.008999999999999999</v>
      </c>
      <c r="CD95" s="383" t="n"/>
      <c r="CE95" s="364" t="n"/>
      <c r="CF95" s="365">
        <f>C95</f>
        <v/>
      </c>
      <c r="CG95" s="365" t="n">
        <v>1227253.9</v>
      </c>
      <c r="CH95" s="13">
        <f>CG96</f>
        <v/>
      </c>
      <c r="CI95" s="13">
        <f>CG95-CH95</f>
        <v/>
      </c>
      <c r="CJ95" s="193">
        <f>CI95/CH95</f>
        <v/>
      </c>
      <c r="CK95" s="182" t="n">
        <v>0.0173</v>
      </c>
      <c r="CL95" s="366" t="n"/>
      <c r="CM95" s="364" t="n"/>
      <c r="CN95" s="365">
        <f>C95</f>
        <v/>
      </c>
      <c r="CO95" s="365" t="n">
        <v>526246.48</v>
      </c>
      <c r="CP95" s="365">
        <f>CO96</f>
        <v/>
      </c>
      <c r="CQ95" s="13">
        <f>CO95-CP95</f>
        <v/>
      </c>
      <c r="CR95" s="193">
        <f>CQ95/CP95</f>
        <v/>
      </c>
      <c r="CS95" s="366" t="n">
        <v>0.008500000000000001</v>
      </c>
      <c r="CT95" s="366" t="n"/>
      <c r="CU95" s="364" t="n"/>
      <c r="CV95" s="365">
        <f>C95</f>
        <v/>
      </c>
      <c r="CW95" s="365" t="n">
        <v>471690.4</v>
      </c>
      <c r="CX95" s="365">
        <f>CW96</f>
        <v/>
      </c>
      <c r="CY95" s="390">
        <f>CW95-CX95</f>
        <v/>
      </c>
      <c r="CZ95" s="391">
        <f>CY95/CX95</f>
        <v/>
      </c>
      <c r="DA95" s="182" t="n">
        <v>0.0468</v>
      </c>
      <c r="DB95" s="182" t="n"/>
      <c r="DC95" s="256" t="n"/>
      <c r="DD95" s="365">
        <f>C95</f>
        <v/>
      </c>
      <c r="DE95" s="365" t="n">
        <v>2334517.9986</v>
      </c>
      <c r="DF95" s="13">
        <f>DE96</f>
        <v/>
      </c>
      <c r="DG95" s="390">
        <f>DE95-DF95</f>
        <v/>
      </c>
      <c r="DH95" s="391">
        <f>DG95/DF95</f>
        <v/>
      </c>
      <c r="DI95" s="182" t="n">
        <v>-0.0998</v>
      </c>
      <c r="DJ95" s="182" t="n"/>
      <c r="DK95" s="364" t="inlineStr">
        <is>
          <t>1拆2</t>
        </is>
      </c>
      <c r="DL95" s="365">
        <f>C95</f>
        <v/>
      </c>
      <c r="DM95" s="365" t="n">
        <v>1736600.72</v>
      </c>
      <c r="DN95" s="365">
        <f>DM96</f>
        <v/>
      </c>
      <c r="DO95" s="388">
        <f>DM95-DN95</f>
        <v/>
      </c>
      <c r="DP95" s="389">
        <f>DO95/DN95</f>
        <v/>
      </c>
      <c r="DQ95" s="182" t="n">
        <v>-0.08260000000000001</v>
      </c>
      <c r="DR95" s="182" t="n"/>
      <c r="DS95" s="364" t="n"/>
      <c r="DT95" s="365">
        <f>C95</f>
        <v/>
      </c>
      <c r="DU95" s="365" t="n">
        <v>1308989.48</v>
      </c>
      <c r="DV95" s="365">
        <f>DU96</f>
        <v/>
      </c>
      <c r="DW95" s="388">
        <f>DU95-DV95</f>
        <v/>
      </c>
      <c r="DX95" s="389">
        <f>DW95/DV95</f>
        <v/>
      </c>
      <c r="DY95" s="182" t="n">
        <v>-0.0825</v>
      </c>
      <c r="DZ95" s="182" t="n"/>
      <c r="EA95" s="364" t="n"/>
      <c r="EB95" s="365">
        <f>C95</f>
        <v/>
      </c>
      <c r="EC95" s="365" t="n">
        <v>3113066.82</v>
      </c>
      <c r="ED95" s="365">
        <f>EC96</f>
        <v/>
      </c>
      <c r="EE95" s="388">
        <f>EC95-ED95</f>
        <v/>
      </c>
      <c r="EF95" s="389">
        <f>EE95/ED95</f>
        <v/>
      </c>
      <c r="EG95" s="182" t="n">
        <v>-0.0747</v>
      </c>
      <c r="EH95" s="182" t="n"/>
      <c r="EI95" s="364" t="n"/>
      <c r="EJ95" s="365">
        <f>C95</f>
        <v/>
      </c>
      <c r="EK95" s="365" t="n">
        <v>1113322.9669</v>
      </c>
      <c r="EL95" s="365">
        <f>EK96</f>
        <v/>
      </c>
      <c r="EM95" s="390">
        <f>EK95-EL95</f>
        <v/>
      </c>
      <c r="EN95" s="391">
        <f>EM95/EL95</f>
        <v/>
      </c>
      <c r="EO95" s="182" t="n">
        <v>-0.0694</v>
      </c>
      <c r="EP95" s="182" t="n"/>
      <c r="EQ95" s="317" t="n"/>
      <c r="ER95" s="318">
        <f>C95</f>
        <v/>
      </c>
      <c r="ES95" s="318" t="n">
        <v>368897.02</v>
      </c>
      <c r="ET95" s="318">
        <f>ES96</f>
        <v/>
      </c>
      <c r="EU95" s="318">
        <f>ES95-ET95</f>
        <v/>
      </c>
      <c r="EV95" s="327">
        <f>EU95/ET95</f>
        <v/>
      </c>
      <c r="EW95" s="182" t="n">
        <v>-0.06510000000000001</v>
      </c>
      <c r="EX95" s="182" t="n"/>
      <c r="EY95" s="364" t="n"/>
      <c r="EZ95" s="365">
        <f>C95</f>
        <v/>
      </c>
      <c r="FA95" s="365" t="n">
        <v>531408</v>
      </c>
      <c r="FB95" s="365">
        <f>FA96</f>
        <v/>
      </c>
      <c r="FC95" s="390">
        <f>FA95-FB95</f>
        <v/>
      </c>
      <c r="FD95" s="391">
        <f>FC95/FB95</f>
        <v/>
      </c>
      <c r="FE95" s="182" t="n">
        <v>-0.0271</v>
      </c>
      <c r="FF95" s="182" t="n"/>
      <c r="FH95" s="365">
        <f>C95</f>
        <v/>
      </c>
      <c r="FI95" s="694" t="n">
        <v>1149395.3365</v>
      </c>
      <c r="FJ95" s="365">
        <f>FI96</f>
        <v/>
      </c>
      <c r="FK95" s="325">
        <f>FI95-FJ95</f>
        <v/>
      </c>
      <c r="FL95" s="326">
        <f>FK95/FJ95</f>
        <v/>
      </c>
      <c r="FM95" s="366" t="n">
        <v>-0.0394</v>
      </c>
      <c r="FN95" s="366" t="n"/>
      <c r="FO95" s="364" t="n"/>
      <c r="FP95" s="365">
        <f>C95</f>
        <v/>
      </c>
      <c r="FQ95" s="365" t="n">
        <v>1568218.73</v>
      </c>
      <c r="FR95" s="365">
        <f>FQ96</f>
        <v/>
      </c>
      <c r="FS95" s="388">
        <f>FQ95-FR95</f>
        <v/>
      </c>
      <c r="FT95" s="389">
        <f>FS95/FR95</f>
        <v/>
      </c>
      <c r="FU95" s="182" t="n">
        <v>-0.0217</v>
      </c>
      <c r="FV95" s="182" t="n"/>
      <c r="FW95" s="364" t="n"/>
      <c r="FX95" s="365">
        <f>C95</f>
        <v/>
      </c>
      <c r="FY95" s="365" t="n">
        <v>8342382.05</v>
      </c>
      <c r="FZ95" s="365">
        <f>FY96</f>
        <v/>
      </c>
      <c r="GA95" s="390">
        <f>FY95-FZ95</f>
        <v/>
      </c>
      <c r="GB95" s="391">
        <f>GA95/FZ95</f>
        <v/>
      </c>
      <c r="GC95" s="182" t="n">
        <v>-0.009599999999999999</v>
      </c>
      <c r="GD95" s="182" t="n"/>
      <c r="GE95" s="364" t="n"/>
      <c r="GF95" s="365">
        <f>C95</f>
        <v/>
      </c>
      <c r="GG95" s="365" t="n">
        <v>4911169.49</v>
      </c>
      <c r="GH95" s="365">
        <f>GG96</f>
        <v/>
      </c>
      <c r="GI95" s="388">
        <f>GG95-GH95</f>
        <v/>
      </c>
      <c r="GJ95" s="389">
        <f>GI95/GH95</f>
        <v/>
      </c>
      <c r="GK95" s="182" t="n">
        <v>-0.0056</v>
      </c>
      <c r="GL95" s="182" t="n"/>
      <c r="GM95" s="364" t="n"/>
      <c r="GN95" s="365">
        <f>C95</f>
        <v/>
      </c>
      <c r="GO95" s="365" t="n">
        <v>2038378.1217</v>
      </c>
      <c r="GP95" s="365">
        <f>GO96</f>
        <v/>
      </c>
      <c r="GQ95" s="390">
        <f>GO95-GP95</f>
        <v/>
      </c>
      <c r="GR95" s="391">
        <f>GQ95/GP95</f>
        <v/>
      </c>
      <c r="GS95" s="182" t="n">
        <v>0.0012</v>
      </c>
      <c r="GT95" s="182" t="n"/>
      <c r="GU95" s="364" t="n"/>
      <c r="GV95" s="365">
        <f>C95</f>
        <v/>
      </c>
      <c r="GW95" s="365" t="n">
        <v>689349.4</v>
      </c>
      <c r="GX95" s="365">
        <f>GW96</f>
        <v/>
      </c>
      <c r="GY95" s="388">
        <f>GW95-GX95</f>
        <v/>
      </c>
      <c r="GZ95" s="389">
        <f>GY95/GX95</f>
        <v/>
      </c>
      <c r="HA95" s="182" t="n">
        <v>-0.0439</v>
      </c>
      <c r="HB95" s="182" t="n"/>
      <c r="HC95" s="364" t="n"/>
      <c r="HD95" s="365">
        <f>C95</f>
        <v/>
      </c>
      <c r="HE95" s="365" t="n">
        <v>949864.6746</v>
      </c>
      <c r="HF95" s="365">
        <f>HE96</f>
        <v/>
      </c>
      <c r="HG95" s="388">
        <f>HE95-HF95</f>
        <v/>
      </c>
      <c r="HH95" s="389">
        <f>HG95/HF95</f>
        <v/>
      </c>
      <c r="HI95" s="366" t="n">
        <v>-0.01</v>
      </c>
      <c r="HJ95" s="182" t="n"/>
      <c r="HK95" s="364" t="n"/>
      <c r="HL95" s="365">
        <f>C95</f>
        <v/>
      </c>
      <c r="HM95" s="365" t="n">
        <v>111154.25</v>
      </c>
      <c r="HN95" s="365">
        <f>HM96</f>
        <v/>
      </c>
      <c r="HO95" s="388">
        <f>HM95-HN95</f>
        <v/>
      </c>
      <c r="HP95" s="389">
        <f>HO95/HN95</f>
        <v/>
      </c>
      <c r="HQ95" s="182" t="n">
        <v>-0.0209</v>
      </c>
      <c r="HR95" s="182" t="n"/>
      <c r="HS95" s="364" t="n"/>
      <c r="HT95" s="365">
        <f>C95</f>
        <v/>
      </c>
      <c r="HU95" s="365" t="n">
        <v>128868.8265</v>
      </c>
      <c r="HV95" s="365">
        <f>HU96</f>
        <v/>
      </c>
      <c r="HW95" s="388">
        <f>HU95-HV95</f>
        <v/>
      </c>
      <c r="HX95" s="389">
        <f>HW95/HV95</f>
        <v/>
      </c>
      <c r="HY95" s="182" t="n">
        <v>-0.0071</v>
      </c>
      <c r="HZ95" s="182" t="n"/>
      <c r="IA95" s="364" t="n"/>
      <c r="IB95" s="365">
        <f>C95</f>
        <v/>
      </c>
      <c r="IC95" s="185" t="n">
        <v>261084.79</v>
      </c>
      <c r="ID95" s="185">
        <f>IC96</f>
        <v/>
      </c>
      <c r="IE95" s="323">
        <f>IC95-ID95</f>
        <v/>
      </c>
      <c r="IF95" s="324">
        <f>IE95/ID95</f>
        <v/>
      </c>
      <c r="IG95" s="366" t="n">
        <v>-0.0198</v>
      </c>
      <c r="IH95" s="182" t="n"/>
      <c r="II95" s="364" t="n"/>
      <c r="IJ95" s="365">
        <f>C95</f>
        <v/>
      </c>
      <c r="IK95" s="365" t="n">
        <v>860476.29</v>
      </c>
      <c r="IL95" s="365">
        <f>IK96</f>
        <v/>
      </c>
      <c r="IM95" s="390">
        <f>IK95-IL95</f>
        <v/>
      </c>
      <c r="IN95" s="391">
        <f>IM95/IL95</f>
        <v/>
      </c>
      <c r="IO95" s="182" t="n">
        <v>-0.0095</v>
      </c>
      <c r="IP95" s="182" t="n"/>
      <c r="IQ95" s="364" t="n"/>
      <c r="IR95" s="365">
        <f>C95</f>
        <v/>
      </c>
      <c r="IS95" s="365" t="n">
        <v>144489</v>
      </c>
      <c r="IT95" s="365">
        <f>IS96</f>
        <v/>
      </c>
      <c r="IU95" s="390">
        <f>IS95-IT95</f>
        <v/>
      </c>
      <c r="IV95" s="391">
        <f>IU95/IT95</f>
        <v/>
      </c>
      <c r="IW95" s="182" t="n">
        <v>-0.0346</v>
      </c>
      <c r="IX95" s="182" t="n"/>
      <c r="IY95" s="364" t="n"/>
      <c r="IZ95" s="365">
        <f>C95</f>
        <v/>
      </c>
      <c r="JA95" s="365" t="n">
        <v>5282729.15</v>
      </c>
      <c r="JB95" s="365">
        <f>JA96</f>
        <v/>
      </c>
      <c r="JC95" s="388">
        <f>JA95-JB95</f>
        <v/>
      </c>
      <c r="JD95" s="389">
        <f>JC95/JB95</f>
        <v/>
      </c>
      <c r="JE95" s="182" t="n">
        <v>-0.0221</v>
      </c>
      <c r="JF95" s="182" t="n"/>
      <c r="JG95" s="364" t="n"/>
      <c r="JH95" s="365">
        <f>C95</f>
        <v/>
      </c>
      <c r="JI95" s="365" t="n">
        <v>1448367.99</v>
      </c>
      <c r="JJ95" s="365">
        <f>JI96</f>
        <v/>
      </c>
      <c r="JK95" s="388">
        <f>JI95-JJ95</f>
        <v/>
      </c>
      <c r="JL95" s="389">
        <f>JK95/JJ95</f>
        <v/>
      </c>
      <c r="JM95" s="182" t="n">
        <v>0.0149</v>
      </c>
      <c r="JN95" s="182" t="n"/>
      <c r="JP95" s="365">
        <f>C95</f>
        <v/>
      </c>
      <c r="JQ95" s="365" t="n">
        <v>1035590.4148</v>
      </c>
      <c r="JR95" s="365">
        <f>JQ96</f>
        <v/>
      </c>
      <c r="JS95" s="388">
        <f>JQ95-JR95</f>
        <v/>
      </c>
      <c r="JT95" s="389">
        <f>JS95/JR95</f>
        <v/>
      </c>
      <c r="JU95" s="182" t="n">
        <v>-0.0336</v>
      </c>
      <c r="JV95" s="383" t="n"/>
      <c r="JX95" s="365">
        <f>C95</f>
        <v/>
      </c>
      <c r="JY95" s="365" t="n">
        <v>1059598.8</v>
      </c>
      <c r="JZ95" s="365">
        <f>JY96</f>
        <v/>
      </c>
      <c r="KA95" s="388">
        <f>JY95-JZ95</f>
        <v/>
      </c>
      <c r="KB95" s="383">
        <f>KA95/JZ95</f>
        <v/>
      </c>
      <c r="KC95" s="182" t="n">
        <v>-0.0202</v>
      </c>
      <c r="KD95" s="383" t="n"/>
      <c r="KF95" s="365">
        <f>C95</f>
        <v/>
      </c>
      <c r="KG95" s="365" t="n">
        <v>640755.9219</v>
      </c>
      <c r="KH95" s="365">
        <f>KG96</f>
        <v/>
      </c>
      <c r="KI95" s="384">
        <f>KG95-KH95</f>
        <v/>
      </c>
      <c r="KJ95" s="383">
        <f>KI95/KH95</f>
        <v/>
      </c>
      <c r="KK95" s="366" t="n">
        <v>0.0067</v>
      </c>
      <c r="KL95" s="366" t="n"/>
      <c r="KM95" s="364" t="n"/>
      <c r="KN95" s="365">
        <f>C95</f>
        <v/>
      </c>
      <c r="KO95" s="365" t="n">
        <v>7284875.95</v>
      </c>
      <c r="KP95" s="365">
        <f>KO96</f>
        <v/>
      </c>
      <c r="KQ95" s="390">
        <f>KO95-KP95</f>
        <v/>
      </c>
      <c r="KR95" s="391">
        <f>KQ95/KP95</f>
        <v/>
      </c>
      <c r="KS95" s="182" t="n">
        <v>-0.0053</v>
      </c>
      <c r="KT95" s="182" t="n"/>
      <c r="KU95" s="364" t="n"/>
      <c r="KV95" s="365">
        <f>C95</f>
        <v/>
      </c>
      <c r="KW95" s="365" t="n">
        <v>1077972.9726</v>
      </c>
      <c r="KX95" s="365">
        <f>KW96</f>
        <v/>
      </c>
      <c r="KY95" s="325">
        <f>KW95-KX95</f>
        <v/>
      </c>
      <c r="KZ95" s="326">
        <f>KY95/KX95</f>
        <v/>
      </c>
      <c r="LA95" s="366" t="n">
        <v>0.0078</v>
      </c>
      <c r="LB95" s="182" t="n"/>
      <c r="LC95" s="364" t="n"/>
      <c r="LD95" s="365">
        <f>C95</f>
        <v/>
      </c>
      <c r="LE95" s="365" t="n">
        <v>382107.7</v>
      </c>
      <c r="LF95" s="365">
        <f>LE96</f>
        <v/>
      </c>
      <c r="LG95" s="390">
        <f>LE95-LF95</f>
        <v/>
      </c>
      <c r="LH95" s="391">
        <f>LG95/LF95</f>
        <v/>
      </c>
      <c r="LI95" s="182" t="n">
        <v>-0.0059</v>
      </c>
      <c r="LJ95" s="182" t="n"/>
      <c r="LK95" s="364" t="n"/>
      <c r="LL95" s="365">
        <f>C95</f>
        <v/>
      </c>
      <c r="LM95" s="694" t="n">
        <v>3454855.02</v>
      </c>
      <c r="LN95" s="365">
        <f>LM96</f>
        <v/>
      </c>
      <c r="LO95" s="388">
        <f>LM95-LN95</f>
        <v/>
      </c>
      <c r="LP95" s="389">
        <f>LO95/LN95</f>
        <v/>
      </c>
      <c r="LQ95" s="182" t="n">
        <v>-0.005</v>
      </c>
      <c r="LR95" s="182" t="n"/>
      <c r="LS95" s="364" t="n"/>
      <c r="LT95" s="365">
        <f>C95</f>
        <v/>
      </c>
      <c r="LU95" s="365" t="n">
        <v>2328462.904</v>
      </c>
      <c r="LV95" s="365">
        <f>LU96</f>
        <v/>
      </c>
      <c r="LW95" s="390">
        <f>LU95-LV95</f>
        <v/>
      </c>
      <c r="LX95" s="391">
        <f>LW95/LV95</f>
        <v/>
      </c>
      <c r="LY95" s="182" t="n">
        <v>-0.0032</v>
      </c>
      <c r="LZ95" s="182" t="n"/>
      <c r="MA95" s="364" t="n"/>
      <c r="MB95" s="365">
        <f>C95</f>
        <v/>
      </c>
      <c r="MC95" s="365" t="n">
        <v>1155617.69</v>
      </c>
      <c r="MD95" s="365">
        <f>MC96</f>
        <v/>
      </c>
      <c r="ME95" s="388">
        <f>MC95-MD95</f>
        <v/>
      </c>
      <c r="MF95" s="389">
        <f>ME95/MD95</f>
        <v/>
      </c>
      <c r="MG95" s="182" t="n">
        <v>0.0064</v>
      </c>
      <c r="MH95" s="182" t="n"/>
      <c r="MI95" s="319" t="n"/>
      <c r="MJ95" s="318" t="n"/>
      <c r="MK95" s="318">
        <f>C95</f>
        <v/>
      </c>
      <c r="ML95" s="318" t="n">
        <v>169185.5354</v>
      </c>
      <c r="MM95" s="13">
        <f>ML96</f>
        <v/>
      </c>
      <c r="MN95" s="318">
        <f>ML95-MM95</f>
        <v/>
      </c>
      <c r="MO95" s="327">
        <f>MN95/MM95</f>
        <v/>
      </c>
      <c r="MP95" s="182" t="n">
        <v>-0.0479</v>
      </c>
      <c r="MQ95" s="369" t="n"/>
      <c r="MR95" s="369" t="n"/>
      <c r="MS95" s="188" t="n"/>
      <c r="MT95" s="274">
        <f>C95</f>
        <v/>
      </c>
      <c r="MU95" s="188" t="n">
        <v>129914.8</v>
      </c>
      <c r="MV95" s="188">
        <f>MU96</f>
        <v/>
      </c>
      <c r="MW95" s="188">
        <f>MU95-MV95</f>
        <v/>
      </c>
      <c r="MX95" s="271">
        <f>MW95/MV95</f>
        <v/>
      </c>
      <c r="MY95" s="182" t="n">
        <v>-0.0111</v>
      </c>
      <c r="MZ95" s="182" t="n"/>
      <c r="NA95" s="182" t="n"/>
      <c r="NB95" s="188" t="n"/>
      <c r="NC95" s="188">
        <f>C95</f>
        <v/>
      </c>
      <c r="ND95" s="188" t="n">
        <v>37091.48</v>
      </c>
      <c r="NE95" s="188">
        <f>ND96</f>
        <v/>
      </c>
      <c r="NF95" s="188">
        <f>ND95-NE95</f>
        <v/>
      </c>
      <c r="NG95" s="271">
        <f>NF95/NE95</f>
        <v/>
      </c>
      <c r="NH95" s="182" t="n">
        <v>-0.0066</v>
      </c>
      <c r="NI95" s="182" t="n"/>
      <c r="NJ95" s="182" t="n"/>
      <c r="NK95" s="182" t="n"/>
      <c r="NL95" s="188" t="n"/>
      <c r="NM95" s="188">
        <f>C95</f>
        <v/>
      </c>
      <c r="NN95" s="188" t="n">
        <v>2943811.08</v>
      </c>
      <c r="NO95" s="9">
        <f>NN96</f>
        <v/>
      </c>
      <c r="NP95" s="188">
        <f>NN95-NO95</f>
        <v/>
      </c>
      <c r="NQ95" s="271">
        <f>NP95/NO95</f>
        <v/>
      </c>
      <c r="NR95" s="272" t="n">
        <v>0.0074</v>
      </c>
      <c r="NS95" s="188" t="n"/>
      <c r="NT95" s="273" t="n"/>
      <c r="NU95" s="188">
        <f>C95</f>
        <v/>
      </c>
      <c r="NV95" s="188" t="n">
        <v>262426.5</v>
      </c>
      <c r="NW95" s="188">
        <f>NV96</f>
        <v/>
      </c>
      <c r="NX95" s="188">
        <f>NV95-NW95</f>
        <v/>
      </c>
      <c r="NY95" s="271">
        <f>NX95/NW95</f>
        <v/>
      </c>
      <c r="NZ95" s="366" t="n">
        <v>0.0077</v>
      </c>
      <c r="OA95" s="364" t="n"/>
      <c r="OB95" s="364" t="n"/>
      <c r="OC95" s="365">
        <f>C95</f>
        <v/>
      </c>
      <c r="OD95" s="365" t="n">
        <v>17285.97</v>
      </c>
      <c r="OE95" s="365">
        <f>OD96</f>
        <v/>
      </c>
      <c r="OF95" s="388">
        <f>OD95-OE95</f>
        <v/>
      </c>
      <c r="OG95" s="389">
        <f>OF95/OE95</f>
        <v/>
      </c>
      <c r="OH95" s="182" t="n">
        <v>0.0026</v>
      </c>
      <c r="OI95" s="182" t="n"/>
      <c r="OJ95" s="364" t="n"/>
      <c r="OK95" s="365">
        <f>C95</f>
        <v/>
      </c>
      <c r="OL95" s="0" t="n">
        <v>14461.65</v>
      </c>
      <c r="OM95" s="0">
        <f>OL96</f>
        <v/>
      </c>
      <c r="ON95" s="0">
        <f>OL95-OM95</f>
        <v/>
      </c>
      <c r="OO95" s="182">
        <f>ON95/OM95</f>
        <v/>
      </c>
      <c r="OP95" s="182" t="n">
        <v>0.0008</v>
      </c>
      <c r="OQ95" s="182" t="n"/>
      <c r="OT95" s="201">
        <f>OK95</f>
        <v/>
      </c>
      <c r="OU95" s="199" t="n">
        <v>151152.4066</v>
      </c>
      <c r="OV95" s="9">
        <f>OU96</f>
        <v/>
      </c>
      <c r="OW95" s="671">
        <f>OU95-OV95</f>
        <v/>
      </c>
      <c r="OX95" s="182">
        <f>OW95/OV95</f>
        <v/>
      </c>
      <c r="OY95" s="0" t="n">
        <v>0.0346</v>
      </c>
    </row>
    <row r="96" ht="17" customFormat="1" customHeight="1" s="10">
      <c r="A96" s="674" t="n"/>
      <c r="B96" s="674" t="n"/>
      <c r="C96" s="698" t="inlineStr">
        <is>
          <t>2026//7/1</t>
        </is>
      </c>
      <c r="D96" s="400" t="n">
        <v>1839558.77</v>
      </c>
      <c r="E96" s="400">
        <f>D97</f>
        <v/>
      </c>
      <c r="F96" s="405">
        <f>D96-E96</f>
        <v/>
      </c>
      <c r="G96" s="406">
        <f>F96/E96</f>
        <v/>
      </c>
      <c r="H96" s="228" t="n">
        <v>-0.0042</v>
      </c>
      <c r="I96" s="403" t="n"/>
      <c r="J96" s="403" t="n"/>
      <c r="K96" s="400">
        <f>C96</f>
        <v/>
      </c>
      <c r="L96" s="400" t="n">
        <v>1133524.4</v>
      </c>
      <c r="M96" s="400">
        <f>L97</f>
        <v/>
      </c>
      <c r="N96" s="405">
        <f>L96-M96</f>
        <v/>
      </c>
      <c r="O96" s="406">
        <f>N96/M96</f>
        <v/>
      </c>
      <c r="P96" s="228" t="n">
        <v>-0.008</v>
      </c>
      <c r="Q96" s="403" t="n"/>
      <c r="R96" s="404" t="n"/>
      <c r="S96" s="400">
        <f>C96</f>
        <v/>
      </c>
      <c r="T96" s="400" t="n">
        <v>638886.6800000001</v>
      </c>
      <c r="U96" s="400">
        <f>T97</f>
        <v/>
      </c>
      <c r="V96" s="405">
        <f>T96-U96</f>
        <v/>
      </c>
      <c r="W96" s="406">
        <f>V96/U96</f>
        <v/>
      </c>
      <c r="X96" s="228" t="n">
        <v>-0.0029</v>
      </c>
      <c r="Y96" s="403" t="n"/>
      <c r="Z96" s="404" t="n"/>
      <c r="AA96" s="400">
        <f>S96</f>
        <v/>
      </c>
      <c r="AB96" s="400" t="n">
        <v>410896.86</v>
      </c>
      <c r="AC96" s="400">
        <f>AB97</f>
        <v/>
      </c>
      <c r="AD96" s="405">
        <f>AB96-AC96</f>
        <v/>
      </c>
      <c r="AE96" s="406">
        <f>AD96/AC96</f>
        <v/>
      </c>
      <c r="AF96" s="228" t="n">
        <v>-0.0015</v>
      </c>
      <c r="AG96" s="403" t="n"/>
      <c r="AH96" s="404" t="n"/>
      <c r="AI96" s="400">
        <f>C96</f>
        <v/>
      </c>
      <c r="AJ96" s="400" t="n">
        <v>301121.76</v>
      </c>
      <c r="AK96" s="400">
        <f>AJ97</f>
        <v/>
      </c>
      <c r="AL96" s="405">
        <f>AJ96-AK96</f>
        <v/>
      </c>
      <c r="AM96" s="406">
        <f>AL96/AK96</f>
        <v/>
      </c>
      <c r="AN96" s="228" t="n">
        <v>0.0022</v>
      </c>
      <c r="AO96" s="228" t="n"/>
      <c r="AP96" s="404" t="n"/>
      <c r="AQ96" s="400">
        <f>C96</f>
        <v/>
      </c>
      <c r="AR96" s="701" t="n">
        <v>1069445.4936</v>
      </c>
      <c r="AS96" s="400">
        <f>AR97</f>
        <v/>
      </c>
      <c r="AT96" s="401">
        <f>AR96-AS96</f>
        <v/>
      </c>
      <c r="AU96" s="402">
        <f>AT96/AS96</f>
        <v/>
      </c>
      <c r="AV96" s="228" t="n">
        <v>-0.0206</v>
      </c>
      <c r="AW96" s="228" t="n"/>
      <c r="AX96" s="230" t="n"/>
      <c r="AY96" s="240" t="n"/>
      <c r="AZ96" s="240">
        <f>C96</f>
        <v/>
      </c>
      <c r="BA96" s="240" t="n">
        <v>655491.6676</v>
      </c>
      <c r="BB96" s="240">
        <f>BA97</f>
        <v/>
      </c>
      <c r="BC96" s="240">
        <f>BA96-BB96</f>
        <v/>
      </c>
      <c r="BD96" s="292">
        <f>BC96/BB96</f>
        <v/>
      </c>
      <c r="BE96" s="228" t="n">
        <v>-0.0034</v>
      </c>
      <c r="BF96" s="228" t="n"/>
      <c r="BG96" s="675" t="n"/>
      <c r="BH96" s="408">
        <f>C96</f>
        <v/>
      </c>
      <c r="BI96" s="408" t="n">
        <v>1147526.5525</v>
      </c>
      <c r="BJ96" s="408">
        <f>BI97</f>
        <v/>
      </c>
      <c r="BK96" s="409">
        <f>BI96-BJ96</f>
        <v/>
      </c>
      <c r="BL96" s="410">
        <f>BK96/BJ96</f>
        <v/>
      </c>
      <c r="BM96" s="235" t="n">
        <v>-0.0307</v>
      </c>
      <c r="BN96" s="236" t="n"/>
      <c r="BO96" s="411" t="n"/>
      <c r="BP96" s="412">
        <f>C96</f>
        <v/>
      </c>
      <c r="BQ96" s="700" t="n">
        <v>1129462.3921</v>
      </c>
      <c r="BR96" s="412">
        <f>BQ97</f>
        <v/>
      </c>
      <c r="BS96" s="420">
        <f>BQ96-BR96</f>
        <v/>
      </c>
      <c r="BT96" s="421">
        <f>BS96/BR96</f>
        <v/>
      </c>
      <c r="BU96" s="236" t="n">
        <v>0.0307</v>
      </c>
      <c r="BV96" s="236" t="n"/>
      <c r="BW96" s="411" t="n"/>
      <c r="BX96" s="412">
        <f>C96</f>
        <v/>
      </c>
      <c r="BY96" s="412" t="n">
        <v>1837110.7019</v>
      </c>
      <c r="BZ96" s="412">
        <f>BY97</f>
        <v/>
      </c>
      <c r="CA96" s="414">
        <f>BY96-BZ96</f>
        <v/>
      </c>
      <c r="CB96" s="415">
        <f>CA96/BZ96</f>
        <v/>
      </c>
      <c r="CC96" s="236" t="n">
        <v>0.029</v>
      </c>
      <c r="CD96" s="416" t="n"/>
      <c r="CE96" s="411" t="n"/>
      <c r="CF96" s="412">
        <f>C96</f>
        <v/>
      </c>
      <c r="CG96" s="412" t="n">
        <v>1214103.9</v>
      </c>
      <c r="CH96" s="14">
        <f>CG97</f>
        <v/>
      </c>
      <c r="CI96" s="14">
        <f>CG96-CH96</f>
        <v/>
      </c>
      <c r="CJ96" s="237">
        <f>CI96/CH96</f>
        <v/>
      </c>
      <c r="CK96" s="236" t="n">
        <v>-0.0032</v>
      </c>
      <c r="CL96" s="416" t="n"/>
      <c r="CM96" s="411" t="n"/>
      <c r="CN96" s="412">
        <f>C96</f>
        <v/>
      </c>
      <c r="CO96" s="412" t="n">
        <v>531046.48</v>
      </c>
      <c r="CP96" s="412">
        <f>CO97</f>
        <v/>
      </c>
      <c r="CQ96" s="14">
        <f>CO96-CP96</f>
        <v/>
      </c>
      <c r="CR96" s="237">
        <f>CQ96/CP96</f>
        <v/>
      </c>
      <c r="CS96" s="416" t="n">
        <v>-0.0023</v>
      </c>
      <c r="CT96" s="416" t="n"/>
      <c r="CU96" s="411" t="n"/>
      <c r="CV96" s="412">
        <f>C96</f>
        <v/>
      </c>
      <c r="CW96" s="412" t="n">
        <v>473440.4</v>
      </c>
      <c r="CX96" s="412">
        <f>CW97</f>
        <v/>
      </c>
      <c r="CY96" s="420">
        <f>CW96-CX96</f>
        <v/>
      </c>
      <c r="CZ96" s="421">
        <f>CY96/CX96</f>
        <v/>
      </c>
      <c r="DA96" s="236" t="n">
        <v>-0.0013</v>
      </c>
      <c r="DB96" s="236" t="n"/>
      <c r="DC96" s="255" t="n"/>
      <c r="DD96" s="412">
        <f>C96</f>
        <v/>
      </c>
      <c r="DE96" s="412" t="n">
        <v>2315717.9986</v>
      </c>
      <c r="DF96" s="14">
        <f>DE97</f>
        <v/>
      </c>
      <c r="DG96" s="414">
        <f>DE96-DF96</f>
        <v/>
      </c>
      <c r="DH96" s="415">
        <f>DG96/DF96</f>
        <v/>
      </c>
      <c r="DI96" s="236" t="n">
        <v>0.0091</v>
      </c>
      <c r="DJ96" s="236" t="n"/>
      <c r="DK96" s="411" t="n"/>
      <c r="DL96" s="412">
        <f>C96</f>
        <v/>
      </c>
      <c r="DM96" s="412" t="n">
        <v>868900.36</v>
      </c>
      <c r="DN96" s="412">
        <f>DM97</f>
        <v/>
      </c>
      <c r="DO96" s="412">
        <f>DM96-DN96</f>
        <v/>
      </c>
      <c r="DP96" s="416">
        <f>DO96/DN96</f>
        <v/>
      </c>
      <c r="DQ96" s="236" t="n">
        <v>-0.0206</v>
      </c>
      <c r="DR96" s="236" t="n"/>
      <c r="DS96" s="411" t="n"/>
      <c r="DT96" s="412">
        <f>C96</f>
        <v/>
      </c>
      <c r="DU96" s="412" t="n">
        <v>1318289.48</v>
      </c>
      <c r="DV96" s="412">
        <f>DU97</f>
        <v/>
      </c>
      <c r="DW96" s="414">
        <f>DU96-DV96</f>
        <v/>
      </c>
      <c r="DX96" s="415">
        <f>DW96/DV96</f>
        <v/>
      </c>
      <c r="DY96" s="236" t="n">
        <v>-0.0249</v>
      </c>
      <c r="DZ96" s="236" t="n"/>
      <c r="EA96" s="411" t="n"/>
      <c r="EB96" s="412">
        <f>C96</f>
        <v/>
      </c>
      <c r="EC96" s="412" t="n">
        <v>2996366.82</v>
      </c>
      <c r="ED96" s="412">
        <f>EC97</f>
        <v/>
      </c>
      <c r="EE96" s="414">
        <f>EC96-ED96</f>
        <v/>
      </c>
      <c r="EF96" s="415">
        <f>EE96/ED96</f>
        <v/>
      </c>
      <c r="EG96" s="236" t="n">
        <v>-0.023</v>
      </c>
      <c r="EH96" s="236" t="n"/>
      <c r="EI96" s="411" t="n"/>
      <c r="EJ96" s="412">
        <f>C96</f>
        <v/>
      </c>
      <c r="EK96" s="412" t="n">
        <v>1105522.9669</v>
      </c>
      <c r="EL96" s="412">
        <f>EK97</f>
        <v/>
      </c>
      <c r="EM96" s="420">
        <f>EK96-EL96</f>
        <v/>
      </c>
      <c r="EN96" s="421">
        <f>EM96/EL96</f>
        <v/>
      </c>
      <c r="EO96" s="236" t="n">
        <v>-0.0251</v>
      </c>
      <c r="EP96" s="236" t="n"/>
      <c r="EQ96" s="417" t="n"/>
      <c r="ER96" s="418">
        <f>C96</f>
        <v/>
      </c>
      <c r="ES96" s="418" t="n">
        <v>365147.02</v>
      </c>
      <c r="ET96" s="418">
        <f>ES97</f>
        <v/>
      </c>
      <c r="EU96" s="418">
        <f>ES96-ET96</f>
        <v/>
      </c>
      <c r="EV96" s="419">
        <f>EU96/ET96</f>
        <v/>
      </c>
      <c r="EW96" s="236" t="n">
        <v>-0.0224</v>
      </c>
      <c r="EX96" s="236" t="n"/>
      <c r="EY96" s="411" t="n"/>
      <c r="EZ96" s="412">
        <f>C96</f>
        <v/>
      </c>
      <c r="FA96" s="412" t="n">
        <v>527108</v>
      </c>
      <c r="FB96" s="412">
        <f>FA97</f>
        <v/>
      </c>
      <c r="FC96" s="414">
        <f>FA96-FB96</f>
        <v/>
      </c>
      <c r="FD96" s="415">
        <f>FC96/FB96</f>
        <v/>
      </c>
      <c r="FE96" s="236" t="n">
        <v>0.0086</v>
      </c>
      <c r="FF96" s="236" t="n"/>
      <c r="FH96" s="412">
        <f>C96</f>
        <v/>
      </c>
      <c r="FI96" s="700" t="n">
        <v>1072595.3365</v>
      </c>
      <c r="FJ96" s="412">
        <f>FI97</f>
        <v/>
      </c>
      <c r="FK96" s="414">
        <f>FI96-FJ96</f>
        <v/>
      </c>
      <c r="FL96" s="415">
        <f>FK96/FJ96</f>
        <v/>
      </c>
      <c r="FM96" s="416" t="n">
        <v>0.012</v>
      </c>
      <c r="FN96" s="416" t="n"/>
      <c r="FO96" s="411" t="n"/>
      <c r="FP96" s="412">
        <f>C96</f>
        <v/>
      </c>
      <c r="FQ96" s="412" t="n">
        <v>1545868.73</v>
      </c>
      <c r="FR96" s="412">
        <f>FQ97</f>
        <v/>
      </c>
      <c r="FS96" s="420">
        <f>FQ96-FR96</f>
        <v/>
      </c>
      <c r="FT96" s="421">
        <f>FS96/FR96</f>
        <v/>
      </c>
      <c r="FU96" s="236" t="n">
        <v>0.0017</v>
      </c>
      <c r="FV96" s="236" t="n"/>
      <c r="FW96" s="411" t="n"/>
      <c r="FX96" s="412">
        <f>C96</f>
        <v/>
      </c>
      <c r="FY96" s="412" t="n">
        <v>8330582.05</v>
      </c>
      <c r="FZ96" s="412">
        <f>FY97</f>
        <v/>
      </c>
      <c r="GA96" s="420">
        <f>FY96-FZ96</f>
        <v/>
      </c>
      <c r="GB96" s="421">
        <f>GA96/FZ96</f>
        <v/>
      </c>
      <c r="GC96" s="236" t="n">
        <v>0.0261</v>
      </c>
      <c r="GD96" s="236" t="n"/>
      <c r="GE96" s="411" t="n"/>
      <c r="GF96" s="412">
        <f>C96</f>
        <v/>
      </c>
      <c r="GG96" s="412" t="n">
        <v>4921469.49</v>
      </c>
      <c r="GH96" s="412">
        <f>GG97</f>
        <v/>
      </c>
      <c r="GI96" s="420">
        <f>GG96-GH96</f>
        <v/>
      </c>
      <c r="GJ96" s="421">
        <f>GI96/GH96</f>
        <v/>
      </c>
      <c r="GK96" s="236" t="n">
        <v>0.0257</v>
      </c>
      <c r="GL96" s="236" t="n"/>
      <c r="GM96" s="411" t="n"/>
      <c r="GN96" s="412">
        <f>C96</f>
        <v/>
      </c>
      <c r="GO96" s="412" t="n">
        <v>2031538.1217</v>
      </c>
      <c r="GP96" s="412">
        <f>GO97</f>
        <v/>
      </c>
      <c r="GQ96" s="414">
        <f>GO96-GP96</f>
        <v/>
      </c>
      <c r="GR96" s="415">
        <f>GQ96/GP96</f>
        <v/>
      </c>
      <c r="GS96" s="236" t="n">
        <v>0.0435</v>
      </c>
      <c r="GT96" s="236" t="n"/>
      <c r="GU96" s="411" t="n"/>
      <c r="GV96" s="412">
        <f>C96</f>
        <v/>
      </c>
      <c r="GW96" s="412" t="n">
        <v>678549.4</v>
      </c>
      <c r="GX96" s="412">
        <f>GW97</f>
        <v/>
      </c>
      <c r="GY96" s="420">
        <f>GW96-GX96</f>
        <v/>
      </c>
      <c r="GZ96" s="421">
        <f>GY96/GX96</f>
        <v/>
      </c>
      <c r="HA96" s="236" t="n">
        <v>-0.0173</v>
      </c>
      <c r="HB96" s="236" t="n"/>
      <c r="HC96" s="411" t="n"/>
      <c r="HD96" s="412">
        <f>C96</f>
        <v/>
      </c>
      <c r="HE96" s="412" t="n">
        <v>947664.6746</v>
      </c>
      <c r="HF96" s="412">
        <f>HE97</f>
        <v/>
      </c>
      <c r="HG96" s="414">
        <f>HE96-HF96</f>
        <v/>
      </c>
      <c r="HH96" s="415">
        <f>HG96/HF96</f>
        <v/>
      </c>
      <c r="HI96" s="416" t="n">
        <v>-0.0009</v>
      </c>
      <c r="HJ96" s="236" t="n"/>
      <c r="HK96" s="411" t="n"/>
      <c r="HL96" s="412">
        <f>C96</f>
        <v/>
      </c>
      <c r="HM96" s="412" t="n">
        <v>111404.25</v>
      </c>
      <c r="HN96" s="412">
        <f>HM97</f>
        <v/>
      </c>
      <c r="HO96" s="420">
        <f>HM96-HN96</f>
        <v/>
      </c>
      <c r="HP96" s="421">
        <f>HO96/HN96</f>
        <v/>
      </c>
      <c r="HQ96" s="236" t="n">
        <v>0.0195</v>
      </c>
      <c r="HR96" s="236" t="n"/>
      <c r="HS96" s="411" t="n"/>
      <c r="HT96" s="412">
        <f>C96</f>
        <v/>
      </c>
      <c r="HU96" s="412" t="n">
        <v>128468.8265</v>
      </c>
      <c r="HV96" s="412">
        <f>HU97</f>
        <v/>
      </c>
      <c r="HW96" s="414">
        <f>HU96-HV96</f>
        <v/>
      </c>
      <c r="HX96" s="415">
        <f>HW96/HV96</f>
        <v/>
      </c>
      <c r="HY96" s="236" t="n">
        <v>0.008999999999999999</v>
      </c>
      <c r="HZ96" s="236" t="n"/>
      <c r="IA96" s="411" t="n"/>
      <c r="IB96" s="412">
        <f>C96</f>
        <v/>
      </c>
      <c r="IC96" s="241" t="n">
        <v>261884.79</v>
      </c>
      <c r="ID96" s="241">
        <f>IC97</f>
        <v/>
      </c>
      <c r="IE96" s="414">
        <f>IC96-ID96</f>
        <v/>
      </c>
      <c r="IF96" s="415">
        <f>IE96/ID96</f>
        <v/>
      </c>
      <c r="IG96" s="416" t="n">
        <v>0.0236</v>
      </c>
      <c r="IH96" s="236" t="n"/>
      <c r="II96" s="411" t="n"/>
      <c r="IJ96" s="412">
        <f>C96</f>
        <v/>
      </c>
      <c r="IK96" s="412" t="n">
        <v>852556.29</v>
      </c>
      <c r="IL96" s="412">
        <f>IK97</f>
        <v/>
      </c>
      <c r="IM96" s="414">
        <f>IK96-IL96</f>
        <v/>
      </c>
      <c r="IN96" s="415">
        <f>IM96/IL96</f>
        <v/>
      </c>
      <c r="IO96" s="236" t="n">
        <v>0.0155</v>
      </c>
      <c r="IP96" s="236" t="n"/>
      <c r="IQ96" s="411" t="n"/>
      <c r="IR96" s="412">
        <f>C96</f>
        <v/>
      </c>
      <c r="IS96" s="412" t="n">
        <v>140589</v>
      </c>
      <c r="IT96" s="412">
        <f>IS97</f>
        <v/>
      </c>
      <c r="IU96" s="414">
        <f>IS96-IT96</f>
        <v/>
      </c>
      <c r="IV96" s="415">
        <f>IU96/IT96</f>
        <v/>
      </c>
      <c r="IW96" s="236" t="n">
        <v>0.008</v>
      </c>
      <c r="IX96" s="236" t="n"/>
      <c r="IY96" s="411" t="n"/>
      <c r="IZ96" s="412">
        <f>C96</f>
        <v/>
      </c>
      <c r="JA96" s="412" t="n">
        <v>5126829.15</v>
      </c>
      <c r="JB96" s="412">
        <f>JA97</f>
        <v/>
      </c>
      <c r="JC96" s="414">
        <f>JA96-JB96</f>
        <v/>
      </c>
      <c r="JD96" s="415">
        <f>JC96/JB96</f>
        <v/>
      </c>
      <c r="JE96" s="236" t="n">
        <v>0.0444</v>
      </c>
      <c r="JF96" s="236" t="n"/>
      <c r="JG96" s="411" t="n"/>
      <c r="JH96" s="412">
        <f>C96</f>
        <v/>
      </c>
      <c r="JI96" s="412" t="n">
        <v>1414947.99</v>
      </c>
      <c r="JJ96" s="412">
        <f>JI97</f>
        <v/>
      </c>
      <c r="JK96" s="414">
        <f>JI96-JJ96</f>
        <v/>
      </c>
      <c r="JL96" s="415">
        <f>JK96/JJ96</f>
        <v/>
      </c>
      <c r="JM96" s="236" t="n">
        <v>0.0041</v>
      </c>
      <c r="JN96" s="236" t="n"/>
      <c r="JP96" s="412">
        <f>C96</f>
        <v/>
      </c>
      <c r="JQ96" s="412" t="n">
        <v>1031390.4148</v>
      </c>
      <c r="JR96" s="412">
        <f>JQ97</f>
        <v/>
      </c>
      <c r="JS96" s="420">
        <f>JQ96-JR96</f>
        <v/>
      </c>
      <c r="JT96" s="421">
        <f>JS96/JR96</f>
        <v/>
      </c>
      <c r="JU96" s="236" t="n">
        <v>0.0498</v>
      </c>
      <c r="JV96" s="416" t="n"/>
      <c r="JX96" s="412">
        <f>C96</f>
        <v/>
      </c>
      <c r="JY96" s="412" t="n">
        <v>1057748.8</v>
      </c>
      <c r="JZ96" s="412">
        <f>JY97</f>
        <v/>
      </c>
      <c r="KA96" s="420">
        <f>JY96-JZ96</f>
        <v/>
      </c>
      <c r="KB96" s="421">
        <f>KA96/JZ96</f>
        <v/>
      </c>
      <c r="KC96" s="236" t="n">
        <v>0.0309</v>
      </c>
      <c r="KD96" s="416" t="n"/>
      <c r="KF96" s="412">
        <f>C96</f>
        <v/>
      </c>
      <c r="KG96" s="412" t="n">
        <v>640755.9219</v>
      </c>
      <c r="KH96" s="412">
        <f>KG97</f>
        <v/>
      </c>
      <c r="KI96" s="412">
        <f>KG96-KH96</f>
        <v/>
      </c>
      <c r="KJ96" s="416">
        <f>KI96/KH96</f>
        <v/>
      </c>
      <c r="KK96" s="416" t="n">
        <v>0.003</v>
      </c>
      <c r="KL96" s="416" t="n"/>
      <c r="KM96" s="411" t="n"/>
      <c r="KN96" s="412">
        <f>C96</f>
        <v/>
      </c>
      <c r="KO96" s="412" t="n">
        <v>7284875.95</v>
      </c>
      <c r="KP96" s="412">
        <f>KO97</f>
        <v/>
      </c>
      <c r="KQ96" s="414">
        <f>KO96-KP96</f>
        <v/>
      </c>
      <c r="KR96" s="415">
        <f>KQ96/KP96</f>
        <v/>
      </c>
      <c r="KS96" s="236" t="n">
        <v>0</v>
      </c>
      <c r="KT96" s="236" t="n"/>
      <c r="KU96" s="411" t="n"/>
      <c r="KV96" s="412">
        <f>C96</f>
        <v/>
      </c>
      <c r="KW96" s="412" t="n">
        <v>1068472.9726</v>
      </c>
      <c r="KX96" s="412">
        <f>KW97</f>
        <v/>
      </c>
      <c r="KY96" s="412">
        <f>KW96-KX96</f>
        <v/>
      </c>
      <c r="KZ96" s="416">
        <f>KY96/KX96</f>
        <v/>
      </c>
      <c r="LA96" s="416" t="n">
        <v>0.0509</v>
      </c>
      <c r="LB96" s="236" t="n"/>
      <c r="LC96" s="411" t="n"/>
      <c r="LD96" s="412">
        <f>C96</f>
        <v/>
      </c>
      <c r="LE96" s="412" t="n">
        <v>379107.7</v>
      </c>
      <c r="LF96" s="412">
        <f>LE97</f>
        <v/>
      </c>
      <c r="LG96" s="414">
        <f>LE96-LF96</f>
        <v/>
      </c>
      <c r="LH96" s="415">
        <f>LG96/LF96</f>
        <v/>
      </c>
      <c r="LI96" s="236" t="n">
        <v>-0.002</v>
      </c>
      <c r="LJ96" s="236" t="n"/>
      <c r="LK96" s="411" t="n"/>
      <c r="LL96" s="412">
        <f>C96</f>
        <v/>
      </c>
      <c r="LM96" s="700" t="n">
        <v>3432175.02</v>
      </c>
      <c r="LN96" s="412">
        <f>LM97</f>
        <v/>
      </c>
      <c r="LO96" s="414">
        <f>LM96-LN96</f>
        <v/>
      </c>
      <c r="LP96" s="415">
        <f>LO96/LN96</f>
        <v/>
      </c>
      <c r="LQ96" s="236" t="n">
        <v>0.0127</v>
      </c>
      <c r="LR96" s="236" t="n"/>
      <c r="LS96" s="411" t="n"/>
      <c r="LT96" s="412">
        <f>C96</f>
        <v/>
      </c>
      <c r="LU96" s="412" t="n">
        <v>2328262.904</v>
      </c>
      <c r="LV96" s="412">
        <f>LU97</f>
        <v/>
      </c>
      <c r="LW96" s="414">
        <f>LU96-LV96</f>
        <v/>
      </c>
      <c r="LX96" s="415">
        <f>LW96/LV96</f>
        <v/>
      </c>
      <c r="LY96" s="236" t="n">
        <v>0.0244</v>
      </c>
      <c r="LZ96" s="236" t="n"/>
      <c r="MA96" s="411" t="n"/>
      <c r="MB96" s="412">
        <f>C96</f>
        <v/>
      </c>
      <c r="MC96" s="412" t="n">
        <v>1085167.69</v>
      </c>
      <c r="MD96" s="412">
        <f>MC97</f>
        <v/>
      </c>
      <c r="ME96" s="414">
        <f>MC96-MD96</f>
        <v/>
      </c>
      <c r="MF96" s="415">
        <f>ME96/MD96</f>
        <v/>
      </c>
      <c r="MG96" s="236" t="n">
        <v>0.0272</v>
      </c>
      <c r="MH96" s="236" t="n"/>
      <c r="MI96" s="424" t="n"/>
      <c r="MJ96" s="418" t="n"/>
      <c r="MK96" s="418">
        <f>C96</f>
        <v/>
      </c>
      <c r="ML96" s="418" t="n">
        <v>167745.5354</v>
      </c>
      <c r="MM96" s="14">
        <f>ML97</f>
        <v/>
      </c>
      <c r="MN96" s="418">
        <f>ML96-MM96</f>
        <v/>
      </c>
      <c r="MO96" s="419">
        <f>MN96/MM96</f>
        <v/>
      </c>
      <c r="MP96" s="236" t="n">
        <v>0</v>
      </c>
      <c r="MQ96" s="425" t="n"/>
      <c r="MR96" s="425" t="n"/>
      <c r="MS96" s="240" t="n"/>
      <c r="MT96" s="294">
        <f>C96</f>
        <v/>
      </c>
      <c r="MU96" s="240" t="n">
        <v>130314.8</v>
      </c>
      <c r="MV96" s="240">
        <f>MU97</f>
        <v/>
      </c>
      <c r="MW96" s="240">
        <f>MU96-MV96</f>
        <v/>
      </c>
      <c r="MX96" s="292">
        <f>MW96/MV96</f>
        <v/>
      </c>
      <c r="MY96" s="236" t="n">
        <v>0.0142</v>
      </c>
      <c r="MZ96" s="236" t="n"/>
      <c r="NA96" s="236" t="n"/>
      <c r="NB96" s="240" t="n"/>
      <c r="NC96" s="240">
        <f>C96</f>
        <v/>
      </c>
      <c r="ND96" s="240" t="n">
        <v>36491.48</v>
      </c>
      <c r="NE96" s="240">
        <f>ND97</f>
        <v/>
      </c>
      <c r="NF96" s="240">
        <f>ND96-NE96</f>
        <v/>
      </c>
      <c r="NG96" s="292">
        <f>NF96/NE96</f>
        <v/>
      </c>
      <c r="NH96" s="236" t="n">
        <v>0.0044</v>
      </c>
      <c r="NI96" s="236" t="n"/>
      <c r="NJ96" s="236" t="n"/>
      <c r="NK96" s="236" t="n"/>
      <c r="NL96" s="240" t="n"/>
      <c r="NM96" s="240">
        <f>C96</f>
        <v/>
      </c>
      <c r="NN96" s="240" t="n">
        <v>2928611.08</v>
      </c>
      <c r="NO96" s="10">
        <f>NN97</f>
        <v/>
      </c>
      <c r="NP96" s="240">
        <f>NN96-NO96</f>
        <v/>
      </c>
      <c r="NQ96" s="292">
        <f>NP96/NO96</f>
        <v/>
      </c>
      <c r="NR96" s="269" t="n">
        <v>0.0112</v>
      </c>
      <c r="NS96" s="240" t="n"/>
      <c r="NT96" s="270" t="n"/>
      <c r="NU96" s="240">
        <f>C96</f>
        <v/>
      </c>
      <c r="NV96" s="240" t="n">
        <v>262026.5</v>
      </c>
      <c r="NW96" s="240">
        <f>NV97</f>
        <v/>
      </c>
      <c r="NX96" s="240">
        <f>NV96-NW96</f>
        <v/>
      </c>
      <c r="NY96" s="292">
        <f>NX96/NW96</f>
        <v/>
      </c>
      <c r="NZ96" s="416" t="n">
        <v>0.0353</v>
      </c>
      <c r="OA96" s="411" t="n"/>
      <c r="OB96" s="411" t="n"/>
      <c r="OC96" s="412">
        <f>C96</f>
        <v/>
      </c>
      <c r="OD96" s="412" t="n">
        <v>17359.97</v>
      </c>
      <c r="OE96" s="412">
        <f>OD97</f>
        <v/>
      </c>
      <c r="OF96" s="420">
        <f>OD96-OE96</f>
        <v/>
      </c>
      <c r="OG96" s="421">
        <f>OF96/OE96</f>
        <v/>
      </c>
      <c r="OH96" s="236" t="n">
        <v>-0.0051</v>
      </c>
      <c r="OI96" s="236" t="n"/>
      <c r="OJ96" s="411" t="n"/>
      <c r="OK96" s="412">
        <f>C96</f>
        <v/>
      </c>
      <c r="OL96" s="241" t="n">
        <v>14488.65</v>
      </c>
      <c r="OM96" s="10">
        <f>OL97</f>
        <v/>
      </c>
      <c r="ON96" s="422">
        <f>OL96-OM96</f>
        <v/>
      </c>
      <c r="OO96" s="423">
        <f>ON96/OM96</f>
        <v/>
      </c>
      <c r="OP96" s="236" t="n">
        <v>-0.0014</v>
      </c>
      <c r="OQ96" s="236" t="n"/>
      <c r="OT96" s="201">
        <f>OK96</f>
        <v/>
      </c>
      <c r="OU96" s="199" t="n">
        <v>151032.4066</v>
      </c>
      <c r="OV96" s="9">
        <f>OU97</f>
        <v/>
      </c>
      <c r="OW96" s="671">
        <f>OU96-OV96</f>
        <v/>
      </c>
      <c r="OX96" s="182">
        <f>OW96/OV96</f>
        <v/>
      </c>
      <c r="OY96" s="0" t="n">
        <v>0.006</v>
      </c>
    </row>
    <row r="97" ht="17" customFormat="1" customHeight="1" s="9">
      <c r="A97" s="631" t="n"/>
      <c r="B97" s="631" t="n"/>
      <c r="C97" s="693" t="inlineStr">
        <is>
          <t>2026//6/30</t>
        </is>
      </c>
      <c r="D97" s="362" t="n">
        <v>1891488.77</v>
      </c>
      <c r="E97" s="362">
        <f>D98</f>
        <v/>
      </c>
      <c r="F97" s="432">
        <f>D97-E97</f>
        <v/>
      </c>
      <c r="G97" s="433">
        <f>F97/E97</f>
        <v/>
      </c>
      <c r="H97" s="19" t="n">
        <v>0.0121</v>
      </c>
      <c r="I97" s="426" t="n"/>
      <c r="J97" s="426" t="n"/>
      <c r="K97" s="362">
        <f>C97</f>
        <v/>
      </c>
      <c r="L97" s="362" t="n">
        <v>1160074.4</v>
      </c>
      <c r="M97" s="362">
        <f>L98</f>
        <v/>
      </c>
      <c r="N97" s="377">
        <f>L97-M97</f>
        <v/>
      </c>
      <c r="O97" s="378">
        <f>N97/M97</f>
        <v/>
      </c>
      <c r="P97" s="19" t="n">
        <v>0.0143</v>
      </c>
      <c r="Q97" s="426" t="n"/>
      <c r="R97" s="427" t="n"/>
      <c r="S97" s="362">
        <f>C97</f>
        <v/>
      </c>
      <c r="T97" s="362" t="n">
        <v>639246.6800000001</v>
      </c>
      <c r="U97" s="362">
        <f>T98</f>
        <v/>
      </c>
      <c r="V97" s="377">
        <f>T97-U97</f>
        <v/>
      </c>
      <c r="W97" s="378">
        <f>V97/U97</f>
        <v/>
      </c>
      <c r="X97" s="19" t="n">
        <v>0</v>
      </c>
      <c r="Y97" s="426" t="n"/>
      <c r="Z97" s="427" t="n"/>
      <c r="AA97" s="362">
        <f>S97</f>
        <v/>
      </c>
      <c r="AB97" s="362" t="n">
        <v>414856.86</v>
      </c>
      <c r="AC97" s="362">
        <f>AB98</f>
        <v/>
      </c>
      <c r="AD97" s="377">
        <f>AB97-AC97</f>
        <v/>
      </c>
      <c r="AE97" s="378">
        <f>AD97/AC97</f>
        <v/>
      </c>
      <c r="AF97" s="19" t="n">
        <v>0.0245</v>
      </c>
      <c r="AG97" s="426" t="n"/>
      <c r="AH97" s="427" t="n"/>
      <c r="AI97" s="362">
        <f>C97</f>
        <v/>
      </c>
      <c r="AJ97" s="362" t="n">
        <v>307721.76</v>
      </c>
      <c r="AK97" s="362">
        <f>AJ98</f>
        <v/>
      </c>
      <c r="AL97" s="377">
        <f>AJ97-AK97</f>
        <v/>
      </c>
      <c r="AM97" s="378">
        <f>AL97/AK97</f>
        <v/>
      </c>
      <c r="AN97" s="19" t="n">
        <v>0.0294</v>
      </c>
      <c r="AO97" s="19" t="n"/>
      <c r="AP97" s="427" t="n"/>
      <c r="AQ97" s="362">
        <f>C97</f>
        <v/>
      </c>
      <c r="AR97" s="697" t="n">
        <v>1074645.4936</v>
      </c>
      <c r="AS97" s="362">
        <f>AR98</f>
        <v/>
      </c>
      <c r="AT97" s="432">
        <f>AR97-AS97</f>
        <v/>
      </c>
      <c r="AU97" s="433">
        <f>AT97/AS97</f>
        <v/>
      </c>
      <c r="AV97" s="19" t="n">
        <v>0.0302</v>
      </c>
      <c r="AW97" s="19" t="n"/>
      <c r="AX97" s="5" t="n"/>
      <c r="AY97" s="188" t="n"/>
      <c r="AZ97" s="188">
        <f>C97</f>
        <v/>
      </c>
      <c r="BA97" s="188" t="n">
        <v>693921.6676</v>
      </c>
      <c r="BB97" s="188">
        <f>BA98</f>
        <v/>
      </c>
      <c r="BC97" s="188">
        <f>BA97-BB97</f>
        <v/>
      </c>
      <c r="BD97" s="271">
        <f>BC97/BB97</f>
        <v/>
      </c>
      <c r="BE97" s="19" t="n">
        <v>0.011</v>
      </c>
      <c r="BF97" s="19" t="n"/>
      <c r="BG97" s="647" t="n"/>
      <c r="BH97" s="363">
        <f>C97</f>
        <v/>
      </c>
      <c r="BI97" s="363" t="n">
        <v>1161726.5525</v>
      </c>
      <c r="BJ97" s="363">
        <f>BI98</f>
        <v/>
      </c>
      <c r="BK97" s="395">
        <f>BI97-BJ97</f>
        <v/>
      </c>
      <c r="BL97" s="396">
        <f>BK97/BJ97</f>
        <v/>
      </c>
      <c r="BM97" s="191" t="n">
        <v>0.0141</v>
      </c>
      <c r="BN97" s="182" t="n"/>
      <c r="BO97" s="364" t="n"/>
      <c r="BP97" s="365">
        <f>C97</f>
        <v/>
      </c>
      <c r="BQ97" s="694" t="n">
        <v>1137662.3921</v>
      </c>
      <c r="BR97" s="365">
        <f>BQ98</f>
        <v/>
      </c>
      <c r="BS97" s="390">
        <f>BQ97-BR97</f>
        <v/>
      </c>
      <c r="BT97" s="391">
        <f>BS97/BR97</f>
        <v/>
      </c>
      <c r="BU97" s="182" t="n">
        <v>0.0224</v>
      </c>
      <c r="BV97" s="182" t="n"/>
      <c r="BW97" s="364" t="n"/>
      <c r="BX97" s="365">
        <f>C97</f>
        <v/>
      </c>
      <c r="BY97" s="365" t="n">
        <v>1844060.7019</v>
      </c>
      <c r="BZ97" s="365">
        <f>BY98</f>
        <v/>
      </c>
      <c r="CA97" s="390">
        <f>BY97-BZ97</f>
        <v/>
      </c>
      <c r="CB97" s="391">
        <f>CA97/BZ97</f>
        <v/>
      </c>
      <c r="CC97" s="182" t="n">
        <v>-0.0012</v>
      </c>
      <c r="CD97" s="383" t="n"/>
      <c r="CE97" s="364" t="n"/>
      <c r="CF97" s="365">
        <f>C97</f>
        <v/>
      </c>
      <c r="CG97" s="365" t="n">
        <v>1216203.9</v>
      </c>
      <c r="CH97" s="13">
        <f>CG98</f>
        <v/>
      </c>
      <c r="CI97" s="13">
        <f>CG97-CH97</f>
        <v/>
      </c>
      <c r="CJ97" s="193">
        <f>CI97/CH97</f>
        <v/>
      </c>
      <c r="CK97" s="182" t="n">
        <v>-0.0054</v>
      </c>
      <c r="CL97" s="366" t="n"/>
      <c r="CM97" s="364" t="n"/>
      <c r="CN97" s="365">
        <f>C97</f>
        <v/>
      </c>
      <c r="CO97" s="365" t="n">
        <v>534246.48</v>
      </c>
      <c r="CP97" s="365">
        <f>CO98</f>
        <v/>
      </c>
      <c r="CQ97" s="13">
        <f>CO97-CP97</f>
        <v/>
      </c>
      <c r="CR97" s="193">
        <f>CQ97/CP97</f>
        <v/>
      </c>
      <c r="CS97" s="366" t="n">
        <v>-0.0056</v>
      </c>
      <c r="CT97" s="366" t="n"/>
      <c r="CU97" s="364" t="n"/>
      <c r="CV97" s="365">
        <f>C97</f>
        <v/>
      </c>
      <c r="CW97" s="365" t="n">
        <v>473440.4</v>
      </c>
      <c r="CX97" s="365">
        <f>CW98</f>
        <v/>
      </c>
      <c r="CY97" s="390">
        <f>CW97-CX97</f>
        <v/>
      </c>
      <c r="CZ97" s="391">
        <f>CY97/CX97</f>
        <v/>
      </c>
      <c r="DA97" s="182" t="n">
        <v>-0.0192</v>
      </c>
      <c r="DB97" s="182" t="n"/>
      <c r="DC97" s="256" t="n"/>
      <c r="DD97" s="365">
        <f>C97</f>
        <v/>
      </c>
      <c r="DE97" s="365" t="n">
        <v>2262717.9986</v>
      </c>
      <c r="DF97" s="13">
        <f>DE98</f>
        <v/>
      </c>
      <c r="DG97" s="390">
        <f>DE97-DF97</f>
        <v/>
      </c>
      <c r="DH97" s="391">
        <f>DG97/DF97</f>
        <v/>
      </c>
      <c r="DI97" s="182" t="n">
        <v>0.0281</v>
      </c>
      <c r="DJ97" s="182" t="n"/>
      <c r="DK97" s="364" t="n"/>
      <c r="DL97" s="365">
        <f>C97</f>
        <v/>
      </c>
      <c r="DM97" s="365" t="n">
        <v>850500.36</v>
      </c>
      <c r="DN97" s="365">
        <f>DM98</f>
        <v/>
      </c>
      <c r="DO97" s="388">
        <f>DM97-DN97</f>
        <v/>
      </c>
      <c r="DP97" s="389">
        <f>DO97/DN97</f>
        <v/>
      </c>
      <c r="DQ97" s="182" t="n">
        <v>0.033</v>
      </c>
      <c r="DR97" s="182" t="n"/>
      <c r="DS97" s="364" t="n"/>
      <c r="DT97" s="365">
        <f>C97</f>
        <v/>
      </c>
      <c r="DU97" s="365" t="n">
        <v>1310789.48</v>
      </c>
      <c r="DV97" s="365">
        <f>DU98</f>
        <v/>
      </c>
      <c r="DW97" s="388">
        <f>DU97-DV97</f>
        <v/>
      </c>
      <c r="DX97" s="389">
        <f>DW97/DV97</f>
        <v/>
      </c>
      <c r="DY97" s="182" t="n">
        <v>0.046</v>
      </c>
      <c r="DZ97" s="182" t="n"/>
      <c r="EA97" s="364" t="n"/>
      <c r="EB97" s="365">
        <f>C97</f>
        <v/>
      </c>
      <c r="EC97" s="365" t="n">
        <v>2983166.82</v>
      </c>
      <c r="ED97" s="365">
        <f>EC98</f>
        <v/>
      </c>
      <c r="EE97" s="388">
        <f>EC97-ED97</f>
        <v/>
      </c>
      <c r="EF97" s="389">
        <f>EE97/ED97</f>
        <v/>
      </c>
      <c r="EG97" s="182" t="n">
        <v>0.0427</v>
      </c>
      <c r="EH97" s="182" t="n"/>
      <c r="EI97" s="364" t="n"/>
      <c r="EJ97" s="365">
        <f>C97</f>
        <v/>
      </c>
      <c r="EK97" s="365" t="n">
        <v>1102122.9669</v>
      </c>
      <c r="EL97" s="365">
        <f>EK98</f>
        <v/>
      </c>
      <c r="EM97" s="390">
        <f>EK97-EL97</f>
        <v/>
      </c>
      <c r="EN97" s="391">
        <f>EM97/EL97</f>
        <v/>
      </c>
      <c r="EO97" s="182" t="n">
        <v>0.0603</v>
      </c>
      <c r="EP97" s="182" t="n"/>
      <c r="EQ97" s="317" t="n"/>
      <c r="ER97" s="318">
        <f>C97</f>
        <v/>
      </c>
      <c r="ES97" s="318" t="n">
        <v>364547.02</v>
      </c>
      <c r="ET97" s="318">
        <f>ES98</f>
        <v/>
      </c>
      <c r="EU97" s="318">
        <f>ES97-ET97</f>
        <v/>
      </c>
      <c r="EV97" s="327">
        <f>EU97/ET97</f>
        <v/>
      </c>
      <c r="EW97" s="182" t="n">
        <v>0.0559</v>
      </c>
      <c r="EX97" s="182" t="n"/>
      <c r="EY97" s="364" t="n"/>
      <c r="EZ97" s="365">
        <f>C97</f>
        <v/>
      </c>
      <c r="FA97" s="365" t="n">
        <v>527008</v>
      </c>
      <c r="FB97" s="365">
        <f>FA98</f>
        <v/>
      </c>
      <c r="FC97" s="388">
        <f>FA97-FB97</f>
        <v/>
      </c>
      <c r="FD97" s="389">
        <f>FC97/FB97</f>
        <v/>
      </c>
      <c r="FE97" s="182" t="n">
        <v>0.0373</v>
      </c>
      <c r="FF97" s="182" t="n"/>
      <c r="FH97" s="365">
        <f>C97</f>
        <v/>
      </c>
      <c r="FI97" s="694" t="n">
        <v>1010295.3365</v>
      </c>
      <c r="FJ97" s="365">
        <f>FI98</f>
        <v/>
      </c>
      <c r="FK97" s="325">
        <f>FI97-FJ97</f>
        <v/>
      </c>
      <c r="FL97" s="326">
        <f>FK97/FJ97</f>
        <v/>
      </c>
      <c r="FM97" s="366" t="n">
        <v>0.0611</v>
      </c>
      <c r="FN97" s="366" t="n"/>
      <c r="FO97" s="364" t="n"/>
      <c r="FP97" s="365">
        <f>C97</f>
        <v/>
      </c>
      <c r="FQ97" s="365" t="n">
        <v>1521118.73</v>
      </c>
      <c r="FR97" s="365">
        <f>FQ98</f>
        <v/>
      </c>
      <c r="FS97" s="388">
        <f>FQ97-FR97</f>
        <v/>
      </c>
      <c r="FT97" s="389">
        <f>FS97/FR97</f>
        <v/>
      </c>
      <c r="FU97" s="182" t="n">
        <v>0.0541</v>
      </c>
      <c r="FV97" s="182" t="n"/>
      <c r="FW97" s="364" t="n"/>
      <c r="FX97" s="365">
        <f>C97</f>
        <v/>
      </c>
      <c r="FY97" s="365" t="n">
        <v>8368082.05</v>
      </c>
      <c r="FZ97" s="365">
        <f>FY98</f>
        <v/>
      </c>
      <c r="GA97" s="388">
        <f>FY97-FZ97</f>
        <v/>
      </c>
      <c r="GB97" s="389">
        <f>GA97/FZ97</f>
        <v/>
      </c>
      <c r="GC97" s="182" t="n">
        <v>-0.0161</v>
      </c>
      <c r="GD97" s="182" t="n"/>
      <c r="GE97" s="364" t="n"/>
      <c r="GF97" s="365">
        <f>C97</f>
        <v/>
      </c>
      <c r="GG97" s="365" t="n">
        <v>4910669.49</v>
      </c>
      <c r="GH97" s="365">
        <f>GG98</f>
        <v/>
      </c>
      <c r="GI97" s="388">
        <f>GG97-GH97</f>
        <v/>
      </c>
      <c r="GJ97" s="389">
        <f>GI97/GH97</f>
        <v/>
      </c>
      <c r="GK97" s="182" t="n">
        <v>-0.0169</v>
      </c>
      <c r="GL97" s="182" t="n"/>
      <c r="GM97" s="364" t="n"/>
      <c r="GN97" s="365">
        <f>C97</f>
        <v/>
      </c>
      <c r="GO97" s="365" t="n">
        <v>1987378.1217</v>
      </c>
      <c r="GP97" s="365">
        <f>GO98</f>
        <v/>
      </c>
      <c r="GQ97" s="390">
        <f>GO97-GP97</f>
        <v/>
      </c>
      <c r="GR97" s="391">
        <f>GQ97/GP97</f>
        <v/>
      </c>
      <c r="GS97" s="182" t="n">
        <v>-0.0171</v>
      </c>
      <c r="GT97" s="182" t="n"/>
      <c r="GU97" s="364" t="n"/>
      <c r="GV97" s="365">
        <f>C97</f>
        <v/>
      </c>
      <c r="GW97" s="365" t="n">
        <v>676149.4</v>
      </c>
      <c r="GX97" s="365">
        <f>GW98</f>
        <v/>
      </c>
      <c r="GY97" s="388">
        <f>GW97-GX97</f>
        <v/>
      </c>
      <c r="GZ97" s="389">
        <f>GY97/GX97</f>
        <v/>
      </c>
      <c r="HA97" s="182" t="n">
        <v>0.0307</v>
      </c>
      <c r="HB97" s="182" t="n"/>
      <c r="HC97" s="364" t="n"/>
      <c r="HD97" s="365">
        <f>C97</f>
        <v/>
      </c>
      <c r="HE97" s="365" t="n">
        <v>954764.6746</v>
      </c>
      <c r="HF97" s="365">
        <f>HE98</f>
        <v/>
      </c>
      <c r="HG97" s="390">
        <f>HE97-HF97</f>
        <v/>
      </c>
      <c r="HH97" s="391">
        <f>HG97/HF97</f>
        <v/>
      </c>
      <c r="HI97" s="366" t="n">
        <v>0.0242</v>
      </c>
      <c r="HJ97" s="182" t="n"/>
      <c r="HK97" s="364" t="n"/>
      <c r="HL97" s="365">
        <f>C97</f>
        <v/>
      </c>
      <c r="HM97" s="365" t="n">
        <v>111404.25</v>
      </c>
      <c r="HN97" s="365">
        <f>HM98</f>
        <v/>
      </c>
      <c r="HO97" s="388">
        <f>HM97-HN97</f>
        <v/>
      </c>
      <c r="HP97" s="389">
        <f>HO97/HN97</f>
        <v/>
      </c>
      <c r="HQ97" s="182" t="n">
        <v>-0.0114</v>
      </c>
      <c r="HR97" s="182" t="n"/>
      <c r="HS97" s="364" t="n"/>
      <c r="HT97" s="365">
        <f>C97</f>
        <v/>
      </c>
      <c r="HU97" s="365" t="n">
        <v>130668.8265</v>
      </c>
      <c r="HV97" s="365">
        <f>HU98</f>
        <v/>
      </c>
      <c r="HW97" s="390">
        <f>HU97-HV97</f>
        <v/>
      </c>
      <c r="HX97" s="391">
        <f>HW97/HV97</f>
        <v/>
      </c>
      <c r="HY97" s="182" t="n">
        <v>0.0018</v>
      </c>
      <c r="HZ97" s="182" t="n"/>
      <c r="IA97" s="364" t="n"/>
      <c r="IB97" s="365">
        <f>C97</f>
        <v/>
      </c>
      <c r="IC97" s="185" t="n">
        <v>265809.79</v>
      </c>
      <c r="ID97" s="185">
        <f>IC98</f>
        <v/>
      </c>
      <c r="IE97" s="325">
        <f>IC97-ID97</f>
        <v/>
      </c>
      <c r="IF97" s="326">
        <f>IE97/ID97</f>
        <v/>
      </c>
      <c r="IG97" s="366" t="n">
        <v>0.0017</v>
      </c>
      <c r="IH97" s="182" t="n"/>
      <c r="II97" s="364" t="n"/>
      <c r="IJ97" s="365">
        <f>C97</f>
        <v/>
      </c>
      <c r="IK97" s="365" t="n">
        <v>845516.29</v>
      </c>
      <c r="IL97" s="365">
        <f>IK98</f>
        <v/>
      </c>
      <c r="IM97" s="388">
        <f>IK97-IL97</f>
        <v/>
      </c>
      <c r="IN97" s="389">
        <f>IM97/IL97</f>
        <v/>
      </c>
      <c r="IO97" s="182" t="n">
        <v>-0.0058</v>
      </c>
      <c r="IP97" s="182" t="n"/>
      <c r="IQ97" s="364" t="n"/>
      <c r="IR97" s="365">
        <f>C97</f>
        <v/>
      </c>
      <c r="IS97" s="365" t="n">
        <v>140489</v>
      </c>
      <c r="IT97" s="365">
        <f>IS98</f>
        <v/>
      </c>
      <c r="IU97" s="390">
        <f>IS97-IT97</f>
        <v/>
      </c>
      <c r="IV97" s="391">
        <f>IU97/IT97</f>
        <v/>
      </c>
      <c r="IW97" s="182" t="n">
        <v>0.0505</v>
      </c>
      <c r="IX97" s="182" t="n"/>
      <c r="IY97" s="364" t="n"/>
      <c r="IZ97" s="365">
        <f>C97</f>
        <v/>
      </c>
      <c r="JA97" s="365" t="n">
        <v>5278729.15</v>
      </c>
      <c r="JB97" s="365">
        <f>JA98</f>
        <v/>
      </c>
      <c r="JC97" s="390">
        <f>JA97-JB97</f>
        <v/>
      </c>
      <c r="JD97" s="391">
        <f>JC97/JB97</f>
        <v/>
      </c>
      <c r="JE97" s="182" t="n">
        <v>0.0027</v>
      </c>
      <c r="JF97" s="182" t="n"/>
      <c r="JG97" s="364" t="n"/>
      <c r="JH97" s="365">
        <f>C97</f>
        <v/>
      </c>
      <c r="JI97" s="365" t="n">
        <v>1442367.99</v>
      </c>
      <c r="JJ97" s="365">
        <f>JI98</f>
        <v/>
      </c>
      <c r="JK97" s="388">
        <f>JI97-JJ97</f>
        <v/>
      </c>
      <c r="JL97" s="389">
        <f>JK97/JJ97</f>
        <v/>
      </c>
      <c r="JM97" s="182" t="n">
        <v>-0.0213</v>
      </c>
      <c r="JN97" s="182" t="n"/>
      <c r="JP97" s="365">
        <f>C97</f>
        <v/>
      </c>
      <c r="JQ97" s="365" t="n">
        <v>1031290.4148</v>
      </c>
      <c r="JR97" s="365">
        <f>JQ98</f>
        <v/>
      </c>
      <c r="JS97" s="390">
        <f>JQ97-JR97</f>
        <v/>
      </c>
      <c r="JT97" s="391">
        <f>JS97/JR97</f>
        <v/>
      </c>
      <c r="JU97" s="182" t="n">
        <v>0.0081</v>
      </c>
      <c r="JV97" s="383" t="n"/>
      <c r="JX97" s="365">
        <f>C97</f>
        <v/>
      </c>
      <c r="JY97" s="365" t="n">
        <v>1057748.8</v>
      </c>
      <c r="JZ97" s="365">
        <f>JY98</f>
        <v/>
      </c>
      <c r="KA97" s="388">
        <f>JY97-JZ97</f>
        <v/>
      </c>
      <c r="KB97" s="389">
        <f>KA97/JZ97</f>
        <v/>
      </c>
      <c r="KC97" s="182" t="n">
        <v>-0.0011</v>
      </c>
      <c r="KD97" s="383" t="n"/>
      <c r="KF97" s="365">
        <f>C97</f>
        <v/>
      </c>
      <c r="KG97" s="365" t="n">
        <v>640755.9219</v>
      </c>
      <c r="KH97" s="365">
        <f>KG98</f>
        <v/>
      </c>
      <c r="KI97" s="384">
        <f>KG97-KH97</f>
        <v/>
      </c>
      <c r="KJ97" s="383">
        <f>KI97/KH97</f>
        <v/>
      </c>
      <c r="KK97" s="366" t="n">
        <v>-0.011</v>
      </c>
      <c r="KL97" s="366" t="n"/>
      <c r="KM97" s="364" t="n"/>
      <c r="KN97" s="365">
        <f>C97</f>
        <v/>
      </c>
      <c r="KO97" s="365" t="n">
        <v>7284875.95</v>
      </c>
      <c r="KP97" s="365">
        <f>KO98</f>
        <v/>
      </c>
      <c r="KQ97" s="390">
        <f>KO97-KP97</f>
        <v/>
      </c>
      <c r="KR97" s="391">
        <f>KQ97/KP97</f>
        <v/>
      </c>
      <c r="KS97" s="182" t="n">
        <v>0.0107</v>
      </c>
      <c r="KT97" s="182" t="n"/>
      <c r="KU97" s="364" t="n"/>
      <c r="KV97" s="365">
        <f>C97</f>
        <v/>
      </c>
      <c r="KW97" s="365" t="n">
        <v>1068472.9726</v>
      </c>
      <c r="KX97" s="365">
        <f>KW98</f>
        <v/>
      </c>
      <c r="KY97" s="323">
        <f>KW97-KX97</f>
        <v/>
      </c>
      <c r="KZ97" s="324">
        <f>KY97/KX97</f>
        <v/>
      </c>
      <c r="LA97" s="366" t="n">
        <v>-0.0287</v>
      </c>
      <c r="LB97" s="182" t="n"/>
      <c r="LC97" s="364" t="n"/>
      <c r="LD97" s="365">
        <f>C97</f>
        <v/>
      </c>
      <c r="LE97" s="365" t="n">
        <v>382107.7</v>
      </c>
      <c r="LF97" s="365">
        <f>LE98</f>
        <v/>
      </c>
      <c r="LG97" s="388">
        <f>LE97-LF97</f>
        <v/>
      </c>
      <c r="LH97" s="389">
        <f>LG97/LF97</f>
        <v/>
      </c>
      <c r="LI97" s="182" t="n">
        <v>0.0322</v>
      </c>
      <c r="LJ97" s="182" t="n"/>
      <c r="LK97" s="364" t="n"/>
      <c r="LL97" s="365">
        <f>C97</f>
        <v/>
      </c>
      <c r="LM97" s="694" t="n">
        <v>3444955.02</v>
      </c>
      <c r="LN97" s="365">
        <f>LM98</f>
        <v/>
      </c>
      <c r="LO97" s="388">
        <f>LM97-LN97</f>
        <v/>
      </c>
      <c r="LP97" s="389">
        <f>LO97/LN97</f>
        <v/>
      </c>
      <c r="LQ97" s="182" t="n">
        <v>-0.0076</v>
      </c>
      <c r="LR97" s="182" t="n"/>
      <c r="LS97" s="364" t="n"/>
      <c r="LT97" s="365">
        <f>C97</f>
        <v/>
      </c>
      <c r="LU97" s="365" t="n">
        <v>2332062.904</v>
      </c>
      <c r="LV97" s="365">
        <f>LU98</f>
        <v/>
      </c>
      <c r="LW97" s="390">
        <f>LU97-LV97</f>
        <v/>
      </c>
      <c r="LX97" s="391">
        <f>LW97/LV97</f>
        <v/>
      </c>
      <c r="LY97" s="182" t="n">
        <v>-0.0113</v>
      </c>
      <c r="LZ97" s="182" t="n"/>
      <c r="MA97" s="364" t="n"/>
      <c r="MB97" s="365">
        <f>C97</f>
        <v/>
      </c>
      <c r="MC97" s="365" t="n">
        <v>1057867.69</v>
      </c>
      <c r="MD97" s="365">
        <f>MC98</f>
        <v/>
      </c>
      <c r="ME97" s="390">
        <f>MC97-MD97</f>
        <v/>
      </c>
      <c r="MF97" s="391">
        <f>ME97/MD97</f>
        <v/>
      </c>
      <c r="MG97" s="182" t="n">
        <v>-0.0282</v>
      </c>
      <c r="MH97" s="182" t="n"/>
      <c r="MI97" s="319" t="n"/>
      <c r="MJ97" s="318" t="n"/>
      <c r="MK97" s="318">
        <f>C97</f>
        <v/>
      </c>
      <c r="ML97" s="318" t="n">
        <v>171225.5354</v>
      </c>
      <c r="MM97" s="13">
        <f>ML98</f>
        <v/>
      </c>
      <c r="MN97" s="318">
        <f>ML97-MM97</f>
        <v/>
      </c>
      <c r="MO97" s="327">
        <f>MN97/MM97</f>
        <v/>
      </c>
      <c r="MP97" s="182" t="n">
        <v>0.0451</v>
      </c>
      <c r="MQ97" s="369" t="n"/>
      <c r="MR97" s="369" t="n"/>
      <c r="MS97" s="188" t="n"/>
      <c r="MT97" s="274">
        <f>C97</f>
        <v/>
      </c>
      <c r="MU97" s="188" t="n">
        <v>132414.8</v>
      </c>
      <c r="MV97" s="188">
        <f>MU98</f>
        <v/>
      </c>
      <c r="MW97" s="188">
        <f>MU97-MV97</f>
        <v/>
      </c>
      <c r="MX97" s="271">
        <f>MW97/MV97</f>
        <v/>
      </c>
      <c r="MY97" s="182" t="n">
        <v>-0.0184</v>
      </c>
      <c r="MZ97" s="182" t="n"/>
      <c r="NA97" s="182" t="n"/>
      <c r="NB97" s="188" t="n"/>
      <c r="NC97" s="188">
        <f>C97</f>
        <v/>
      </c>
      <c r="ND97" s="188" t="n">
        <v>36491.48</v>
      </c>
      <c r="NE97" s="188">
        <f>ND98</f>
        <v/>
      </c>
      <c r="NF97" s="188">
        <f>ND97-NE97</f>
        <v/>
      </c>
      <c r="NG97" s="271">
        <f>NF97/NE97</f>
        <v/>
      </c>
      <c r="NH97" s="182" t="n">
        <v>-0.0094</v>
      </c>
      <c r="NI97" s="182" t="n"/>
      <c r="NJ97" s="182" t="n"/>
      <c r="NK97" s="182" t="n"/>
      <c r="NL97" s="188" t="n"/>
      <c r="NM97" s="188">
        <f>C97</f>
        <v/>
      </c>
      <c r="NN97" s="188" t="n">
        <v>2933111.08</v>
      </c>
      <c r="NO97" s="9">
        <f>NN98</f>
        <v/>
      </c>
      <c r="NP97" s="188">
        <f>NN97-NO97</f>
        <v/>
      </c>
      <c r="NQ97" s="271">
        <f>NP97/NO97</f>
        <v/>
      </c>
      <c r="NR97" s="272" t="n">
        <v>-0.0202</v>
      </c>
      <c r="NS97" s="188" t="n"/>
      <c r="NT97" s="273" t="n"/>
      <c r="NU97" s="188">
        <f>C97</f>
        <v/>
      </c>
      <c r="NV97" s="188" t="n">
        <v>262376.5</v>
      </c>
      <c r="NW97" s="188">
        <f>NV98</f>
        <v/>
      </c>
      <c r="NX97" s="188">
        <f>NV97-NW97</f>
        <v/>
      </c>
      <c r="NY97" s="271">
        <f>NX97/NW97</f>
        <v/>
      </c>
      <c r="NZ97" s="366" t="n">
        <v>-0.0266</v>
      </c>
      <c r="OA97" s="364" t="n"/>
      <c r="OB97" s="364" t="n"/>
      <c r="OC97" s="365">
        <f>C97</f>
        <v/>
      </c>
      <c r="OD97" s="365" t="n">
        <v>17258.97</v>
      </c>
      <c r="OE97" s="365">
        <f>OD98</f>
        <v/>
      </c>
      <c r="OF97" s="390">
        <f>OD97-OE97</f>
        <v/>
      </c>
      <c r="OG97" s="391">
        <f>OF97/OE97</f>
        <v/>
      </c>
      <c r="OH97" s="182" t="n">
        <v>-0.0038</v>
      </c>
      <c r="OI97" s="182" t="n"/>
      <c r="OJ97" s="364" t="n"/>
      <c r="OK97" s="365">
        <f>C97</f>
        <v/>
      </c>
      <c r="OL97" s="185" t="n">
        <v>14518.65</v>
      </c>
      <c r="OM97" s="9">
        <f>OL98</f>
        <v/>
      </c>
      <c r="ON97" s="323">
        <f>OL97-OM97</f>
        <v/>
      </c>
      <c r="OO97" s="324">
        <f>ON97/OM97</f>
        <v/>
      </c>
      <c r="OP97" s="182" t="n">
        <v>-0.0009</v>
      </c>
      <c r="OQ97" s="182" t="n"/>
      <c r="OT97" s="201">
        <f>OK97</f>
        <v/>
      </c>
      <c r="OU97" s="199" t="n">
        <v>150912.4066</v>
      </c>
      <c r="OV97" s="9">
        <f>OU98</f>
        <v/>
      </c>
      <c r="OW97" s="671">
        <f>OU97-OV97</f>
        <v/>
      </c>
      <c r="OX97" s="182">
        <f>OW97/OV97</f>
        <v/>
      </c>
      <c r="OY97" s="0" t="n">
        <v>-0.0115</v>
      </c>
    </row>
    <row r="98" ht="17" customFormat="1" customHeight="1" s="9">
      <c r="A98" s="631" t="n"/>
      <c r="B98" s="631" t="n"/>
      <c r="C98" s="693" t="inlineStr">
        <is>
          <t>2026//6/29</t>
        </is>
      </c>
      <c r="D98" s="362" t="n">
        <v>1993638.77</v>
      </c>
      <c r="E98" s="362">
        <f>D99</f>
        <v/>
      </c>
      <c r="F98" s="377">
        <f>D98-E98</f>
        <v/>
      </c>
      <c r="G98" s="378">
        <f>F98/E98</f>
        <v/>
      </c>
      <c r="H98" s="19" t="n">
        <v>0.0106</v>
      </c>
      <c r="I98" s="426" t="n"/>
      <c r="J98" s="426" t="n"/>
      <c r="K98" s="362">
        <f>C98</f>
        <v/>
      </c>
      <c r="L98" s="362" t="n">
        <v>1321084.4</v>
      </c>
      <c r="M98" s="362">
        <f>L99</f>
        <v/>
      </c>
      <c r="N98" s="377">
        <f>L98-M98</f>
        <v/>
      </c>
      <c r="O98" s="378">
        <f>N98/M98</f>
        <v/>
      </c>
      <c r="P98" s="19" t="n">
        <v>0.009900000000000001</v>
      </c>
      <c r="Q98" s="426" t="n"/>
      <c r="R98" s="427" t="n"/>
      <c r="S98" s="362">
        <f>C98</f>
        <v/>
      </c>
      <c r="T98" s="362" t="n">
        <v>630066.6800000001</v>
      </c>
      <c r="U98" s="362">
        <f>T99</f>
        <v/>
      </c>
      <c r="V98" s="377">
        <f>T98-U98</f>
        <v/>
      </c>
      <c r="W98" s="378">
        <f>V98/U98</f>
        <v/>
      </c>
      <c r="X98" s="19" t="n">
        <v>0.0277</v>
      </c>
      <c r="Y98" s="426" t="n"/>
      <c r="Z98" s="427" t="n"/>
      <c r="AA98" s="362">
        <f>S98</f>
        <v/>
      </c>
      <c r="AB98" s="362" t="n">
        <v>413936.86</v>
      </c>
      <c r="AC98" s="362">
        <f>AB99</f>
        <v/>
      </c>
      <c r="AD98" s="377">
        <f>AB98-AC98</f>
        <v/>
      </c>
      <c r="AE98" s="378">
        <f>AD98/AC98</f>
        <v/>
      </c>
      <c r="AF98" s="19" t="n">
        <v>0.0128</v>
      </c>
      <c r="AG98" s="426" t="n"/>
      <c r="AH98" s="427" t="n"/>
      <c r="AI98" s="362">
        <f>C98</f>
        <v/>
      </c>
      <c r="AJ98" s="362" t="n">
        <v>336921.76</v>
      </c>
      <c r="AK98" s="362">
        <f>AJ99</f>
        <v/>
      </c>
      <c r="AL98" s="377">
        <f>AJ98-AK98</f>
        <v/>
      </c>
      <c r="AM98" s="378">
        <f>AL98/AK98</f>
        <v/>
      </c>
      <c r="AN98" s="19" t="n">
        <v>-0.0026</v>
      </c>
      <c r="AO98" s="19" t="n"/>
      <c r="AP98" s="427" t="n"/>
      <c r="AQ98" s="362">
        <f>C98</f>
        <v/>
      </c>
      <c r="AR98" s="697" t="n">
        <v>1095945.4936</v>
      </c>
      <c r="AS98" s="362">
        <f>AR99</f>
        <v/>
      </c>
      <c r="AT98" s="377">
        <f>AR98-AS98</f>
        <v/>
      </c>
      <c r="AU98" s="378">
        <f>AT98/AS98</f>
        <v/>
      </c>
      <c r="AV98" s="19" t="n">
        <v>0.005</v>
      </c>
      <c r="AW98" s="19" t="n"/>
      <c r="AX98" s="5" t="n"/>
      <c r="AY98" s="188" t="n"/>
      <c r="AZ98" s="188">
        <f>C98</f>
        <v/>
      </c>
      <c r="BA98" s="188" t="n">
        <v>699681.6676</v>
      </c>
      <c r="BB98" s="188">
        <f>BA99</f>
        <v/>
      </c>
      <c r="BC98" s="188">
        <f>BA98-BB98</f>
        <v/>
      </c>
      <c r="BD98" s="271">
        <f>BC98/BB98</f>
        <v/>
      </c>
      <c r="BE98" s="19" t="n">
        <v>0.0119</v>
      </c>
      <c r="BF98" s="19" t="n"/>
      <c r="BG98" s="647" t="n"/>
      <c r="BH98" s="363">
        <f>C98</f>
        <v/>
      </c>
      <c r="BI98" s="363" t="n">
        <v>1161326.5525</v>
      </c>
      <c r="BJ98" s="363">
        <f>BI99</f>
        <v/>
      </c>
      <c r="BK98" s="435">
        <f>BI98-BJ98</f>
        <v/>
      </c>
      <c r="BL98" s="436">
        <f>BK98/BJ98</f>
        <v/>
      </c>
      <c r="BM98" s="191" t="n">
        <v>-0.012</v>
      </c>
      <c r="BN98" s="182" t="n"/>
      <c r="BO98" s="364" t="n"/>
      <c r="BP98" s="365">
        <f>C98</f>
        <v/>
      </c>
      <c r="BQ98" s="694" t="n">
        <v>1152562.3921</v>
      </c>
      <c r="BR98" s="365">
        <f>BQ99</f>
        <v/>
      </c>
      <c r="BS98" s="390">
        <f>BQ98-BR98</f>
        <v/>
      </c>
      <c r="BT98" s="391">
        <f>BS98/BR98</f>
        <v/>
      </c>
      <c r="BU98" s="182" t="n">
        <v>0.006</v>
      </c>
      <c r="BV98" s="182" t="n"/>
      <c r="BW98" s="364" t="n"/>
      <c r="BX98" s="365">
        <f>C98</f>
        <v/>
      </c>
      <c r="BY98" s="365" t="n">
        <v>1863660.7019</v>
      </c>
      <c r="BZ98" s="365">
        <f>BY99</f>
        <v/>
      </c>
      <c r="CA98" s="390">
        <f>BY98-BZ98</f>
        <v/>
      </c>
      <c r="CB98" s="391">
        <f>CA98/BZ98</f>
        <v/>
      </c>
      <c r="CC98" s="182" t="n">
        <v>0.008200000000000001</v>
      </c>
      <c r="CD98" s="383" t="n"/>
      <c r="CE98" s="364" t="n"/>
      <c r="CF98" s="365">
        <f>C98</f>
        <v/>
      </c>
      <c r="CG98" s="365" t="n">
        <v>1219453.9</v>
      </c>
      <c r="CH98" s="13">
        <f>CG99</f>
        <v/>
      </c>
      <c r="CI98" s="13">
        <f>CG98-CH98</f>
        <v/>
      </c>
      <c r="CJ98" s="193">
        <f>CI98/CH98</f>
        <v/>
      </c>
      <c r="CK98" s="182" t="n">
        <v>0.0136</v>
      </c>
      <c r="CL98" s="366" t="n"/>
      <c r="CM98" s="364" t="n"/>
      <c r="CN98" s="365">
        <f>C98</f>
        <v/>
      </c>
      <c r="CO98" s="365" t="n">
        <v>535746.48</v>
      </c>
      <c r="CP98" s="365">
        <f>CO99</f>
        <v/>
      </c>
      <c r="CQ98" s="13">
        <f>CO98-CP98</f>
        <v/>
      </c>
      <c r="CR98" s="193">
        <f>CQ98/CP98</f>
        <v/>
      </c>
      <c r="CS98" s="366" t="n">
        <v>0.0194</v>
      </c>
      <c r="CT98" s="366" t="n"/>
      <c r="CU98" s="364" t="n"/>
      <c r="CV98" s="365">
        <f>C98</f>
        <v/>
      </c>
      <c r="CW98" s="365" t="n">
        <v>475790.4</v>
      </c>
      <c r="CX98" s="365">
        <f>CW99</f>
        <v/>
      </c>
      <c r="CY98" s="388">
        <f>CW98-CX98</f>
        <v/>
      </c>
      <c r="CZ98" s="389">
        <f>CY98/CX98</f>
        <v/>
      </c>
      <c r="DA98" s="182" t="n">
        <v>0.0176</v>
      </c>
      <c r="DB98" s="182" t="n"/>
      <c r="DC98" s="256" t="n"/>
      <c r="DD98" s="365">
        <f>C98</f>
        <v/>
      </c>
      <c r="DE98" s="365" t="n">
        <v>2139517.9986</v>
      </c>
      <c r="DF98" s="13">
        <f>DE99</f>
        <v/>
      </c>
      <c r="DG98" s="390">
        <f>DE98-DF98</f>
        <v/>
      </c>
      <c r="DH98" s="391">
        <f>DG98/DF98</f>
        <v/>
      </c>
      <c r="DI98" s="182" t="n">
        <v>0.0902</v>
      </c>
      <c r="DJ98" s="182" t="n"/>
      <c r="DK98" s="364" t="n"/>
      <c r="DL98" s="365">
        <f>C98</f>
        <v/>
      </c>
      <c r="DM98" s="365" t="n">
        <v>851100.36</v>
      </c>
      <c r="DN98" s="365">
        <f>DM99</f>
        <v/>
      </c>
      <c r="DO98" s="388">
        <f>DM98-DN98</f>
        <v/>
      </c>
      <c r="DP98" s="389">
        <f>DO98/DN98</f>
        <v/>
      </c>
      <c r="DQ98" s="182" t="n">
        <v>0.059</v>
      </c>
      <c r="DR98" s="182" t="n"/>
      <c r="DS98" s="364" t="n"/>
      <c r="DT98" s="365">
        <f>C98</f>
        <v/>
      </c>
      <c r="DU98" s="365" t="n">
        <v>1291889.48</v>
      </c>
      <c r="DV98" s="365">
        <f>DU99</f>
        <v/>
      </c>
      <c r="DW98" s="388">
        <f>DU98-DV98</f>
        <v/>
      </c>
      <c r="DX98" s="389">
        <f>DW98/DV98</f>
        <v/>
      </c>
      <c r="DY98" s="182" t="n">
        <v>0.0517</v>
      </c>
      <c r="DZ98" s="182" t="n"/>
      <c r="EA98" s="364" t="n"/>
      <c r="EB98" s="365">
        <f>C98</f>
        <v/>
      </c>
      <c r="EC98" s="365" t="n">
        <v>2980466.82</v>
      </c>
      <c r="ED98" s="365">
        <f>EC99</f>
        <v/>
      </c>
      <c r="EE98" s="388">
        <f>EC98-ED98</f>
        <v/>
      </c>
      <c r="EF98" s="389">
        <f>EE98/ED98</f>
        <v/>
      </c>
      <c r="EG98" s="182" t="n">
        <v>0.0539</v>
      </c>
      <c r="EH98" s="182" t="n"/>
      <c r="EI98" s="364" t="n"/>
      <c r="EJ98" s="365">
        <f>C98</f>
        <v/>
      </c>
      <c r="EK98" s="365" t="n">
        <v>1102722.9669</v>
      </c>
      <c r="EL98" s="365">
        <f>EK99</f>
        <v/>
      </c>
      <c r="EM98" s="388">
        <f>EK98-EL98</f>
        <v/>
      </c>
      <c r="EN98" s="389">
        <f>EM98/EL98</f>
        <v/>
      </c>
      <c r="EO98" s="182" t="n">
        <v>0.013</v>
      </c>
      <c r="EP98" s="182" t="n"/>
      <c r="EQ98" s="317" t="n"/>
      <c r="ER98" s="318">
        <f>C98</f>
        <v/>
      </c>
      <c r="ES98" s="318" t="n">
        <v>367547.02</v>
      </c>
      <c r="ET98" s="318">
        <f>ES99</f>
        <v/>
      </c>
      <c r="EU98" s="318">
        <f>ES98-ET98</f>
        <v/>
      </c>
      <c r="EV98" s="327">
        <f>EU98/ET98</f>
        <v/>
      </c>
      <c r="EW98" s="182" t="n">
        <v>0.0141</v>
      </c>
      <c r="EX98" s="182" t="n"/>
      <c r="EY98" s="364" t="n"/>
      <c r="EZ98" s="365">
        <f>C98</f>
        <v/>
      </c>
      <c r="FA98" s="365" t="n">
        <v>530508</v>
      </c>
      <c r="FB98" s="365">
        <f>FA99</f>
        <v/>
      </c>
      <c r="FC98" s="388">
        <f>FA98-FB98</f>
        <v/>
      </c>
      <c r="FD98" s="389">
        <f>FC98/FB98</f>
        <v/>
      </c>
      <c r="FE98" s="182" t="n">
        <v>-0.0056</v>
      </c>
      <c r="FF98" s="182" t="n"/>
      <c r="FH98" s="365">
        <f>C98</f>
        <v/>
      </c>
      <c r="FI98" s="694" t="n">
        <v>981695.3365</v>
      </c>
      <c r="FJ98" s="365">
        <f>FI99</f>
        <v/>
      </c>
      <c r="FK98" s="325">
        <f>FI98-FJ98</f>
        <v/>
      </c>
      <c r="FL98" s="326">
        <f>FK98/FJ98</f>
        <v/>
      </c>
      <c r="FM98" s="366" t="n">
        <v>-0.0108</v>
      </c>
      <c r="FN98" s="366" t="n"/>
      <c r="FO98" s="364" t="n"/>
      <c r="FP98" s="365">
        <f>C98</f>
        <v/>
      </c>
      <c r="FQ98" s="365" t="n">
        <v>1547218.73</v>
      </c>
      <c r="FR98" s="365">
        <f>FQ99</f>
        <v/>
      </c>
      <c r="FS98" s="388">
        <f>FQ98-FR98</f>
        <v/>
      </c>
      <c r="FT98" s="389">
        <f>FS98/FR98</f>
        <v/>
      </c>
      <c r="FU98" s="182" t="n">
        <v>-0.0055</v>
      </c>
      <c r="FV98" s="182" t="n"/>
      <c r="FW98" s="364" t="n"/>
      <c r="FX98" s="365">
        <f>C98</f>
        <v/>
      </c>
      <c r="FY98" s="365" t="n">
        <v>8358482.05</v>
      </c>
      <c r="FZ98" s="365">
        <f>FY99</f>
        <v/>
      </c>
      <c r="GA98" s="388">
        <f>FY98-FZ98</f>
        <v/>
      </c>
      <c r="GB98" s="389">
        <f>GA98/FZ98</f>
        <v/>
      </c>
      <c r="GC98" s="182" t="n">
        <v>0.0507</v>
      </c>
      <c r="GD98" s="182" t="n"/>
      <c r="GE98" s="364" t="n"/>
      <c r="GF98" s="365">
        <f>C98</f>
        <v/>
      </c>
      <c r="GG98" s="365" t="n">
        <v>4863969.49</v>
      </c>
      <c r="GH98" s="365">
        <f>GG99</f>
        <v/>
      </c>
      <c r="GI98" s="388">
        <f>GG98-GH98</f>
        <v/>
      </c>
      <c r="GJ98" s="389">
        <f>GI98/GH98</f>
        <v/>
      </c>
      <c r="GK98" s="182" t="n">
        <v>0.06270000000000001</v>
      </c>
      <c r="GL98" s="182" t="n"/>
      <c r="GM98" s="364" t="n"/>
      <c r="GN98" s="365">
        <f>C98</f>
        <v/>
      </c>
      <c r="GO98" s="365" t="n">
        <v>1947598.1217</v>
      </c>
      <c r="GP98" s="365">
        <f>GO99</f>
        <v/>
      </c>
      <c r="GQ98" s="390">
        <f>GO98-GP98</f>
        <v/>
      </c>
      <c r="GR98" s="391">
        <f>GQ98/GP98</f>
        <v/>
      </c>
      <c r="GS98" s="182" t="n">
        <v>0.0863</v>
      </c>
      <c r="GT98" s="182" t="n"/>
      <c r="GU98" s="364" t="n"/>
      <c r="GV98" s="365">
        <f>C98</f>
        <v/>
      </c>
      <c r="GW98" s="365" t="n">
        <v>684949.4</v>
      </c>
      <c r="GX98" s="365">
        <f>GW99</f>
        <v/>
      </c>
      <c r="GY98" s="388">
        <f>GW98-GX98</f>
        <v/>
      </c>
      <c r="GZ98" s="389">
        <f>GY98/GX98</f>
        <v/>
      </c>
      <c r="HA98" s="182" t="n">
        <v>0.008</v>
      </c>
      <c r="HB98" s="182" t="n"/>
      <c r="HC98" s="364" t="n"/>
      <c r="HD98" s="365">
        <f>C98</f>
        <v/>
      </c>
      <c r="HE98" s="365" t="n">
        <v>964764.6746</v>
      </c>
      <c r="HF98" s="365">
        <f>HE99</f>
        <v/>
      </c>
      <c r="HG98" s="388">
        <f>HE98-HF98</f>
        <v/>
      </c>
      <c r="HH98" s="389">
        <f>HG98/HF98</f>
        <v/>
      </c>
      <c r="HI98" s="366" t="n">
        <v>0.0103</v>
      </c>
      <c r="HJ98" s="182" t="n"/>
      <c r="HK98" s="364" t="n"/>
      <c r="HL98" s="365">
        <f>C98</f>
        <v/>
      </c>
      <c r="HM98" s="365" t="n">
        <v>111654.25</v>
      </c>
      <c r="HN98" s="365">
        <f>HM99</f>
        <v/>
      </c>
      <c r="HO98" s="388">
        <f>HM98-HN98</f>
        <v/>
      </c>
      <c r="HP98" s="389">
        <f>HO98/HN98</f>
        <v/>
      </c>
      <c r="HQ98" s="182" t="n">
        <v>0.0106</v>
      </c>
      <c r="HR98" s="182" t="n"/>
      <c r="HS98" s="364" t="n"/>
      <c r="HT98" s="365">
        <f>C98</f>
        <v/>
      </c>
      <c r="HU98" s="365" t="n">
        <v>130368.8265</v>
      </c>
      <c r="HV98" s="365">
        <f>HU99</f>
        <v/>
      </c>
      <c r="HW98" s="390">
        <f>HU98-HV98</f>
        <v/>
      </c>
      <c r="HX98" s="391">
        <f>HW98/HV98</f>
        <v/>
      </c>
      <c r="HY98" s="182" t="n">
        <v>0.0091</v>
      </c>
      <c r="HZ98" s="182" t="n"/>
      <c r="IA98" s="364" t="n"/>
      <c r="IB98" s="365">
        <f>C98</f>
        <v/>
      </c>
      <c r="IC98" s="185" t="n">
        <v>265784.79</v>
      </c>
      <c r="ID98" s="185">
        <f>IC99</f>
        <v/>
      </c>
      <c r="IE98" s="323">
        <f>IC98-ID98</f>
        <v/>
      </c>
      <c r="IF98" s="324">
        <f>IE98/ID98</f>
        <v/>
      </c>
      <c r="IG98" s="366" t="n">
        <v>-0.0059</v>
      </c>
      <c r="IH98" s="182" t="n"/>
      <c r="II98" s="364" t="n"/>
      <c r="IJ98" s="365">
        <f>C98</f>
        <v/>
      </c>
      <c r="IK98" s="365" t="n">
        <v>842396.29</v>
      </c>
      <c r="IL98" s="365">
        <f>IK99</f>
        <v/>
      </c>
      <c r="IM98" s="388">
        <f>IK98-IL98</f>
        <v/>
      </c>
      <c r="IN98" s="389">
        <f>IM98/IL98</f>
        <v/>
      </c>
      <c r="IO98" s="182" t="n">
        <v>0.0058</v>
      </c>
      <c r="IP98" s="182" t="n"/>
      <c r="IQ98" s="364" t="n"/>
      <c r="IR98" s="365">
        <f>C98</f>
        <v/>
      </c>
      <c r="IS98" s="365" t="n">
        <v>146089</v>
      </c>
      <c r="IT98" s="365">
        <f>IS99</f>
        <v/>
      </c>
      <c r="IU98" s="388">
        <f>IS98-IT98</f>
        <v/>
      </c>
      <c r="IV98" s="389">
        <f>IU98/IT98</f>
        <v/>
      </c>
      <c r="IW98" s="182" t="n">
        <v>0.003</v>
      </c>
      <c r="IX98" s="182" t="n"/>
      <c r="IY98" s="364" t="n"/>
      <c r="IZ98" s="365">
        <f>C98</f>
        <v/>
      </c>
      <c r="JA98" s="365" t="n">
        <v>5217129.15</v>
      </c>
      <c r="JB98" s="365">
        <f>JA99</f>
        <v/>
      </c>
      <c r="JC98" s="390">
        <f>JA98-JB98</f>
        <v/>
      </c>
      <c r="JD98" s="391">
        <f>JC98/JB98</f>
        <v/>
      </c>
      <c r="JE98" s="182" t="n">
        <v>0.0145</v>
      </c>
      <c r="JF98" s="182" t="n"/>
      <c r="JG98" s="364" t="n"/>
      <c r="JH98" s="365">
        <f>C98</f>
        <v/>
      </c>
      <c r="JI98" s="365" t="n">
        <v>1489707.99</v>
      </c>
      <c r="JJ98" s="365">
        <f>JI99</f>
        <v/>
      </c>
      <c r="JK98" s="388">
        <f>JI98-JJ98</f>
        <v/>
      </c>
      <c r="JL98" s="389">
        <f>JK98/JJ98</f>
        <v/>
      </c>
      <c r="JM98" s="182" t="n">
        <v>0.0054</v>
      </c>
      <c r="JN98" s="182" t="n"/>
      <c r="JP98" s="365">
        <f>C98</f>
        <v/>
      </c>
      <c r="JQ98" s="365" t="n">
        <v>1036690.4148</v>
      </c>
      <c r="JR98" s="365">
        <f>JQ99</f>
        <v/>
      </c>
      <c r="JS98" s="390">
        <f>JQ98-JR98</f>
        <v/>
      </c>
      <c r="JT98" s="391">
        <f>JS98/JR98</f>
        <v/>
      </c>
      <c r="JU98" s="182" t="n">
        <v>-0.008</v>
      </c>
      <c r="JV98" s="383" t="n"/>
      <c r="JX98" s="365">
        <f>C98</f>
        <v/>
      </c>
      <c r="JY98" s="365" t="n">
        <v>1060998.8</v>
      </c>
      <c r="JZ98" s="365">
        <f>JY99</f>
        <v/>
      </c>
      <c r="KA98" s="388">
        <f>JY98-JZ98</f>
        <v/>
      </c>
      <c r="KB98" s="389">
        <f>KA98/JZ98</f>
        <v/>
      </c>
      <c r="KC98" s="182" t="n">
        <v>0.0218</v>
      </c>
      <c r="KD98" s="383" t="n"/>
      <c r="KF98" s="365">
        <f>C98</f>
        <v/>
      </c>
      <c r="KG98" s="365" t="n">
        <v>640755.9219</v>
      </c>
      <c r="KH98" s="365">
        <f>KG99</f>
        <v/>
      </c>
      <c r="KI98" s="384">
        <f>KG98-KH98</f>
        <v/>
      </c>
      <c r="KJ98" s="383">
        <f>KI98/KH98</f>
        <v/>
      </c>
      <c r="KK98" s="366" t="n">
        <v>0.0164</v>
      </c>
      <c r="KL98" s="366" t="n"/>
      <c r="KM98" s="364" t="n"/>
      <c r="KN98" s="365">
        <f>C98</f>
        <v/>
      </c>
      <c r="KO98" s="365" t="n">
        <v>7333475.95</v>
      </c>
      <c r="KP98" s="365">
        <f>KO99</f>
        <v/>
      </c>
      <c r="KQ98" s="390">
        <f>KO98-KP98</f>
        <v/>
      </c>
      <c r="KR98" s="391">
        <f>KQ98/KP98</f>
        <v/>
      </c>
      <c r="KS98" s="182" t="n">
        <v>0.0351</v>
      </c>
      <c r="KT98" s="182" t="n"/>
      <c r="KU98" s="364" t="n"/>
      <c r="KV98" s="365">
        <f>C98</f>
        <v/>
      </c>
      <c r="KW98" s="365" t="n">
        <v>1046672.9726</v>
      </c>
      <c r="KX98" s="365">
        <f>KW99</f>
        <v/>
      </c>
      <c r="KY98" s="323">
        <f>KW98-KX98</f>
        <v/>
      </c>
      <c r="KZ98" s="324">
        <f>KY98/KX98</f>
        <v/>
      </c>
      <c r="LA98" s="366" t="n">
        <v>0.07920000000000001</v>
      </c>
      <c r="LB98" s="182" t="n"/>
      <c r="LC98" s="364" t="n"/>
      <c r="LD98" s="365">
        <f>C98</f>
        <v/>
      </c>
      <c r="LE98" s="365" t="n">
        <v>383007.7</v>
      </c>
      <c r="LF98" s="365">
        <f>LE99</f>
        <v/>
      </c>
      <c r="LG98" s="390">
        <f>LE98-LF98</f>
        <v/>
      </c>
      <c r="LH98" s="391">
        <f>LG98/LF98</f>
        <v/>
      </c>
      <c r="LI98" s="182" t="n">
        <v>-0.0154</v>
      </c>
      <c r="LJ98" s="182" t="n"/>
      <c r="LK98" s="364" t="n"/>
      <c r="LL98" s="365">
        <f>C98</f>
        <v/>
      </c>
      <c r="LM98" s="694" t="n">
        <v>3425155.02</v>
      </c>
      <c r="LN98" s="365">
        <f>LM99</f>
        <v/>
      </c>
      <c r="LO98" s="388">
        <f>LM98-LN98</f>
        <v/>
      </c>
      <c r="LP98" s="389">
        <f>LO98/LN98</f>
        <v/>
      </c>
      <c r="LQ98" s="182" t="n">
        <v>0.0206</v>
      </c>
      <c r="LR98" s="182" t="n"/>
      <c r="LS98" s="364" t="n"/>
      <c r="LT98" s="365">
        <f>C98</f>
        <v/>
      </c>
      <c r="LU98" s="365" t="n">
        <v>2334662.904</v>
      </c>
      <c r="LV98" s="365">
        <f>LU99</f>
        <v/>
      </c>
      <c r="LW98" s="390">
        <f>LU98-LV98</f>
        <v/>
      </c>
      <c r="LX98" s="391">
        <f>LW98/LV98</f>
        <v/>
      </c>
      <c r="LY98" s="182" t="n">
        <v>0.0315</v>
      </c>
      <c r="LZ98" s="182" t="n"/>
      <c r="MA98" s="364" t="n"/>
      <c r="MB98" s="365">
        <f>C98</f>
        <v/>
      </c>
      <c r="MC98" s="365" t="n">
        <v>1083567.69</v>
      </c>
      <c r="MD98" s="365">
        <f>MC99</f>
        <v/>
      </c>
      <c r="ME98" s="390">
        <f>MC98-MD98</f>
        <v/>
      </c>
      <c r="MF98" s="391">
        <f>ME98/MD98</f>
        <v/>
      </c>
      <c r="MG98" s="182" t="n">
        <v>0.0157</v>
      </c>
      <c r="MH98" s="182" t="n"/>
      <c r="MI98" s="319" t="n"/>
      <c r="MJ98" s="318" t="n"/>
      <c r="MK98" s="318">
        <f>C98</f>
        <v/>
      </c>
      <c r="ML98" s="318" t="n">
        <v>173025.5354</v>
      </c>
      <c r="MM98" s="13">
        <f>ML99</f>
        <v/>
      </c>
      <c r="MN98" s="318">
        <f>ML98-MM98</f>
        <v/>
      </c>
      <c r="MO98" s="327">
        <f>MN98/MM98</f>
        <v/>
      </c>
      <c r="MP98" s="182" t="n">
        <v>0.007900000000000001</v>
      </c>
      <c r="MQ98" s="369" t="n"/>
      <c r="MR98" s="369" t="n"/>
      <c r="MS98" s="188" t="n"/>
      <c r="MT98" s="274">
        <f>C98</f>
        <v/>
      </c>
      <c r="MU98" s="188" t="n">
        <v>133914.8</v>
      </c>
      <c r="MV98" s="188">
        <f>MU99</f>
        <v/>
      </c>
      <c r="MW98" s="188">
        <f>MU98-MV98</f>
        <v/>
      </c>
      <c r="MX98" s="271">
        <f>MW98/MV98</f>
        <v/>
      </c>
      <c r="MY98" s="182" t="n">
        <v>-0.0131</v>
      </c>
      <c r="MZ98" s="182" t="n"/>
      <c r="NA98" s="182" t="n"/>
      <c r="NB98" s="188" t="n"/>
      <c r="NC98" s="188">
        <f>C98</f>
        <v/>
      </c>
      <c r="ND98" s="188" t="n">
        <v>36291.48</v>
      </c>
      <c r="NE98" s="188">
        <f>ND99</f>
        <v/>
      </c>
      <c r="NF98" s="188">
        <f>ND98-NE98</f>
        <v/>
      </c>
      <c r="NG98" s="271">
        <f>NF98/NE98</f>
        <v/>
      </c>
      <c r="NH98" s="182" t="n">
        <v>0.0029</v>
      </c>
      <c r="NI98" s="182" t="n"/>
      <c r="NJ98" s="182" t="n"/>
      <c r="NK98" s="182" t="n"/>
      <c r="NL98" s="188" t="n"/>
      <c r="NM98" s="188">
        <f>C98</f>
        <v/>
      </c>
      <c r="NN98" s="188" t="n">
        <v>2913911.08</v>
      </c>
      <c r="NO98" s="9">
        <f>NN99</f>
        <v/>
      </c>
      <c r="NP98" s="188">
        <f>NN98-NO98</f>
        <v/>
      </c>
      <c r="NQ98" s="271">
        <f>NP98/NO98</f>
        <v/>
      </c>
      <c r="NR98" s="272" t="n">
        <v>0.0074</v>
      </c>
      <c r="NS98" s="188" t="n"/>
      <c r="NT98" s="273" t="n"/>
      <c r="NU98" s="188">
        <f>C98</f>
        <v/>
      </c>
      <c r="NV98" s="188" t="n">
        <v>261176.5</v>
      </c>
      <c r="NW98" s="188">
        <f>NV99</f>
        <v/>
      </c>
      <c r="NX98" s="188">
        <f>NV98-NW98</f>
        <v/>
      </c>
      <c r="NY98" s="271">
        <f>NX98/NW98</f>
        <v/>
      </c>
      <c r="NZ98" s="366" t="n">
        <v>0.0488</v>
      </c>
      <c r="OA98" s="364" t="n"/>
      <c r="OB98" s="364" t="n"/>
      <c r="OC98" s="365">
        <f>C98</f>
        <v/>
      </c>
      <c r="OD98" s="365" t="n">
        <v>16785.97</v>
      </c>
      <c r="OE98" s="365">
        <f>OD99</f>
        <v/>
      </c>
      <c r="OF98" s="390">
        <f>OD98-OE98</f>
        <v/>
      </c>
      <c r="OG98" s="391">
        <f>OF98/OE98</f>
        <v/>
      </c>
      <c r="OH98" s="182" t="n">
        <v>0.0033</v>
      </c>
      <c r="OI98" s="182" t="n"/>
      <c r="OJ98" s="364" t="n"/>
      <c r="OK98" s="365">
        <f>C98</f>
        <v/>
      </c>
      <c r="OL98" s="185" t="n">
        <v>14501.65</v>
      </c>
      <c r="OM98" s="9">
        <f>OL99</f>
        <v/>
      </c>
      <c r="ON98" s="323">
        <f>OL98-OM98</f>
        <v/>
      </c>
      <c r="OO98" s="324">
        <f>ON98/OM98</f>
        <v/>
      </c>
      <c r="OP98" s="182" t="n">
        <v>0.0013</v>
      </c>
      <c r="OQ98" s="182" t="n"/>
      <c r="OT98" s="201">
        <f>OK98</f>
        <v/>
      </c>
      <c r="OU98" s="199" t="n">
        <v>150792.4066</v>
      </c>
      <c r="OV98" s="9">
        <f>OU99</f>
        <v/>
      </c>
      <c r="OW98" s="671">
        <f>OU98-OV98</f>
        <v/>
      </c>
      <c r="OX98" s="182">
        <f>OW98/OV98</f>
        <v/>
      </c>
      <c r="OY98" s="0" t="n">
        <v>0.0005</v>
      </c>
    </row>
    <row r="99" ht="17" customFormat="1" customHeight="1" s="9">
      <c r="A99" s="631" t="n"/>
      <c r="B99" s="631" t="n"/>
      <c r="C99" s="693" t="inlineStr">
        <is>
          <t>2026//6/26</t>
        </is>
      </c>
      <c r="D99" s="362" t="n">
        <v>2080038.77</v>
      </c>
      <c r="E99" s="362">
        <f>D100</f>
        <v/>
      </c>
      <c r="F99" s="432">
        <f>D99-E99</f>
        <v/>
      </c>
      <c r="G99" s="433">
        <f>F99/E99</f>
        <v/>
      </c>
      <c r="H99" s="19" t="n">
        <v>-0.0279</v>
      </c>
      <c r="I99" s="426" t="n"/>
      <c r="J99" s="426" t="n"/>
      <c r="K99" s="362">
        <f>C99</f>
        <v/>
      </c>
      <c r="L99" s="362" t="n">
        <v>1388674.4</v>
      </c>
      <c r="M99" s="362">
        <f>L100</f>
        <v/>
      </c>
      <c r="N99" s="432">
        <f>L99-M99</f>
        <v/>
      </c>
      <c r="O99" s="433">
        <f>N99/M99</f>
        <v/>
      </c>
      <c r="P99" s="19" t="n">
        <v>-0.0266</v>
      </c>
      <c r="Q99" s="426" t="n"/>
      <c r="R99" s="427" t="n"/>
      <c r="S99" s="362">
        <f>C99</f>
        <v/>
      </c>
      <c r="T99" s="362" t="n">
        <v>638796.6800000001</v>
      </c>
      <c r="U99" s="362">
        <f>T100</f>
        <v/>
      </c>
      <c r="V99" s="432">
        <f>T99-U99</f>
        <v/>
      </c>
      <c r="W99" s="433">
        <f>V99/U99</f>
        <v/>
      </c>
      <c r="X99" s="19" t="n">
        <v>-0.0193</v>
      </c>
      <c r="Y99" s="426" t="n"/>
      <c r="Z99" s="427" t="n"/>
      <c r="AA99" s="362">
        <f>S99</f>
        <v/>
      </c>
      <c r="AB99" s="362" t="n">
        <v>417656.86</v>
      </c>
      <c r="AC99" s="362">
        <f>AB100</f>
        <v/>
      </c>
      <c r="AD99" s="432">
        <f>AB99-AC99</f>
        <v/>
      </c>
      <c r="AE99" s="433">
        <f>AD99/AC99</f>
        <v/>
      </c>
      <c r="AF99" s="19" t="n">
        <v>-0.0247</v>
      </c>
      <c r="AG99" s="426" t="n"/>
      <c r="AH99" s="427" t="n"/>
      <c r="AI99" s="362">
        <f>C99</f>
        <v/>
      </c>
      <c r="AJ99" s="362" t="n">
        <v>303721.76</v>
      </c>
      <c r="AK99" s="362">
        <f>AJ100</f>
        <v/>
      </c>
      <c r="AL99" s="432">
        <f>AJ99-AK99</f>
        <v/>
      </c>
      <c r="AM99" s="433">
        <f>AL99/AK99</f>
        <v/>
      </c>
      <c r="AN99" s="19" t="n">
        <v>-0.0238</v>
      </c>
      <c r="AO99" s="19" t="n"/>
      <c r="AP99" s="427" t="n"/>
      <c r="AQ99" s="362">
        <f>C99</f>
        <v/>
      </c>
      <c r="AR99" s="697" t="n">
        <v>1102945.4936</v>
      </c>
      <c r="AS99" s="362">
        <f>AR100</f>
        <v/>
      </c>
      <c r="AT99" s="432">
        <f>AR99-AS99</f>
        <v/>
      </c>
      <c r="AU99" s="433">
        <f>AT99/AS99</f>
        <v/>
      </c>
      <c r="AV99" s="19" t="n">
        <v>-0.041</v>
      </c>
      <c r="AW99" s="19" t="n"/>
      <c r="AX99" s="5" t="n"/>
      <c r="AY99" s="188" t="n"/>
      <c r="AZ99" s="188">
        <f>C99</f>
        <v/>
      </c>
      <c r="BA99" s="188" t="n">
        <v>760881.6676</v>
      </c>
      <c r="BB99" s="188">
        <f>BA100</f>
        <v/>
      </c>
      <c r="BC99" s="188">
        <f>BA99-BB99</f>
        <v/>
      </c>
      <c r="BD99" s="271">
        <f>BC99/BB99</f>
        <v/>
      </c>
      <c r="BE99" s="19" t="n">
        <v>-0.0285</v>
      </c>
      <c r="BF99" s="19" t="n"/>
      <c r="BG99" s="647" t="n"/>
      <c r="BH99" s="363">
        <f>C99</f>
        <v/>
      </c>
      <c r="BI99" s="363" t="n">
        <v>1159026.5525</v>
      </c>
      <c r="BJ99" s="363">
        <f>BI100</f>
        <v/>
      </c>
      <c r="BK99" s="395">
        <f>BI99-BJ99</f>
        <v/>
      </c>
      <c r="BL99" s="396">
        <f>BK99/BJ99</f>
        <v/>
      </c>
      <c r="BM99" s="191" t="n">
        <v>-0.0596</v>
      </c>
      <c r="BN99" s="182" t="n"/>
      <c r="BO99" s="364" t="n"/>
      <c r="BP99" s="365">
        <f>C99</f>
        <v/>
      </c>
      <c r="BQ99" s="694" t="n">
        <v>1147662.3921</v>
      </c>
      <c r="BR99" s="365">
        <f>BQ100</f>
        <v/>
      </c>
      <c r="BS99" s="390">
        <f>BQ99-BR99</f>
        <v/>
      </c>
      <c r="BT99" s="391">
        <f>BS99/BR99</f>
        <v/>
      </c>
      <c r="BU99" s="182" t="n">
        <v>-0.0526</v>
      </c>
      <c r="BV99" s="182" t="n"/>
      <c r="BW99" s="364" t="n"/>
      <c r="BX99" s="365">
        <f>C99</f>
        <v/>
      </c>
      <c r="BY99" s="365" t="n">
        <v>1882860.7019</v>
      </c>
      <c r="BZ99" s="365">
        <f>BY100</f>
        <v/>
      </c>
      <c r="CA99" s="390">
        <f>BY99-BZ99</f>
        <v/>
      </c>
      <c r="CB99" s="391">
        <f>CA99/BZ99</f>
        <v/>
      </c>
      <c r="CC99" s="182" t="n">
        <v>-0.0393</v>
      </c>
      <c r="CD99" s="383" t="n"/>
      <c r="CE99" s="364" t="n"/>
      <c r="CF99" s="365">
        <f>C99</f>
        <v/>
      </c>
      <c r="CG99" s="365" t="n">
        <v>1226653.9</v>
      </c>
      <c r="CH99" s="13">
        <f>CG100</f>
        <v/>
      </c>
      <c r="CI99" s="13">
        <f>CG99-CH99</f>
        <v/>
      </c>
      <c r="CJ99" s="193">
        <f>CI99/CH99</f>
        <v/>
      </c>
      <c r="CK99" s="182" t="n">
        <v>-0.0432</v>
      </c>
      <c r="CL99" s="366" t="n"/>
      <c r="CM99" s="364" t="n"/>
      <c r="CN99" s="365">
        <f>C99</f>
        <v/>
      </c>
      <c r="CO99" s="365" t="n">
        <v>537246.48</v>
      </c>
      <c r="CP99" s="365">
        <f>CO100</f>
        <v/>
      </c>
      <c r="CQ99" s="13">
        <f>CO99-CP99</f>
        <v/>
      </c>
      <c r="CR99" s="193">
        <f>CQ99/CP99</f>
        <v/>
      </c>
      <c r="CS99" s="366" t="n">
        <v>-0.0458</v>
      </c>
      <c r="CT99" s="366" t="n"/>
      <c r="CU99" s="364" t="n"/>
      <c r="CV99" s="365">
        <f>C99</f>
        <v/>
      </c>
      <c r="CW99" s="365" t="n">
        <v>480940.4</v>
      </c>
      <c r="CX99" s="365">
        <f>CW100</f>
        <v/>
      </c>
      <c r="CY99" s="388">
        <f>CW99-CX99</f>
        <v/>
      </c>
      <c r="CZ99" s="389">
        <f>CY99/CX99</f>
        <v/>
      </c>
      <c r="DA99" s="182" t="n">
        <v>-0.027</v>
      </c>
      <c r="DB99" s="182" t="n"/>
      <c r="DC99" s="256" t="n"/>
      <c r="DD99" s="365">
        <f>C99</f>
        <v/>
      </c>
      <c r="DE99" s="365" t="n">
        <v>2060117.9986</v>
      </c>
      <c r="DF99" s="13">
        <f>DE100</f>
        <v/>
      </c>
      <c r="DG99" s="390">
        <f>DE99-DF99</f>
        <v/>
      </c>
      <c r="DH99" s="391">
        <f>DG99/DF99</f>
        <v/>
      </c>
      <c r="DI99" s="182" t="n">
        <v>0.0353</v>
      </c>
      <c r="DJ99" s="182" t="n"/>
      <c r="DK99" s="364" t="n"/>
      <c r="DL99" s="365">
        <f>C99</f>
        <v/>
      </c>
      <c r="DM99" s="365" t="n">
        <v>868700.36</v>
      </c>
      <c r="DN99" s="365">
        <f>DM100</f>
        <v/>
      </c>
      <c r="DO99" s="388">
        <f>DM99-DN99</f>
        <v/>
      </c>
      <c r="DP99" s="389">
        <f>DO99/DN99</f>
        <v/>
      </c>
      <c r="DQ99" s="182" t="n">
        <v>-0.0097</v>
      </c>
      <c r="DR99" s="182" t="n"/>
      <c r="DS99" s="364" t="n"/>
      <c r="DT99" s="365">
        <f>C99</f>
        <v/>
      </c>
      <c r="DU99" s="365" t="n">
        <v>1293389.48</v>
      </c>
      <c r="DV99" s="365">
        <f>DU100</f>
        <v/>
      </c>
      <c r="DW99" s="390">
        <f>DU99-DV99</f>
        <v/>
      </c>
      <c r="DX99" s="391">
        <f>DW99/DV99</f>
        <v/>
      </c>
      <c r="DY99" s="182" t="n">
        <v>-0.0138</v>
      </c>
      <c r="DZ99" s="182" t="n"/>
      <c r="EA99" s="364" t="n"/>
      <c r="EB99" s="365">
        <f>C99</f>
        <v/>
      </c>
      <c r="EC99" s="365" t="n">
        <v>3088166.82</v>
      </c>
      <c r="ED99" s="365">
        <f>EC100</f>
        <v/>
      </c>
      <c r="EE99" s="390">
        <f>EC99-ED99</f>
        <v/>
      </c>
      <c r="EF99" s="391">
        <f>EE99/ED99</f>
        <v/>
      </c>
      <c r="EG99" s="182" t="n">
        <v>-0.0207</v>
      </c>
      <c r="EH99" s="182" t="n"/>
      <c r="EI99" s="364" t="n"/>
      <c r="EJ99" s="365">
        <f>C99</f>
        <v/>
      </c>
      <c r="EK99" s="365" t="n">
        <v>1095922.9669</v>
      </c>
      <c r="EL99" s="365">
        <f>EK100</f>
        <v/>
      </c>
      <c r="EM99" s="390">
        <f>EK99-EL99</f>
        <v/>
      </c>
      <c r="EN99" s="391">
        <f>EM99/EL99</f>
        <v/>
      </c>
      <c r="EO99" s="182" t="n">
        <v>-0.0468</v>
      </c>
      <c r="EP99" s="182" t="n"/>
      <c r="EQ99" s="317" t="n"/>
      <c r="ER99" s="318">
        <f>C99</f>
        <v/>
      </c>
      <c r="ES99" s="318" t="n">
        <v>367247.02</v>
      </c>
      <c r="ET99" s="318">
        <f>ES100</f>
        <v/>
      </c>
      <c r="EU99" s="318">
        <f>ES99-ET99</f>
        <v/>
      </c>
      <c r="EV99" s="327">
        <f>EU99/ET99</f>
        <v/>
      </c>
      <c r="EW99" s="182" t="n">
        <v>-0.0475</v>
      </c>
      <c r="EX99" s="182" t="n"/>
      <c r="EY99" s="364" t="n"/>
      <c r="EZ99" s="365">
        <f>C99</f>
        <v/>
      </c>
      <c r="FA99" s="365" t="n">
        <v>535108</v>
      </c>
      <c r="FB99" s="365">
        <f>FA100</f>
        <v/>
      </c>
      <c r="FC99" s="388">
        <f>FA99-FB99</f>
        <v/>
      </c>
      <c r="FD99" s="389">
        <f>FC99/FB99</f>
        <v/>
      </c>
      <c r="FE99" s="182" t="n">
        <v>-0.0151</v>
      </c>
      <c r="FF99" s="182" t="n"/>
      <c r="FH99" s="365">
        <f>C99</f>
        <v/>
      </c>
      <c r="FI99" s="694" t="n">
        <v>981495.3365</v>
      </c>
      <c r="FJ99" s="365">
        <f>FI100</f>
        <v/>
      </c>
      <c r="FK99" s="325">
        <f>FI99-FJ99</f>
        <v/>
      </c>
      <c r="FL99" s="326">
        <f>FK99/FJ99</f>
        <v/>
      </c>
      <c r="FM99" s="366" t="n">
        <v>0.0195</v>
      </c>
      <c r="FN99" s="366" t="n"/>
      <c r="FO99" s="364" t="n"/>
      <c r="FP99" s="365">
        <f>C99</f>
        <v/>
      </c>
      <c r="FQ99" s="365" t="n">
        <v>1551568.73</v>
      </c>
      <c r="FR99" s="365">
        <f>FQ100</f>
        <v/>
      </c>
      <c r="FS99" s="388">
        <f>FQ99-FR99</f>
        <v/>
      </c>
      <c r="FT99" s="389">
        <f>FS99/FR99</f>
        <v/>
      </c>
      <c r="FU99" s="182" t="n">
        <v>-0.0386</v>
      </c>
      <c r="FV99" s="182" t="n"/>
      <c r="FW99" s="364" t="n"/>
      <c r="FX99" s="365">
        <f>C99</f>
        <v/>
      </c>
      <c r="FY99" s="365" t="n">
        <v>8464182.050000001</v>
      </c>
      <c r="FZ99" s="365">
        <f>FY100</f>
        <v/>
      </c>
      <c r="GA99" s="390">
        <f>FY99-FZ99</f>
        <v/>
      </c>
      <c r="GB99" s="391">
        <f>GA99/FZ99</f>
        <v/>
      </c>
      <c r="GC99" s="182" t="n">
        <v>-0.0199</v>
      </c>
      <c r="GD99" s="182" t="n"/>
      <c r="GE99" s="364" t="n"/>
      <c r="GF99" s="365">
        <f>C99</f>
        <v/>
      </c>
      <c r="GG99" s="365" t="n">
        <v>4956569.49</v>
      </c>
      <c r="GH99" s="365">
        <f>GG100</f>
        <v/>
      </c>
      <c r="GI99" s="390">
        <f>GG99-GH99</f>
        <v/>
      </c>
      <c r="GJ99" s="391">
        <f>GI99/GH99</f>
        <v/>
      </c>
      <c r="GK99" s="182" t="n">
        <v>-0.0176</v>
      </c>
      <c r="GL99" s="182" t="n"/>
      <c r="GM99" s="364" t="n"/>
      <c r="GN99" s="365">
        <f>C99</f>
        <v/>
      </c>
      <c r="GO99" s="365" t="n">
        <v>1996318.1217</v>
      </c>
      <c r="GP99" s="365">
        <f>GO100</f>
        <v/>
      </c>
      <c r="GQ99" s="390">
        <f>GO99-GP99</f>
        <v/>
      </c>
      <c r="GR99" s="391">
        <f>GQ99/GP99</f>
        <v/>
      </c>
      <c r="GS99" s="182" t="n">
        <v>-0.0321</v>
      </c>
      <c r="GT99" s="182" t="n"/>
      <c r="GU99" s="364" t="n"/>
      <c r="GV99" s="365">
        <f>C99</f>
        <v/>
      </c>
      <c r="GW99" s="365" t="n">
        <v>696549.4</v>
      </c>
      <c r="GX99" s="365">
        <f>GW100</f>
        <v/>
      </c>
      <c r="GY99" s="388">
        <f>GW99-GX99</f>
        <v/>
      </c>
      <c r="GZ99" s="389">
        <f>GY99/GX99</f>
        <v/>
      </c>
      <c r="HA99" s="182" t="n">
        <v>-0.005</v>
      </c>
      <c r="HB99" s="182" t="n"/>
      <c r="HC99" s="364" t="n"/>
      <c r="HD99" s="365">
        <f>C99</f>
        <v/>
      </c>
      <c r="HE99" s="365" t="n">
        <v>969364.6746</v>
      </c>
      <c r="HF99" s="365">
        <f>HE100</f>
        <v/>
      </c>
      <c r="HG99" s="390">
        <f>HE99-HF99</f>
        <v/>
      </c>
      <c r="HH99" s="391">
        <f>HG99/HF99</f>
        <v/>
      </c>
      <c r="HI99" s="366" t="n">
        <v>-0.0568</v>
      </c>
      <c r="HJ99" s="182" t="n"/>
      <c r="HK99" s="364" t="n"/>
      <c r="HL99" s="365">
        <f>C99</f>
        <v/>
      </c>
      <c r="HM99" s="365" t="n">
        <v>112154.25</v>
      </c>
      <c r="HN99" s="365">
        <f>HM100</f>
        <v/>
      </c>
      <c r="HO99" s="388">
        <f>HM99-HN99</f>
        <v/>
      </c>
      <c r="HP99" s="389">
        <f>HO99/HN99</f>
        <v/>
      </c>
      <c r="HQ99" s="182" t="n">
        <v>-0.0183</v>
      </c>
      <c r="HR99" s="182" t="n"/>
      <c r="HS99" s="364" t="n"/>
      <c r="HT99" s="365">
        <f>C99</f>
        <v/>
      </c>
      <c r="HU99" s="365" t="n">
        <v>124168.8265</v>
      </c>
      <c r="HV99" s="365">
        <f>HU100</f>
        <v/>
      </c>
      <c r="HW99" s="390">
        <f>HU99-HV99</f>
        <v/>
      </c>
      <c r="HX99" s="391">
        <f>HW99/HV99</f>
        <v/>
      </c>
      <c r="HY99" s="182" t="n">
        <v>-0.0161</v>
      </c>
      <c r="HZ99" s="182" t="n"/>
      <c r="IA99" s="364" t="n"/>
      <c r="IB99" s="365">
        <f>C99</f>
        <v/>
      </c>
      <c r="IC99" s="185" t="n">
        <v>265284.79</v>
      </c>
      <c r="ID99" s="185">
        <f>IC100</f>
        <v/>
      </c>
      <c r="IE99" s="323">
        <f>IC99-ID99</f>
        <v/>
      </c>
      <c r="IF99" s="324">
        <f>IE99/ID99</f>
        <v/>
      </c>
      <c r="IG99" s="366" t="n">
        <v>-0.0092</v>
      </c>
      <c r="IH99" s="182" t="n"/>
      <c r="II99" s="364" t="n"/>
      <c r="IJ99" s="365">
        <f>C99</f>
        <v/>
      </c>
      <c r="IK99" s="365" t="n">
        <v>836556.29</v>
      </c>
      <c r="IL99" s="365">
        <f>IK100</f>
        <v/>
      </c>
      <c r="IM99" s="388">
        <f>IK99-IL99</f>
        <v/>
      </c>
      <c r="IN99" s="389">
        <f>IM99/IL99</f>
        <v/>
      </c>
      <c r="IO99" s="182" t="n">
        <v>-0.009599999999999999</v>
      </c>
      <c r="IP99" s="182" t="n"/>
      <c r="IQ99" s="364" t="n"/>
      <c r="IR99" s="365">
        <f>C99</f>
        <v/>
      </c>
      <c r="IS99" s="365" t="n">
        <v>147489</v>
      </c>
      <c r="IT99" s="365">
        <f>IS100</f>
        <v/>
      </c>
      <c r="IU99" s="390">
        <f>IS99-IT99</f>
        <v/>
      </c>
      <c r="IV99" s="391">
        <f>IU99/IT99</f>
        <v/>
      </c>
      <c r="IW99" s="182" t="n">
        <v>-0.0569</v>
      </c>
      <c r="IX99" s="182" t="n"/>
      <c r="IY99" s="364" t="n"/>
      <c r="IZ99" s="365">
        <f>C99</f>
        <v/>
      </c>
      <c r="JA99" s="365" t="n">
        <v>5165229.15</v>
      </c>
      <c r="JB99" s="365">
        <f>JA100</f>
        <v/>
      </c>
      <c r="JC99" s="388">
        <f>JA99-JB99</f>
        <v/>
      </c>
      <c r="JD99" s="389">
        <f>JC99/JB99</f>
        <v/>
      </c>
      <c r="JE99" s="182" t="n">
        <v>-0.0366</v>
      </c>
      <c r="JF99" s="182" t="n"/>
      <c r="JG99" s="364" t="n"/>
      <c r="JH99" s="365">
        <f>C99</f>
        <v/>
      </c>
      <c r="JI99" s="365" t="n">
        <v>1520787.99</v>
      </c>
      <c r="JJ99" s="365">
        <f>JI100</f>
        <v/>
      </c>
      <c r="JK99" s="388">
        <f>JI99-JJ99</f>
        <v/>
      </c>
      <c r="JL99" s="389">
        <f>JK99/JJ99</f>
        <v/>
      </c>
      <c r="JM99" s="182" t="n">
        <v>-0.009299999999999999</v>
      </c>
      <c r="JN99" s="182" t="n"/>
      <c r="JP99" s="365">
        <f>C99</f>
        <v/>
      </c>
      <c r="JQ99" s="365" t="n">
        <v>1025390.4148</v>
      </c>
      <c r="JR99" s="365">
        <f>JQ100</f>
        <v/>
      </c>
      <c r="JS99" s="390">
        <f>JQ99-JR99</f>
        <v/>
      </c>
      <c r="JT99" s="391">
        <f>JS99/JR99</f>
        <v/>
      </c>
      <c r="JU99" s="182" t="n">
        <v>-0.0589</v>
      </c>
      <c r="JV99" s="383" t="n"/>
      <c r="JX99" s="365">
        <f>C99</f>
        <v/>
      </c>
      <c r="JY99" s="365" t="n">
        <v>1068698.8</v>
      </c>
      <c r="JZ99" s="365">
        <f>JY100</f>
        <v/>
      </c>
      <c r="KA99" s="388">
        <f>JY99-JZ99</f>
        <v/>
      </c>
      <c r="KB99" s="389">
        <f>KA99/JZ99</f>
        <v/>
      </c>
      <c r="KC99" s="182" t="n">
        <v>-0.0381</v>
      </c>
      <c r="KD99" s="383" t="n"/>
      <c r="KF99" s="365">
        <f>C99</f>
        <v/>
      </c>
      <c r="KG99" s="365" t="n">
        <v>645555.9219</v>
      </c>
      <c r="KH99" s="365">
        <f>KG100</f>
        <v/>
      </c>
      <c r="KI99" s="384">
        <f>KG99-KH99</f>
        <v/>
      </c>
      <c r="KJ99" s="383">
        <f>KI99/KH99</f>
        <v/>
      </c>
      <c r="KK99" s="366" t="n">
        <v>-0.0154</v>
      </c>
      <c r="KL99" s="366" t="n"/>
      <c r="KM99" s="364" t="n"/>
      <c r="KN99" s="365">
        <f>C99</f>
        <v/>
      </c>
      <c r="KO99" s="365" t="n">
        <v>7483475.95</v>
      </c>
      <c r="KP99" s="365">
        <f>KO100</f>
        <v/>
      </c>
      <c r="KQ99" s="390">
        <f>KO99-KP99</f>
        <v/>
      </c>
      <c r="KR99" s="391">
        <f>KQ99/KP99</f>
        <v/>
      </c>
      <c r="KS99" s="182" t="n">
        <v>-0.0304</v>
      </c>
      <c r="KT99" s="182" t="n"/>
      <c r="KU99" s="364" t="n"/>
      <c r="KV99" s="365">
        <f>C99</f>
        <v/>
      </c>
      <c r="KW99" s="365" t="n">
        <v>1054072.9726</v>
      </c>
      <c r="KX99" s="365">
        <f>KW100</f>
        <v/>
      </c>
      <c r="KY99" s="323">
        <f>KW99-KX99</f>
        <v/>
      </c>
      <c r="KZ99" s="324">
        <f>KY99/KX99</f>
        <v/>
      </c>
      <c r="LA99" s="366" t="n">
        <v>-0.0119</v>
      </c>
      <c r="LB99" s="182" t="n"/>
      <c r="LC99" s="364" t="n"/>
      <c r="LD99" s="365">
        <f>C99</f>
        <v/>
      </c>
      <c r="LE99" s="365" t="n">
        <v>387907.7</v>
      </c>
      <c r="LF99" s="365">
        <f>LE100</f>
        <v/>
      </c>
      <c r="LG99" s="388">
        <f>LE99-LF99</f>
        <v/>
      </c>
      <c r="LH99" s="389">
        <f>LG99/LF99</f>
        <v/>
      </c>
      <c r="LI99" s="182" t="n">
        <v>-0.0391</v>
      </c>
      <c r="LJ99" s="182" t="n"/>
      <c r="LK99" s="364" t="n"/>
      <c r="LL99" s="365">
        <f>C99</f>
        <v/>
      </c>
      <c r="LM99" s="694" t="n">
        <v>3416875.02</v>
      </c>
      <c r="LN99" s="365">
        <f>LM100</f>
        <v/>
      </c>
      <c r="LO99" s="388">
        <f>LM99-LN99</f>
        <v/>
      </c>
      <c r="LP99" s="389">
        <f>LO99/LN99</f>
        <v/>
      </c>
      <c r="LQ99" s="182" t="n">
        <v>-0.0202</v>
      </c>
      <c r="LR99" s="182" t="n"/>
      <c r="LS99" s="364" t="n"/>
      <c r="LT99" s="365">
        <f>C99</f>
        <v/>
      </c>
      <c r="LU99" s="365" t="n">
        <v>2340862.904</v>
      </c>
      <c r="LV99" s="365">
        <f>LU100</f>
        <v/>
      </c>
      <c r="LW99" s="390">
        <f>LU99-LV99</f>
        <v/>
      </c>
      <c r="LX99" s="391">
        <f>LW99/LV99</f>
        <v/>
      </c>
      <c r="LY99" s="182" t="n">
        <v>-0.0115</v>
      </c>
      <c r="LZ99" s="182" t="n"/>
      <c r="MA99" s="364" t="n"/>
      <c r="MB99" s="365">
        <f>C99</f>
        <v/>
      </c>
      <c r="MC99" s="365" t="n">
        <v>1081617.69</v>
      </c>
      <c r="MD99" s="365">
        <f>MC100</f>
        <v/>
      </c>
      <c r="ME99" s="388">
        <f>MC99-MD99</f>
        <v/>
      </c>
      <c r="MF99" s="389">
        <f>ME99/MD99</f>
        <v/>
      </c>
      <c r="MG99" s="182" t="n">
        <v>-0.0261</v>
      </c>
      <c r="MH99" s="182" t="n"/>
      <c r="MI99" s="319" t="n"/>
      <c r="MJ99" s="318" t="n"/>
      <c r="MK99" s="318">
        <f>C99</f>
        <v/>
      </c>
      <c r="ML99" s="318" t="n">
        <v>164145.5354</v>
      </c>
      <c r="MM99" s="13">
        <f>ML100</f>
        <v/>
      </c>
      <c r="MN99" s="318">
        <f>ML99-MM99</f>
        <v/>
      </c>
      <c r="MO99" s="327">
        <f>MN99/MM99</f>
        <v/>
      </c>
      <c r="MP99" s="182" t="n">
        <v>-0.0399</v>
      </c>
      <c r="MQ99" s="369" t="n"/>
      <c r="MR99" s="369" t="n"/>
      <c r="MS99" s="188" t="n"/>
      <c r="MT99" s="274">
        <f>C99</f>
        <v/>
      </c>
      <c r="MU99" s="188" t="n">
        <v>134914.8</v>
      </c>
      <c r="MV99" s="188">
        <f>MU100</f>
        <v/>
      </c>
      <c r="MW99" s="188">
        <f>MU99-MV99</f>
        <v/>
      </c>
      <c r="MX99" s="271">
        <f>MW99/MV99</f>
        <v/>
      </c>
      <c r="MY99" s="182" t="n">
        <v>-0.0227</v>
      </c>
      <c r="MZ99" s="182" t="n"/>
      <c r="NA99" s="182" t="n"/>
      <c r="NB99" s="188" t="n"/>
      <c r="NC99" s="188">
        <f>C99</f>
        <v/>
      </c>
      <c r="ND99" s="188" t="n">
        <v>36691.48</v>
      </c>
      <c r="NE99" s="188">
        <f>ND100</f>
        <v/>
      </c>
      <c r="NF99" s="188">
        <f>ND99-NE99</f>
        <v/>
      </c>
      <c r="NG99" s="271">
        <f>NF99/NE99</f>
        <v/>
      </c>
      <c r="NH99" s="182" t="n">
        <v>-0.0221</v>
      </c>
      <c r="NI99" s="182" t="n"/>
      <c r="NJ99" s="182" t="n"/>
      <c r="NK99" s="182" t="n"/>
      <c r="NL99" s="188" t="n"/>
      <c r="NM99" s="188">
        <f>C99</f>
        <v/>
      </c>
      <c r="NN99" s="188" t="n">
        <v>2891811.08</v>
      </c>
      <c r="NO99" s="9">
        <f>NN100</f>
        <v/>
      </c>
      <c r="NP99" s="188">
        <f>NN99-NO99</f>
        <v/>
      </c>
      <c r="NQ99" s="271">
        <f>NP99/NO99</f>
        <v/>
      </c>
      <c r="NR99" s="272" t="n">
        <v>-0.0046</v>
      </c>
      <c r="NS99" s="188" t="n"/>
      <c r="NT99" s="273" t="n"/>
      <c r="NU99" s="188">
        <f>C99</f>
        <v/>
      </c>
      <c r="NV99" s="188" t="n">
        <v>263276.5</v>
      </c>
      <c r="NW99" s="188">
        <f>NV100</f>
        <v/>
      </c>
      <c r="NX99" s="188">
        <f>NV99-NW99</f>
        <v/>
      </c>
      <c r="NY99" s="271">
        <f>NX99/NW99</f>
        <v/>
      </c>
      <c r="NZ99" s="366" t="n">
        <v>-0.0249</v>
      </c>
      <c r="OA99" s="364" t="n"/>
      <c r="OB99" s="364" t="n"/>
      <c r="OC99" s="365">
        <f>C99</f>
        <v/>
      </c>
      <c r="OD99" s="365" t="n">
        <v>17093.97</v>
      </c>
      <c r="OE99" s="365">
        <f>OD100</f>
        <v/>
      </c>
      <c r="OF99" s="388">
        <f>OD99-OE99</f>
        <v/>
      </c>
      <c r="OG99" s="389">
        <f>OF99/OE99</f>
        <v/>
      </c>
      <c r="OH99" s="182" t="n">
        <v>0.0008</v>
      </c>
      <c r="OI99" s="182" t="n"/>
      <c r="OJ99" s="364" t="n"/>
      <c r="OK99" s="365">
        <f>C99</f>
        <v/>
      </c>
      <c r="OL99" s="185" t="n">
        <v>14476.65</v>
      </c>
      <c r="OM99" s="9">
        <f>OL100</f>
        <v/>
      </c>
      <c r="ON99" s="323">
        <f>OL99-OM99</f>
        <v/>
      </c>
      <c r="OO99" s="324">
        <f>ON99/OM99</f>
        <v/>
      </c>
      <c r="OP99" s="182" t="n">
        <v>0.0004</v>
      </c>
      <c r="OQ99" s="182" t="n"/>
      <c r="OT99" s="201">
        <f>OK99</f>
        <v/>
      </c>
      <c r="OU99" s="199" t="n">
        <v>150672.4066</v>
      </c>
      <c r="OV99" s="9">
        <f>OU100</f>
        <v/>
      </c>
      <c r="OW99" s="671">
        <f>OU99-OV99</f>
        <v/>
      </c>
      <c r="OX99" s="182">
        <f>OW99/OV99</f>
        <v/>
      </c>
      <c r="OY99" s="0" t="n">
        <v>0.005</v>
      </c>
    </row>
    <row r="100" ht="17" customFormat="1" customHeight="1" s="9">
      <c r="A100" s="631" t="n"/>
      <c r="B100" s="631" t="n"/>
      <c r="C100" s="693" t="inlineStr">
        <is>
          <t>2026//6/25</t>
        </is>
      </c>
      <c r="D100" s="362" t="n">
        <v>2074458.77</v>
      </c>
      <c r="E100" s="362">
        <f>D101</f>
        <v/>
      </c>
      <c r="F100" s="432">
        <f>D100-E100</f>
        <v/>
      </c>
      <c r="G100" s="433">
        <f>F100/E100</f>
        <v/>
      </c>
      <c r="H100" s="19" t="n">
        <v>0.0163</v>
      </c>
      <c r="I100" s="426" t="n"/>
      <c r="J100" s="437" t="n"/>
      <c r="K100" s="362">
        <f>C100</f>
        <v/>
      </c>
      <c r="L100" s="362" t="n">
        <v>1386874.4</v>
      </c>
      <c r="M100" s="362">
        <f>L101</f>
        <v/>
      </c>
      <c r="N100" s="432">
        <f>L100-M100</f>
        <v/>
      </c>
      <c r="O100" s="433">
        <f>N100/M100</f>
        <v/>
      </c>
      <c r="P100" s="19" t="n">
        <v>0.016</v>
      </c>
      <c r="Q100" s="426" t="n"/>
      <c r="R100" s="427" t="n"/>
      <c r="S100" s="362">
        <f>C100</f>
        <v/>
      </c>
      <c r="T100" s="362" t="n">
        <v>646806.6800000001</v>
      </c>
      <c r="U100" s="362">
        <f>T101</f>
        <v/>
      </c>
      <c r="V100" s="377">
        <f>T100-U100</f>
        <v/>
      </c>
      <c r="W100" s="378">
        <f>V100/U100</f>
        <v/>
      </c>
      <c r="X100" s="19" t="n">
        <v>0.0116</v>
      </c>
      <c r="Y100" s="426" t="n"/>
      <c r="Z100" s="427" t="n"/>
      <c r="AA100" s="362">
        <f>S100</f>
        <v/>
      </c>
      <c r="AB100" s="362" t="n">
        <v>426656.86</v>
      </c>
      <c r="AC100" s="362">
        <f>AB101</f>
        <v/>
      </c>
      <c r="AD100" s="432">
        <f>AB100-AC100</f>
        <v/>
      </c>
      <c r="AE100" s="433">
        <f>AD100/AC100</f>
        <v/>
      </c>
      <c r="AF100" s="19" t="n">
        <v>0.0111</v>
      </c>
      <c r="AG100" s="426" t="n"/>
      <c r="AH100" s="427" t="n"/>
      <c r="AI100" s="362">
        <f>C100</f>
        <v/>
      </c>
      <c r="AJ100" s="362" t="n">
        <v>296721.76</v>
      </c>
      <c r="AK100" s="362">
        <f>AJ101</f>
        <v/>
      </c>
      <c r="AL100" s="432">
        <f>AJ100-AK100</f>
        <v/>
      </c>
      <c r="AM100" s="433">
        <f>AL100/AK100</f>
        <v/>
      </c>
      <c r="AN100" s="19" t="n">
        <v>0.0051</v>
      </c>
      <c r="AO100" s="19" t="n"/>
      <c r="AP100" s="427" t="n"/>
      <c r="AQ100" s="362">
        <f>C100</f>
        <v/>
      </c>
      <c r="AR100" s="697" t="n">
        <v>1099045.4936</v>
      </c>
      <c r="AS100" s="362">
        <f>AR101</f>
        <v/>
      </c>
      <c r="AT100" s="377">
        <f>AR100-AS100</f>
        <v/>
      </c>
      <c r="AU100" s="378">
        <f>AT100/AS100</f>
        <v/>
      </c>
      <c r="AV100" s="19" t="n">
        <v>0.0322</v>
      </c>
      <c r="AW100" s="19" t="n"/>
      <c r="AX100" s="5" t="n"/>
      <c r="AY100" s="188" t="n"/>
      <c r="AZ100" s="188">
        <f>C100</f>
        <v/>
      </c>
      <c r="BA100" s="188" t="n">
        <v>765021.6676</v>
      </c>
      <c r="BB100" s="188">
        <f>BA101</f>
        <v/>
      </c>
      <c r="BC100" s="188">
        <f>BA100-BB100</f>
        <v/>
      </c>
      <c r="BD100" s="271">
        <f>BC100/BB100</f>
        <v/>
      </c>
      <c r="BE100" s="19" t="n">
        <v>0.0168</v>
      </c>
      <c r="BF100" s="19" t="n"/>
      <c r="BG100" s="647" t="n"/>
      <c r="BH100" s="363">
        <f>C100</f>
        <v/>
      </c>
      <c r="BI100" s="363" t="n">
        <v>1155826.5525</v>
      </c>
      <c r="BJ100" s="363">
        <f>BI101</f>
        <v/>
      </c>
      <c r="BK100" s="395">
        <f>BI100-BJ100</f>
        <v/>
      </c>
      <c r="BL100" s="396">
        <f>BK100/BJ100</f>
        <v/>
      </c>
      <c r="BM100" s="191" t="n">
        <v>0.0123</v>
      </c>
      <c r="BN100" s="182" t="n"/>
      <c r="BO100" s="364" t="n"/>
      <c r="BP100" s="365">
        <f>C100</f>
        <v/>
      </c>
      <c r="BQ100" s="694" t="n">
        <v>1148462.3921</v>
      </c>
      <c r="BR100" s="365">
        <f>BQ101</f>
        <v/>
      </c>
      <c r="BS100" s="388">
        <f>BQ100-BR100</f>
        <v/>
      </c>
      <c r="BT100" s="389">
        <f>BS100/BR100</f>
        <v/>
      </c>
      <c r="BU100" s="182" t="n">
        <v>-0.0042</v>
      </c>
      <c r="BV100" s="182" t="n"/>
      <c r="BW100" s="364" t="n"/>
      <c r="BX100" s="365">
        <f>C100</f>
        <v/>
      </c>
      <c r="BY100" s="365" t="n">
        <v>1888960.7019</v>
      </c>
      <c r="BZ100" s="365">
        <f>BY101</f>
        <v/>
      </c>
      <c r="CA100" s="390">
        <f>BY100-BZ100</f>
        <v/>
      </c>
      <c r="CB100" s="391">
        <f>CA100/BZ100</f>
        <v/>
      </c>
      <c r="CC100" s="182" t="n">
        <v>-0.0034</v>
      </c>
      <c r="CD100" s="383" t="n"/>
      <c r="CE100" s="364" t="n"/>
      <c r="CF100" s="365">
        <f>C100</f>
        <v/>
      </c>
      <c r="CG100" s="365" t="n">
        <v>1268003.9</v>
      </c>
      <c r="CH100" s="13">
        <f>CG101</f>
        <v/>
      </c>
      <c r="CI100" s="13">
        <f>CG100-CH100</f>
        <v/>
      </c>
      <c r="CJ100" s="193">
        <f>CI100/CH100</f>
        <v/>
      </c>
      <c r="CK100" s="182" t="n">
        <v>-0.0293</v>
      </c>
      <c r="CL100" s="366" t="n"/>
      <c r="CM100" s="364" t="n"/>
      <c r="CN100" s="365">
        <f>C100</f>
        <v/>
      </c>
      <c r="CO100" s="365" t="n">
        <v>542446.48</v>
      </c>
      <c r="CP100" s="365">
        <f>CO101</f>
        <v/>
      </c>
      <c r="CQ100" s="13">
        <f>CO100-CP100</f>
        <v/>
      </c>
      <c r="CR100" s="193">
        <f>CQ100/CP100</f>
        <v/>
      </c>
      <c r="CS100" s="366" t="n">
        <v>-0.0296</v>
      </c>
      <c r="CT100" s="366" t="n"/>
      <c r="CU100" s="364" t="n"/>
      <c r="CV100" s="365">
        <f>C100</f>
        <v/>
      </c>
      <c r="CW100" s="365" t="n">
        <v>487240.4</v>
      </c>
      <c r="CX100" s="365">
        <f>CW101</f>
        <v/>
      </c>
      <c r="CY100" s="388">
        <f>CW100-CX100</f>
        <v/>
      </c>
      <c r="CZ100" s="389">
        <f>CY100/CX100</f>
        <v/>
      </c>
      <c r="DA100" s="182" t="n">
        <v>-0.0468</v>
      </c>
      <c r="DB100" s="182" t="n"/>
      <c r="DC100" s="256" t="n"/>
      <c r="DD100" s="365">
        <f>C100</f>
        <v/>
      </c>
      <c r="DE100" s="365" t="n">
        <v>2077517.9986</v>
      </c>
      <c r="DF100" s="13">
        <f>DE101</f>
        <v/>
      </c>
      <c r="DG100" s="390">
        <f>DE100-DF100</f>
        <v/>
      </c>
      <c r="DH100" s="391">
        <f>DG100/DF100</f>
        <v/>
      </c>
      <c r="DI100" s="182" t="n">
        <v>0.0296</v>
      </c>
      <c r="DJ100" s="182" t="n"/>
      <c r="DK100" s="364" t="n"/>
      <c r="DL100" s="365">
        <f>C100</f>
        <v/>
      </c>
      <c r="DM100" s="365" t="n">
        <v>858100.36</v>
      </c>
      <c r="DN100" s="365">
        <f>DM101</f>
        <v/>
      </c>
      <c r="DO100" s="388">
        <f>DM100-DN100</f>
        <v/>
      </c>
      <c r="DP100" s="389">
        <f>DO100/DN100</f>
        <v/>
      </c>
      <c r="DQ100" s="182" t="n">
        <v>0.046</v>
      </c>
      <c r="DR100" s="182" t="n"/>
      <c r="DS100" s="364" t="n"/>
      <c r="DT100" s="365">
        <f>C100</f>
        <v/>
      </c>
      <c r="DU100" s="365" t="n">
        <v>1255589.48</v>
      </c>
      <c r="DV100" s="365">
        <f>DU101</f>
        <v/>
      </c>
      <c r="DW100" s="388">
        <f>DU100-DV100</f>
        <v/>
      </c>
      <c r="DX100" s="389">
        <f>DW100/DV100</f>
        <v/>
      </c>
      <c r="DY100" s="182" t="n">
        <v>0.0395</v>
      </c>
      <c r="DZ100" s="182" t="n"/>
      <c r="EA100" s="364" t="n"/>
      <c r="EB100" s="365">
        <f>C100</f>
        <v/>
      </c>
      <c r="EC100" s="365" t="n">
        <v>3104066.82</v>
      </c>
      <c r="ED100" s="365">
        <f>EC101</f>
        <v/>
      </c>
      <c r="EE100" s="388">
        <f>EC100-ED100</f>
        <v/>
      </c>
      <c r="EF100" s="389">
        <f>EE100/ED100</f>
        <v/>
      </c>
      <c r="EG100" s="182" t="n">
        <v>0.0391</v>
      </c>
      <c r="EH100" s="182" t="n"/>
      <c r="EI100" s="364" t="n"/>
      <c r="EJ100" s="365">
        <f>C100</f>
        <v/>
      </c>
      <c r="EK100" s="365" t="n">
        <v>1088322.9669</v>
      </c>
      <c r="EL100" s="365">
        <f>EK101</f>
        <v/>
      </c>
      <c r="EM100" s="388">
        <f>EK100-EL100</f>
        <v/>
      </c>
      <c r="EN100" s="389">
        <f>EM100/EL100</f>
        <v/>
      </c>
      <c r="EO100" s="182" t="n">
        <v>0.0386</v>
      </c>
      <c r="EP100" s="182" t="n"/>
      <c r="EQ100" s="317" t="n"/>
      <c r="ER100" s="318">
        <f>C100</f>
        <v/>
      </c>
      <c r="ES100" s="318" t="n">
        <v>363347.02</v>
      </c>
      <c r="ET100" s="318">
        <f>ES101</f>
        <v/>
      </c>
      <c r="EU100" s="318">
        <f>ES100-ET100</f>
        <v/>
      </c>
      <c r="EV100" s="327">
        <f>EU100/ET100</f>
        <v/>
      </c>
      <c r="EW100" s="182" t="n">
        <v>0.0384</v>
      </c>
      <c r="EX100" s="182" t="n"/>
      <c r="EY100" s="364" t="n"/>
      <c r="EZ100" s="365">
        <f>C100</f>
        <v/>
      </c>
      <c r="FA100" s="365" t="n">
        <v>537308</v>
      </c>
      <c r="FB100" s="365">
        <f>FA101</f>
        <v/>
      </c>
      <c r="FC100" s="390">
        <f>FA100-FB100</f>
        <v/>
      </c>
      <c r="FD100" s="391">
        <f>FC100/FB100</f>
        <v/>
      </c>
      <c r="FE100" s="182" t="n">
        <v>-0.0016</v>
      </c>
      <c r="FF100" s="182" t="n"/>
      <c r="FH100" s="365">
        <f>C100</f>
        <v/>
      </c>
      <c r="FI100" s="694" t="n">
        <v>994795.3365</v>
      </c>
      <c r="FJ100" s="365">
        <f>FI101</f>
        <v/>
      </c>
      <c r="FK100" s="325">
        <f>FI100-FJ100</f>
        <v/>
      </c>
      <c r="FL100" s="326">
        <f>FK100/FJ100</f>
        <v/>
      </c>
      <c r="FM100" s="366" t="n">
        <v>0.0024</v>
      </c>
      <c r="FN100" s="366" t="n"/>
      <c r="FO100" s="364" t="n"/>
      <c r="FP100" s="365">
        <f>C100</f>
        <v/>
      </c>
      <c r="FQ100" s="365" t="n">
        <v>1549918.73</v>
      </c>
      <c r="FR100" s="365">
        <f>FQ101</f>
        <v/>
      </c>
      <c r="FS100" s="388">
        <f>FQ100-FR100</f>
        <v/>
      </c>
      <c r="FT100" s="389">
        <f>FS100/FR100</f>
        <v/>
      </c>
      <c r="FU100" s="182" t="n">
        <v>-0.0044</v>
      </c>
      <c r="FV100" s="182" t="n"/>
      <c r="FW100" s="364" t="n"/>
      <c r="FX100" s="365">
        <f>C100</f>
        <v/>
      </c>
      <c r="FY100" s="365" t="n">
        <v>8467782.050000001</v>
      </c>
      <c r="FZ100" s="365">
        <f>FY101</f>
        <v/>
      </c>
      <c r="GA100" s="388">
        <f>FY100-FZ100</f>
        <v/>
      </c>
      <c r="GB100" s="389">
        <f>GA100/FZ100</f>
        <v/>
      </c>
      <c r="GC100" s="182" t="n">
        <v>0</v>
      </c>
      <c r="GD100" s="182" t="n"/>
      <c r="GE100" s="364" t="n"/>
      <c r="GF100" s="365">
        <f>C100</f>
        <v/>
      </c>
      <c r="GG100" s="365" t="n">
        <v>4952069.49</v>
      </c>
      <c r="GH100" s="365">
        <f>GG101</f>
        <v/>
      </c>
      <c r="GI100" s="388">
        <f>GG100-GH100</f>
        <v/>
      </c>
      <c r="GJ100" s="389">
        <f>GI100/GH100</f>
        <v/>
      </c>
      <c r="GK100" s="182" t="n">
        <v>0</v>
      </c>
      <c r="GL100" s="182" t="n"/>
      <c r="GM100" s="364" t="n"/>
      <c r="GN100" s="365">
        <f>C100</f>
        <v/>
      </c>
      <c r="GO100" s="365" t="n">
        <v>1992838.1217</v>
      </c>
      <c r="GP100" s="365">
        <f>GO101</f>
        <v/>
      </c>
      <c r="GQ100" s="390">
        <f>GO100-GP100</f>
        <v/>
      </c>
      <c r="GR100" s="391">
        <f>GQ100/GP100</f>
        <v/>
      </c>
      <c r="GS100" s="182" t="n">
        <v>0.0065</v>
      </c>
      <c r="GT100" s="182" t="n"/>
      <c r="GU100" s="364" t="n"/>
      <c r="GV100" s="365">
        <f>C100</f>
        <v/>
      </c>
      <c r="GW100" s="365" t="n">
        <v>701149.4</v>
      </c>
      <c r="GX100" s="365">
        <f>GW101</f>
        <v/>
      </c>
      <c r="GY100" s="390">
        <f>GW100-GX100</f>
        <v/>
      </c>
      <c r="GZ100" s="391">
        <f>GY100/GX100</f>
        <v/>
      </c>
      <c r="HA100" s="182" t="n">
        <v>0.01</v>
      </c>
      <c r="HB100" s="182" t="n"/>
      <c r="HC100" s="364" t="n"/>
      <c r="HD100" s="365">
        <f>C100</f>
        <v/>
      </c>
      <c r="HE100" s="365" t="n">
        <v>975164.6746</v>
      </c>
      <c r="HF100" s="365">
        <f>HE101</f>
        <v/>
      </c>
      <c r="HG100" s="388">
        <f>HE100-HF100</f>
        <v/>
      </c>
      <c r="HH100" s="389">
        <f>HG100/HF100</f>
        <v/>
      </c>
      <c r="HI100" s="366" t="n">
        <v>-0.0053</v>
      </c>
      <c r="HJ100" s="182" t="n"/>
      <c r="HK100" s="364" t="n"/>
      <c r="HL100" s="365">
        <f>C100</f>
        <v/>
      </c>
      <c r="HM100" s="365" t="n">
        <v>112504.25</v>
      </c>
      <c r="HN100" s="365">
        <f>HM101</f>
        <v/>
      </c>
      <c r="HO100" s="388">
        <f>HM100-HN100</f>
        <v/>
      </c>
      <c r="HP100" s="389">
        <f>HO100/HN100</f>
        <v/>
      </c>
      <c r="HQ100" s="182" t="n">
        <v>-0.0009</v>
      </c>
      <c r="HR100" s="182" t="n"/>
      <c r="HS100" s="364" t="n"/>
      <c r="HT100" s="365">
        <f>C100</f>
        <v/>
      </c>
      <c r="HU100" s="365" t="n">
        <v>124868.8265</v>
      </c>
      <c r="HV100" s="365">
        <f>HU101</f>
        <v/>
      </c>
      <c r="HW100" s="388">
        <f>HU100-HV100</f>
        <v/>
      </c>
      <c r="HX100" s="389">
        <f>HW100/HV100</f>
        <v/>
      </c>
      <c r="HY100" s="182" t="n">
        <v>0.008999999999999999</v>
      </c>
      <c r="HZ100" s="182" t="n"/>
      <c r="IA100" s="364" t="n"/>
      <c r="IB100" s="365">
        <f>C100</f>
        <v/>
      </c>
      <c r="IC100" s="185" t="n">
        <v>263659.79</v>
      </c>
      <c r="ID100" s="185">
        <f>IC101</f>
        <v/>
      </c>
      <c r="IE100" s="325">
        <f>IC100-ID100</f>
        <v/>
      </c>
      <c r="IF100" s="326">
        <f>IE100/ID100</f>
        <v/>
      </c>
      <c r="IG100" s="366" t="n">
        <v>-0.0083</v>
      </c>
      <c r="IH100" s="182" t="n"/>
      <c r="II100" s="364" t="n"/>
      <c r="IJ100" s="365">
        <f>C100</f>
        <v/>
      </c>
      <c r="IK100" s="365" t="n">
        <v>839036.29</v>
      </c>
      <c r="IL100" s="365">
        <f>IK101</f>
        <v/>
      </c>
      <c r="IM100" s="390">
        <f>IK100-IL100</f>
        <v/>
      </c>
      <c r="IN100" s="391">
        <f>IM100/IL100</f>
        <v/>
      </c>
      <c r="IO100" s="182" t="n">
        <v>-0.017</v>
      </c>
      <c r="IP100" s="182" t="n"/>
      <c r="IQ100" s="364" t="n"/>
      <c r="IR100" s="365">
        <f>C100</f>
        <v/>
      </c>
      <c r="IS100" s="365" t="n">
        <v>151189</v>
      </c>
      <c r="IT100" s="365">
        <f>IS101</f>
        <v/>
      </c>
      <c r="IU100" s="388">
        <f>IS100-IT100</f>
        <v/>
      </c>
      <c r="IV100" s="389">
        <f>IU100/IT100</f>
        <v/>
      </c>
      <c r="IW100" s="182" t="n">
        <v>0.0063</v>
      </c>
      <c r="IX100" s="182" t="n"/>
      <c r="IY100" s="364" t="n"/>
      <c r="IZ100" s="365">
        <f>C100</f>
        <v/>
      </c>
      <c r="JA100" s="365" t="n">
        <v>5000529.15</v>
      </c>
      <c r="JB100" s="365">
        <f>JA101</f>
        <v/>
      </c>
      <c r="JC100" s="390">
        <f>JA100-JB100</f>
        <v/>
      </c>
      <c r="JD100" s="383">
        <f>JC100/JB100</f>
        <v/>
      </c>
      <c r="JE100" s="182" t="n">
        <v>0.0342</v>
      </c>
      <c r="JF100" s="182" t="n"/>
      <c r="JG100" s="364" t="n"/>
      <c r="JH100" s="365">
        <f>C100</f>
        <v/>
      </c>
      <c r="JI100" s="365" t="n">
        <v>1526487.99</v>
      </c>
      <c r="JJ100" s="365">
        <f>JI101</f>
        <v/>
      </c>
      <c r="JK100" s="388">
        <f>JI100-JJ100</f>
        <v/>
      </c>
      <c r="JL100" s="389">
        <f>JK100/JJ100</f>
        <v/>
      </c>
      <c r="JM100" s="182" t="n">
        <v>-0.0105</v>
      </c>
      <c r="JN100" s="182" t="n"/>
      <c r="JP100" s="365">
        <f>C100</f>
        <v/>
      </c>
      <c r="JQ100" s="365" t="n">
        <v>1035290.4148</v>
      </c>
      <c r="JR100" s="365">
        <f>JQ101</f>
        <v/>
      </c>
      <c r="JS100" s="390">
        <f>JQ100-JR100</f>
        <v/>
      </c>
      <c r="JT100" s="391">
        <f>JS100/JR100</f>
        <v/>
      </c>
      <c r="JU100" s="182" t="n">
        <v>0.003</v>
      </c>
      <c r="JV100" s="383" t="n"/>
      <c r="JX100" s="365">
        <f>C100</f>
        <v/>
      </c>
      <c r="JY100" s="365" t="n">
        <v>1058498.8</v>
      </c>
      <c r="JZ100" s="365">
        <f>JY101</f>
        <v/>
      </c>
      <c r="KA100" s="388">
        <f>JY100-JZ100</f>
        <v/>
      </c>
      <c r="KB100" s="389">
        <f>KA100/JZ100</f>
        <v/>
      </c>
      <c r="KC100" s="182" t="n">
        <v>0.0011</v>
      </c>
      <c r="KD100" s="383" t="n"/>
      <c r="KF100" s="365">
        <f>C100</f>
        <v/>
      </c>
      <c r="KG100" s="365" t="n">
        <v>646155.9219</v>
      </c>
      <c r="KH100" s="365">
        <f>KG101</f>
        <v/>
      </c>
      <c r="KI100" s="388">
        <f>KG100-KH100</f>
        <v/>
      </c>
      <c r="KJ100" s="389">
        <f>KI100/KH100</f>
        <v/>
      </c>
      <c r="KK100" s="366" t="n">
        <v>-0.0187</v>
      </c>
      <c r="KL100" s="366" t="n"/>
      <c r="KM100" s="364" t="n"/>
      <c r="KN100" s="365">
        <f>C100</f>
        <v/>
      </c>
      <c r="KO100" s="365" t="n">
        <v>7525475.95</v>
      </c>
      <c r="KP100" s="365">
        <f>KO101</f>
        <v/>
      </c>
      <c r="KQ100" s="388">
        <f>KO100-KP100</f>
        <v/>
      </c>
      <c r="KR100" s="389">
        <f>KQ100/KP100</f>
        <v/>
      </c>
      <c r="KS100" s="182" t="n">
        <v>-0.0193</v>
      </c>
      <c r="KT100" s="182" t="n"/>
      <c r="KU100" s="364" t="n"/>
      <c r="KV100" s="365">
        <f>C100</f>
        <v/>
      </c>
      <c r="KW100" s="365" t="n">
        <v>1054072.9726</v>
      </c>
      <c r="KX100" s="365">
        <f>KW101</f>
        <v/>
      </c>
      <c r="KY100" s="323">
        <f>KW100-KX100</f>
        <v/>
      </c>
      <c r="KZ100" s="324">
        <f>KY100/KX100</f>
        <v/>
      </c>
      <c r="LA100" s="366" t="n">
        <v>-0.0167</v>
      </c>
      <c r="LB100" s="182" t="n"/>
      <c r="LC100" s="364" t="n"/>
      <c r="LD100" s="365">
        <f>C100</f>
        <v/>
      </c>
      <c r="LE100" s="365" t="n">
        <v>391107.7</v>
      </c>
      <c r="LF100" s="365">
        <f>LE101</f>
        <v/>
      </c>
      <c r="LG100" s="388">
        <f>LE100-LF100</f>
        <v/>
      </c>
      <c r="LH100" s="389">
        <f>LG100/LF100</f>
        <v/>
      </c>
      <c r="LI100" s="182" t="n">
        <v>0.0033</v>
      </c>
      <c r="LJ100" s="182" t="n"/>
      <c r="LK100" s="364" t="n"/>
      <c r="LL100" s="365">
        <f>C100</f>
        <v/>
      </c>
      <c r="LM100" s="694" t="n">
        <v>3435235.02</v>
      </c>
      <c r="LN100" s="365">
        <f>LM101</f>
        <v/>
      </c>
      <c r="LO100" s="388">
        <f>LM100-LN100</f>
        <v/>
      </c>
      <c r="LP100" s="389">
        <f>LO100/LN100</f>
        <v/>
      </c>
      <c r="LQ100" s="182" t="n">
        <v>0.0154</v>
      </c>
      <c r="LR100" s="182" t="n"/>
      <c r="LS100" s="364" t="n"/>
      <c r="LT100" s="365">
        <f>C100</f>
        <v/>
      </c>
      <c r="LU100" s="365" t="n">
        <v>2346062.904</v>
      </c>
      <c r="LV100" s="365">
        <f>LU101</f>
        <v/>
      </c>
      <c r="LW100" s="388">
        <f>LU100-LV100</f>
        <v/>
      </c>
      <c r="LX100" s="389">
        <f>LW100/LV100</f>
        <v/>
      </c>
      <c r="LY100" s="182" t="n">
        <v>0.0033</v>
      </c>
      <c r="LZ100" s="182" t="n"/>
      <c r="MA100" s="364" t="n"/>
      <c r="MB100" s="365">
        <f>C100</f>
        <v/>
      </c>
      <c r="MC100" s="365" t="n">
        <v>1096917.69</v>
      </c>
      <c r="MD100" s="365">
        <f>MC101</f>
        <v/>
      </c>
      <c r="ME100" s="388">
        <f>MC100-MD100</f>
        <v/>
      </c>
      <c r="MF100" s="389">
        <f>ME100/MD100</f>
        <v/>
      </c>
      <c r="MG100" s="182" t="n">
        <v>-0.0168</v>
      </c>
      <c r="MH100" s="182" t="n"/>
      <c r="MI100" s="319" t="n"/>
      <c r="MJ100" s="318" t="n"/>
      <c r="MK100" s="318">
        <f>C100</f>
        <v/>
      </c>
      <c r="ML100" s="318" t="n">
        <v>163185.5354</v>
      </c>
      <c r="MM100" s="13">
        <f>ML101</f>
        <v/>
      </c>
      <c r="MN100" s="318">
        <f>ML100-MM100</f>
        <v/>
      </c>
      <c r="MO100" s="327">
        <f>MN100/MM100</f>
        <v/>
      </c>
      <c r="MP100" s="182" t="n">
        <v>0.0184</v>
      </c>
      <c r="MQ100" s="369" t="n"/>
      <c r="MR100" s="369" t="n"/>
      <c r="MS100" s="188" t="n"/>
      <c r="MT100" s="274">
        <f>C100</f>
        <v/>
      </c>
      <c r="MU100" s="188" t="n">
        <v>137014.8</v>
      </c>
      <c r="MV100" s="188">
        <f>MU101</f>
        <v/>
      </c>
      <c r="MW100" s="188">
        <f>MU100-MV100</f>
        <v/>
      </c>
      <c r="MX100" s="271">
        <f>MW100/MV100</f>
        <v/>
      </c>
      <c r="MY100" s="182" t="n">
        <v>-0.0263</v>
      </c>
      <c r="MZ100" s="182" t="n"/>
      <c r="NA100" s="182" t="n"/>
      <c r="NB100" s="188" t="n"/>
      <c r="NC100" s="188">
        <f>C100</f>
        <v/>
      </c>
      <c r="ND100" s="188" t="n">
        <v>36691.48</v>
      </c>
      <c r="NE100" s="188">
        <f>ND101</f>
        <v/>
      </c>
      <c r="NF100" s="188">
        <f>ND100-NE100</f>
        <v/>
      </c>
      <c r="NG100" s="271">
        <f>NF100/NE100</f>
        <v/>
      </c>
      <c r="NH100" s="182" t="n">
        <v>-0.0106</v>
      </c>
      <c r="NI100" s="182" t="n"/>
      <c r="NJ100" s="182" t="n"/>
      <c r="NK100" s="182" t="n"/>
      <c r="NL100" s="188" t="n"/>
      <c r="NM100" s="188">
        <f>C100</f>
        <v/>
      </c>
      <c r="NN100" s="188" t="n">
        <v>2890411.08</v>
      </c>
      <c r="NO100" s="9">
        <f>NN101</f>
        <v/>
      </c>
      <c r="NP100" s="188">
        <f>NN100-NO100</f>
        <v/>
      </c>
      <c r="NQ100" s="271">
        <f>NP100/NO100</f>
        <v/>
      </c>
      <c r="NR100" s="272" t="n">
        <v>-0.0118</v>
      </c>
      <c r="NS100" s="188" t="n"/>
      <c r="NT100" s="273" t="n"/>
      <c r="NU100" s="188">
        <f>C100</f>
        <v/>
      </c>
      <c r="NV100" s="188" t="n">
        <v>262226.5</v>
      </c>
      <c r="NW100" s="188">
        <f>NV101</f>
        <v/>
      </c>
      <c r="NX100" s="188">
        <f>NV100-NW100</f>
        <v/>
      </c>
      <c r="NY100" s="271">
        <f>NX100/NW100</f>
        <v/>
      </c>
      <c r="NZ100" s="366" t="n">
        <v>-0.0112</v>
      </c>
      <c r="OA100" s="364" t="n"/>
      <c r="OB100" s="364" t="n"/>
      <c r="OC100" s="365">
        <f>C100</f>
        <v/>
      </c>
      <c r="OD100" s="365" t="n">
        <v>17431.97</v>
      </c>
      <c r="OE100" s="365">
        <f>OD101</f>
        <v/>
      </c>
      <c r="OF100" s="388">
        <f>OD100-OE100</f>
        <v/>
      </c>
      <c r="OG100" s="389">
        <f>OF100/OE100</f>
        <v/>
      </c>
      <c r="OH100" s="182" t="n">
        <v>0.0021</v>
      </c>
      <c r="OI100" s="182" t="n"/>
      <c r="OJ100" s="364" t="n"/>
      <c r="OK100" s="365">
        <f>C100</f>
        <v/>
      </c>
      <c r="OL100" s="185" t="n">
        <v>14470.65</v>
      </c>
      <c r="OM100" s="9">
        <f>OL101</f>
        <v/>
      </c>
      <c r="ON100" s="323">
        <f>OL100-OM100</f>
        <v/>
      </c>
      <c r="OO100" s="324">
        <f>ON100/OM100</f>
        <v/>
      </c>
      <c r="OP100" s="182" t="n">
        <v>0.0007</v>
      </c>
      <c r="OQ100" s="182" t="n"/>
      <c r="OT100" s="201">
        <f>OK100</f>
        <v/>
      </c>
      <c r="OU100" s="199" t="n">
        <v>150552.4066</v>
      </c>
      <c r="OV100" s="9">
        <f>OU101</f>
        <v/>
      </c>
      <c r="OW100" s="671">
        <f>OU100-OV100</f>
        <v/>
      </c>
      <c r="OX100" s="182">
        <f>OW100/OV100</f>
        <v/>
      </c>
      <c r="OY100" s="0" t="n">
        <v>-0.0015</v>
      </c>
    </row>
    <row r="101" ht="17" customFormat="1" customHeight="1" s="15">
      <c r="A101" s="702" t="n"/>
      <c r="B101" s="702" t="n"/>
      <c r="C101" s="703" t="inlineStr">
        <is>
          <t>2026//6/24</t>
        </is>
      </c>
      <c r="D101" s="440" t="n">
        <v>2288658.77</v>
      </c>
      <c r="E101" s="440">
        <f>D102</f>
        <v/>
      </c>
      <c r="F101" s="441">
        <f>D101-E101</f>
        <v/>
      </c>
      <c r="G101" s="442">
        <f>F101/E101</f>
        <v/>
      </c>
      <c r="H101" s="443" t="n">
        <v>0.0051</v>
      </c>
      <c r="I101" s="444" t="n"/>
      <c r="J101" s="443" t="n"/>
      <c r="K101" s="440">
        <f>C101</f>
        <v/>
      </c>
      <c r="L101" s="440" t="n">
        <v>1574164.4</v>
      </c>
      <c r="M101" s="440">
        <f>L102</f>
        <v/>
      </c>
      <c r="N101" s="441">
        <f>L101-M101</f>
        <v/>
      </c>
      <c r="O101" s="442">
        <f>N101/M101</f>
        <v/>
      </c>
      <c r="P101" s="443" t="n">
        <v>0.0044</v>
      </c>
      <c r="Q101" s="445" t="n"/>
      <c r="R101" s="446" t="n"/>
      <c r="S101" s="440">
        <f>C101</f>
        <v/>
      </c>
      <c r="T101" s="440" t="n">
        <v>679386.6800000001</v>
      </c>
      <c r="U101" s="440">
        <f>T102</f>
        <v/>
      </c>
      <c r="V101" s="441">
        <f>T101-U101</f>
        <v/>
      </c>
      <c r="W101" s="442">
        <f>V101/U101</f>
        <v/>
      </c>
      <c r="X101" s="443" t="n">
        <v>0.0063</v>
      </c>
      <c r="Y101" s="445" t="n"/>
      <c r="Z101" s="446" t="n"/>
      <c r="AA101" s="440">
        <f>S101</f>
        <v/>
      </c>
      <c r="AB101" s="440" t="n">
        <v>432136.86</v>
      </c>
      <c r="AC101" s="440">
        <f>AB102</f>
        <v/>
      </c>
      <c r="AD101" s="441">
        <f>AB101-AC101</f>
        <v/>
      </c>
      <c r="AE101" s="442">
        <f>AD101/AC101</f>
        <v/>
      </c>
      <c r="AF101" s="443" t="n">
        <v>0.0193</v>
      </c>
      <c r="AG101" s="445" t="n"/>
      <c r="AH101" s="446" t="n"/>
      <c r="AI101" s="440">
        <f>C101</f>
        <v/>
      </c>
      <c r="AJ101" s="440" t="n">
        <v>303521.76</v>
      </c>
      <c r="AK101" s="440">
        <f>AJ102</f>
        <v/>
      </c>
      <c r="AL101" s="441">
        <f>AJ101-AK101</f>
        <v/>
      </c>
      <c r="AM101" s="442">
        <f>AL101/AK101</f>
        <v/>
      </c>
      <c r="AN101" s="443" t="n">
        <v>0.0117</v>
      </c>
      <c r="AO101" s="443" t="n"/>
      <c r="AP101" s="446" t="n"/>
      <c r="AQ101" s="440">
        <f>C101</f>
        <v/>
      </c>
      <c r="AR101" s="704" t="n">
        <v>1114345.4936</v>
      </c>
      <c r="AS101" s="440">
        <f>AR102</f>
        <v/>
      </c>
      <c r="AT101" s="448">
        <f>AR101-AS101</f>
        <v/>
      </c>
      <c r="AU101" s="449">
        <f>AT101/AS101</f>
        <v/>
      </c>
      <c r="AV101" s="443" t="n">
        <v>0.0114</v>
      </c>
      <c r="AW101" s="443" t="n"/>
      <c r="AX101" s="450" t="n"/>
      <c r="AY101" s="188" t="n"/>
      <c r="AZ101" s="188">
        <f>C101</f>
        <v/>
      </c>
      <c r="BA101" s="188" t="n">
        <v>859881.6676</v>
      </c>
      <c r="BB101" s="188">
        <f>BA102</f>
        <v/>
      </c>
      <c r="BC101" s="188">
        <f>BA101-BB101</f>
        <v/>
      </c>
      <c r="BD101" s="271">
        <f>BC101/BB101</f>
        <v/>
      </c>
      <c r="BE101" s="443" t="n">
        <v>0.0035</v>
      </c>
      <c r="BF101" s="443" t="n"/>
      <c r="BG101" s="705" t="n"/>
      <c r="BH101" s="452">
        <f>C101</f>
        <v/>
      </c>
      <c r="BI101" s="452" t="n">
        <v>1159026.5525</v>
      </c>
      <c r="BJ101" s="452">
        <f>BI102</f>
        <v/>
      </c>
      <c r="BK101" s="453">
        <f>BI101-BJ101</f>
        <v/>
      </c>
      <c r="BL101" s="454">
        <f>BK101/BJ101</f>
        <v/>
      </c>
      <c r="BM101" s="455" t="n">
        <v>-0.0009</v>
      </c>
      <c r="BN101" s="456" t="n"/>
      <c r="BO101" s="457" t="n"/>
      <c r="BP101" s="458">
        <f>C101</f>
        <v/>
      </c>
      <c r="BQ101" s="706" t="n">
        <v>1158662.3921</v>
      </c>
      <c r="BR101" s="458">
        <f>BQ102</f>
        <v/>
      </c>
      <c r="BS101" s="460">
        <f>BQ101-BR101</f>
        <v/>
      </c>
      <c r="BT101" s="461">
        <f>BS101/BR101</f>
        <v/>
      </c>
      <c r="BU101" s="456" t="n">
        <v>-0.014</v>
      </c>
      <c r="BV101" s="456" t="n"/>
      <c r="BW101" s="457" t="n"/>
      <c r="BX101" s="458">
        <f>C101</f>
        <v/>
      </c>
      <c r="BY101" s="458" t="n">
        <v>1905360.7019</v>
      </c>
      <c r="BZ101" s="458">
        <f>BY102</f>
        <v/>
      </c>
      <c r="CA101" s="462">
        <f>BY101-BZ101</f>
        <v/>
      </c>
      <c r="CB101" s="463">
        <f>CA101/BZ101</f>
        <v/>
      </c>
      <c r="CC101" s="456" t="n">
        <v>0.0335</v>
      </c>
      <c r="CD101" s="464" t="n"/>
      <c r="CE101" s="457" t="n"/>
      <c r="CF101" s="458">
        <f>C101</f>
        <v/>
      </c>
      <c r="CG101" s="458" t="n">
        <v>1287153.9</v>
      </c>
      <c r="CH101" s="465">
        <f>CG102</f>
        <v/>
      </c>
      <c r="CI101" s="465">
        <f>CG101-CH101</f>
        <v/>
      </c>
      <c r="CJ101" s="466">
        <f>CI101/CH101</f>
        <v/>
      </c>
      <c r="CK101" s="456" t="n">
        <v>0.002</v>
      </c>
      <c r="CL101" s="464" t="n"/>
      <c r="CM101" s="457" t="n"/>
      <c r="CN101" s="458">
        <f>C101</f>
        <v/>
      </c>
      <c r="CO101" s="458" t="n">
        <v>545346.48</v>
      </c>
      <c r="CP101" s="458">
        <f>CO102</f>
        <v/>
      </c>
      <c r="CQ101" s="465">
        <f>CO101-CP101</f>
        <v/>
      </c>
      <c r="CR101" s="466">
        <f>CQ101/CP101</f>
        <v/>
      </c>
      <c r="CS101" s="464" t="n">
        <v>0.0064</v>
      </c>
      <c r="CT101" s="464" t="n"/>
      <c r="CU101" s="457" t="n"/>
      <c r="CV101" s="458">
        <f>C101</f>
        <v/>
      </c>
      <c r="CW101" s="458" t="n">
        <v>497640.4</v>
      </c>
      <c r="CX101" s="458">
        <f>CW102</f>
        <v/>
      </c>
      <c r="CY101" s="458">
        <f>CW101-CX101</f>
        <v/>
      </c>
      <c r="CZ101" s="464">
        <f>CY101/CX101</f>
        <v/>
      </c>
      <c r="DA101" s="456" t="n">
        <v>0.0005999999999999999</v>
      </c>
      <c r="DB101" s="456" t="n"/>
      <c r="DC101" s="256" t="n"/>
      <c r="DD101" s="458">
        <f>C101</f>
        <v/>
      </c>
      <c r="DE101" s="458" t="n">
        <v>1989717.9986</v>
      </c>
      <c r="DF101" s="13">
        <f>DE102</f>
        <v/>
      </c>
      <c r="DG101" s="462">
        <f>DE101-DF101</f>
        <v/>
      </c>
      <c r="DH101" s="463">
        <f>DG101/DF101</f>
        <v/>
      </c>
      <c r="DI101" s="456" t="n">
        <v>0.0542</v>
      </c>
      <c r="DJ101" s="456" t="n"/>
      <c r="DK101" s="457" t="n"/>
      <c r="DL101" s="458">
        <f>C101</f>
        <v/>
      </c>
      <c r="DM101" s="458" t="n">
        <v>838500.36</v>
      </c>
      <c r="DN101" s="458">
        <f>DM102</f>
        <v/>
      </c>
      <c r="DO101" s="462">
        <f>DM101-DN101</f>
        <v/>
      </c>
      <c r="DP101" s="463">
        <f>DO101/DN101</f>
        <v/>
      </c>
      <c r="DQ101" s="456" t="n">
        <v>0.0557</v>
      </c>
      <c r="DR101" s="456" t="n"/>
      <c r="DS101" s="457" t="n"/>
      <c r="DT101" s="458">
        <f>C101</f>
        <v/>
      </c>
      <c r="DU101" s="458" t="n">
        <v>1206689.48</v>
      </c>
      <c r="DV101" s="458">
        <f>DU102</f>
        <v/>
      </c>
      <c r="DW101" s="462">
        <f>DU101-DV101</f>
        <v/>
      </c>
      <c r="DX101" s="463">
        <f>DW101/DV101</f>
        <v/>
      </c>
      <c r="DY101" s="456" t="n">
        <v>0.0471</v>
      </c>
      <c r="DZ101" s="456" t="n"/>
      <c r="EA101" s="457" t="n"/>
      <c r="EB101" s="458">
        <f>C101</f>
        <v/>
      </c>
      <c r="EC101" s="458" t="n">
        <v>3120266.82</v>
      </c>
      <c r="ED101" s="458">
        <f>EC102</f>
        <v/>
      </c>
      <c r="EE101" s="462">
        <f>EC101-ED101</f>
        <v/>
      </c>
      <c r="EF101" s="463">
        <f>EE101/ED101</f>
        <v/>
      </c>
      <c r="EG101" s="456" t="n">
        <v>0.0361</v>
      </c>
      <c r="EH101" s="456" t="n"/>
      <c r="EI101" s="457" t="n"/>
      <c r="EJ101" s="458">
        <f>C101</f>
        <v/>
      </c>
      <c r="EK101" s="458" t="n">
        <v>1099522.9669</v>
      </c>
      <c r="EL101" s="458">
        <f>EK102</f>
        <v/>
      </c>
      <c r="EM101" s="462">
        <f>EK101-EL101</f>
        <v/>
      </c>
      <c r="EN101" s="463">
        <f>EM101/EL101</f>
        <v/>
      </c>
      <c r="EO101" s="456" t="n">
        <v>0.0234</v>
      </c>
      <c r="EP101" s="456" t="n"/>
      <c r="EQ101" s="467" t="n"/>
      <c r="ER101" s="468">
        <f>C101</f>
        <v/>
      </c>
      <c r="ES101" s="468" t="n">
        <v>366047.02</v>
      </c>
      <c r="ET101" s="468">
        <f>ES102</f>
        <v/>
      </c>
      <c r="EU101" s="468">
        <f>ES101-ET101</f>
        <v/>
      </c>
      <c r="EV101" s="469">
        <f>EU101/ET101</f>
        <v/>
      </c>
      <c r="EW101" s="456" t="n">
        <v>0.0243</v>
      </c>
      <c r="EX101" s="456" t="n"/>
      <c r="EY101" s="457" t="n"/>
      <c r="EZ101" s="458">
        <f>C101</f>
        <v/>
      </c>
      <c r="FA101" s="458" t="n">
        <v>540108</v>
      </c>
      <c r="FB101" s="458">
        <f>FA102</f>
        <v/>
      </c>
      <c r="FC101" s="460">
        <f>FA101-FB101</f>
        <v/>
      </c>
      <c r="FD101" s="461">
        <f>FC101/FB101</f>
        <v/>
      </c>
      <c r="FE101" s="456" t="n">
        <v>0.008</v>
      </c>
      <c r="FF101" s="456" t="n"/>
      <c r="FH101" s="458">
        <f>C101</f>
        <v/>
      </c>
      <c r="FI101" s="706" t="n">
        <v>1008195.3365</v>
      </c>
      <c r="FJ101" s="458">
        <f>FI102</f>
        <v/>
      </c>
      <c r="FK101" s="462">
        <f>FI101-FJ101</f>
        <v/>
      </c>
      <c r="FL101" s="463">
        <f>FK101/FJ101</f>
        <v/>
      </c>
      <c r="FM101" s="463" t="n">
        <v>0.0219</v>
      </c>
      <c r="FN101" s="464" t="n"/>
      <c r="FO101" s="457" t="n"/>
      <c r="FP101" s="458">
        <f>C101</f>
        <v/>
      </c>
      <c r="FQ101" s="458" t="n">
        <v>1551568.73</v>
      </c>
      <c r="FR101" s="458">
        <f>FQ102</f>
        <v/>
      </c>
      <c r="FS101" s="462">
        <f>FQ101-FR101</f>
        <v/>
      </c>
      <c r="FT101" s="463">
        <f>FS101/FR101</f>
        <v/>
      </c>
      <c r="FU101" s="456" t="n">
        <v>0.007900000000000001</v>
      </c>
      <c r="FV101" s="456" t="n"/>
      <c r="FW101" s="457" t="n"/>
      <c r="FX101" s="458">
        <f>C101</f>
        <v/>
      </c>
      <c r="FY101" s="458" t="n">
        <v>8488782.050000001</v>
      </c>
      <c r="FZ101" s="458">
        <f>FY102</f>
        <v/>
      </c>
      <c r="GA101" s="462">
        <f>FY101-FZ101</f>
        <v/>
      </c>
      <c r="GB101" s="463">
        <f>GA101/FZ101</f>
        <v/>
      </c>
      <c r="GC101" s="456" t="n">
        <v>0.0134</v>
      </c>
      <c r="GD101" s="456" t="n"/>
      <c r="GE101" s="457" t="n"/>
      <c r="GF101" s="458">
        <f>C101</f>
        <v/>
      </c>
      <c r="GG101" s="458" t="n">
        <v>4941269.49</v>
      </c>
      <c r="GH101" s="458">
        <f>GG102</f>
        <v/>
      </c>
      <c r="GI101" s="462">
        <f>GG101-GH101</f>
        <v/>
      </c>
      <c r="GJ101" s="463">
        <f>GI101/GH101</f>
        <v/>
      </c>
      <c r="GK101" s="456" t="n">
        <v>0.024</v>
      </c>
      <c r="GL101" s="456" t="n"/>
      <c r="GM101" s="457" t="n"/>
      <c r="GN101" s="458">
        <f>C101</f>
        <v/>
      </c>
      <c r="GO101" s="458" t="n">
        <v>1972678.1217</v>
      </c>
      <c r="GP101" s="458">
        <f>GO102</f>
        <v/>
      </c>
      <c r="GQ101" s="460">
        <f>GO101-GP101</f>
        <v/>
      </c>
      <c r="GR101" s="461">
        <f>GQ101/GP101</f>
        <v/>
      </c>
      <c r="GS101" s="456" t="n">
        <v>0.0279</v>
      </c>
      <c r="GT101" s="456" t="n"/>
      <c r="GU101" s="457" t="n"/>
      <c r="GV101" s="458">
        <f>C101</f>
        <v/>
      </c>
      <c r="GW101" s="458" t="n">
        <v>705549.4</v>
      </c>
      <c r="GX101" s="458">
        <f>GW102</f>
        <v/>
      </c>
      <c r="GY101" s="460">
        <f>GW101-GX101</f>
        <v/>
      </c>
      <c r="GZ101" s="461">
        <f>GY101/GX101</f>
        <v/>
      </c>
      <c r="HA101" s="456" t="n">
        <v>0</v>
      </c>
      <c r="HB101" s="456" t="n"/>
      <c r="HC101" s="457" t="n"/>
      <c r="HD101" s="458">
        <f>C101</f>
        <v/>
      </c>
      <c r="HE101" s="458" t="n">
        <v>985064.6746</v>
      </c>
      <c r="HF101" s="458">
        <f>HE102</f>
        <v/>
      </c>
      <c r="HG101" s="460">
        <f>HE101-HF101</f>
        <v/>
      </c>
      <c r="HH101" s="461">
        <f>HG101/HF101</f>
        <v/>
      </c>
      <c r="HI101" s="464" t="n">
        <v>0.0143</v>
      </c>
      <c r="HJ101" s="456" t="n"/>
      <c r="HK101" s="457" t="n"/>
      <c r="HL101" s="458">
        <f>C101</f>
        <v/>
      </c>
      <c r="HM101" s="458" t="n">
        <v>114204.25</v>
      </c>
      <c r="HN101" s="458">
        <f>HM102</f>
        <v/>
      </c>
      <c r="HO101" s="462">
        <f>HM101-HN101</f>
        <v/>
      </c>
      <c r="HP101" s="463">
        <f>HO101/HN101</f>
        <v/>
      </c>
      <c r="HQ101" s="456" t="n">
        <v>0.0035</v>
      </c>
      <c r="HR101" s="456" t="n"/>
      <c r="HS101" s="457" t="n"/>
      <c r="HT101" s="458">
        <f>C101</f>
        <v/>
      </c>
      <c r="HU101" s="458" t="n">
        <v>131568.8265</v>
      </c>
      <c r="HV101" s="458">
        <f>HU102</f>
        <v/>
      </c>
      <c r="HW101" s="460">
        <f>HU101-HV101</f>
        <v/>
      </c>
      <c r="HX101" s="461">
        <f>HW101/HV101</f>
        <v/>
      </c>
      <c r="HY101" s="456" t="n">
        <v>-0.0142</v>
      </c>
      <c r="HZ101" s="456" t="n"/>
      <c r="IA101" s="457" t="n"/>
      <c r="IB101" s="458">
        <f>C101</f>
        <v/>
      </c>
      <c r="IC101" s="470" t="n">
        <v>265634.79</v>
      </c>
      <c r="ID101" s="470">
        <f>IC102</f>
        <v/>
      </c>
      <c r="IE101" s="471">
        <f>IC101-ID101</f>
        <v/>
      </c>
      <c r="IF101" s="472">
        <f>IE101/ID101</f>
        <v/>
      </c>
      <c r="IG101" s="472" t="n">
        <v>-0.017</v>
      </c>
      <c r="IH101" s="456" t="n"/>
      <c r="II101" s="457" t="n"/>
      <c r="IJ101" s="458">
        <f>C101</f>
        <v/>
      </c>
      <c r="IK101" s="458" t="n">
        <v>858636.29</v>
      </c>
      <c r="IL101" s="458">
        <f>IK102</f>
        <v/>
      </c>
      <c r="IM101" s="462">
        <f>IK101-IL101</f>
        <v/>
      </c>
      <c r="IN101" s="463">
        <f>IM101/IL101</f>
        <v/>
      </c>
      <c r="IO101" s="456" t="n">
        <v>-0.0203</v>
      </c>
      <c r="IP101" s="456" t="n"/>
      <c r="IQ101" s="457" t="n"/>
      <c r="IR101" s="458">
        <f>C101</f>
        <v/>
      </c>
      <c r="IS101" s="458" t="n">
        <v>151389</v>
      </c>
      <c r="IT101" s="458">
        <f>IS102</f>
        <v/>
      </c>
      <c r="IU101" s="458">
        <f>IS101-IT101</f>
        <v/>
      </c>
      <c r="IV101" s="464">
        <f>IU101/IT101</f>
        <v/>
      </c>
      <c r="IW101" s="456" t="n">
        <v>0.0098</v>
      </c>
      <c r="IX101" s="456" t="n"/>
      <c r="IY101" s="457" t="n"/>
      <c r="IZ101" s="458">
        <f>C101</f>
        <v/>
      </c>
      <c r="JA101" s="458" t="n">
        <v>5018229.15</v>
      </c>
      <c r="JB101" s="458">
        <f>JA102</f>
        <v/>
      </c>
      <c r="JC101" s="460">
        <f>JA101-JB101</f>
        <v/>
      </c>
      <c r="JD101" s="461">
        <f>JC101/JB101</f>
        <v/>
      </c>
      <c r="JE101" s="456" t="n">
        <v>-0.0177</v>
      </c>
      <c r="JF101" s="456" t="n"/>
      <c r="JG101" s="457" t="n"/>
      <c r="JH101" s="458">
        <f>C101</f>
        <v/>
      </c>
      <c r="JI101" s="458" t="n">
        <v>1535847.99</v>
      </c>
      <c r="JJ101" s="458">
        <f>JI102</f>
        <v/>
      </c>
      <c r="JK101" s="460">
        <f>JI101-JJ101</f>
        <v/>
      </c>
      <c r="JL101" s="461">
        <f>JK101/JJ101</f>
        <v/>
      </c>
      <c r="JM101" s="456" t="n">
        <v>-0.0219</v>
      </c>
      <c r="JN101" s="456" t="n"/>
      <c r="JP101" s="458">
        <f>C101</f>
        <v/>
      </c>
      <c r="JQ101" s="458" t="n">
        <v>1020090.4148</v>
      </c>
      <c r="JR101" s="458">
        <f>JQ102</f>
        <v/>
      </c>
      <c r="JS101" s="462">
        <f>JQ101-JR101</f>
        <v/>
      </c>
      <c r="JT101" s="463">
        <f>JS101/JR101</f>
        <v/>
      </c>
      <c r="JU101" s="456" t="n">
        <v>-0.0365</v>
      </c>
      <c r="JV101" s="464" t="n"/>
      <c r="JX101" s="458">
        <f>C101</f>
        <v/>
      </c>
      <c r="JY101" s="458" t="n">
        <v>1047598.8</v>
      </c>
      <c r="JZ101" s="458">
        <f>JY102</f>
        <v/>
      </c>
      <c r="KA101" s="458">
        <f>JY101-JZ101</f>
        <v/>
      </c>
      <c r="KB101" s="464">
        <f>KA101/JZ101</f>
        <v/>
      </c>
      <c r="KC101" s="456" t="n">
        <v>-0.0158</v>
      </c>
      <c r="KD101" s="464" t="n"/>
      <c r="KF101" s="458">
        <f>C101</f>
        <v/>
      </c>
      <c r="KG101" s="458" t="n">
        <v>648955.9219</v>
      </c>
      <c r="KH101" s="458">
        <f>KG102</f>
        <v/>
      </c>
      <c r="KI101" s="458">
        <f>KG101-KH101</f>
        <v/>
      </c>
      <c r="KJ101" s="464">
        <f>KI101/KH101</f>
        <v/>
      </c>
      <c r="KK101" s="464" t="n">
        <v>0.0095</v>
      </c>
      <c r="KL101" s="464" t="n"/>
      <c r="KM101" s="457" t="n"/>
      <c r="KN101" s="458">
        <f>C101</f>
        <v/>
      </c>
      <c r="KO101" s="458" t="n">
        <v>7533475.95</v>
      </c>
      <c r="KP101" s="458">
        <f>KO102</f>
        <v/>
      </c>
      <c r="KQ101" s="458">
        <f>KO101-KP101</f>
        <v/>
      </c>
      <c r="KR101" s="464">
        <f>KQ101/KP101</f>
        <v/>
      </c>
      <c r="KS101" s="456" t="n">
        <v>0.0197</v>
      </c>
      <c r="KT101" s="456" t="n"/>
      <c r="KU101" s="457" t="n"/>
      <c r="KV101" s="458">
        <f>C101</f>
        <v/>
      </c>
      <c r="KW101" s="458" t="n">
        <v>1054072.9726</v>
      </c>
      <c r="KX101" s="458">
        <f>KW102</f>
        <v/>
      </c>
      <c r="KY101" s="458">
        <f>KW101-KX101</f>
        <v/>
      </c>
      <c r="KZ101" s="464">
        <f>KY101/KX101</f>
        <v/>
      </c>
      <c r="LA101" s="464" t="n">
        <v>0.0275</v>
      </c>
      <c r="LB101" s="456" t="n"/>
      <c r="LC101" s="457" t="n"/>
      <c r="LD101" s="458">
        <f>C101</f>
        <v/>
      </c>
      <c r="LE101" s="458" t="n">
        <v>387957.7</v>
      </c>
      <c r="LF101" s="458">
        <f>LE102</f>
        <v/>
      </c>
      <c r="LG101" s="460">
        <f>LE101-LF101</f>
        <v/>
      </c>
      <c r="LH101" s="461">
        <f>LG101/LF101</f>
        <v/>
      </c>
      <c r="LI101" s="456" t="n">
        <v>0.0019</v>
      </c>
      <c r="LJ101" s="456" t="n"/>
      <c r="LK101" s="457" t="n"/>
      <c r="LL101" s="458">
        <f>C101</f>
        <v/>
      </c>
      <c r="LM101" s="706" t="n">
        <v>3473395.02</v>
      </c>
      <c r="LN101" s="458">
        <f>LM102</f>
        <v/>
      </c>
      <c r="LO101" s="462">
        <f>LM101-LN101</f>
        <v/>
      </c>
      <c r="LP101" s="463">
        <f>LO101/LN101</f>
        <v/>
      </c>
      <c r="LQ101" s="456" t="n">
        <v>-0.0226</v>
      </c>
      <c r="LR101" s="456" t="n"/>
      <c r="LS101" s="457" t="n"/>
      <c r="LT101" s="458">
        <f>C101</f>
        <v/>
      </c>
      <c r="LU101" s="458" t="n">
        <v>2356262.904</v>
      </c>
      <c r="LV101" s="458">
        <f>LU102</f>
        <v/>
      </c>
      <c r="LW101" s="460">
        <f>LU101-LV101</f>
        <v/>
      </c>
      <c r="LX101" s="461">
        <f>LW101/LV101</f>
        <v/>
      </c>
      <c r="LY101" s="456" t="n">
        <v>-0.0146</v>
      </c>
      <c r="LZ101" s="456" t="n"/>
      <c r="MA101" s="457" t="n"/>
      <c r="MB101" s="458">
        <f>C101</f>
        <v/>
      </c>
      <c r="MC101" s="458" t="n">
        <v>1118067.69</v>
      </c>
      <c r="MD101" s="458">
        <f>MC102</f>
        <v/>
      </c>
      <c r="ME101" s="462">
        <f>MC101-MD101</f>
        <v/>
      </c>
      <c r="MF101" s="463">
        <f>ME101/MD101</f>
        <v/>
      </c>
      <c r="MG101" s="456" t="n">
        <v>-0.0309</v>
      </c>
      <c r="MH101" s="456" t="n"/>
      <c r="MI101" s="473" t="n"/>
      <c r="MJ101" s="468" t="n"/>
      <c r="MK101" s="468">
        <f>C101</f>
        <v/>
      </c>
      <c r="ML101" s="468" t="n">
        <v>163785.5354</v>
      </c>
      <c r="MM101" s="465">
        <f>ML102</f>
        <v/>
      </c>
      <c r="MN101" s="468">
        <f>ML101-MM101</f>
        <v/>
      </c>
      <c r="MO101" s="469">
        <f>MN101/MM101</f>
        <v/>
      </c>
      <c r="MP101" s="456" t="n">
        <v>0.0197</v>
      </c>
      <c r="MQ101" s="474" t="n"/>
      <c r="MR101" s="474" t="n"/>
      <c r="MS101" s="475" t="n"/>
      <c r="MT101" s="476">
        <f>C101</f>
        <v/>
      </c>
      <c r="MU101" s="475" t="n">
        <v>139714.8</v>
      </c>
      <c r="MV101" s="475">
        <f>MU102</f>
        <v/>
      </c>
      <c r="MW101" s="475">
        <f>MU101-MV101</f>
        <v/>
      </c>
      <c r="MX101" s="477">
        <f>MW101/MV101</f>
        <v/>
      </c>
      <c r="MY101" s="456" t="n">
        <v>0.0126</v>
      </c>
      <c r="MZ101" s="456" t="n"/>
      <c r="NA101" s="456" t="n"/>
      <c r="NB101" s="475" t="n"/>
      <c r="NC101" s="475">
        <f>C101</f>
        <v/>
      </c>
      <c r="ND101" s="475" t="n">
        <v>37891.48</v>
      </c>
      <c r="NE101" s="475">
        <f>ND102</f>
        <v/>
      </c>
      <c r="NF101" s="475">
        <f>ND101-NE101</f>
        <v/>
      </c>
      <c r="NG101" s="477">
        <f>NF101/NE101</f>
        <v/>
      </c>
      <c r="NH101" s="456" t="n">
        <v>0.01</v>
      </c>
      <c r="NI101" s="456" t="n"/>
      <c r="NJ101" s="456" t="n"/>
      <c r="NK101" s="456" t="n"/>
      <c r="NL101" s="188" t="n"/>
      <c r="NM101" s="188">
        <f>C101</f>
        <v/>
      </c>
      <c r="NN101" s="188" t="n">
        <v>2896511.08</v>
      </c>
      <c r="NO101" s="9">
        <f>NN102</f>
        <v/>
      </c>
      <c r="NP101" s="188">
        <f>NN101-NO101</f>
        <v/>
      </c>
      <c r="NQ101" s="271">
        <f>NP101/NO101</f>
        <v/>
      </c>
      <c r="NR101" s="272" t="n">
        <v>-0.017</v>
      </c>
      <c r="NS101" s="188" t="n"/>
      <c r="NT101" s="273" t="n"/>
      <c r="NU101" s="188">
        <f>C101</f>
        <v/>
      </c>
      <c r="NV101" s="188" t="n">
        <v>262526.5</v>
      </c>
      <c r="NW101" s="188">
        <f>NV102</f>
        <v/>
      </c>
      <c r="NX101" s="188">
        <f>NV101-NW101</f>
        <v/>
      </c>
      <c r="NY101" s="271">
        <f>NX101/NW101</f>
        <v/>
      </c>
      <c r="NZ101" s="464" t="n">
        <v>-0.0133</v>
      </c>
      <c r="OA101" s="457" t="n"/>
      <c r="OB101" s="457" t="n"/>
      <c r="OC101" s="458">
        <f>C101</f>
        <v/>
      </c>
      <c r="OD101" s="458" t="n">
        <v>17234.97</v>
      </c>
      <c r="OE101" s="458">
        <f>OD102</f>
        <v/>
      </c>
      <c r="OF101" s="460">
        <f>OD101-OE101</f>
        <v/>
      </c>
      <c r="OG101" s="461">
        <f>OF101/OE101</f>
        <v/>
      </c>
      <c r="OH101" s="456" t="n">
        <v>0</v>
      </c>
      <c r="OI101" s="456" t="n"/>
      <c r="OJ101" s="457" t="n"/>
      <c r="OK101" s="458">
        <f>C101</f>
        <v/>
      </c>
      <c r="OL101" s="470" t="n">
        <v>14318.65</v>
      </c>
      <c r="OM101" s="15">
        <f>OL102</f>
        <v/>
      </c>
      <c r="ON101" s="471">
        <f>OL101-OM101</f>
        <v/>
      </c>
      <c r="OO101" s="472">
        <f>ON101/OM101</f>
        <v/>
      </c>
      <c r="OP101" s="456" t="n">
        <v>0.0009</v>
      </c>
      <c r="OQ101" s="456" t="n"/>
      <c r="OT101" s="478">
        <f>OK101</f>
        <v/>
      </c>
      <c r="OU101" s="199" t="n">
        <v>150432.4066</v>
      </c>
      <c r="OV101" s="9">
        <f>OU102</f>
        <v/>
      </c>
      <c r="OW101" s="671">
        <f>OU101-OV101</f>
        <v/>
      </c>
      <c r="OX101" s="182">
        <f>OW101/OV101</f>
        <v/>
      </c>
      <c r="OY101" s="0" t="n">
        <v>0.003</v>
      </c>
    </row>
    <row r="102" ht="17" customFormat="1" customHeight="1" s="9">
      <c r="A102" s="631" t="n"/>
      <c r="B102" s="631" t="n"/>
      <c r="C102" s="693" t="inlineStr">
        <is>
          <t>2026//6/23</t>
        </is>
      </c>
      <c r="D102" s="362" t="n">
        <v>2467668.77</v>
      </c>
      <c r="E102" s="362">
        <f>D103</f>
        <v/>
      </c>
      <c r="F102" s="432">
        <f>D102-E102</f>
        <v/>
      </c>
      <c r="G102" s="433">
        <f>F102/E102</f>
        <v/>
      </c>
      <c r="H102" s="19" t="n">
        <v>-0.0293</v>
      </c>
      <c r="I102" s="426" t="n"/>
      <c r="J102" s="426" t="n"/>
      <c r="K102" s="362">
        <f>C102</f>
        <v/>
      </c>
      <c r="L102" s="362" t="n">
        <v>1702144.4</v>
      </c>
      <c r="M102" s="362">
        <f>L103</f>
        <v/>
      </c>
      <c r="N102" s="377">
        <f>L102-M102</f>
        <v/>
      </c>
      <c r="O102" s="378">
        <f>N102/M102</f>
        <v/>
      </c>
      <c r="P102" s="19" t="n">
        <v>-0.0278</v>
      </c>
      <c r="Q102" s="426" t="n"/>
      <c r="R102" s="427" t="n"/>
      <c r="S102" s="362">
        <f>C102</f>
        <v/>
      </c>
      <c r="T102" s="362" t="n">
        <v>734376.6800000001</v>
      </c>
      <c r="U102" s="362">
        <f>T103</f>
        <v/>
      </c>
      <c r="V102" s="377">
        <f>T102-U102</f>
        <v/>
      </c>
      <c r="W102" s="378">
        <f>V102/U102</f>
        <v/>
      </c>
      <c r="X102" s="19" t="n">
        <v>-0.0297</v>
      </c>
      <c r="Y102" s="426" t="n"/>
      <c r="Z102" s="427" t="n"/>
      <c r="AA102" s="362">
        <f>S102</f>
        <v/>
      </c>
      <c r="AB102" s="362" t="n">
        <v>432576.86</v>
      </c>
      <c r="AC102" s="362">
        <f>AB103</f>
        <v/>
      </c>
      <c r="AD102" s="432">
        <f>AB102-AC102</f>
        <v/>
      </c>
      <c r="AE102" s="433">
        <f>AD102/AC102</f>
        <v/>
      </c>
      <c r="AF102" s="19" t="n">
        <v>-0.0213</v>
      </c>
      <c r="AG102" s="426" t="n"/>
      <c r="AH102" s="427" t="n"/>
      <c r="AI102" s="362">
        <f>C102</f>
        <v/>
      </c>
      <c r="AJ102" s="362" t="n">
        <v>320921.76</v>
      </c>
      <c r="AK102" s="362">
        <f>AJ103</f>
        <v/>
      </c>
      <c r="AL102" s="432">
        <f>AJ102-AK102</f>
        <v/>
      </c>
      <c r="AM102" s="433">
        <f>AL102/AK102</f>
        <v/>
      </c>
      <c r="AN102" s="19" t="n">
        <v>-0.0196</v>
      </c>
      <c r="AO102" s="19" t="n"/>
      <c r="AP102" s="427" t="n"/>
      <c r="AQ102" s="362">
        <f>C102</f>
        <v/>
      </c>
      <c r="AR102" s="697" t="n">
        <v>1136345.4936</v>
      </c>
      <c r="AS102" s="362">
        <f>AR103</f>
        <v/>
      </c>
      <c r="AT102" s="432">
        <f>AR102-AS102</f>
        <v/>
      </c>
      <c r="AU102" s="433">
        <f>AT102/AS102</f>
        <v/>
      </c>
      <c r="AV102" s="19" t="n">
        <v>-0.0386</v>
      </c>
      <c r="AW102" s="19" t="n"/>
      <c r="AX102" s="5" t="n"/>
      <c r="AY102" s="188" t="n"/>
      <c r="AZ102" s="188">
        <f>C102</f>
        <v/>
      </c>
      <c r="BA102" s="188" t="n">
        <v>949251.6676</v>
      </c>
      <c r="BB102" s="188">
        <f>BA103</f>
        <v/>
      </c>
      <c r="BC102" s="188">
        <f>BA102-BB102</f>
        <v/>
      </c>
      <c r="BD102" s="271">
        <f>BC102/BB102</f>
        <v/>
      </c>
      <c r="BE102" s="19" t="n">
        <v>-0.0292</v>
      </c>
      <c r="BF102" s="19" t="n"/>
      <c r="BG102" s="647" t="n"/>
      <c r="BH102" s="363">
        <f>C102</f>
        <v/>
      </c>
      <c r="BI102" s="363" t="n">
        <v>1166626.5525</v>
      </c>
      <c r="BJ102" s="363">
        <f>BI103</f>
        <v/>
      </c>
      <c r="BK102" s="395">
        <f>BI102-BJ102</f>
        <v/>
      </c>
      <c r="BL102" s="396">
        <f>BK102/BJ102</f>
        <v/>
      </c>
      <c r="BM102" s="191" t="n">
        <v>-0.0297</v>
      </c>
      <c r="BN102" s="182" t="n"/>
      <c r="BO102" s="364" t="n"/>
      <c r="BP102" s="365">
        <f>C102</f>
        <v/>
      </c>
      <c r="BQ102" s="694" t="n">
        <v>1151862.3921</v>
      </c>
      <c r="BR102" s="365">
        <f>BQ103</f>
        <v/>
      </c>
      <c r="BS102" s="390">
        <f>BQ102-BR102</f>
        <v/>
      </c>
      <c r="BT102" s="391">
        <f>BS102/BR102</f>
        <v/>
      </c>
      <c r="BU102" s="182" t="n">
        <v>-0.0259</v>
      </c>
      <c r="BV102" s="182" t="n"/>
      <c r="BW102" s="364" t="n"/>
      <c r="BX102" s="365">
        <f>C102</f>
        <v/>
      </c>
      <c r="BY102" s="365" t="n">
        <v>1917160.7019</v>
      </c>
      <c r="BZ102" s="365">
        <f>BY103</f>
        <v/>
      </c>
      <c r="CA102" s="390">
        <f>BY102-BZ102</f>
        <v/>
      </c>
      <c r="CB102" s="391">
        <f>CA102/BZ102</f>
        <v/>
      </c>
      <c r="CC102" s="182" t="n">
        <v>-0.0367</v>
      </c>
      <c r="CD102" s="383" t="n"/>
      <c r="CE102" s="364" t="n"/>
      <c r="CF102" s="365">
        <f>C102</f>
        <v/>
      </c>
      <c r="CG102" s="365" t="n">
        <v>1312353.9</v>
      </c>
      <c r="CH102" s="13">
        <f>CG103</f>
        <v/>
      </c>
      <c r="CI102" s="13">
        <f>CG102-CH102</f>
        <v/>
      </c>
      <c r="CJ102" s="193">
        <f>CI102/CH102</f>
        <v/>
      </c>
      <c r="CK102" s="182" t="n">
        <v>-0.08309999999999999</v>
      </c>
      <c r="CL102" s="366" t="n"/>
      <c r="CM102" s="364" t="n"/>
      <c r="CN102" s="365">
        <f>C102</f>
        <v/>
      </c>
      <c r="CO102" s="365" t="n">
        <v>538846.48</v>
      </c>
      <c r="CP102" s="365">
        <f>CO103</f>
        <v/>
      </c>
      <c r="CQ102" s="13">
        <f>CO102-CP102</f>
        <v/>
      </c>
      <c r="CR102" s="193">
        <f>CQ102/CP102</f>
        <v/>
      </c>
      <c r="CS102" s="366" t="n">
        <v>-0.0852</v>
      </c>
      <c r="CT102" s="366" t="n"/>
      <c r="CU102" s="364" t="n"/>
      <c r="CV102" s="365">
        <f>C102</f>
        <v/>
      </c>
      <c r="CW102" s="365" t="n">
        <v>506290.4</v>
      </c>
      <c r="CX102" s="365">
        <f>CW103</f>
        <v/>
      </c>
      <c r="CY102" s="388">
        <f>CW102-CX102</f>
        <v/>
      </c>
      <c r="CZ102" s="389">
        <f>CY102/CX102</f>
        <v/>
      </c>
      <c r="DA102" s="182" t="n">
        <v>-0.0851</v>
      </c>
      <c r="DB102" s="182" t="n"/>
      <c r="DC102" s="256" t="n"/>
      <c r="DD102" s="365">
        <f>C102</f>
        <v/>
      </c>
      <c r="DE102" s="365" t="n">
        <v>1930917.9986</v>
      </c>
      <c r="DF102" s="13">
        <f>DE103</f>
        <v/>
      </c>
      <c r="DG102" s="390">
        <f>DE102-DF102</f>
        <v/>
      </c>
      <c r="DH102" s="391">
        <f>DG102/DF102</f>
        <v/>
      </c>
      <c r="DI102" s="182" t="n">
        <v>-0.0025</v>
      </c>
      <c r="DJ102" s="182" t="n"/>
      <c r="DK102" s="364" t="n"/>
      <c r="DL102" s="365">
        <f>C102</f>
        <v/>
      </c>
      <c r="DM102" s="365" t="n">
        <v>838700.36</v>
      </c>
      <c r="DN102" s="365">
        <f>DM103</f>
        <v/>
      </c>
      <c r="DO102" s="388">
        <f>DM102-DN102</f>
        <v/>
      </c>
      <c r="DP102" s="389">
        <f>DO102/DN102</f>
        <v/>
      </c>
      <c r="DQ102" s="182" t="n">
        <v>-0.0157</v>
      </c>
      <c r="DR102" s="182" t="n"/>
      <c r="DS102" s="364" t="n"/>
      <c r="DT102" s="365">
        <f>C102</f>
        <v/>
      </c>
      <c r="DU102" s="365" t="n">
        <v>1205789.48</v>
      </c>
      <c r="DV102" s="365">
        <f>DU103</f>
        <v/>
      </c>
      <c r="DW102" s="388">
        <f>DU102-DV102</f>
        <v/>
      </c>
      <c r="DX102" s="389">
        <f>DW102/DV102</f>
        <v/>
      </c>
      <c r="DY102" s="182" t="n">
        <v>-0.0116</v>
      </c>
      <c r="DZ102" s="182" t="n"/>
      <c r="EA102" s="364" t="n"/>
      <c r="EB102" s="365">
        <f>C102</f>
        <v/>
      </c>
      <c r="EC102" s="365" t="n">
        <v>3166166.82</v>
      </c>
      <c r="ED102" s="365">
        <f>EC103</f>
        <v/>
      </c>
      <c r="EE102" s="388">
        <f>EC102-ED102</f>
        <v/>
      </c>
      <c r="EF102" s="389">
        <f>EE102/ED102</f>
        <v/>
      </c>
      <c r="EG102" s="182" t="n">
        <v>-0.0161</v>
      </c>
      <c r="EH102" s="182" t="n"/>
      <c r="EI102" s="364" t="n"/>
      <c r="EJ102" s="365">
        <f>C102</f>
        <v/>
      </c>
      <c r="EK102" s="365" t="n">
        <v>1104522.9669</v>
      </c>
      <c r="EL102" s="365">
        <f>EK103</f>
        <v/>
      </c>
      <c r="EM102" s="388">
        <f>EK102-EL102</f>
        <v/>
      </c>
      <c r="EN102" s="389">
        <f>EM102/EL102</f>
        <v/>
      </c>
      <c r="EO102" s="182" t="n">
        <v>-0.0362</v>
      </c>
      <c r="EP102" s="182" t="n"/>
      <c r="EQ102" s="317" t="n"/>
      <c r="ER102" s="318">
        <f>C102</f>
        <v/>
      </c>
      <c r="ES102" s="318" t="n">
        <v>366497.02</v>
      </c>
      <c r="ET102" s="318">
        <f>ES103</f>
        <v/>
      </c>
      <c r="EU102" s="318">
        <f>ES102-ET102</f>
        <v/>
      </c>
      <c r="EV102" s="327">
        <f>EU102/ET102</f>
        <v/>
      </c>
      <c r="EW102" s="182" t="n">
        <v>-0.0371</v>
      </c>
      <c r="EX102" s="182" t="n"/>
      <c r="EY102" s="364" t="n"/>
      <c r="EZ102" s="365">
        <f>C102</f>
        <v/>
      </c>
      <c r="FA102" s="365" t="n">
        <v>540508</v>
      </c>
      <c r="FB102" s="365">
        <f>FA103</f>
        <v/>
      </c>
      <c r="FC102" s="388">
        <f>FA102-FB102</f>
        <v/>
      </c>
      <c r="FD102" s="389">
        <f>FC102/FB102</f>
        <v/>
      </c>
      <c r="FE102" s="182" t="n">
        <v>-0.0354</v>
      </c>
      <c r="FF102" s="182" t="n"/>
      <c r="FG102" s="182" t="n"/>
      <c r="FH102" s="365">
        <f>C102</f>
        <v/>
      </c>
      <c r="FI102" s="694" t="n">
        <v>1031895.3365</v>
      </c>
      <c r="FJ102" s="365">
        <f>FI103</f>
        <v/>
      </c>
      <c r="FK102" s="323">
        <f>FI102-FJ102</f>
        <v/>
      </c>
      <c r="FL102" s="324">
        <f>FK102/FJ102</f>
        <v/>
      </c>
      <c r="FM102" s="366" t="n">
        <v>-0.0332</v>
      </c>
      <c r="FN102" s="366" t="n"/>
      <c r="FO102" s="364" t="n"/>
      <c r="FP102" s="365">
        <f>C102</f>
        <v/>
      </c>
      <c r="FQ102" s="365" t="n">
        <v>1568668.73</v>
      </c>
      <c r="FR102" s="365">
        <f>FQ103</f>
        <v/>
      </c>
      <c r="FS102" s="388">
        <f>FQ102-FR102</f>
        <v/>
      </c>
      <c r="FT102" s="389">
        <f>FS102/FR102</f>
        <v/>
      </c>
      <c r="FU102" s="182" t="n">
        <v>-0.0147</v>
      </c>
      <c r="FV102" s="182" t="n"/>
      <c r="FW102" s="364" t="n"/>
      <c r="FX102" s="365">
        <f>C102</f>
        <v/>
      </c>
      <c r="FY102" s="365" t="n">
        <v>8520582.050000001</v>
      </c>
      <c r="FZ102" s="365">
        <f>FY103</f>
        <v/>
      </c>
      <c r="GA102" s="390">
        <f>FY102-FZ102</f>
        <v/>
      </c>
      <c r="GB102" s="391">
        <f>GA102/FZ102</f>
        <v/>
      </c>
      <c r="GC102" s="182" t="n">
        <v>0.0034</v>
      </c>
      <c r="GD102" s="182" t="n"/>
      <c r="GE102" s="364" t="n"/>
      <c r="GF102" s="365">
        <f>C102</f>
        <v/>
      </c>
      <c r="GG102" s="365" t="n">
        <v>4990069.49</v>
      </c>
      <c r="GH102" s="365">
        <f>GG103</f>
        <v/>
      </c>
      <c r="GI102" s="390">
        <f>GG102-GH102</f>
        <v/>
      </c>
      <c r="GJ102" s="391">
        <f>GI102/GH102</f>
        <v/>
      </c>
      <c r="GK102" s="182" t="n">
        <v>0</v>
      </c>
      <c r="GL102" s="182" t="n"/>
      <c r="GM102" s="364" t="n"/>
      <c r="GN102" s="365">
        <f>C102</f>
        <v/>
      </c>
      <c r="GO102" s="365" t="n">
        <v>1960738.1217</v>
      </c>
      <c r="GP102" s="365">
        <f>GO103</f>
        <v/>
      </c>
      <c r="GQ102" s="390">
        <f>GO102-GP102</f>
        <v/>
      </c>
      <c r="GR102" s="391">
        <f>GQ102/GP102</f>
        <v/>
      </c>
      <c r="GS102" s="182" t="n">
        <v>0.0121</v>
      </c>
      <c r="GT102" s="182" t="n"/>
      <c r="GU102" s="364" t="n"/>
      <c r="GV102" s="365">
        <f>C102</f>
        <v/>
      </c>
      <c r="GW102" s="365" t="n">
        <v>702549.4</v>
      </c>
      <c r="GX102" s="365">
        <f>GW103</f>
        <v/>
      </c>
      <c r="GY102" s="390">
        <f>GW102-GX102</f>
        <v/>
      </c>
      <c r="GZ102" s="391">
        <f>GY102/GX102</f>
        <v/>
      </c>
      <c r="HA102" s="182" t="n">
        <v>-0.0431</v>
      </c>
      <c r="HB102" s="182" t="n"/>
      <c r="HC102" s="364" t="n"/>
      <c r="HD102" s="365">
        <f>C102</f>
        <v/>
      </c>
      <c r="HE102" s="365" t="n">
        <v>993864.6746</v>
      </c>
      <c r="HF102" s="365">
        <f>HE103</f>
        <v/>
      </c>
      <c r="HG102" s="388">
        <f>HE102-HF102</f>
        <v/>
      </c>
      <c r="HH102" s="389">
        <f>HG102/HF102</f>
        <v/>
      </c>
      <c r="HI102" s="366" t="n">
        <v>-0.0477</v>
      </c>
      <c r="HJ102" s="182" t="n"/>
      <c r="HK102" s="364" t="n"/>
      <c r="HL102" s="365">
        <f>C102</f>
        <v/>
      </c>
      <c r="HM102" s="365" t="n">
        <v>114554.25</v>
      </c>
      <c r="HN102" s="365">
        <f>HM103</f>
        <v/>
      </c>
      <c r="HO102" s="388">
        <f>HM102-HN102</f>
        <v/>
      </c>
      <c r="HP102" s="389">
        <f>HO102/HN102</f>
        <v/>
      </c>
      <c r="HQ102" s="182" t="n">
        <v>-0.023</v>
      </c>
      <c r="HR102" s="182" t="n"/>
      <c r="HS102" s="364" t="n"/>
      <c r="HT102" s="365">
        <f>C102</f>
        <v/>
      </c>
      <c r="HU102" s="365" t="n">
        <v>140268.8265</v>
      </c>
      <c r="HV102" s="365">
        <f>HU103</f>
        <v/>
      </c>
      <c r="HW102" s="388">
        <f>HU102-HV102</f>
        <v/>
      </c>
      <c r="HX102" s="389">
        <f>HW102/HV102</f>
        <v/>
      </c>
      <c r="HY102" s="182" t="n">
        <v>-0.0209</v>
      </c>
      <c r="HZ102" s="182" t="n"/>
      <c r="IA102" s="364" t="n"/>
      <c r="IB102" s="365">
        <f>C102</f>
        <v/>
      </c>
      <c r="IC102" s="185" t="n">
        <v>272109.79</v>
      </c>
      <c r="ID102" s="365">
        <f>IC103</f>
        <v/>
      </c>
      <c r="IE102" s="365">
        <f>IC102-ID102</f>
        <v/>
      </c>
      <c r="IF102" s="366">
        <f>IE102/ID102</f>
        <v/>
      </c>
      <c r="IG102" s="366" t="n">
        <v>-0.0064</v>
      </c>
      <c r="IH102" s="182" t="n"/>
      <c r="II102" s="364" t="n"/>
      <c r="IJ102" s="365">
        <f>C102</f>
        <v/>
      </c>
      <c r="IK102" s="365" t="n">
        <v>869596.29</v>
      </c>
      <c r="IL102" s="365">
        <f>IK103</f>
        <v/>
      </c>
      <c r="IM102" s="390">
        <f>IK102-IL102</f>
        <v/>
      </c>
      <c r="IN102" s="391">
        <f>IM102/IL102</f>
        <v/>
      </c>
      <c r="IO102" s="182" t="n">
        <v>-0.0119</v>
      </c>
      <c r="IP102" s="182" t="n"/>
      <c r="IQ102" s="364" t="n"/>
      <c r="IR102" s="365">
        <f>C102</f>
        <v/>
      </c>
      <c r="IS102" s="365" t="n">
        <v>149489</v>
      </c>
      <c r="IT102" s="365">
        <f>IS103</f>
        <v/>
      </c>
      <c r="IU102" s="388">
        <f>IS102-IT102</f>
        <v/>
      </c>
      <c r="IV102" s="389">
        <f>IU102/IT102</f>
        <v/>
      </c>
      <c r="IW102" s="182" t="n">
        <v>-0.0373</v>
      </c>
      <c r="IX102" s="182" t="n"/>
      <c r="IY102" s="364" t="n"/>
      <c r="IZ102" s="365">
        <f>C102</f>
        <v/>
      </c>
      <c r="JA102" s="365" t="n">
        <v>4935929.15</v>
      </c>
      <c r="JB102" s="365">
        <f>JA103</f>
        <v/>
      </c>
      <c r="JC102" s="390">
        <f>JA102-JB102</f>
        <v/>
      </c>
      <c r="JD102" s="391">
        <f>JC102/JB102</f>
        <v/>
      </c>
      <c r="JE102" s="182" t="n">
        <v>0</v>
      </c>
      <c r="JF102" s="182" t="n"/>
      <c r="JG102" s="364" t="n"/>
      <c r="JH102" s="365">
        <f>C102</f>
        <v/>
      </c>
      <c r="JI102" s="365" t="n">
        <v>1518987.99</v>
      </c>
      <c r="JJ102" s="365">
        <f>JI103</f>
        <v/>
      </c>
      <c r="JK102" s="388">
        <f>JI102-JJ102</f>
        <v/>
      </c>
      <c r="JL102" s="389">
        <f>JK102/JJ102</f>
        <v/>
      </c>
      <c r="JM102" s="182" t="n">
        <v>0.0091</v>
      </c>
      <c r="JN102" s="182" t="n"/>
      <c r="JP102" s="365">
        <f>C102</f>
        <v/>
      </c>
      <c r="JQ102" s="365" t="n">
        <v>1005490.4148</v>
      </c>
      <c r="JR102" s="365">
        <f>JQ103</f>
        <v/>
      </c>
      <c r="JS102" s="390">
        <f>JQ102-JR102</f>
        <v/>
      </c>
      <c r="JT102" s="391">
        <f>JS102/JR102</f>
        <v/>
      </c>
      <c r="JU102" s="182" t="n">
        <v>0.0029</v>
      </c>
      <c r="JV102" s="383" t="n"/>
      <c r="JX102" s="365">
        <f>C102</f>
        <v/>
      </c>
      <c r="JY102" s="365" t="n">
        <v>1047598.8</v>
      </c>
      <c r="JZ102" s="365">
        <f>JY103</f>
        <v/>
      </c>
      <c r="KA102" s="384">
        <f>JY102-JZ102</f>
        <v/>
      </c>
      <c r="KB102" s="383">
        <f>KA102/JZ102</f>
        <v/>
      </c>
      <c r="KC102" s="182" t="n">
        <v>-0.0254</v>
      </c>
      <c r="KD102" s="383" t="n"/>
      <c r="KF102" s="365">
        <f>C102</f>
        <v/>
      </c>
      <c r="KG102" s="365" t="n">
        <v>654355.9219</v>
      </c>
      <c r="KH102" s="365">
        <f>KG103</f>
        <v/>
      </c>
      <c r="KI102" s="388">
        <f>KG102-KH102</f>
        <v/>
      </c>
      <c r="KJ102" s="389">
        <f>KI102/KH102</f>
        <v/>
      </c>
      <c r="KK102" s="366" t="n">
        <v>-0.0235</v>
      </c>
      <c r="KL102" s="366" t="n"/>
      <c r="KM102" s="364" t="n"/>
      <c r="KN102" s="365">
        <f>C102</f>
        <v/>
      </c>
      <c r="KO102" s="365" t="n">
        <v>7553475.95</v>
      </c>
      <c r="KP102" s="365">
        <f>KO103</f>
        <v/>
      </c>
      <c r="KQ102" s="390">
        <f>KO102-KP102</f>
        <v/>
      </c>
      <c r="KR102" s="391">
        <f>KQ102/KP102</f>
        <v/>
      </c>
      <c r="KS102" s="182" t="n">
        <v>-0.0395</v>
      </c>
      <c r="KT102" s="182" t="n"/>
      <c r="KU102" s="364" t="n"/>
      <c r="KV102" s="365">
        <f>C102</f>
        <v/>
      </c>
      <c r="KW102" s="365" t="n">
        <v>1057472.9726</v>
      </c>
      <c r="KX102" s="365">
        <f>KW103</f>
        <v/>
      </c>
      <c r="KY102" s="323">
        <f>KW102-KX102</f>
        <v/>
      </c>
      <c r="KZ102" s="324">
        <f>KY102/KX102</f>
        <v/>
      </c>
      <c r="LA102" s="366" t="n">
        <v>-0.0119</v>
      </c>
      <c r="LB102" s="182" t="n"/>
      <c r="LC102" s="364" t="n"/>
      <c r="LD102" s="365">
        <f>C102</f>
        <v/>
      </c>
      <c r="LE102" s="365" t="n">
        <v>391157.7</v>
      </c>
      <c r="LF102" s="365">
        <f>LE103</f>
        <v/>
      </c>
      <c r="LG102" s="388">
        <f>LE102-LF102</f>
        <v/>
      </c>
      <c r="LH102" s="389">
        <f>LG102/LF102</f>
        <v/>
      </c>
      <c r="LI102" s="182" t="n">
        <v>-0.0658</v>
      </c>
      <c r="LJ102" s="182" t="n"/>
      <c r="LK102" s="364" t="n"/>
      <c r="LL102" s="365">
        <f>C102</f>
        <v/>
      </c>
      <c r="LM102" s="694" t="n">
        <v>3433435.02</v>
      </c>
      <c r="LN102" s="365">
        <f>LM103</f>
        <v/>
      </c>
      <c r="LO102" s="390">
        <f>LM102-LN102</f>
        <v/>
      </c>
      <c r="LP102" s="391">
        <f>LO102/LN102</f>
        <v/>
      </c>
      <c r="LQ102" s="182" t="n">
        <v>-0.0197</v>
      </c>
      <c r="LR102" s="182" t="n"/>
      <c r="LS102" s="364" t="n"/>
      <c r="LT102" s="365">
        <f>C102</f>
        <v/>
      </c>
      <c r="LU102" s="365" t="n">
        <v>2357662.904</v>
      </c>
      <c r="LV102" s="365">
        <f>LU103</f>
        <v/>
      </c>
      <c r="LW102" s="388">
        <f>LU102-LV102</f>
        <v/>
      </c>
      <c r="LX102" s="389">
        <f>LW102/LV102</f>
        <v/>
      </c>
      <c r="LY102" s="182" t="n">
        <v>-0.0159</v>
      </c>
      <c r="LZ102" s="182" t="n"/>
      <c r="MA102" s="364" t="n"/>
      <c r="MB102" s="365">
        <f>C102</f>
        <v/>
      </c>
      <c r="MC102" s="365" t="n">
        <v>1136567.69</v>
      </c>
      <c r="MD102" s="365">
        <f>MC103</f>
        <v/>
      </c>
      <c r="ME102" s="388">
        <f>MC102-MD102</f>
        <v/>
      </c>
      <c r="MF102" s="389">
        <f>ME102/MD102</f>
        <v/>
      </c>
      <c r="MG102" s="182" t="n">
        <v>-0.0135</v>
      </c>
      <c r="MH102" s="182" t="n"/>
      <c r="MI102" s="319" t="n"/>
      <c r="MJ102" s="318" t="n"/>
      <c r="MK102" s="318">
        <f>C102</f>
        <v/>
      </c>
      <c r="ML102" s="318" t="n">
        <v>164385.5354</v>
      </c>
      <c r="MM102" s="13">
        <f>ML103</f>
        <v/>
      </c>
      <c r="MN102" s="318">
        <f>ML102-MM102</f>
        <v/>
      </c>
      <c r="MO102" s="327">
        <f>MN102/MM102</f>
        <v/>
      </c>
      <c r="MP102" s="182" t="n">
        <v>-0.0297</v>
      </c>
      <c r="MQ102" s="369" t="n"/>
      <c r="MR102" s="369" t="n"/>
      <c r="MS102" s="188" t="n"/>
      <c r="MT102" s="274">
        <f>C102</f>
        <v/>
      </c>
      <c r="MU102" s="188" t="n">
        <v>139814.8</v>
      </c>
      <c r="MV102" s="188">
        <f>MU103</f>
        <v/>
      </c>
      <c r="MW102" s="188">
        <f>MU102-MV102</f>
        <v/>
      </c>
      <c r="MX102" s="271">
        <f>MW102/MV102</f>
        <v/>
      </c>
      <c r="MY102" s="182" t="n">
        <v>-0.0104</v>
      </c>
      <c r="MZ102" s="182" t="n"/>
      <c r="NA102" s="182" t="n"/>
      <c r="NB102" s="188" t="n"/>
      <c r="NC102" s="188">
        <f>C102</f>
        <v/>
      </c>
      <c r="ND102" s="188" t="n">
        <v>39091.48</v>
      </c>
      <c r="NE102" s="188">
        <f>ND103</f>
        <v/>
      </c>
      <c r="NF102" s="188">
        <f>ND102-NE102</f>
        <v/>
      </c>
      <c r="NG102" s="271">
        <f>NF102/NE102</f>
        <v/>
      </c>
      <c r="NH102" s="182" t="n">
        <v>-0.0595</v>
      </c>
      <c r="NI102" s="182" t="n"/>
      <c r="NJ102" s="182" t="n"/>
      <c r="NK102" s="182" t="n"/>
      <c r="NL102" s="188" t="n"/>
      <c r="NM102" s="188">
        <f>C102</f>
        <v/>
      </c>
      <c r="NN102" s="188" t="n">
        <v>2874611.08</v>
      </c>
      <c r="NO102" s="9">
        <f>NN103</f>
        <v/>
      </c>
      <c r="NP102" s="188">
        <f>NN102-NO102</f>
        <v/>
      </c>
      <c r="NQ102" s="271">
        <f>NP102/NO102</f>
        <v/>
      </c>
      <c r="NR102" s="272" t="n">
        <v>0.0036</v>
      </c>
      <c r="NS102" s="188" t="n"/>
      <c r="NT102" s="273" t="n"/>
      <c r="NU102" s="188">
        <f>C102</f>
        <v/>
      </c>
      <c r="NV102" s="188" t="n">
        <v>261476.5</v>
      </c>
      <c r="NW102" s="188">
        <f>NV103</f>
        <v/>
      </c>
      <c r="NX102" s="188">
        <f>NV102-NW102</f>
        <v/>
      </c>
      <c r="NY102" s="271">
        <f>NX102/NW102</f>
        <v/>
      </c>
      <c r="NZ102" s="366" t="n">
        <v>0.0089</v>
      </c>
      <c r="OA102" s="364" t="n"/>
      <c r="OB102" s="364" t="n"/>
      <c r="OC102" s="365">
        <f>C102</f>
        <v/>
      </c>
      <c r="OD102" s="365" t="n">
        <v>17127.97</v>
      </c>
      <c r="OE102" s="365">
        <f>OD103</f>
        <v/>
      </c>
      <c r="OF102" s="388">
        <f>OD102-OE102</f>
        <v/>
      </c>
      <c r="OG102" s="389">
        <f>OF102/OE102</f>
        <v/>
      </c>
      <c r="OH102" s="182" t="n">
        <v>-0.003</v>
      </c>
      <c r="OI102" s="182" t="n"/>
      <c r="OJ102" s="364" t="n"/>
      <c r="OK102" s="365">
        <f>C102</f>
        <v/>
      </c>
      <c r="OL102" s="185" t="n">
        <v>14401.65</v>
      </c>
      <c r="OM102" s="9">
        <f>OL103</f>
        <v/>
      </c>
      <c r="ON102" s="9">
        <f>OL102-OM102</f>
        <v/>
      </c>
      <c r="OO102" s="182">
        <f>ON102/OM102</f>
        <v/>
      </c>
      <c r="OP102" s="182" t="n">
        <v>-0.0013</v>
      </c>
      <c r="OQ102" s="182" t="n"/>
      <c r="OT102" s="25">
        <f>OK102</f>
        <v/>
      </c>
      <c r="OU102" s="199" t="n">
        <v>150312.4066</v>
      </c>
      <c r="OV102" s="9">
        <f>OU103</f>
        <v/>
      </c>
      <c r="OW102" s="671">
        <f>OU102-OV102</f>
        <v/>
      </c>
      <c r="OX102" s="182">
        <f>OW102/OV102</f>
        <v/>
      </c>
      <c r="OY102" s="0" t="n">
        <v>0.0025</v>
      </c>
    </row>
    <row r="103" ht="17" customFormat="1" customHeight="1" s="9">
      <c r="A103" s="631" t="n"/>
      <c r="B103" s="631" t="n"/>
      <c r="C103" s="693" t="inlineStr">
        <is>
          <t>2026//6/22</t>
        </is>
      </c>
      <c r="D103" s="362" t="n">
        <v>2638488.77</v>
      </c>
      <c r="E103" s="362">
        <f>D104</f>
        <v/>
      </c>
      <c r="F103" s="377">
        <f>D103-E103</f>
        <v/>
      </c>
      <c r="G103" s="378">
        <f>F103/E103</f>
        <v/>
      </c>
      <c r="H103" s="19" t="n"/>
      <c r="I103" s="426" t="n"/>
      <c r="J103" s="426" t="n"/>
      <c r="K103" s="362">
        <f>C103</f>
        <v/>
      </c>
      <c r="L103" s="362" t="n">
        <v>1838044.4</v>
      </c>
      <c r="M103" s="362">
        <f>L104</f>
        <v/>
      </c>
      <c r="N103" s="377">
        <f>L103-M103</f>
        <v/>
      </c>
      <c r="O103" s="378">
        <f>N103/M103</f>
        <v/>
      </c>
      <c r="P103" s="19" t="n"/>
      <c r="Q103" s="426" t="n"/>
      <c r="R103" s="427" t="n"/>
      <c r="S103" s="362">
        <f>C103</f>
        <v/>
      </c>
      <c r="T103" s="362" t="n">
        <v>741756.6800000001</v>
      </c>
      <c r="U103" s="362">
        <f>T104</f>
        <v/>
      </c>
      <c r="V103" s="377">
        <f>T103-U103</f>
        <v/>
      </c>
      <c r="W103" s="378">
        <f>V103/U103</f>
        <v/>
      </c>
      <c r="X103" s="19" t="n"/>
      <c r="Y103" s="426" t="n"/>
      <c r="Z103" s="427" t="n"/>
      <c r="AA103" s="362">
        <f>S103</f>
        <v/>
      </c>
      <c r="AB103" s="362" t="n">
        <v>446376.86</v>
      </c>
      <c r="AC103" s="362">
        <f>AB104</f>
        <v/>
      </c>
      <c r="AD103" s="377">
        <f>AB103-AC103</f>
        <v/>
      </c>
      <c r="AE103" s="378">
        <f>AD103/AC103</f>
        <v/>
      </c>
      <c r="AF103" s="19" t="n"/>
      <c r="AG103" s="426" t="n"/>
      <c r="AH103" s="427" t="n"/>
      <c r="AI103" s="362">
        <f>C103</f>
        <v/>
      </c>
      <c r="AJ103" s="362" t="n">
        <v>317921.76</v>
      </c>
      <c r="AK103" s="362">
        <f>AJ104</f>
        <v/>
      </c>
      <c r="AL103" s="377">
        <f>AJ103-AK103</f>
        <v/>
      </c>
      <c r="AM103" s="378">
        <f>AL103/AK103</f>
        <v/>
      </c>
      <c r="AN103" s="19" t="n"/>
      <c r="AO103" s="19" t="n"/>
      <c r="AP103" s="427" t="n"/>
      <c r="AQ103" s="362">
        <f>C103</f>
        <v/>
      </c>
      <c r="AR103" s="697" t="n">
        <v>1081745.4936</v>
      </c>
      <c r="AS103" s="362">
        <f>AR104</f>
        <v/>
      </c>
      <c r="AT103" s="377">
        <f>AR103-AS103</f>
        <v/>
      </c>
      <c r="AU103" s="378">
        <f>AT103/AS103</f>
        <v/>
      </c>
      <c r="AV103" s="19" t="n">
        <v>0.0258</v>
      </c>
      <c r="AW103" s="19" t="n"/>
      <c r="AX103" s="5" t="n"/>
      <c r="AY103" s="188" t="n"/>
      <c r="AZ103" s="188">
        <f>C103</f>
        <v/>
      </c>
      <c r="BA103" s="188" t="n">
        <v>1036461.6676</v>
      </c>
      <c r="BB103" s="188">
        <f>BA104</f>
        <v/>
      </c>
      <c r="BC103" s="188">
        <f>BA103-BB103</f>
        <v/>
      </c>
      <c r="BD103" s="271">
        <f>BC103/BB103</f>
        <v/>
      </c>
      <c r="BE103" s="19" t="n">
        <v>0.0237</v>
      </c>
      <c r="BF103" s="19" t="n"/>
      <c r="BG103" s="647" t="n"/>
      <c r="BH103" s="363">
        <f>C103</f>
        <v/>
      </c>
      <c r="BI103" s="363" t="n">
        <v>1178126.5525</v>
      </c>
      <c r="BJ103" s="363">
        <f>BI104</f>
        <v/>
      </c>
      <c r="BK103" s="395">
        <f>BI103-BJ103</f>
        <v/>
      </c>
      <c r="BL103" s="396">
        <f>BK103/BJ103</f>
        <v/>
      </c>
      <c r="BM103" s="191" t="n">
        <v>0.0502</v>
      </c>
      <c r="BN103" s="182" t="n"/>
      <c r="BO103" s="364" t="n"/>
      <c r="BP103" s="365">
        <f>C103</f>
        <v/>
      </c>
      <c r="BQ103" s="694" t="n">
        <v>1138562.3921</v>
      </c>
      <c r="BR103" s="365">
        <f>BQ104</f>
        <v/>
      </c>
      <c r="BS103" s="388">
        <f>BQ103-BR103</f>
        <v/>
      </c>
      <c r="BT103" s="389">
        <f>BS103/BR103</f>
        <v/>
      </c>
      <c r="BU103" s="182" t="n">
        <v>0.0381</v>
      </c>
      <c r="BV103" s="182" t="n"/>
      <c r="BW103" s="364" t="n"/>
      <c r="BX103" s="365">
        <f>C103</f>
        <v/>
      </c>
      <c r="BY103" s="365" t="n">
        <v>1929160.7019</v>
      </c>
      <c r="BZ103" s="365">
        <f>BY104</f>
        <v/>
      </c>
      <c r="CA103" s="388">
        <f>BY103-BZ103</f>
        <v/>
      </c>
      <c r="CB103" s="389">
        <f>CA103/BZ103</f>
        <v/>
      </c>
      <c r="CC103" s="182" t="n">
        <v>0.0678</v>
      </c>
      <c r="CD103" s="383" t="n"/>
      <c r="CE103" s="364" t="n"/>
      <c r="CF103" s="365">
        <f>C103</f>
        <v/>
      </c>
      <c r="CG103" s="365" t="n">
        <v>1290453.9</v>
      </c>
      <c r="CH103" s="13">
        <f>CG104</f>
        <v/>
      </c>
      <c r="CI103" s="13">
        <f>CG103-CH103</f>
        <v/>
      </c>
      <c r="CJ103" s="193">
        <f>CI103/CH103</f>
        <v/>
      </c>
      <c r="CK103" s="182" t="n"/>
      <c r="CL103" s="366" t="n"/>
      <c r="CM103" s="364" t="n"/>
      <c r="CN103" s="365">
        <f>C103</f>
        <v/>
      </c>
      <c r="CO103" s="365" t="n">
        <v>538746.48</v>
      </c>
      <c r="CP103" s="365">
        <f>CO104</f>
        <v/>
      </c>
      <c r="CQ103" s="13">
        <f>CO103-CP103</f>
        <v/>
      </c>
      <c r="CR103" s="193">
        <f>CQ103/CP103</f>
        <v/>
      </c>
      <c r="CS103" s="366">
        <f>(CO103-CO107)/CO107</f>
        <v/>
      </c>
      <c r="CT103" s="366" t="n"/>
      <c r="CU103" s="364" t="n"/>
      <c r="CV103" s="365">
        <f>C103</f>
        <v/>
      </c>
      <c r="CW103" s="365" t="n">
        <v>511490.4</v>
      </c>
      <c r="CX103" s="365">
        <f>CW104</f>
        <v/>
      </c>
      <c r="CY103" s="390">
        <f>CW103-CX103</f>
        <v/>
      </c>
      <c r="CZ103" s="391">
        <f>CY103/CX103</f>
        <v/>
      </c>
      <c r="DA103" s="182" t="n"/>
      <c r="DB103" s="182" t="n"/>
      <c r="DC103" s="256" t="n"/>
      <c r="DD103" s="365">
        <f>C103</f>
        <v/>
      </c>
      <c r="DE103" s="365" t="n">
        <v>1946517.9986</v>
      </c>
      <c r="DF103" s="13">
        <f>DE104</f>
        <v/>
      </c>
      <c r="DG103" s="390">
        <f>DE103-DF103</f>
        <v/>
      </c>
      <c r="DH103" s="391">
        <f>DG103/DF103</f>
        <v/>
      </c>
      <c r="DI103" s="182" t="n">
        <v>0.0335</v>
      </c>
      <c r="DJ103" s="182" t="n"/>
      <c r="DK103" s="364" t="n"/>
      <c r="DL103" s="365">
        <f>C103</f>
        <v/>
      </c>
      <c r="DM103" s="365" t="n">
        <v>838900.36</v>
      </c>
      <c r="DN103" s="365">
        <f>DM104</f>
        <v/>
      </c>
      <c r="DO103" s="388">
        <f>DM103-DN103</f>
        <v/>
      </c>
      <c r="DP103" s="389">
        <f>DO103/DN103</f>
        <v/>
      </c>
      <c r="DQ103" s="182" t="n"/>
      <c r="DR103" s="182" t="n"/>
      <c r="DS103" s="364" t="n"/>
      <c r="DT103" s="365">
        <f>C103</f>
        <v/>
      </c>
      <c r="DU103" s="365" t="n">
        <v>1211189.48</v>
      </c>
      <c r="DV103" s="365">
        <f>DU104</f>
        <v/>
      </c>
      <c r="DW103" s="388">
        <f>DU103-DV103</f>
        <v/>
      </c>
      <c r="DX103" s="389">
        <f>DW103/DV103</f>
        <v/>
      </c>
      <c r="DY103" s="182" t="n"/>
      <c r="DZ103" s="182" t="n"/>
      <c r="EA103" s="364" t="n"/>
      <c r="EB103" s="365">
        <f>C103</f>
        <v/>
      </c>
      <c r="EC103" s="365" t="n">
        <v>3160466.82</v>
      </c>
      <c r="ED103" s="365">
        <f>EC104</f>
        <v/>
      </c>
      <c r="EE103" s="388">
        <f>EC103-ED103</f>
        <v/>
      </c>
      <c r="EF103" s="389">
        <f>EE103/ED103</f>
        <v/>
      </c>
      <c r="EG103" s="182" t="n"/>
      <c r="EH103" s="182" t="n"/>
      <c r="EI103" s="364" t="n"/>
      <c r="EJ103" s="365">
        <f>C103</f>
        <v/>
      </c>
      <c r="EK103" s="365" t="n">
        <v>1103122.9669</v>
      </c>
      <c r="EL103" s="365">
        <f>EK104</f>
        <v/>
      </c>
      <c r="EM103" s="388">
        <f>EK103-EL103</f>
        <v/>
      </c>
      <c r="EN103" s="389">
        <f>EM103/EL103</f>
        <v/>
      </c>
      <c r="EO103" s="182" t="n">
        <v>0.008500000000000001</v>
      </c>
      <c r="EP103" s="182" t="n"/>
      <c r="EQ103" s="317" t="n"/>
      <c r="ER103" s="318">
        <f>C103</f>
        <v/>
      </c>
      <c r="ES103" s="318" t="n">
        <v>366047.02</v>
      </c>
      <c r="ET103" s="318">
        <f>ES104</f>
        <v/>
      </c>
      <c r="EU103" s="318">
        <f>ES103-ET103</f>
        <v/>
      </c>
      <c r="EV103" s="327">
        <f>EU103/ET103</f>
        <v/>
      </c>
      <c r="EW103" s="182" t="n"/>
      <c r="EX103" s="182" t="n"/>
      <c r="EY103" s="364" t="n"/>
      <c r="EZ103" s="365">
        <f>C103</f>
        <v/>
      </c>
      <c r="FA103" s="365" t="n">
        <v>538708</v>
      </c>
      <c r="FB103" s="365">
        <f>FA104</f>
        <v/>
      </c>
      <c r="FC103" s="388">
        <f>FA103-FB103</f>
        <v/>
      </c>
      <c r="FD103" s="389">
        <f>FC103/FB103</f>
        <v/>
      </c>
      <c r="FE103" s="182" t="n"/>
      <c r="FF103" s="182" t="n"/>
      <c r="FG103" s="182" t="n"/>
      <c r="FH103" s="365">
        <f>C103</f>
        <v/>
      </c>
      <c r="FI103" s="694" t="n">
        <v>1047495.3365</v>
      </c>
      <c r="FJ103" s="365">
        <f>FI104</f>
        <v/>
      </c>
      <c r="FK103" s="325">
        <f>FI103-FJ103</f>
        <v/>
      </c>
      <c r="FL103" s="326">
        <f>FK103/FJ103</f>
        <v/>
      </c>
      <c r="FM103" s="366" t="n">
        <v>-0.0265</v>
      </c>
      <c r="FN103" s="366" t="n"/>
      <c r="FO103" s="364" t="n"/>
      <c r="FP103" s="365">
        <f>C103</f>
        <v/>
      </c>
      <c r="FQ103" s="365" t="n">
        <v>1577968.73</v>
      </c>
      <c r="FR103" s="365">
        <f>FQ104</f>
        <v/>
      </c>
      <c r="FS103" s="388">
        <f>FQ103-FR103</f>
        <v/>
      </c>
      <c r="FT103" s="389">
        <f>FS103/FR103</f>
        <v/>
      </c>
      <c r="FU103" s="182" t="n"/>
      <c r="FV103" s="182" t="n"/>
      <c r="FW103" s="364" t="n"/>
      <c r="FX103" s="365">
        <f>C103</f>
        <v/>
      </c>
      <c r="FY103" s="365" t="n">
        <v>8543482.050000001</v>
      </c>
      <c r="FZ103" s="365">
        <f>FY104</f>
        <v/>
      </c>
      <c r="GA103" s="388">
        <f>FY103-FZ103</f>
        <v/>
      </c>
      <c r="GB103" s="389">
        <f>GA103/FZ103</f>
        <v/>
      </c>
      <c r="GC103" s="182" t="n"/>
      <c r="GD103" s="182" t="n"/>
      <c r="GE103" s="364" t="n"/>
      <c r="GF103" s="365">
        <f>C103</f>
        <v/>
      </c>
      <c r="GG103" s="365" t="n">
        <v>4996169.49</v>
      </c>
      <c r="GH103" s="365">
        <f>GG104</f>
        <v/>
      </c>
      <c r="GI103" s="390">
        <f>GG103-GH103</f>
        <v/>
      </c>
      <c r="GJ103" s="391">
        <f>GI103/GH103</f>
        <v/>
      </c>
      <c r="GK103" s="182" t="n"/>
      <c r="GL103" s="182" t="n"/>
      <c r="GM103" s="364" t="n"/>
      <c r="GN103" s="365">
        <f>C103</f>
        <v/>
      </c>
      <c r="GO103" s="365" t="n">
        <v>1944418.1217</v>
      </c>
      <c r="GP103" s="365">
        <f>GO104</f>
        <v/>
      </c>
      <c r="GQ103" s="388">
        <f>GO103-GP103</f>
        <v/>
      </c>
      <c r="GR103" s="389">
        <f>GQ103/GP103</f>
        <v/>
      </c>
      <c r="GS103" s="182" t="n">
        <v>0.0081</v>
      </c>
      <c r="GT103" s="182" t="n"/>
      <c r="GU103" s="364" t="n"/>
      <c r="GV103" s="365">
        <f>C103</f>
        <v/>
      </c>
      <c r="GW103" s="365" t="n">
        <v>703149.4</v>
      </c>
      <c r="GX103" s="365">
        <f>GW104</f>
        <v/>
      </c>
      <c r="GY103" s="388">
        <f>GW103-GX103</f>
        <v/>
      </c>
      <c r="GZ103" s="389">
        <f>GY103/GX103</f>
        <v/>
      </c>
      <c r="HA103" s="182" t="n"/>
      <c r="HB103" s="182" t="n"/>
      <c r="HC103" s="364" t="n"/>
      <c r="HD103" s="365">
        <f>C103</f>
        <v/>
      </c>
      <c r="HE103" s="365" t="n">
        <v>977064.6746</v>
      </c>
      <c r="HF103" s="365">
        <f>HE104</f>
        <v/>
      </c>
      <c r="HG103" s="388">
        <f>HE103-HF103</f>
        <v/>
      </c>
      <c r="HH103" s="389">
        <f>HG103/HF103</f>
        <v/>
      </c>
      <c r="HI103" s="366" t="n">
        <v>0.0353</v>
      </c>
      <c r="HJ103" s="182" t="n"/>
      <c r="HK103" s="364" t="n"/>
      <c r="HL103" s="365">
        <f>C103</f>
        <v/>
      </c>
      <c r="HM103" s="365" t="n">
        <v>116204.25</v>
      </c>
      <c r="HN103" s="365">
        <f>HM104</f>
        <v/>
      </c>
      <c r="HO103" s="388">
        <f>HM103-HN103</f>
        <v/>
      </c>
      <c r="HP103" s="389">
        <f>HO103/HN103</f>
        <v/>
      </c>
      <c r="HQ103" s="182" t="n"/>
      <c r="HR103" s="182" t="n"/>
      <c r="HS103" s="364" t="n"/>
      <c r="HT103" s="365">
        <f>C103</f>
        <v/>
      </c>
      <c r="HU103" s="365" t="n">
        <v>143868.8265</v>
      </c>
      <c r="HV103" s="365">
        <f>HU104</f>
        <v/>
      </c>
      <c r="HW103" s="388">
        <f>HU103-HV103</f>
        <v/>
      </c>
      <c r="HX103" s="389">
        <f>HW103/HV103</f>
        <v/>
      </c>
      <c r="HY103" s="182" t="n">
        <v>0.0105</v>
      </c>
      <c r="HZ103" s="182" t="n"/>
      <c r="IA103" s="364" t="n"/>
      <c r="IB103" s="365">
        <f>C103</f>
        <v/>
      </c>
      <c r="IC103" s="365" t="n">
        <v>270784.79</v>
      </c>
      <c r="ID103" s="365">
        <f>IC104</f>
        <v/>
      </c>
      <c r="IE103" s="365">
        <f>IC103-ID103</f>
        <v/>
      </c>
      <c r="IF103" s="366">
        <f>IE103/ID103</f>
        <v/>
      </c>
      <c r="IG103" s="366" t="n"/>
      <c r="IH103" s="182" t="n"/>
      <c r="II103" s="364" t="n"/>
      <c r="IJ103" s="365">
        <f>C103</f>
        <v/>
      </c>
      <c r="IK103" s="365" t="n">
        <v>865756.29</v>
      </c>
      <c r="IL103" s="365">
        <f>IK104</f>
        <v/>
      </c>
      <c r="IM103" s="390">
        <f>IK103-IL103</f>
        <v/>
      </c>
      <c r="IN103" s="391">
        <f>IM103/IL103</f>
        <v/>
      </c>
      <c r="IO103" s="182" t="n">
        <v>0.0037</v>
      </c>
      <c r="IP103" s="182" t="n"/>
      <c r="IQ103" s="364" t="n"/>
      <c r="IR103" s="365">
        <f>C103</f>
        <v/>
      </c>
      <c r="IS103" s="365" t="n">
        <v>140689</v>
      </c>
      <c r="IT103" s="365">
        <f>IS104</f>
        <v/>
      </c>
      <c r="IU103" s="388">
        <f>IS103-IT103</f>
        <v/>
      </c>
      <c r="IV103" s="389">
        <f>IU103/IT103</f>
        <v/>
      </c>
      <c r="IW103" s="182" t="n"/>
      <c r="IX103" s="182" t="n"/>
      <c r="IY103" s="364" t="n"/>
      <c r="IZ103" s="365">
        <f>C103</f>
        <v/>
      </c>
      <c r="JA103" s="365" t="n">
        <v>5094829.15</v>
      </c>
      <c r="JB103" s="365">
        <f>JA104</f>
        <v/>
      </c>
      <c r="JC103" s="390">
        <f>JA103-JB103</f>
        <v/>
      </c>
      <c r="JD103" s="391">
        <f>JC103/JB103</f>
        <v/>
      </c>
      <c r="JE103" s="182" t="n"/>
      <c r="JF103" s="182" t="n"/>
      <c r="JG103" s="364" t="n"/>
      <c r="JH103" s="365">
        <f>C103</f>
        <v/>
      </c>
      <c r="JI103" s="365" t="n">
        <v>1539387.99</v>
      </c>
      <c r="JJ103" s="365">
        <f>JI104</f>
        <v/>
      </c>
      <c r="JK103" s="388">
        <f>JI103-JJ103</f>
        <v/>
      </c>
      <c r="JL103" s="389">
        <f>JK103/JJ103</f>
        <v/>
      </c>
      <c r="JM103" s="182" t="n"/>
      <c r="JN103" s="182" t="n"/>
      <c r="JP103" s="365">
        <f>C103</f>
        <v/>
      </c>
      <c r="JQ103" s="365" t="n">
        <v>995490.4148</v>
      </c>
      <c r="JR103" s="365">
        <f>JQ104</f>
        <v/>
      </c>
      <c r="JS103" s="388">
        <f>JQ103-JR103</f>
        <v/>
      </c>
      <c r="JT103" s="389">
        <f>JS103/JR103</f>
        <v/>
      </c>
      <c r="JU103" s="182" t="n">
        <v>0.07049999999999999</v>
      </c>
      <c r="JV103" s="383" t="n"/>
      <c r="JX103" s="365">
        <f>C103</f>
        <v/>
      </c>
      <c r="JY103" s="365" t="n">
        <v>1048898.8</v>
      </c>
      <c r="JZ103" s="365">
        <f>JY104</f>
        <v/>
      </c>
      <c r="KA103" s="388">
        <f>JY103-JZ103</f>
        <v/>
      </c>
      <c r="KB103" s="389">
        <f>KA103/JZ103</f>
        <v/>
      </c>
      <c r="KC103" s="182" t="n"/>
      <c r="KD103" s="383" t="n"/>
      <c r="KF103" s="365">
        <f>C103</f>
        <v/>
      </c>
      <c r="KG103" s="365" t="n">
        <v>656355.9219</v>
      </c>
      <c r="KH103" s="365">
        <f>KG104</f>
        <v/>
      </c>
      <c r="KI103" s="388">
        <f>KG103-KH103</f>
        <v/>
      </c>
      <c r="KJ103" s="389">
        <f>KI103/KH103</f>
        <v/>
      </c>
      <c r="KK103" s="366" t="n">
        <v>0.0043</v>
      </c>
      <c r="KL103" s="366" t="n"/>
      <c r="KM103" s="364" t="n"/>
      <c r="KN103" s="365">
        <f>C103</f>
        <v/>
      </c>
      <c r="KO103" s="365" t="n">
        <v>7553475.95</v>
      </c>
      <c r="KP103" s="365">
        <f>KO104</f>
        <v/>
      </c>
      <c r="KQ103" s="390">
        <f>KO103-KP103</f>
        <v/>
      </c>
      <c r="KR103" s="391">
        <f>KQ103/KP103</f>
        <v/>
      </c>
      <c r="KS103" s="182" t="n"/>
      <c r="KT103" s="182" t="n"/>
      <c r="KU103" s="364" t="n"/>
      <c r="KV103" s="365">
        <f>C103</f>
        <v/>
      </c>
      <c r="KW103" s="365" t="n">
        <v>1057472.9726</v>
      </c>
      <c r="KX103" s="365">
        <f>KW104</f>
        <v/>
      </c>
      <c r="KY103" s="325">
        <f>KW103-KX103</f>
        <v/>
      </c>
      <c r="KZ103" s="326">
        <f>KY103/KX103</f>
        <v/>
      </c>
      <c r="LA103" s="366" t="n">
        <v>-0.0067</v>
      </c>
      <c r="LB103" s="182" t="n"/>
      <c r="LC103" s="364" t="n"/>
      <c r="LD103" s="365">
        <f>C103</f>
        <v/>
      </c>
      <c r="LE103" s="365" t="n">
        <v>399457.7</v>
      </c>
      <c r="LF103" s="365">
        <f>LE104</f>
        <v/>
      </c>
      <c r="LG103" s="388">
        <f>LE103-LF103</f>
        <v/>
      </c>
      <c r="LH103" s="389">
        <f>LG103/LF103</f>
        <v/>
      </c>
      <c r="LI103" s="182" t="n"/>
      <c r="LJ103" s="182" t="n"/>
      <c r="LK103" s="364" t="n"/>
      <c r="LL103" s="365">
        <f>C103</f>
        <v/>
      </c>
      <c r="LM103" s="694" t="n">
        <v>3429655.02</v>
      </c>
      <c r="LN103" s="365">
        <f>LM104</f>
        <v/>
      </c>
      <c r="LO103" s="390">
        <f>LM103-LN103</f>
        <v/>
      </c>
      <c r="LP103" s="391">
        <f>LO103/LN103</f>
        <v/>
      </c>
      <c r="LQ103" s="182" t="n"/>
      <c r="LR103" s="182" t="n"/>
      <c r="LS103" s="364" t="n"/>
      <c r="LT103" s="365">
        <f>C103</f>
        <v/>
      </c>
      <c r="LU103" s="365" t="n">
        <v>2360262.904</v>
      </c>
      <c r="LV103" s="365">
        <f>LU104</f>
        <v/>
      </c>
      <c r="LW103" s="388">
        <f>LU103-LV103</f>
        <v/>
      </c>
      <c r="LX103" s="389">
        <f>LW103/LV103</f>
        <v/>
      </c>
      <c r="LY103" s="182" t="n">
        <v>0.0064</v>
      </c>
      <c r="LZ103" s="182" t="n"/>
      <c r="MA103" s="364" t="n"/>
      <c r="MB103" s="365">
        <f>C103</f>
        <v/>
      </c>
      <c r="MC103" s="365" t="n">
        <v>1134067.69</v>
      </c>
      <c r="MD103" s="365">
        <f>MC104</f>
        <v/>
      </c>
      <c r="ME103" s="388">
        <f>MC103-MD103</f>
        <v/>
      </c>
      <c r="MF103" s="389">
        <f>ME103/MD103</f>
        <v/>
      </c>
      <c r="MG103" s="182" t="n"/>
      <c r="MH103" s="182" t="n"/>
      <c r="MI103" s="319" t="n"/>
      <c r="MJ103" s="318" t="n"/>
      <c r="MK103" s="318">
        <f>C103</f>
        <v/>
      </c>
      <c r="ML103" s="318" t="n">
        <v>163665.5354</v>
      </c>
      <c r="MM103" s="13">
        <f>ML104</f>
        <v/>
      </c>
      <c r="MN103" s="318">
        <f>ML103-MM103</f>
        <v/>
      </c>
      <c r="MO103" s="327">
        <f>MN103/MM103</f>
        <v/>
      </c>
      <c r="MP103" s="182" t="n">
        <v>0.0336</v>
      </c>
      <c r="MQ103" s="369" t="n"/>
      <c r="MR103" s="369" t="n"/>
      <c r="MS103" s="188" t="n"/>
      <c r="MT103" s="274">
        <f>C103</f>
        <v/>
      </c>
      <c r="MU103" s="188" t="n">
        <v>141414.8</v>
      </c>
      <c r="MV103" s="188">
        <f>MU104</f>
        <v/>
      </c>
      <c r="MW103" s="188">
        <f>MU103-MV103</f>
        <v/>
      </c>
      <c r="MX103" s="271">
        <f>MW103/MV103</f>
        <v/>
      </c>
      <c r="MY103" s="182" t="n"/>
      <c r="MZ103" s="182" t="n"/>
      <c r="NA103" s="182" t="n"/>
      <c r="NB103" s="188" t="n"/>
      <c r="NC103" s="188">
        <f>C103</f>
        <v/>
      </c>
      <c r="ND103" s="188" t="n">
        <v>39091.48</v>
      </c>
      <c r="NE103" s="188">
        <f>ND104</f>
        <v/>
      </c>
      <c r="NF103" s="188">
        <f>ND103-NE103</f>
        <v/>
      </c>
      <c r="NG103" s="271">
        <f>NF103/NE103</f>
        <v/>
      </c>
      <c r="NH103" s="182" t="n"/>
      <c r="NI103" s="182" t="n"/>
      <c r="NJ103" s="182" t="n"/>
      <c r="NK103" s="182" t="n"/>
      <c r="NL103" s="188" t="n"/>
      <c r="NM103" s="188">
        <f>C103</f>
        <v/>
      </c>
      <c r="NN103" s="188" t="n">
        <v>2908811.08</v>
      </c>
      <c r="NO103" s="9">
        <f>NN104</f>
        <v/>
      </c>
      <c r="NP103" s="188">
        <f>NN103-NO103</f>
        <v/>
      </c>
      <c r="NQ103" s="271">
        <f>NP103/NO103</f>
        <v/>
      </c>
      <c r="NR103" s="272" t="n"/>
      <c r="NS103" s="188" t="n"/>
      <c r="NT103" s="273" t="n"/>
      <c r="NU103" s="188">
        <f>C103</f>
        <v/>
      </c>
      <c r="NV103" s="188" t="n">
        <v>258276.5</v>
      </c>
      <c r="NW103" s="188">
        <f>NV104</f>
        <v/>
      </c>
      <c r="NX103" s="188">
        <f>NV103-NW103</f>
        <v/>
      </c>
      <c r="NY103" s="271">
        <f>NX103/NW103</f>
        <v/>
      </c>
      <c r="NZ103" s="366" t="n"/>
      <c r="OA103" s="364" t="n"/>
      <c r="OB103" s="364" t="n"/>
      <c r="OC103" s="365">
        <f>C103</f>
        <v/>
      </c>
      <c r="OD103" s="365" t="n">
        <v>17307.97</v>
      </c>
      <c r="OE103" s="365">
        <f>OD104</f>
        <v/>
      </c>
      <c r="OF103" s="388">
        <f>OD103-OE103</f>
        <v/>
      </c>
      <c r="OG103" s="389">
        <f>OF103/OE103</f>
        <v/>
      </c>
      <c r="OH103" s="182" t="n"/>
      <c r="OI103" s="182" t="n"/>
      <c r="OJ103" s="364" t="n"/>
      <c r="OK103" s="365">
        <f>C103</f>
        <v/>
      </c>
      <c r="OL103" s="185" t="n">
        <v>14557.65</v>
      </c>
      <c r="OM103" s="9">
        <f>OL104</f>
        <v/>
      </c>
      <c r="ON103" s="9">
        <f>OL103-OM103</f>
        <v/>
      </c>
      <c r="OO103" s="182">
        <f>ON103/OM103</f>
        <v/>
      </c>
      <c r="OP103" s="182" t="n"/>
      <c r="OQ103" s="182" t="n"/>
      <c r="OT103" s="25">
        <f>OK103</f>
        <v/>
      </c>
      <c r="OU103" s="199" t="n">
        <v>150192.4066</v>
      </c>
      <c r="OV103" s="9">
        <f>OU104</f>
        <v/>
      </c>
      <c r="OW103" s="671">
        <f>OU103-OV103</f>
        <v/>
      </c>
      <c r="OX103" s="182">
        <f>OW103/OV103</f>
        <v/>
      </c>
      <c r="OY103" s="0" t="n">
        <v>-0.0075</v>
      </c>
    </row>
    <row r="104" ht="17" customFormat="1" customHeight="1" s="9">
      <c r="A104" s="631" t="n"/>
      <c r="B104" s="631" t="n"/>
      <c r="C104" s="693" t="inlineStr">
        <is>
          <t>2026//6/18</t>
        </is>
      </c>
      <c r="D104" s="362" t="n">
        <v>2652708.77</v>
      </c>
      <c r="E104" s="362">
        <f>D105</f>
        <v/>
      </c>
      <c r="F104" s="432">
        <f>D104-E104</f>
        <v/>
      </c>
      <c r="G104" s="433">
        <f>F104/E104</f>
        <v/>
      </c>
      <c r="H104" s="19" t="n"/>
      <c r="I104" s="426" t="n"/>
      <c r="J104" s="426" t="n"/>
      <c r="K104" s="362">
        <f>C104</f>
        <v/>
      </c>
      <c r="L104" s="362" t="n">
        <v>1900054.4</v>
      </c>
      <c r="M104" s="362">
        <f>L105</f>
        <v/>
      </c>
      <c r="N104" s="432">
        <f>L104-M104</f>
        <v/>
      </c>
      <c r="O104" s="433">
        <f>N104/M104</f>
        <v/>
      </c>
      <c r="P104" s="19" t="n"/>
      <c r="Q104" s="426" t="n"/>
      <c r="R104" s="427" t="n"/>
      <c r="S104" s="362">
        <f>C104</f>
        <v/>
      </c>
      <c r="T104" s="362" t="n">
        <v>769926.6800000001</v>
      </c>
      <c r="U104" s="362">
        <f>T105</f>
        <v/>
      </c>
      <c r="V104" s="432">
        <f>T104-U104</f>
        <v/>
      </c>
      <c r="W104" s="433">
        <f>V104/U104</f>
        <v/>
      </c>
      <c r="X104" s="19" t="n"/>
      <c r="Y104" s="426" t="n"/>
      <c r="Z104" s="427" t="n"/>
      <c r="AA104" s="362">
        <f>S104</f>
        <v/>
      </c>
      <c r="AB104" s="362" t="n">
        <v>458216.86</v>
      </c>
      <c r="AC104" s="362">
        <f>AB105</f>
        <v/>
      </c>
      <c r="AD104" s="432">
        <f>AB104-AC104</f>
        <v/>
      </c>
      <c r="AE104" s="433">
        <f>AD104/AC104</f>
        <v/>
      </c>
      <c r="AF104" s="19" t="n"/>
      <c r="AG104" s="426" t="n"/>
      <c r="AH104" s="427" t="n"/>
      <c r="AI104" s="362">
        <f>C104</f>
        <v/>
      </c>
      <c r="AJ104" s="362" t="n">
        <v>323321.76</v>
      </c>
      <c r="AK104" s="362">
        <f>AJ105</f>
        <v/>
      </c>
      <c r="AL104" s="432">
        <f>AJ104-AK104</f>
        <v/>
      </c>
      <c r="AM104" s="433">
        <f>AL104/AK104</f>
        <v/>
      </c>
      <c r="AN104" s="19" t="n"/>
      <c r="AO104" s="19" t="n"/>
      <c r="AP104" s="427" t="n"/>
      <c r="AQ104" s="362">
        <f>C104</f>
        <v/>
      </c>
      <c r="AR104" s="697" t="n">
        <v>1052245.4936</v>
      </c>
      <c r="AS104" s="362">
        <f>AR105</f>
        <v/>
      </c>
      <c r="AT104" s="377">
        <f>AR104-AS104</f>
        <v/>
      </c>
      <c r="AU104" s="378">
        <f>AT104/AS104</f>
        <v/>
      </c>
      <c r="AV104" s="19" t="n"/>
      <c r="AW104" s="19" t="n"/>
      <c r="AX104" s="5" t="n"/>
      <c r="AY104" s="188" t="n"/>
      <c r="AZ104" s="188">
        <f>C104</f>
        <v/>
      </c>
      <c r="BA104" s="188" t="n">
        <v>1056441.6676</v>
      </c>
      <c r="BB104" s="188">
        <f>BA105</f>
        <v/>
      </c>
      <c r="BC104" s="188">
        <f>BA104-BB104</f>
        <v/>
      </c>
      <c r="BD104" s="271">
        <f>BC104/BB104</f>
        <v/>
      </c>
      <c r="BE104" s="19" t="n"/>
      <c r="BF104" s="19" t="n"/>
      <c r="BG104" s="647" t="n"/>
      <c r="BH104" s="363">
        <f>C104</f>
        <v/>
      </c>
      <c r="BI104" s="363" t="n">
        <v>1196326.5525</v>
      </c>
      <c r="BJ104" s="363">
        <f>BI105</f>
        <v/>
      </c>
      <c r="BK104" s="395">
        <f>BI104-BJ104</f>
        <v/>
      </c>
      <c r="BL104" s="396">
        <f>BK104/BJ104</f>
        <v/>
      </c>
      <c r="BM104" s="191" t="n"/>
      <c r="BN104" s="182" t="n"/>
      <c r="BO104" s="364" t="n"/>
      <c r="BP104" s="365">
        <f>C104</f>
        <v/>
      </c>
      <c r="BQ104" s="694" t="n">
        <v>1150462.3921</v>
      </c>
      <c r="BR104" s="365">
        <f>BQ105</f>
        <v/>
      </c>
      <c r="BS104" s="390">
        <f>BQ104-BR104</f>
        <v/>
      </c>
      <c r="BT104" s="391">
        <f>BS104/BR104</f>
        <v/>
      </c>
      <c r="BU104" s="182" t="n"/>
      <c r="BV104" s="182" t="n"/>
      <c r="BW104" s="364" t="n"/>
      <c r="BX104" s="365">
        <f>C104</f>
        <v/>
      </c>
      <c r="BY104" s="365" t="n">
        <v>1941310.7019</v>
      </c>
      <c r="BZ104" s="365">
        <f>BY105</f>
        <v/>
      </c>
      <c r="CA104" s="388">
        <f>BY104-BZ104</f>
        <v/>
      </c>
      <c r="CB104" s="389">
        <f>CA104/BZ104</f>
        <v/>
      </c>
      <c r="CC104" s="182" t="n"/>
      <c r="CD104" s="383" t="n"/>
      <c r="CE104" s="364" t="n"/>
      <c r="CF104" s="365">
        <f>C104</f>
        <v/>
      </c>
      <c r="CG104" s="365" t="n">
        <v>1299703.9</v>
      </c>
      <c r="CH104" s="13">
        <f>CG105</f>
        <v/>
      </c>
      <c r="CI104" s="13">
        <f>CG104-CH104</f>
        <v/>
      </c>
      <c r="CJ104" s="193">
        <f>CI104/CH104</f>
        <v/>
      </c>
      <c r="CK104" s="182" t="n"/>
      <c r="CL104" s="366" t="n"/>
      <c r="CM104" s="364" t="n"/>
      <c r="CN104" s="365">
        <f>C104</f>
        <v/>
      </c>
      <c r="CO104" s="365" t="n">
        <v>545146.48</v>
      </c>
      <c r="CP104" s="365">
        <f>CO105</f>
        <v/>
      </c>
      <c r="CQ104" s="13">
        <f>CO104-CP104</f>
        <v/>
      </c>
      <c r="CR104" s="193">
        <f>CQ104/CP104</f>
        <v/>
      </c>
      <c r="CS104" s="366">
        <f>(CO104-CO108)/CO108</f>
        <v/>
      </c>
      <c r="CT104" s="366" t="n"/>
      <c r="CU104" s="364" t="n"/>
      <c r="CV104" s="365">
        <f>C104</f>
        <v/>
      </c>
      <c r="CW104" s="365" t="n">
        <v>517140.4</v>
      </c>
      <c r="CX104" s="365">
        <f>CW105</f>
        <v/>
      </c>
      <c r="CY104" s="384">
        <f>CW104-CX104</f>
        <v/>
      </c>
      <c r="CZ104" s="383">
        <f>CY104/CX104</f>
        <v/>
      </c>
      <c r="DA104" s="182" t="n"/>
      <c r="DB104" s="182" t="n"/>
      <c r="DC104" s="256" t="n"/>
      <c r="DD104" s="365">
        <f>C104</f>
        <v/>
      </c>
      <c r="DE104" s="365" t="n">
        <v>1880117.9986</v>
      </c>
      <c r="DF104" s="13">
        <f>DE105</f>
        <v/>
      </c>
      <c r="DG104" s="390">
        <f>DE104-DF104</f>
        <v/>
      </c>
      <c r="DH104" s="391">
        <f>DG104/DF104</f>
        <v/>
      </c>
      <c r="DI104" s="182" t="n"/>
      <c r="DJ104" s="182" t="n"/>
      <c r="DK104" s="364" t="n"/>
      <c r="DL104" s="365">
        <f>C104</f>
        <v/>
      </c>
      <c r="DM104" s="365" t="n">
        <v>824900.36</v>
      </c>
      <c r="DN104" s="365">
        <f>DM105</f>
        <v/>
      </c>
      <c r="DO104" s="388">
        <f>DM104-DN104</f>
        <v/>
      </c>
      <c r="DP104" s="389">
        <f>DO104/DN104</f>
        <v/>
      </c>
      <c r="DQ104" s="182" t="n"/>
      <c r="DR104" s="182" t="n"/>
      <c r="DS104" s="364" t="n"/>
      <c r="DT104" s="365">
        <f>C104</f>
        <v/>
      </c>
      <c r="DU104" s="365" t="n">
        <v>1209389.48</v>
      </c>
      <c r="DV104" s="365">
        <f>DU105</f>
        <v/>
      </c>
      <c r="DW104" s="388">
        <f>DU104-DV104</f>
        <v/>
      </c>
      <c r="DX104" s="389">
        <f>DW104/DV104</f>
        <v/>
      </c>
      <c r="DY104" s="182" t="n"/>
      <c r="DZ104" s="182" t="n"/>
      <c r="EA104" s="364" t="n"/>
      <c r="EB104" s="365">
        <f>C104</f>
        <v/>
      </c>
      <c r="EC104" s="365" t="n">
        <v>3123566.82</v>
      </c>
      <c r="ED104" s="365">
        <f>EC105</f>
        <v/>
      </c>
      <c r="EE104" s="390">
        <f>EC104-ED104</f>
        <v/>
      </c>
      <c r="EF104" s="391">
        <f>EE104/ED104</f>
        <v/>
      </c>
      <c r="EG104" s="182" t="n"/>
      <c r="EH104" s="182" t="n"/>
      <c r="EI104" s="364" t="n"/>
      <c r="EJ104" s="365">
        <f>C104</f>
        <v/>
      </c>
      <c r="EK104" s="365" t="n">
        <v>1103122.9669</v>
      </c>
      <c r="EL104" s="365">
        <f>EK105</f>
        <v/>
      </c>
      <c r="EM104" s="388">
        <f>EK104-EL104</f>
        <v/>
      </c>
      <c r="EN104" s="389">
        <f>EM104/EL104</f>
        <v/>
      </c>
      <c r="EO104" s="182" t="n"/>
      <c r="EP104" s="182" t="n"/>
      <c r="EQ104" s="317" t="n"/>
      <c r="ER104" s="318">
        <f>C104</f>
        <v/>
      </c>
      <c r="ES104" s="318" t="n">
        <v>368297.02</v>
      </c>
      <c r="ET104" s="318">
        <f>ES105</f>
        <v/>
      </c>
      <c r="EU104" s="318">
        <f>ES104-ET104</f>
        <v/>
      </c>
      <c r="EV104" s="327">
        <f>EU104/ET104</f>
        <v/>
      </c>
      <c r="EW104" s="182" t="n"/>
      <c r="EX104" s="182" t="n"/>
      <c r="EY104" s="364" t="n"/>
      <c r="EZ104" s="365">
        <f>C104</f>
        <v/>
      </c>
      <c r="FA104" s="365" t="n">
        <v>541708</v>
      </c>
      <c r="FB104" s="365">
        <f>FA105</f>
        <v/>
      </c>
      <c r="FC104" s="388">
        <f>FA104-FB104</f>
        <v/>
      </c>
      <c r="FD104" s="389">
        <f>FC104/FB104</f>
        <v/>
      </c>
      <c r="FE104" s="182" t="n"/>
      <c r="FF104" s="182" t="n"/>
      <c r="FG104" s="182" t="n"/>
      <c r="FH104" s="365">
        <f>C104</f>
        <v/>
      </c>
      <c r="FI104" s="694" t="n">
        <v>1055895.3365</v>
      </c>
      <c r="FJ104" s="365">
        <f>FI105</f>
        <v/>
      </c>
      <c r="FK104" s="325">
        <f>FI104-FJ104</f>
        <v/>
      </c>
      <c r="FL104" s="326">
        <f>FK104/FJ104</f>
        <v/>
      </c>
      <c r="FM104" s="366" t="n"/>
      <c r="FN104" s="366" t="n"/>
      <c r="FO104" s="364" t="n"/>
      <c r="FP104" s="365">
        <f>C104</f>
        <v/>
      </c>
      <c r="FQ104" s="365" t="n">
        <v>1576168.73</v>
      </c>
      <c r="FR104" s="365">
        <f>FQ105</f>
        <v/>
      </c>
      <c r="FS104" s="390">
        <f>FQ104-FR104</f>
        <v/>
      </c>
      <c r="FT104" s="391">
        <f>FS104/FR104</f>
        <v/>
      </c>
      <c r="FU104" s="182" t="n"/>
      <c r="FV104" s="182" t="n"/>
      <c r="FW104" s="364" t="n"/>
      <c r="FX104" s="365">
        <f>C104</f>
        <v/>
      </c>
      <c r="FY104" s="365" t="n">
        <v>8531682.050000001</v>
      </c>
      <c r="FZ104" s="365">
        <f>FY105</f>
        <v/>
      </c>
      <c r="GA104" s="390">
        <f>FY104-FZ104</f>
        <v/>
      </c>
      <c r="GB104" s="391">
        <f>GA104/FZ104</f>
        <v/>
      </c>
      <c r="GC104" s="182" t="n"/>
      <c r="GD104" s="182" t="n"/>
      <c r="GE104" s="364" t="n"/>
      <c r="GF104" s="365">
        <f>C104</f>
        <v/>
      </c>
      <c r="GG104" s="365" t="n">
        <v>5010269.49</v>
      </c>
      <c r="GH104" s="365">
        <f>GG105</f>
        <v/>
      </c>
      <c r="GI104" s="390">
        <f>GG104-GH104</f>
        <v/>
      </c>
      <c r="GJ104" s="391">
        <f>GI104/GH104</f>
        <v/>
      </c>
      <c r="GK104" s="182" t="n"/>
      <c r="GL104" s="182" t="n"/>
      <c r="GM104" s="364" t="n"/>
      <c r="GN104" s="365">
        <f>C104</f>
        <v/>
      </c>
      <c r="GO104" s="365" t="n">
        <v>1906738.1217</v>
      </c>
      <c r="GP104" s="365">
        <f>GO105</f>
        <v/>
      </c>
      <c r="GQ104" s="388">
        <f>GO104-GP104</f>
        <v/>
      </c>
      <c r="GR104" s="389">
        <f>GQ104/GP104</f>
        <v/>
      </c>
      <c r="GS104" s="182" t="n"/>
      <c r="GT104" s="182" t="n"/>
      <c r="GU104" s="364" t="n"/>
      <c r="GV104" s="365">
        <f>C104</f>
        <v/>
      </c>
      <c r="GW104" s="365" t="n">
        <v>704749.4</v>
      </c>
      <c r="GX104" s="365">
        <f>GW105</f>
        <v/>
      </c>
      <c r="GY104" s="388">
        <f>GW104-GX104</f>
        <v/>
      </c>
      <c r="GZ104" s="389">
        <f>GY104/GX104</f>
        <v/>
      </c>
      <c r="HA104" s="182" t="n"/>
      <c r="HB104" s="182" t="n"/>
      <c r="HC104" s="364" t="n"/>
      <c r="HD104" s="365">
        <f>C104</f>
        <v/>
      </c>
      <c r="HE104" s="365" t="n">
        <v>983164.6746</v>
      </c>
      <c r="HF104" s="365">
        <f>HE105</f>
        <v/>
      </c>
      <c r="HG104" s="388">
        <f>HE104-HF104</f>
        <v/>
      </c>
      <c r="HH104" s="389">
        <f>HG104/HF104</f>
        <v/>
      </c>
      <c r="HI104" s="366" t="n"/>
      <c r="HJ104" s="182" t="n"/>
      <c r="HK104" s="364" t="n"/>
      <c r="HL104" s="365">
        <f>C104</f>
        <v/>
      </c>
      <c r="HM104" s="365" t="n">
        <v>116854.25</v>
      </c>
      <c r="HN104" s="365">
        <f>HM105</f>
        <v/>
      </c>
      <c r="HO104" s="388">
        <f>HM104-HN104</f>
        <v/>
      </c>
      <c r="HP104" s="389">
        <f>HO104/HN104</f>
        <v/>
      </c>
      <c r="HQ104" s="182" t="n"/>
      <c r="HR104" s="182" t="n"/>
      <c r="HS104" s="364" t="n"/>
      <c r="HT104" s="365">
        <f>C104</f>
        <v/>
      </c>
      <c r="HU104" s="365" t="n">
        <v>145368.8265</v>
      </c>
      <c r="HV104" s="365">
        <f>HU105</f>
        <v/>
      </c>
      <c r="HW104" s="388">
        <f>HU104-HV104</f>
        <v/>
      </c>
      <c r="HX104" s="389">
        <f>HW104/HV104</f>
        <v/>
      </c>
      <c r="HY104" s="182" t="n"/>
      <c r="HZ104" s="182" t="n"/>
      <c r="IA104" s="364" t="n"/>
      <c r="IB104" s="365">
        <f>C104</f>
        <v/>
      </c>
      <c r="IC104" s="365" t="n">
        <v>287784.79</v>
      </c>
      <c r="ID104" s="365">
        <f>IC105</f>
        <v/>
      </c>
      <c r="IE104" s="365">
        <f>IC104-ID104</f>
        <v/>
      </c>
      <c r="IF104" s="366">
        <f>IE104/ID104</f>
        <v/>
      </c>
      <c r="IG104" s="366" t="n"/>
      <c r="IH104" s="182" t="n"/>
      <c r="II104" s="364" t="n"/>
      <c r="IJ104" s="365">
        <f>C104</f>
        <v/>
      </c>
      <c r="IK104" s="365" t="n">
        <v>862796.29</v>
      </c>
      <c r="IL104" s="365">
        <f>IK105</f>
        <v/>
      </c>
      <c r="IM104" s="388">
        <f>IK104-IL104</f>
        <v/>
      </c>
      <c r="IN104" s="389">
        <f>IM104/IL104</f>
        <v/>
      </c>
      <c r="IO104" s="182" t="n"/>
      <c r="IP104" s="182" t="n"/>
      <c r="IQ104" s="364" t="n"/>
      <c r="IR104" s="365">
        <f>C104</f>
        <v/>
      </c>
      <c r="IS104" s="365" t="n">
        <v>139489</v>
      </c>
      <c r="IT104" s="365">
        <f>IS105</f>
        <v/>
      </c>
      <c r="IU104" s="388">
        <f>IS104-IT104</f>
        <v/>
      </c>
      <c r="IV104" s="389">
        <f>IU104/IT104</f>
        <v/>
      </c>
      <c r="IW104" s="182" t="n"/>
      <c r="IX104" s="182" t="n"/>
      <c r="IY104" s="364" t="n"/>
      <c r="IZ104" s="365">
        <f>C104</f>
        <v/>
      </c>
      <c r="JA104" s="365" t="n">
        <v>5234729.15</v>
      </c>
      <c r="JB104" s="365">
        <f>JA105</f>
        <v/>
      </c>
      <c r="JC104" s="388">
        <f>JA104-JB104</f>
        <v/>
      </c>
      <c r="JD104" s="389">
        <f>JC104/JB104</f>
        <v/>
      </c>
      <c r="JE104" s="182" t="n"/>
      <c r="JF104" s="182" t="n"/>
      <c r="JG104" s="364" t="n"/>
      <c r="JH104" s="365">
        <f>C104</f>
        <v/>
      </c>
      <c r="JI104" s="365" t="n">
        <v>1537167.99</v>
      </c>
      <c r="JJ104" s="365">
        <f>JI105</f>
        <v/>
      </c>
      <c r="JK104" s="388">
        <f>JI104-JJ104</f>
        <v/>
      </c>
      <c r="JL104" s="389">
        <f>JK104/JJ104</f>
        <v/>
      </c>
      <c r="JM104" s="182" t="n"/>
      <c r="JN104" s="182" t="n"/>
      <c r="JP104" s="365">
        <f>C104</f>
        <v/>
      </c>
      <c r="JQ104" s="365" t="n">
        <v>989290.4148</v>
      </c>
      <c r="JR104" s="365">
        <f>JQ105</f>
        <v/>
      </c>
      <c r="JS104" s="388">
        <f>JQ104-JR104</f>
        <v/>
      </c>
      <c r="JT104" s="389">
        <f>JS104/JR104</f>
        <v/>
      </c>
      <c r="JU104" s="182" t="n"/>
      <c r="JV104" s="383" t="n"/>
      <c r="JX104" s="365">
        <f>C104</f>
        <v/>
      </c>
      <c r="JY104" s="365" t="n">
        <v>1059948.8</v>
      </c>
      <c r="JZ104" s="365">
        <f>JY105</f>
        <v/>
      </c>
      <c r="KA104" s="384">
        <f>JY104-JZ104</f>
        <v/>
      </c>
      <c r="KB104" s="383">
        <f>KA104/JZ104</f>
        <v/>
      </c>
      <c r="KC104" s="182" t="n"/>
      <c r="KD104" s="383" t="n"/>
      <c r="KF104" s="365">
        <f>C104</f>
        <v/>
      </c>
      <c r="KG104" s="365" t="n">
        <v>656355.9219</v>
      </c>
      <c r="KH104" s="365">
        <f>KG105</f>
        <v/>
      </c>
      <c r="KI104" s="384">
        <f>KG104-KH104</f>
        <v/>
      </c>
      <c r="KJ104" s="383">
        <f>KI104/KH104</f>
        <v/>
      </c>
      <c r="KK104" s="366" t="n"/>
      <c r="KL104" s="366" t="n"/>
      <c r="KM104" s="364" t="n"/>
      <c r="KN104" s="365">
        <f>C104</f>
        <v/>
      </c>
      <c r="KO104" s="365" t="n">
        <v>7553475.95</v>
      </c>
      <c r="KP104" s="365">
        <f>KO105</f>
        <v/>
      </c>
      <c r="KQ104" s="384">
        <f>KO104-KP104</f>
        <v/>
      </c>
      <c r="KR104" s="383">
        <f>KQ104/KP104</f>
        <v/>
      </c>
      <c r="KS104" s="182" t="n"/>
      <c r="KT104" s="182" t="n"/>
      <c r="KU104" s="364" t="n"/>
      <c r="KV104" s="365">
        <f>C104</f>
        <v/>
      </c>
      <c r="KW104" s="365" t="n">
        <v>1057772.9726</v>
      </c>
      <c r="KX104" s="365">
        <f>KW105</f>
        <v/>
      </c>
      <c r="KY104" s="365">
        <f>KW104-KX104</f>
        <v/>
      </c>
      <c r="KZ104" s="366">
        <f>KY104/KX104</f>
        <v/>
      </c>
      <c r="LA104" s="366" t="n"/>
      <c r="LB104" s="182" t="n"/>
      <c r="LC104" s="364" t="n"/>
      <c r="LD104" s="365">
        <f>C104</f>
        <v/>
      </c>
      <c r="LE104" s="365" t="n">
        <v>408957.7</v>
      </c>
      <c r="LF104" s="365">
        <f>LE105</f>
        <v/>
      </c>
      <c r="LG104" s="388">
        <f>LE104-LF104</f>
        <v/>
      </c>
      <c r="LH104" s="389">
        <f>LG104/LF104</f>
        <v/>
      </c>
      <c r="LI104" s="182" t="n"/>
      <c r="LJ104" s="182" t="n"/>
      <c r="LK104" s="364" t="n"/>
      <c r="LL104" s="365">
        <f>C104</f>
        <v/>
      </c>
      <c r="LM104" s="694" t="n">
        <v>3433075.02</v>
      </c>
      <c r="LN104" s="365">
        <f>LM105</f>
        <v/>
      </c>
      <c r="LO104" s="388">
        <f>LM104-LN104</f>
        <v/>
      </c>
      <c r="LP104" s="389">
        <f>LO104/LN104</f>
        <v/>
      </c>
      <c r="LQ104" s="182" t="n"/>
      <c r="LR104" s="182" t="n"/>
      <c r="LS104" s="364" t="n"/>
      <c r="LT104" s="365">
        <f>C104</f>
        <v/>
      </c>
      <c r="LU104" s="365" t="n">
        <v>2336062.904</v>
      </c>
      <c r="LV104" s="365">
        <f>LU105</f>
        <v/>
      </c>
      <c r="LW104" s="388">
        <f>LU104-LV104</f>
        <v/>
      </c>
      <c r="LX104" s="389">
        <f>LW104/LV104</f>
        <v/>
      </c>
      <c r="LY104" s="182" t="n"/>
      <c r="LZ104" s="182" t="n"/>
      <c r="MA104" s="364" t="n"/>
      <c r="MB104" s="365">
        <f>C104</f>
        <v/>
      </c>
      <c r="MC104" s="365" t="n">
        <v>1085767.69</v>
      </c>
      <c r="MD104" s="365">
        <f>MC105</f>
        <v/>
      </c>
      <c r="ME104" s="388">
        <f>MC104-MD104</f>
        <v/>
      </c>
      <c r="MF104" s="389">
        <f>ME104/MD104</f>
        <v/>
      </c>
      <c r="MG104" s="182" t="n"/>
      <c r="MH104" s="182" t="n"/>
      <c r="MI104" s="319" t="n"/>
      <c r="MJ104" s="318" t="n"/>
      <c r="MK104" s="318">
        <f>C104</f>
        <v/>
      </c>
      <c r="ML104" s="318" t="n">
        <v>164865.5354</v>
      </c>
      <c r="MM104" s="13">
        <f>ML105</f>
        <v/>
      </c>
      <c r="MN104" s="318">
        <f>ML104-MM104</f>
        <v/>
      </c>
      <c r="MO104" s="327">
        <f>MN104/MM104</f>
        <v/>
      </c>
      <c r="MP104" s="182" t="n"/>
      <c r="MQ104" s="369" t="n"/>
      <c r="MR104" s="369" t="n"/>
      <c r="MS104" s="188" t="n"/>
      <c r="MT104" s="274">
        <f>C104</f>
        <v/>
      </c>
      <c r="MU104" s="188" t="n">
        <v>142414.8</v>
      </c>
      <c r="MV104" s="188">
        <f>MU105</f>
        <v/>
      </c>
      <c r="MW104" s="188">
        <f>MU104-MV104</f>
        <v/>
      </c>
      <c r="MX104" s="271">
        <f>MW104/MV104</f>
        <v/>
      </c>
      <c r="MY104" s="182" t="n"/>
      <c r="MZ104" s="182" t="n"/>
      <c r="NA104" s="182" t="n"/>
      <c r="NB104" s="188" t="n"/>
      <c r="NC104" s="188">
        <f>C104</f>
        <v/>
      </c>
      <c r="ND104" s="188" t="n">
        <v>39291.48</v>
      </c>
      <c r="NE104" s="188">
        <f>ND105</f>
        <v/>
      </c>
      <c r="NF104" s="188">
        <f>ND104-NE104</f>
        <v/>
      </c>
      <c r="NG104" s="271">
        <f>NF104/NE104</f>
        <v/>
      </c>
      <c r="NH104" s="182" t="n"/>
      <c r="NI104" s="182" t="n"/>
      <c r="NJ104" s="182" t="n"/>
      <c r="NK104" s="182" t="n"/>
      <c r="NL104" s="188" t="n"/>
      <c r="NM104" s="188">
        <f>C104</f>
        <v/>
      </c>
      <c r="NN104" s="188" t="n">
        <v>2916111.08</v>
      </c>
      <c r="NO104" s="9">
        <f>NN105</f>
        <v/>
      </c>
      <c r="NP104" s="188">
        <f>NN104-NO104</f>
        <v/>
      </c>
      <c r="NQ104" s="271">
        <f>NP104/NO104</f>
        <v/>
      </c>
      <c r="NR104" s="272" t="n"/>
      <c r="NS104" s="188" t="n"/>
      <c r="NT104" s="273" t="n"/>
      <c r="NU104" s="188">
        <f>C104</f>
        <v/>
      </c>
      <c r="NV104" s="188" t="n">
        <v>264476.5</v>
      </c>
      <c r="NW104" s="188">
        <f>NV105</f>
        <v/>
      </c>
      <c r="NX104" s="188">
        <f>NV104-NW104</f>
        <v/>
      </c>
      <c r="NY104" s="271">
        <f>NX104/NW104</f>
        <v/>
      </c>
      <c r="NZ104" s="366" t="n"/>
      <c r="OA104" s="364" t="n"/>
      <c r="OB104" s="364" t="n"/>
      <c r="OC104" s="365">
        <f>C104</f>
        <v/>
      </c>
      <c r="OD104" s="365" t="n">
        <v>17247.97</v>
      </c>
      <c r="OE104" s="365">
        <f>OD105</f>
        <v/>
      </c>
      <c r="OF104" s="388">
        <f>OD104-OE104</f>
        <v/>
      </c>
      <c r="OG104" s="389">
        <f>OF104/OE104</f>
        <v/>
      </c>
      <c r="OH104" s="182" t="n"/>
      <c r="OI104" s="182" t="n"/>
      <c r="OJ104" s="364" t="n"/>
      <c r="OK104" s="365">
        <f>C104</f>
        <v/>
      </c>
      <c r="OL104" s="24" t="n">
        <v>14615.65</v>
      </c>
      <c r="OM104" s="24">
        <f>OL105</f>
        <v/>
      </c>
      <c r="ON104" s="24">
        <f>OL104-OM104</f>
        <v/>
      </c>
      <c r="OO104" s="182">
        <f>ON104/OM104</f>
        <v/>
      </c>
      <c r="OP104" s="182" t="n"/>
      <c r="OQ104" s="182" t="n"/>
      <c r="OT104" s="25">
        <f>OK104</f>
        <v/>
      </c>
      <c r="OU104" s="199" t="n">
        <v>150072.4066</v>
      </c>
      <c r="OV104" s="9">
        <f>OU105</f>
        <v/>
      </c>
      <c r="OW104" s="671">
        <f>OU104-OV104</f>
        <v/>
      </c>
      <c r="OX104" s="182">
        <f>OW104/OV104</f>
        <v/>
      </c>
    </row>
    <row r="105" ht="17" customFormat="1" customHeight="1" s="9">
      <c r="A105" s="631" t="n"/>
      <c r="B105" s="631" t="n"/>
      <c r="C105" s="693" t="inlineStr">
        <is>
          <t>2026//6/17</t>
        </is>
      </c>
      <c r="D105" s="362" t="n">
        <v>2708238.77</v>
      </c>
      <c r="E105" s="362">
        <f>D106</f>
        <v/>
      </c>
      <c r="F105" s="432">
        <f>D105-E105</f>
        <v/>
      </c>
      <c r="G105" s="433">
        <f>F105/E105</f>
        <v/>
      </c>
      <c r="H105" s="19" t="n"/>
      <c r="I105" s="426" t="n"/>
      <c r="J105" s="426" t="n"/>
      <c r="K105" s="362">
        <f>C105</f>
        <v/>
      </c>
      <c r="L105" s="362" t="n">
        <v>1951084.4</v>
      </c>
      <c r="M105" s="362">
        <f>L106</f>
        <v/>
      </c>
      <c r="N105" s="377">
        <f>L105-M105</f>
        <v/>
      </c>
      <c r="O105" s="378">
        <f>N105/M105</f>
        <v/>
      </c>
      <c r="P105" s="19" t="n"/>
      <c r="Q105" s="426" t="n"/>
      <c r="R105" s="427" t="n"/>
      <c r="S105" s="362">
        <f>C105</f>
        <v/>
      </c>
      <c r="T105" s="362" t="n">
        <v>775956.6800000001</v>
      </c>
      <c r="U105" s="362">
        <f>T106</f>
        <v/>
      </c>
      <c r="V105" s="377">
        <f>T105-U105</f>
        <v/>
      </c>
      <c r="W105" s="378">
        <f>V105/U105</f>
        <v/>
      </c>
      <c r="X105" s="19" t="n"/>
      <c r="Y105" s="426" t="n"/>
      <c r="Z105" s="427" t="n"/>
      <c r="AA105" s="362">
        <f>S105</f>
        <v/>
      </c>
      <c r="AB105" s="362" t="n">
        <v>457856.86</v>
      </c>
      <c r="AC105" s="362">
        <f>AB106</f>
        <v/>
      </c>
      <c r="AD105" s="432">
        <f>AB105-AC105</f>
        <v/>
      </c>
      <c r="AE105" s="433">
        <f>AD105/AC105</f>
        <v/>
      </c>
      <c r="AF105" s="19" t="n"/>
      <c r="AG105" s="426" t="n"/>
      <c r="AH105" s="427" t="n"/>
      <c r="AI105" s="362">
        <f>C105</f>
        <v/>
      </c>
      <c r="AJ105" s="362" t="n">
        <v>324321.76</v>
      </c>
      <c r="AK105" s="362">
        <f>AJ106</f>
        <v/>
      </c>
      <c r="AL105" s="432">
        <f>AJ105-AK105</f>
        <v/>
      </c>
      <c r="AM105" s="433">
        <f>AL105/AK105</f>
        <v/>
      </c>
      <c r="AN105" s="19" t="n"/>
      <c r="AO105" s="19" t="n"/>
      <c r="AP105" s="427" t="n"/>
      <c r="AQ105" s="362">
        <f>C105</f>
        <v/>
      </c>
      <c r="AR105" s="697" t="n">
        <v>1052345.4936</v>
      </c>
      <c r="AS105" s="362">
        <f>AR106</f>
        <v/>
      </c>
      <c r="AT105" s="377">
        <f>AR105-AS105</f>
        <v/>
      </c>
      <c r="AU105" s="378">
        <f>AT105/AS105</f>
        <v/>
      </c>
      <c r="AV105" s="19" t="n"/>
      <c r="AW105" s="19" t="n"/>
      <c r="AX105" s="5" t="n"/>
      <c r="AY105" s="188" t="n"/>
      <c r="AZ105" s="188">
        <f>C105</f>
        <v/>
      </c>
      <c r="BA105" s="188" t="n">
        <v>1104321.6676</v>
      </c>
      <c r="BB105" s="188">
        <f>BA106</f>
        <v/>
      </c>
      <c r="BC105" s="188">
        <f>BA105-BB105</f>
        <v/>
      </c>
      <c r="BD105" s="271">
        <f>BC105/BB105</f>
        <v/>
      </c>
      <c r="BE105" s="19" t="n"/>
      <c r="BF105" s="19" t="n"/>
      <c r="BG105" s="647" t="n"/>
      <c r="BH105" s="363">
        <f>C105</f>
        <v/>
      </c>
      <c r="BI105" s="363" t="n">
        <v>1211126.5525</v>
      </c>
      <c r="BJ105" s="363">
        <f>BI106</f>
        <v/>
      </c>
      <c r="BK105" s="395">
        <f>BI105-BJ105</f>
        <v/>
      </c>
      <c r="BL105" s="396">
        <f>BK105/BJ105</f>
        <v/>
      </c>
      <c r="BM105" s="191" t="n"/>
      <c r="BN105" s="182" t="n"/>
      <c r="BO105" s="364" t="n"/>
      <c r="BP105" s="365">
        <f>C105</f>
        <v/>
      </c>
      <c r="BQ105" s="694" t="n">
        <v>1156962.3921</v>
      </c>
      <c r="BR105" s="365">
        <f>BQ106</f>
        <v/>
      </c>
      <c r="BS105" s="390">
        <f>BQ105-BR105</f>
        <v/>
      </c>
      <c r="BT105" s="391">
        <f>BS105/BR105</f>
        <v/>
      </c>
      <c r="BU105" s="182" t="n"/>
      <c r="BV105" s="182" t="n"/>
      <c r="BW105" s="364" t="n"/>
      <c r="BX105" s="365">
        <f>C105</f>
        <v/>
      </c>
      <c r="BY105" s="365" t="n">
        <v>2044560.7019</v>
      </c>
      <c r="BZ105" s="365">
        <f>BY106</f>
        <v/>
      </c>
      <c r="CA105" s="390">
        <f>BY105-BZ105</f>
        <v/>
      </c>
      <c r="CB105" s="391">
        <f>CA105/BZ105</f>
        <v/>
      </c>
      <c r="CC105" s="182" t="n"/>
      <c r="CD105" s="383" t="n"/>
      <c r="CE105" s="364" t="n"/>
      <c r="CF105" s="365">
        <f>C105</f>
        <v/>
      </c>
      <c r="CG105" s="365" t="n">
        <v>1326203.9</v>
      </c>
      <c r="CH105" s="13">
        <f>CG106</f>
        <v/>
      </c>
      <c r="CI105" s="13">
        <f>CG105-CH105</f>
        <v/>
      </c>
      <c r="CJ105" s="193">
        <f>CI105/CH105</f>
        <v/>
      </c>
      <c r="CK105" s="182" t="n"/>
      <c r="CL105" s="366" t="n"/>
      <c r="CM105" s="364" t="n"/>
      <c r="CN105" s="365">
        <f>C105</f>
        <v/>
      </c>
      <c r="CO105" s="365" t="n">
        <v>548446.48</v>
      </c>
      <c r="CP105" s="365">
        <f>CO106</f>
        <v/>
      </c>
      <c r="CQ105" s="13">
        <f>CO105-CP105</f>
        <v/>
      </c>
      <c r="CR105" s="193">
        <f>CQ105/CP105</f>
        <v/>
      </c>
      <c r="CS105" s="366" t="n"/>
      <c r="CT105" s="366" t="n"/>
      <c r="CU105" s="364" t="n"/>
      <c r="CV105" s="365">
        <f>C105</f>
        <v/>
      </c>
      <c r="CW105" s="365" t="n">
        <v>525390.4</v>
      </c>
      <c r="CX105" s="365">
        <f>CW106</f>
        <v/>
      </c>
      <c r="CY105" s="384">
        <f>CW105-CX105</f>
        <v/>
      </c>
      <c r="CZ105" s="383">
        <f>CY105/CX105</f>
        <v/>
      </c>
      <c r="DA105" s="182" t="n"/>
      <c r="DB105" s="182" t="n"/>
      <c r="DC105" s="256" t="n"/>
      <c r="DD105" s="365">
        <f>C105</f>
        <v/>
      </c>
      <c r="DE105" s="365" t="n">
        <v>1764517.9986</v>
      </c>
      <c r="DF105" s="13">
        <f>DE106</f>
        <v/>
      </c>
      <c r="DG105" s="390">
        <f>DE105-DF105</f>
        <v/>
      </c>
      <c r="DH105" s="391">
        <f>DG105/DF105</f>
        <v/>
      </c>
      <c r="DI105" s="182" t="n"/>
      <c r="DJ105" s="182" t="n"/>
      <c r="DK105" s="364" t="n"/>
      <c r="DL105" s="365">
        <f>C105</f>
        <v/>
      </c>
      <c r="DM105" s="365" t="n">
        <v>825100.36</v>
      </c>
      <c r="DN105" s="365">
        <f>DM106</f>
        <v/>
      </c>
      <c r="DO105" s="390">
        <f>DM105-DN105</f>
        <v/>
      </c>
      <c r="DP105" s="391">
        <f>DO105/DN105</f>
        <v/>
      </c>
      <c r="DQ105" s="182" t="n"/>
      <c r="DR105" s="182" t="n"/>
      <c r="DS105" s="364" t="n"/>
      <c r="DT105" s="365">
        <f>C105</f>
        <v/>
      </c>
      <c r="DU105" s="365" t="n">
        <v>1215389.48</v>
      </c>
      <c r="DV105" s="365">
        <f>DU106</f>
        <v/>
      </c>
      <c r="DW105" s="388">
        <f>DU105-DV105</f>
        <v/>
      </c>
      <c r="DX105" s="389">
        <f>DW105/DV105</f>
        <v/>
      </c>
      <c r="DY105" s="182" t="n"/>
      <c r="DZ105" s="182" t="n"/>
      <c r="EA105" s="364" t="n"/>
      <c r="EB105" s="365">
        <f>C105</f>
        <v/>
      </c>
      <c r="EC105" s="365" t="n">
        <v>3207266.82</v>
      </c>
      <c r="ED105" s="365">
        <f>EC106</f>
        <v/>
      </c>
      <c r="EE105" s="390">
        <f>EC105-ED105</f>
        <v/>
      </c>
      <c r="EF105" s="391">
        <f>EE105/ED105</f>
        <v/>
      </c>
      <c r="EG105" s="182" t="n"/>
      <c r="EH105" s="182" t="n"/>
      <c r="EI105" s="364" t="n"/>
      <c r="EJ105" s="365">
        <f>C105</f>
        <v/>
      </c>
      <c r="EK105" s="365" t="n">
        <v>1120522.9669</v>
      </c>
      <c r="EL105" s="365">
        <f>EK106</f>
        <v/>
      </c>
      <c r="EM105" s="388">
        <f>EK105-EL105</f>
        <v/>
      </c>
      <c r="EN105" s="389">
        <f>EM105/EL105</f>
        <v/>
      </c>
      <c r="EO105" s="182" t="n"/>
      <c r="EP105" s="182" t="n"/>
      <c r="EQ105" s="317" t="n"/>
      <c r="ER105" s="318">
        <f>C105</f>
        <v/>
      </c>
      <c r="ES105" s="318" t="n">
        <v>374597.02</v>
      </c>
      <c r="ET105" s="318">
        <f>ES106</f>
        <v/>
      </c>
      <c r="EU105" s="318">
        <f>ES105-ET105</f>
        <v/>
      </c>
      <c r="EV105" s="327">
        <f>EU105/ET105</f>
        <v/>
      </c>
      <c r="EW105" s="182" t="n"/>
      <c r="EX105" s="182" t="n"/>
      <c r="EY105" s="364" t="n"/>
      <c r="EZ105" s="365">
        <f>C105</f>
        <v/>
      </c>
      <c r="FA105" s="365" t="n">
        <v>549208</v>
      </c>
      <c r="FB105" s="365">
        <f>FA106</f>
        <v/>
      </c>
      <c r="FC105" s="388">
        <f>FA105-FB105</f>
        <v/>
      </c>
      <c r="FD105" s="389">
        <f>FC105/FB105</f>
        <v/>
      </c>
      <c r="FE105" s="182" t="n"/>
      <c r="FF105" s="182" t="n"/>
      <c r="FG105" s="182" t="n"/>
      <c r="FH105" s="365">
        <f>C105</f>
        <v/>
      </c>
      <c r="FI105" s="694" t="n">
        <v>1061195.3365</v>
      </c>
      <c r="FJ105" s="365">
        <f>FI106</f>
        <v/>
      </c>
      <c r="FK105" s="325">
        <f>FI105-FJ105</f>
        <v/>
      </c>
      <c r="FL105" s="326">
        <f>FK105/FJ105</f>
        <v/>
      </c>
      <c r="FM105" s="366" t="n"/>
      <c r="FN105" s="366" t="n"/>
      <c r="FO105" s="364" t="n"/>
      <c r="FP105" s="365">
        <f>C105</f>
        <v/>
      </c>
      <c r="FQ105" s="365" t="n">
        <v>1584418.73</v>
      </c>
      <c r="FR105" s="365">
        <f>FQ106</f>
        <v/>
      </c>
      <c r="FS105" s="388">
        <f>FQ105-FR105</f>
        <v/>
      </c>
      <c r="FT105" s="389">
        <f>FS105/FR105</f>
        <v/>
      </c>
      <c r="FU105" s="182" t="n"/>
      <c r="FV105" s="182" t="n"/>
      <c r="FW105" s="364" t="n"/>
      <c r="FX105" s="365">
        <f>C105</f>
        <v/>
      </c>
      <c r="FY105" s="365" t="n">
        <v>8566182.050000001</v>
      </c>
      <c r="FZ105" s="365">
        <f>FY106</f>
        <v/>
      </c>
      <c r="GA105" s="388">
        <f>FY105-FZ105</f>
        <v/>
      </c>
      <c r="GB105" s="389">
        <f>GA105/FZ105</f>
        <v/>
      </c>
      <c r="GC105" s="182" t="n"/>
      <c r="GD105" s="182" t="n"/>
      <c r="GE105" s="364" t="n"/>
      <c r="GF105" s="365">
        <f>C105</f>
        <v/>
      </c>
      <c r="GG105" s="365" t="n">
        <v>5049669.49</v>
      </c>
      <c r="GH105" s="365">
        <f>GG106</f>
        <v/>
      </c>
      <c r="GI105" s="390">
        <f>GG105-GH105</f>
        <v/>
      </c>
      <c r="GJ105" s="391">
        <f>GI105/GH105</f>
        <v/>
      </c>
      <c r="GK105" s="182" t="n"/>
      <c r="GL105" s="182" t="n"/>
      <c r="GM105" s="364" t="n"/>
      <c r="GN105" s="365">
        <f>C105</f>
        <v/>
      </c>
      <c r="GO105" s="365" t="n">
        <v>1933378.1217</v>
      </c>
      <c r="GP105" s="365">
        <f>GO106</f>
        <v/>
      </c>
      <c r="GQ105" s="390">
        <f>GO105-GP105</f>
        <v/>
      </c>
      <c r="GR105" s="391">
        <f>GQ105/GP105</f>
        <v/>
      </c>
      <c r="GS105" s="182" t="n"/>
      <c r="GT105" s="182" t="n"/>
      <c r="GU105" s="364" t="n"/>
      <c r="GV105" s="365">
        <f>C105</f>
        <v/>
      </c>
      <c r="GW105" s="365" t="n">
        <v>710949.4</v>
      </c>
      <c r="GX105" s="365">
        <f>GW106</f>
        <v/>
      </c>
      <c r="GY105" s="388">
        <f>GW105-GX105</f>
        <v/>
      </c>
      <c r="GZ105" s="389">
        <f>GY105/GX105</f>
        <v/>
      </c>
      <c r="HA105" s="182" t="n"/>
      <c r="HB105" s="182" t="n"/>
      <c r="HC105" s="364" t="n"/>
      <c r="HD105" s="365">
        <f>C105</f>
        <v/>
      </c>
      <c r="HE105" s="365" t="n">
        <v>979364.6746</v>
      </c>
      <c r="HF105" s="365">
        <f>HE106</f>
        <v/>
      </c>
      <c r="HG105" s="388">
        <f>HE105-HF105</f>
        <v/>
      </c>
      <c r="HH105" s="389">
        <f>HG105/HF105</f>
        <v/>
      </c>
      <c r="HI105" s="366" t="n"/>
      <c r="HJ105" s="182" t="n"/>
      <c r="HK105" s="364" t="n"/>
      <c r="HL105" s="365">
        <f>C105</f>
        <v/>
      </c>
      <c r="HM105" s="365" t="n">
        <v>117254.25</v>
      </c>
      <c r="HN105" s="365">
        <f>HM106</f>
        <v/>
      </c>
      <c r="HO105" s="388">
        <f>HM105-HN105</f>
        <v/>
      </c>
      <c r="HP105" s="389">
        <f>HO105/HN105</f>
        <v/>
      </c>
      <c r="HQ105" s="182" t="n"/>
      <c r="HR105" s="182" t="n"/>
      <c r="HS105" s="364" t="n"/>
      <c r="HT105" s="365">
        <f>C105</f>
        <v/>
      </c>
      <c r="HU105" s="365" t="n">
        <v>146868.8265</v>
      </c>
      <c r="HV105" s="365">
        <f>HU106</f>
        <v/>
      </c>
      <c r="HW105" s="388">
        <f>HU105-HV105</f>
        <v/>
      </c>
      <c r="HX105" s="389">
        <f>HW105/HV105</f>
        <v/>
      </c>
      <c r="HY105" s="182" t="n"/>
      <c r="HZ105" s="182" t="n"/>
      <c r="IA105" s="364" t="n"/>
      <c r="IB105" s="365">
        <f>C105</f>
        <v/>
      </c>
      <c r="IC105" s="365" t="n">
        <v>300459.79</v>
      </c>
      <c r="ID105" s="365">
        <f>IC106</f>
        <v/>
      </c>
      <c r="IE105" s="365">
        <f>IC105-ID105</f>
        <v/>
      </c>
      <c r="IF105" s="366">
        <f>IE105/ID105</f>
        <v/>
      </c>
      <c r="IG105" s="366" t="n"/>
      <c r="IH105" s="182" t="n"/>
      <c r="II105" s="364" t="n"/>
      <c r="IJ105" s="365">
        <f>C105</f>
        <v/>
      </c>
      <c r="IK105" s="365" t="n">
        <v>918876.29</v>
      </c>
      <c r="IL105" s="365">
        <f>IK106</f>
        <v/>
      </c>
      <c r="IM105" s="388">
        <f>IK105-IL105</f>
        <v/>
      </c>
      <c r="IN105" s="389">
        <f>IM105/IL105</f>
        <v/>
      </c>
      <c r="IO105" s="182" t="n"/>
      <c r="IP105" s="182" t="n"/>
      <c r="IQ105" s="364" t="n"/>
      <c r="IR105" s="365">
        <f>C105</f>
        <v/>
      </c>
      <c r="IS105" s="365" t="n">
        <v>137989</v>
      </c>
      <c r="IT105" s="365">
        <f>IS106</f>
        <v/>
      </c>
      <c r="IU105" s="388">
        <f>IS105-IT105</f>
        <v/>
      </c>
      <c r="IV105" s="389">
        <f>IU105/IT105</f>
        <v/>
      </c>
      <c r="IW105" s="182" t="n"/>
      <c r="IX105" s="182" t="n"/>
      <c r="IY105" s="364" t="n"/>
      <c r="IZ105" s="365">
        <f>C105</f>
        <v/>
      </c>
      <c r="JA105" s="365" t="n">
        <v>5229229.15</v>
      </c>
      <c r="JB105" s="365">
        <f>JA106</f>
        <v/>
      </c>
      <c r="JC105" s="390">
        <f>JA105-JB105</f>
        <v/>
      </c>
      <c r="JD105" s="391">
        <f>JC105/JB105</f>
        <v/>
      </c>
      <c r="JE105" s="182" t="n"/>
      <c r="JF105" s="182" t="n"/>
      <c r="JG105" s="364" t="n"/>
      <c r="JH105" s="365">
        <f>C105</f>
        <v/>
      </c>
      <c r="JI105" s="365" t="n">
        <v>1595847.99</v>
      </c>
      <c r="JJ105" s="365">
        <f>JI106</f>
        <v/>
      </c>
      <c r="JK105" s="388">
        <f>JI105-JJ105</f>
        <v/>
      </c>
      <c r="JL105" s="389">
        <f>JK105/JJ105</f>
        <v/>
      </c>
      <c r="JM105" s="182" t="n"/>
      <c r="JN105" s="182" t="n"/>
      <c r="JP105" s="365">
        <f>C105</f>
        <v/>
      </c>
      <c r="JQ105" s="365" t="n">
        <v>994590.4148</v>
      </c>
      <c r="JR105" s="365">
        <f>JQ106</f>
        <v/>
      </c>
      <c r="JS105" s="388">
        <f>JQ105-JR105</f>
        <v/>
      </c>
      <c r="JT105" s="389">
        <f>JS105/JR105</f>
        <v/>
      </c>
      <c r="JU105" s="182" t="n"/>
      <c r="JV105" s="182" t="n"/>
      <c r="JW105" s="383" t="n"/>
      <c r="JX105" s="365">
        <f>C105</f>
        <v/>
      </c>
      <c r="JY105" s="365" t="n">
        <v>1059998.8</v>
      </c>
      <c r="JZ105" s="365">
        <f>JY106</f>
        <v/>
      </c>
      <c r="KA105" s="384">
        <f>JY105-JZ105</f>
        <v/>
      </c>
      <c r="KB105" s="383">
        <f>KA105/JZ105</f>
        <v/>
      </c>
      <c r="KC105" s="182" t="n"/>
      <c r="KD105" s="383" t="n"/>
      <c r="KF105" s="365">
        <f>C105</f>
        <v/>
      </c>
      <c r="KG105" s="365" t="n">
        <v>656355.9219</v>
      </c>
      <c r="KH105" s="365">
        <f>KG106</f>
        <v/>
      </c>
      <c r="KI105" s="384">
        <f>KG105-KH105</f>
        <v/>
      </c>
      <c r="KJ105" s="383">
        <f>KI105/KH105</f>
        <v/>
      </c>
      <c r="KK105" s="366" t="n"/>
      <c r="KL105" s="366" t="n"/>
      <c r="KM105" s="364" t="n"/>
      <c r="KN105" s="365">
        <f>C105</f>
        <v/>
      </c>
      <c r="KO105" s="365" t="n">
        <v>7553475.95</v>
      </c>
      <c r="KP105" s="365">
        <f>KO106</f>
        <v/>
      </c>
      <c r="KQ105" s="384">
        <f>KO105-KP105</f>
        <v/>
      </c>
      <c r="KR105" s="383">
        <f>KQ105/KP105</f>
        <v/>
      </c>
      <c r="KS105" s="182" t="n"/>
      <c r="KT105" s="182" t="n"/>
      <c r="KU105" s="364" t="n"/>
      <c r="KV105" s="365">
        <f>C105</f>
        <v/>
      </c>
      <c r="KW105" s="365" t="n">
        <v>1057772.9726</v>
      </c>
      <c r="KX105" s="365">
        <f>KW106</f>
        <v/>
      </c>
      <c r="KY105" s="365">
        <f>KW105-KX105</f>
        <v/>
      </c>
      <c r="KZ105" s="366">
        <f>KY105/KX105</f>
        <v/>
      </c>
      <c r="LA105" s="366" t="n"/>
      <c r="LB105" s="182" t="n"/>
      <c r="LC105" s="364" t="n"/>
      <c r="LD105" s="365">
        <f>C105</f>
        <v/>
      </c>
      <c r="LE105" s="365" t="n">
        <v>407607.7</v>
      </c>
      <c r="LF105" s="365">
        <f>LE106</f>
        <v/>
      </c>
      <c r="LG105" s="388">
        <f>LE105-LF105</f>
        <v/>
      </c>
      <c r="LH105" s="389">
        <f>LG105/LF105</f>
        <v/>
      </c>
      <c r="LI105" s="182" t="n"/>
      <c r="LJ105" s="182" t="n"/>
      <c r="LK105" s="364" t="n"/>
      <c r="LL105" s="365">
        <f>C105</f>
        <v/>
      </c>
      <c r="LM105" s="694" t="n">
        <v>3454675.02</v>
      </c>
      <c r="LN105" s="365">
        <f>LM106</f>
        <v/>
      </c>
      <c r="LO105" s="388">
        <f>LM105-LN105</f>
        <v/>
      </c>
      <c r="LP105" s="389">
        <f>LO105/LN105</f>
        <v/>
      </c>
      <c r="LQ105" s="182" t="n"/>
      <c r="LR105" s="182" t="n"/>
      <c r="LS105" s="364" t="n"/>
      <c r="LT105" s="365">
        <f>C105</f>
        <v/>
      </c>
      <c r="LU105" s="365" t="n">
        <v>2339862.904</v>
      </c>
      <c r="LV105" s="365">
        <f>LU106</f>
        <v/>
      </c>
      <c r="LW105" s="388">
        <f>LU105-LV105</f>
        <v/>
      </c>
      <c r="LX105" s="389">
        <f>LW105/LV105</f>
        <v/>
      </c>
      <c r="LY105" s="182" t="n"/>
      <c r="LZ105" s="182" t="n"/>
      <c r="MA105" s="364" t="n"/>
      <c r="MB105" s="365">
        <f>C105</f>
        <v/>
      </c>
      <c r="MC105" s="365" t="n">
        <v>1098667.69</v>
      </c>
      <c r="MD105" s="365">
        <f>MC106</f>
        <v/>
      </c>
      <c r="ME105" s="388">
        <f>MC105-MD105</f>
        <v/>
      </c>
      <c r="MF105" s="389">
        <f>ME105/MD105</f>
        <v/>
      </c>
      <c r="MG105" s="182" t="n"/>
      <c r="MH105" s="182" t="n"/>
      <c r="MI105" s="319" t="n"/>
      <c r="MJ105" s="318" t="n"/>
      <c r="MK105" s="318">
        <f>C105</f>
        <v/>
      </c>
      <c r="ML105" s="318" t="n">
        <v>169425.5354</v>
      </c>
      <c r="MM105" s="13">
        <f>ML106</f>
        <v/>
      </c>
      <c r="MN105" s="318">
        <f>ML105-MM105</f>
        <v/>
      </c>
      <c r="MO105" s="327">
        <f>MN105/MM105</f>
        <v/>
      </c>
      <c r="MP105" s="182" t="n"/>
      <c r="MQ105" s="369" t="n"/>
      <c r="MR105" s="369" t="n"/>
      <c r="MS105" s="188" t="n"/>
      <c r="MT105" s="274">
        <f>C105</f>
        <v/>
      </c>
      <c r="MU105" s="188" t="n">
        <v>146414.8</v>
      </c>
      <c r="MV105" s="188">
        <f>MU106</f>
        <v/>
      </c>
      <c r="MW105" s="188">
        <f>MU105-MV105</f>
        <v/>
      </c>
      <c r="MX105" s="271">
        <f>MW105/MV105</f>
        <v/>
      </c>
      <c r="MY105" s="182" t="n"/>
      <c r="MZ105" s="182" t="n"/>
      <c r="NA105" s="182" t="n"/>
      <c r="NB105" s="188" t="n"/>
      <c r="NC105" s="188">
        <f>C105</f>
        <v/>
      </c>
      <c r="ND105" s="188" t="n">
        <v>39091.48</v>
      </c>
      <c r="NE105" s="188">
        <f>ND106</f>
        <v/>
      </c>
      <c r="NF105" s="188">
        <f>ND105-NE105</f>
        <v/>
      </c>
      <c r="NG105" s="271">
        <f>NF105/NE105</f>
        <v/>
      </c>
      <c r="NH105" s="182" t="n"/>
      <c r="NI105" s="182" t="n"/>
      <c r="NJ105" s="182" t="n"/>
      <c r="NK105" s="182" t="n"/>
      <c r="NL105" s="188" t="n"/>
      <c r="NM105" s="188">
        <f>C105</f>
        <v/>
      </c>
      <c r="NN105" s="188" t="n">
        <v>2901011.08</v>
      </c>
      <c r="NO105" s="9">
        <f>NN106</f>
        <v/>
      </c>
      <c r="NP105" s="188">
        <f>NN105-NO105</f>
        <v/>
      </c>
      <c r="NQ105" s="271">
        <f>NP105/NO105</f>
        <v/>
      </c>
      <c r="NR105" s="272" t="n"/>
      <c r="NS105" s="188" t="n"/>
      <c r="NT105" s="273" t="n"/>
      <c r="NU105" s="188">
        <f>C105</f>
        <v/>
      </c>
      <c r="NV105" s="188" t="n">
        <v>265926.5</v>
      </c>
      <c r="NW105" s="188">
        <f>NV106</f>
        <v/>
      </c>
      <c r="NX105" s="188">
        <f>NV105-NW105</f>
        <v/>
      </c>
      <c r="NY105" s="271">
        <f>NX105/NW105</f>
        <v/>
      </c>
      <c r="NZ105" s="366" t="n"/>
      <c r="OA105" s="364" t="n"/>
      <c r="OB105" s="364" t="n"/>
      <c r="OC105" s="365">
        <f>C105</f>
        <v/>
      </c>
      <c r="OD105" s="365" t="n">
        <v>17430.97</v>
      </c>
      <c r="OE105" s="365">
        <f>OD106</f>
        <v/>
      </c>
      <c r="OF105" s="388">
        <f>OD105-OE105</f>
        <v/>
      </c>
      <c r="OG105" s="389">
        <f>OF105/OE105</f>
        <v/>
      </c>
      <c r="OH105" s="182" t="n"/>
      <c r="OI105" s="182" t="n"/>
      <c r="OJ105" s="364" t="n"/>
      <c r="OK105" s="365">
        <f>C105</f>
        <v/>
      </c>
      <c r="OL105" s="24" t="n">
        <v>14567.65</v>
      </c>
      <c r="OM105" s="0">
        <f>OL106</f>
        <v/>
      </c>
      <c r="ON105" s="24">
        <f>OL105-OM105</f>
        <v/>
      </c>
      <c r="OO105" s="182">
        <f>ON105/OM105</f>
        <v/>
      </c>
      <c r="OP105" s="182" t="n"/>
      <c r="OQ105" s="182" t="n"/>
      <c r="OT105" s="25">
        <f>OK105</f>
        <v/>
      </c>
      <c r="OU105" s="199" t="n">
        <v>149952.4066</v>
      </c>
      <c r="OV105" s="9">
        <f>OU106</f>
        <v/>
      </c>
      <c r="OW105" s="671">
        <f>OU105-OV105</f>
        <v/>
      </c>
      <c r="OX105" s="182">
        <f>OW105/OV105</f>
        <v/>
      </c>
    </row>
    <row r="106" ht="17" customFormat="1" customHeight="1" s="9">
      <c r="A106" s="631" t="n"/>
      <c r="B106" s="631" t="n"/>
      <c r="C106" s="693" t="inlineStr">
        <is>
          <t>2026//6/16</t>
        </is>
      </c>
      <c r="D106" s="362" t="n">
        <v>2797068.77</v>
      </c>
      <c r="E106" s="362">
        <f>D107</f>
        <v/>
      </c>
      <c r="F106" s="432">
        <f>D106-E106</f>
        <v/>
      </c>
      <c r="G106" s="433">
        <f>F106/E106</f>
        <v/>
      </c>
      <c r="H106" s="19" t="n"/>
      <c r="I106" s="426" t="n"/>
      <c r="J106" s="426" t="n"/>
      <c r="K106" s="362">
        <f>C106</f>
        <v/>
      </c>
      <c r="L106" s="362" t="n">
        <v>2056564.4</v>
      </c>
      <c r="M106" s="362">
        <f>L107</f>
        <v/>
      </c>
      <c r="N106" s="432">
        <f>L106-M106</f>
        <v/>
      </c>
      <c r="O106" s="433">
        <f>N106/M106</f>
        <v/>
      </c>
      <c r="P106" s="19" t="n"/>
      <c r="Q106" s="426" t="n"/>
      <c r="R106" s="427" t="n"/>
      <c r="S106" s="362">
        <f>C106</f>
        <v/>
      </c>
      <c r="T106" s="362" t="n">
        <v>833016.6800000001</v>
      </c>
      <c r="U106" s="362">
        <f>T107</f>
        <v/>
      </c>
      <c r="V106" s="432">
        <f>T106-U106</f>
        <v/>
      </c>
      <c r="W106" s="433">
        <f>V106/U106</f>
        <v/>
      </c>
      <c r="X106" s="19" t="n"/>
      <c r="Y106" s="426" t="n"/>
      <c r="Z106" s="427" t="n"/>
      <c r="AA106" s="362">
        <f>S106</f>
        <v/>
      </c>
      <c r="AB106" s="362" t="n">
        <v>458696.86</v>
      </c>
      <c r="AC106" s="362">
        <f>AB107</f>
        <v/>
      </c>
      <c r="AD106" s="432">
        <f>AB106-AC106</f>
        <v/>
      </c>
      <c r="AE106" s="433">
        <f>AD106/AC106</f>
        <v/>
      </c>
      <c r="AF106" s="19" t="n"/>
      <c r="AG106" s="426" t="n"/>
      <c r="AH106" s="427" t="n"/>
      <c r="AI106" s="362">
        <f>C106</f>
        <v/>
      </c>
      <c r="AJ106" s="362" t="n">
        <v>319121.76</v>
      </c>
      <c r="AK106" s="362">
        <f>AJ107</f>
        <v/>
      </c>
      <c r="AL106" s="432">
        <f>AJ106-AK106</f>
        <v/>
      </c>
      <c r="AM106" s="433">
        <f>AL106/AK106</f>
        <v/>
      </c>
      <c r="AN106" s="19" t="n"/>
      <c r="AO106" s="19" t="n"/>
      <c r="AP106" s="427" t="n"/>
      <c r="AQ106" s="362">
        <f>C106</f>
        <v/>
      </c>
      <c r="AR106" s="697" t="n">
        <v>1040545.4936</v>
      </c>
      <c r="AS106" s="362">
        <f>AR107</f>
        <v/>
      </c>
      <c r="AT106" s="432">
        <f>AR106-AS106</f>
        <v/>
      </c>
      <c r="AU106" s="433">
        <f>AT106/AS106</f>
        <v/>
      </c>
      <c r="AV106" s="19" t="n"/>
      <c r="AW106" s="19" t="n"/>
      <c r="AX106" s="5" t="n"/>
      <c r="AY106" s="188" t="n"/>
      <c r="AZ106" s="188">
        <f>C106</f>
        <v/>
      </c>
      <c r="BA106" s="188" t="n">
        <v>1160571.6676</v>
      </c>
      <c r="BB106" s="188">
        <f>BA107</f>
        <v/>
      </c>
      <c r="BC106" s="188">
        <f>BA106-BB106</f>
        <v/>
      </c>
      <c r="BD106" s="271">
        <f>BC106/BB106</f>
        <v/>
      </c>
      <c r="BE106" s="19" t="n"/>
      <c r="BF106" s="19" t="n"/>
      <c r="BG106" s="647" t="n"/>
      <c r="BH106" s="363">
        <f>C106</f>
        <v/>
      </c>
      <c r="BI106" s="363" t="n">
        <v>1234326.5525</v>
      </c>
      <c r="BJ106" s="363">
        <f>BI107</f>
        <v/>
      </c>
      <c r="BK106" s="395">
        <f>BI106-BJ106</f>
        <v/>
      </c>
      <c r="BL106" s="396">
        <f>BK106/BJ106</f>
        <v/>
      </c>
      <c r="BM106" s="191" t="n"/>
      <c r="BN106" s="182" t="n"/>
      <c r="BO106" s="364" t="n"/>
      <c r="BP106" s="365">
        <f>C106</f>
        <v/>
      </c>
      <c r="BQ106" s="694" t="n">
        <v>1161762.3921</v>
      </c>
      <c r="BR106" s="365">
        <f>BQ107</f>
        <v/>
      </c>
      <c r="BS106" s="388">
        <f>BQ106-BR106</f>
        <v/>
      </c>
      <c r="BT106" s="389">
        <f>BS106/BR106</f>
        <v/>
      </c>
      <c r="BU106" s="182" t="n"/>
      <c r="BV106" s="182" t="n"/>
      <c r="BW106" s="364" t="n"/>
      <c r="BX106" s="365">
        <f>C106</f>
        <v/>
      </c>
      <c r="BY106" s="365" t="n">
        <v>2083060.7019</v>
      </c>
      <c r="BZ106" s="365">
        <f>BY107</f>
        <v/>
      </c>
      <c r="CA106" s="388">
        <f>BY106-BZ106</f>
        <v/>
      </c>
      <c r="CB106" s="389">
        <f>CA106/BZ106</f>
        <v/>
      </c>
      <c r="CC106" s="182" t="n"/>
      <c r="CD106" s="383" t="n"/>
      <c r="CE106" s="364" t="n"/>
      <c r="CF106" s="365">
        <f>C106</f>
        <v/>
      </c>
      <c r="CG106" s="365" t="n">
        <v>1340653.9</v>
      </c>
      <c r="CH106" s="13">
        <f>CG107</f>
        <v/>
      </c>
      <c r="CI106" s="13">
        <f>CG106-CH106</f>
        <v/>
      </c>
      <c r="CJ106" s="193">
        <f>CI106/CH106</f>
        <v/>
      </c>
      <c r="CK106" s="182" t="n"/>
      <c r="CL106" s="366" t="n"/>
      <c r="CM106" s="364" t="n"/>
      <c r="CN106" s="365">
        <f>C106</f>
        <v/>
      </c>
      <c r="CO106" s="365" t="n">
        <v>555046.48</v>
      </c>
      <c r="CP106" s="365">
        <f>CO107</f>
        <v/>
      </c>
      <c r="CQ106" s="13">
        <f>CO106-CP106</f>
        <v/>
      </c>
      <c r="CR106" s="193">
        <f>CQ106/CP106</f>
        <v/>
      </c>
      <c r="CS106" s="366" t="n"/>
      <c r="CT106" s="366" t="n"/>
      <c r="CU106" s="364" t="n"/>
      <c r="CV106" s="365">
        <f>C106</f>
        <v/>
      </c>
      <c r="CW106" s="365" t="n">
        <v>513690.4</v>
      </c>
      <c r="CX106" s="365">
        <f>CW107</f>
        <v/>
      </c>
      <c r="CY106" s="384">
        <f>CW106-CX106</f>
        <v/>
      </c>
      <c r="CZ106" s="383">
        <f>CY106/CX106</f>
        <v/>
      </c>
      <c r="DA106" s="182" t="n"/>
      <c r="DB106" s="182" t="n"/>
      <c r="DC106" s="256" t="n"/>
      <c r="DD106" s="365">
        <f>C106</f>
        <v/>
      </c>
      <c r="DE106" s="365" t="n">
        <v>1743717.9986</v>
      </c>
      <c r="DF106" s="13">
        <f>DE107</f>
        <v/>
      </c>
      <c r="DG106" s="390">
        <f>DE106-DF106</f>
        <v/>
      </c>
      <c r="DH106" s="391">
        <f>DG106/DF106</f>
        <v/>
      </c>
      <c r="DI106" s="182" t="n"/>
      <c r="DJ106" s="182" t="n"/>
      <c r="DK106" s="364" t="n"/>
      <c r="DL106" s="365">
        <f>C106</f>
        <v/>
      </c>
      <c r="DM106" s="365" t="n">
        <v>835300.36</v>
      </c>
      <c r="DN106" s="365">
        <f>DM107</f>
        <v/>
      </c>
      <c r="DO106" s="388">
        <f>DM106-DN106</f>
        <v/>
      </c>
      <c r="DP106" s="389">
        <f>DO106/DN106</f>
        <v/>
      </c>
      <c r="DQ106" s="182" t="n"/>
      <c r="DR106" s="182" t="n"/>
      <c r="DS106" s="364" t="n"/>
      <c r="DT106" s="365">
        <f>C106</f>
        <v/>
      </c>
      <c r="DU106" s="365" t="n">
        <v>1240289.48</v>
      </c>
      <c r="DV106" s="365">
        <f>DU107</f>
        <v/>
      </c>
      <c r="DW106" s="388">
        <f>DU106-DV106</f>
        <v/>
      </c>
      <c r="DX106" s="389">
        <f>DW106/DV106</f>
        <v/>
      </c>
      <c r="DY106" s="182" t="n"/>
      <c r="DZ106" s="182" t="n"/>
      <c r="EA106" s="364" t="n"/>
      <c r="EB106" s="365">
        <f>C106</f>
        <v/>
      </c>
      <c r="EC106" s="365" t="n">
        <v>3309566.82</v>
      </c>
      <c r="ED106" s="365">
        <f>EC107</f>
        <v/>
      </c>
      <c r="EE106" s="388">
        <f>EC106-ED106</f>
        <v/>
      </c>
      <c r="EF106" s="389">
        <f>EE106/ED106</f>
        <v/>
      </c>
      <c r="EG106" s="182" t="n"/>
      <c r="EH106" s="182" t="n"/>
      <c r="EI106" s="364" t="n"/>
      <c r="EJ106" s="365">
        <f>C106</f>
        <v/>
      </c>
      <c r="EK106" s="365" t="n">
        <v>1128722.9669</v>
      </c>
      <c r="EL106" s="365">
        <f>EK107</f>
        <v/>
      </c>
      <c r="EM106" s="388">
        <f>EK106-EL106</f>
        <v/>
      </c>
      <c r="EN106" s="389">
        <f>EM106/EL106</f>
        <v/>
      </c>
      <c r="EO106" s="182" t="n"/>
      <c r="EP106" s="182" t="n"/>
      <c r="EQ106" s="317" t="n"/>
      <c r="ER106" s="318">
        <f>C106</f>
        <v/>
      </c>
      <c r="ES106" s="318" t="n">
        <v>378197.02</v>
      </c>
      <c r="ET106" s="318">
        <f>ES107</f>
        <v/>
      </c>
      <c r="EU106" s="318">
        <f>ES106-ET106</f>
        <v/>
      </c>
      <c r="EV106" s="327">
        <f>EU106/ET106</f>
        <v/>
      </c>
      <c r="EW106" s="182" t="n"/>
      <c r="EX106" s="182" t="n"/>
      <c r="EY106" s="364" t="n"/>
      <c r="EZ106" s="365">
        <f>C106</f>
        <v/>
      </c>
      <c r="FA106" s="365" t="n">
        <v>556108</v>
      </c>
      <c r="FB106" s="365">
        <f>FA107</f>
        <v/>
      </c>
      <c r="FC106" s="388">
        <f>FA106-FB106</f>
        <v/>
      </c>
      <c r="FD106" s="389">
        <f>FC106/FB106</f>
        <v/>
      </c>
      <c r="FE106" s="182" t="n"/>
      <c r="FF106" s="182" t="n"/>
      <c r="FG106" s="182" t="n"/>
      <c r="FH106" s="365">
        <f>C106</f>
        <v/>
      </c>
      <c r="FI106" s="694" t="n">
        <v>1072595.3365</v>
      </c>
      <c r="FJ106" s="365">
        <f>FI107</f>
        <v/>
      </c>
      <c r="FK106" s="325">
        <f>FI106-FJ106</f>
        <v/>
      </c>
      <c r="FL106" s="326">
        <f>FK106/FJ106</f>
        <v/>
      </c>
      <c r="FM106" s="366" t="n"/>
      <c r="FN106" s="366" t="n"/>
      <c r="FO106" s="364" t="n"/>
      <c r="FP106" s="365">
        <f>C106</f>
        <v/>
      </c>
      <c r="FQ106" s="365" t="n">
        <v>1599718.73</v>
      </c>
      <c r="FR106" s="365">
        <f>FQ107</f>
        <v/>
      </c>
      <c r="FS106" s="388">
        <f>FQ106-FR106</f>
        <v/>
      </c>
      <c r="FT106" s="389">
        <f>FS106/FR106</f>
        <v/>
      </c>
      <c r="FU106" s="182" t="n"/>
      <c r="FV106" s="182" t="n"/>
      <c r="FW106" s="364" t="n"/>
      <c r="FX106" s="365">
        <f>C106</f>
        <v/>
      </c>
      <c r="FY106" s="365" t="n">
        <v>8595982.050000001</v>
      </c>
      <c r="FZ106" s="365">
        <f>FY107</f>
        <v/>
      </c>
      <c r="GA106" s="390">
        <f>FY106-FZ106</f>
        <v/>
      </c>
      <c r="GB106" s="391">
        <f>GA106/FZ106</f>
        <v/>
      </c>
      <c r="GC106" s="182" t="n"/>
      <c r="GD106" s="182" t="n"/>
      <c r="GE106" s="364" t="n"/>
      <c r="GF106" s="365">
        <f>C106</f>
        <v/>
      </c>
      <c r="GG106" s="365" t="n">
        <v>5052669.49</v>
      </c>
      <c r="GH106" s="365">
        <f>GG107</f>
        <v/>
      </c>
      <c r="GI106" s="390">
        <f>GG106-GH106</f>
        <v/>
      </c>
      <c r="GJ106" s="391">
        <f>GI106/GH106</f>
        <v/>
      </c>
      <c r="GK106" s="182" t="n"/>
      <c r="GL106" s="182" t="n"/>
      <c r="GM106" s="364" t="n"/>
      <c r="GN106" s="365">
        <f>C106</f>
        <v/>
      </c>
      <c r="GO106" s="365" t="n">
        <v>1936438.1217</v>
      </c>
      <c r="GP106" s="365">
        <f>GO107</f>
        <v/>
      </c>
      <c r="GQ106" s="388">
        <f>GO106-GP106</f>
        <v/>
      </c>
      <c r="GR106" s="389">
        <f>GQ106/GP106</f>
        <v/>
      </c>
      <c r="GS106" s="182" t="n"/>
      <c r="GT106" s="182" t="n"/>
      <c r="GU106" s="364" t="n"/>
      <c r="GV106" s="365">
        <f>C106</f>
        <v/>
      </c>
      <c r="GW106" s="365" t="n">
        <v>712549.4</v>
      </c>
      <c r="GX106" s="365">
        <f>GW107</f>
        <v/>
      </c>
      <c r="GY106" s="388">
        <f>GW106-GX106</f>
        <v/>
      </c>
      <c r="GZ106" s="389">
        <f>GY106/GX106</f>
        <v/>
      </c>
      <c r="HA106" s="182" t="n"/>
      <c r="HB106" s="182" t="n"/>
      <c r="HC106" s="364" t="n"/>
      <c r="HD106" s="365">
        <f>C106</f>
        <v/>
      </c>
      <c r="HE106" s="365" t="n">
        <v>981364.6746</v>
      </c>
      <c r="HF106" s="365">
        <f>HE107</f>
        <v/>
      </c>
      <c r="HG106" s="390">
        <f>HE106-HF106</f>
        <v/>
      </c>
      <c r="HH106" s="391">
        <f>HG106/HF106</f>
        <v/>
      </c>
      <c r="HI106" s="366" t="n"/>
      <c r="HJ106" s="182" t="n"/>
      <c r="HK106" s="364" t="n"/>
      <c r="HL106" s="365">
        <f>C106</f>
        <v/>
      </c>
      <c r="HM106" s="365" t="n">
        <v>117604.25</v>
      </c>
      <c r="HN106" s="365">
        <f>HM107</f>
        <v/>
      </c>
      <c r="HO106" s="388">
        <f>HM106-HN106</f>
        <v/>
      </c>
      <c r="HP106" s="389">
        <f>HO106/HN106</f>
        <v/>
      </c>
      <c r="HQ106" s="182" t="n"/>
      <c r="HR106" s="182" t="n"/>
      <c r="HS106" s="364" t="n"/>
      <c r="HT106" s="365">
        <f>C106</f>
        <v/>
      </c>
      <c r="HU106" s="365" t="n">
        <v>145868.8265</v>
      </c>
      <c r="HV106" s="365">
        <f>HU107</f>
        <v/>
      </c>
      <c r="HW106" s="388">
        <f>HU106-HV106</f>
        <v/>
      </c>
      <c r="HX106" s="389">
        <f>HW106/HV106</f>
        <v/>
      </c>
      <c r="HY106" s="182" t="n"/>
      <c r="HZ106" s="182" t="n"/>
      <c r="IA106" s="364" t="n"/>
      <c r="IB106" s="365">
        <f>C106</f>
        <v/>
      </c>
      <c r="IC106" s="365" t="n">
        <v>324359.79</v>
      </c>
      <c r="ID106" s="365">
        <f>IC107</f>
        <v/>
      </c>
      <c r="IE106" s="365">
        <f>IC106-ID106</f>
        <v/>
      </c>
      <c r="IF106" s="366">
        <f>IE106/ID106</f>
        <v/>
      </c>
      <c r="IG106" s="366" t="n"/>
      <c r="IH106" s="182" t="n"/>
      <c r="II106" s="364" t="n"/>
      <c r="IJ106" s="365">
        <f>C106</f>
        <v/>
      </c>
      <c r="IK106" s="365" t="n">
        <v>931596.29</v>
      </c>
      <c r="IL106" s="365">
        <f>IK107</f>
        <v/>
      </c>
      <c r="IM106" s="388">
        <f>IK106-IL106</f>
        <v/>
      </c>
      <c r="IN106" s="389">
        <f>IM106/IL106</f>
        <v/>
      </c>
      <c r="IO106" s="182" t="n"/>
      <c r="IP106" s="182" t="n"/>
      <c r="IQ106" s="364" t="n"/>
      <c r="IR106" s="365">
        <f>C106</f>
        <v/>
      </c>
      <c r="IS106" s="365" t="n">
        <v>137689</v>
      </c>
      <c r="IT106" s="365">
        <f>IS107</f>
        <v/>
      </c>
      <c r="IU106" s="388">
        <f>IS106-IT106</f>
        <v/>
      </c>
      <c r="IV106" s="389">
        <f>IU106/IT106</f>
        <v/>
      </c>
      <c r="IW106" s="182" t="n"/>
      <c r="IX106" s="182" t="n"/>
      <c r="IY106" s="364" t="n"/>
      <c r="IZ106" s="365">
        <f>C106</f>
        <v/>
      </c>
      <c r="JA106" s="365" t="n">
        <v>5256529.15</v>
      </c>
      <c r="JB106" s="365">
        <f>JA107</f>
        <v/>
      </c>
      <c r="JC106" s="388">
        <f>JA106-JB106</f>
        <v/>
      </c>
      <c r="JD106" s="389">
        <f>JC106/JB106</f>
        <v/>
      </c>
      <c r="JE106" s="182" t="n"/>
      <c r="JF106" s="182" t="n"/>
      <c r="JG106" s="364" t="n"/>
      <c r="JH106" s="365">
        <f>C106</f>
        <v/>
      </c>
      <c r="JI106" s="365" t="n">
        <v>1592547.99</v>
      </c>
      <c r="JJ106" s="365">
        <f>JI107</f>
        <v/>
      </c>
      <c r="JK106" s="388">
        <f>JI106-JJ106</f>
        <v/>
      </c>
      <c r="JL106" s="389">
        <f>JK106/JJ106</f>
        <v/>
      </c>
      <c r="JM106" s="182" t="n"/>
      <c r="JN106" s="182" t="n"/>
      <c r="JP106" s="365">
        <f>C106</f>
        <v/>
      </c>
      <c r="JQ106" s="365" t="n">
        <v>1006490.4148</v>
      </c>
      <c r="JR106" s="365">
        <f>JQ107</f>
        <v/>
      </c>
      <c r="JS106" s="388">
        <f>JQ106-JR106</f>
        <v/>
      </c>
      <c r="JT106" s="389">
        <f>JS106/JR106</f>
        <v/>
      </c>
      <c r="JU106" s="182" t="n"/>
      <c r="JV106" s="182" t="n"/>
      <c r="JW106" s="383" t="n"/>
      <c r="JX106" s="365">
        <f>C106</f>
        <v/>
      </c>
      <c r="JY106" s="365" t="n">
        <v>1067748.8</v>
      </c>
      <c r="JZ106" s="365">
        <f>JY107</f>
        <v/>
      </c>
      <c r="KA106" s="384">
        <f>JY106-JZ106</f>
        <v/>
      </c>
      <c r="KB106" s="383">
        <f>KA106/JZ106</f>
        <v/>
      </c>
      <c r="KC106" s="182" t="n"/>
      <c r="KD106" s="383" t="n"/>
      <c r="KF106" s="365">
        <f>C106</f>
        <v/>
      </c>
      <c r="KG106" s="365" t="n">
        <v>656355.9219</v>
      </c>
      <c r="KH106" s="365">
        <f>KG107</f>
        <v/>
      </c>
      <c r="KI106" s="384">
        <f>KG106-KH106</f>
        <v/>
      </c>
      <c r="KJ106" s="383">
        <f>KI106/KH106</f>
        <v/>
      </c>
      <c r="KK106" s="366" t="n"/>
      <c r="KL106" s="366" t="n"/>
      <c r="KM106" s="364" t="n"/>
      <c r="KN106" s="365">
        <f>C106</f>
        <v/>
      </c>
      <c r="KO106" s="365" t="n">
        <v>7553475.95</v>
      </c>
      <c r="KP106" s="365">
        <f>KO107</f>
        <v/>
      </c>
      <c r="KQ106" s="384">
        <f>KO106-KP106</f>
        <v/>
      </c>
      <c r="KR106" s="383">
        <f>KQ106/KP106</f>
        <v/>
      </c>
      <c r="KS106" s="182" t="n"/>
      <c r="KT106" s="182" t="n"/>
      <c r="KU106" s="364" t="n"/>
      <c r="KV106" s="365">
        <f>C106</f>
        <v/>
      </c>
      <c r="KW106" s="365" t="n">
        <v>1057772.9726</v>
      </c>
      <c r="KX106" s="365">
        <f>KW107</f>
        <v/>
      </c>
      <c r="KY106" s="365">
        <f>KW106-KX106</f>
        <v/>
      </c>
      <c r="KZ106" s="366">
        <f>KY106/KX106</f>
        <v/>
      </c>
      <c r="LA106" s="366" t="n"/>
      <c r="LB106" s="182" t="n"/>
      <c r="LC106" s="364" t="n"/>
      <c r="LD106" s="365">
        <f>C106</f>
        <v/>
      </c>
      <c r="LE106" s="365" t="n">
        <v>410757.7</v>
      </c>
      <c r="LF106" s="365">
        <f>LE107</f>
        <v/>
      </c>
      <c r="LG106" s="388">
        <f>LE106-LF106</f>
        <v/>
      </c>
      <c r="LH106" s="389">
        <f>LG106/LF106</f>
        <v/>
      </c>
      <c r="LI106" s="182" t="n"/>
      <c r="LJ106" s="182" t="n"/>
      <c r="LK106" s="364" t="n"/>
      <c r="LL106" s="365">
        <f>C106</f>
        <v/>
      </c>
      <c r="LM106" s="694" t="n">
        <v>3454855.02</v>
      </c>
      <c r="LN106" s="365">
        <f>LM107</f>
        <v/>
      </c>
      <c r="LO106" s="388">
        <f>LM106-LN106</f>
        <v/>
      </c>
      <c r="LP106" s="389">
        <f>LO106/LN106</f>
        <v/>
      </c>
      <c r="LQ106" s="182" t="n"/>
      <c r="LR106" s="182" t="n"/>
      <c r="LS106" s="364" t="n"/>
      <c r="LT106" s="365">
        <f>C106</f>
        <v/>
      </c>
      <c r="LU106" s="365" t="n">
        <v>2354062.904</v>
      </c>
      <c r="LV106" s="365">
        <f>LU107</f>
        <v/>
      </c>
      <c r="LW106" s="390">
        <f>LU106-LV106</f>
        <v/>
      </c>
      <c r="LX106" s="391">
        <f>LW106/LV106</f>
        <v/>
      </c>
      <c r="LY106" s="182" t="n"/>
      <c r="LZ106" s="182" t="n"/>
      <c r="MA106" s="364" t="n"/>
      <c r="MB106" s="365">
        <f>C106</f>
        <v/>
      </c>
      <c r="MC106" s="365" t="n">
        <v>1096217.69</v>
      </c>
      <c r="MD106" s="365">
        <f>MC107</f>
        <v/>
      </c>
      <c r="ME106" s="390">
        <f>MC106-MD106</f>
        <v/>
      </c>
      <c r="MF106" s="391">
        <f>ME106/MD106</f>
        <v/>
      </c>
      <c r="MG106" s="182" t="n"/>
      <c r="MH106" s="182" t="n"/>
      <c r="MI106" s="319" t="n"/>
      <c r="MJ106" s="318" t="n"/>
      <c r="MK106" s="318">
        <f>C106</f>
        <v/>
      </c>
      <c r="ML106" s="318" t="n">
        <v>169785.5354</v>
      </c>
      <c r="MM106" s="13">
        <f>ML107</f>
        <v/>
      </c>
      <c r="MN106" s="318">
        <f>ML106-MM106</f>
        <v/>
      </c>
      <c r="MO106" s="327">
        <f>MN106/MM106</f>
        <v/>
      </c>
      <c r="MP106" s="182" t="n"/>
      <c r="MQ106" s="369" t="n"/>
      <c r="MR106" s="369" t="n"/>
      <c r="MS106" s="188" t="n"/>
      <c r="MT106" s="274">
        <f>C106</f>
        <v/>
      </c>
      <c r="MU106" s="188" t="n">
        <v>147514.8</v>
      </c>
      <c r="MV106" s="188">
        <f>MU107</f>
        <v/>
      </c>
      <c r="MW106" s="188">
        <f>MU106-MV106</f>
        <v/>
      </c>
      <c r="MX106" s="271">
        <f>MW106/MV106</f>
        <v/>
      </c>
      <c r="MY106" s="182" t="n"/>
      <c r="MZ106" s="182" t="n"/>
      <c r="NA106" s="182" t="n"/>
      <c r="NB106" s="188" t="n"/>
      <c r="NC106" s="188">
        <f>C106</f>
        <v/>
      </c>
      <c r="ND106" s="188" t="n">
        <v>38891.48</v>
      </c>
      <c r="NE106" s="188">
        <f>ND107</f>
        <v/>
      </c>
      <c r="NF106" s="188">
        <f>ND106-NE106</f>
        <v/>
      </c>
      <c r="NG106" s="271">
        <f>NF106/NE106</f>
        <v/>
      </c>
      <c r="NH106" s="182" t="n"/>
      <c r="NI106" s="182" t="n"/>
      <c r="NJ106" s="182" t="n"/>
      <c r="NK106" s="182" t="n"/>
      <c r="NL106" s="188" t="n"/>
      <c r="NM106" s="188">
        <f>C106</f>
        <v/>
      </c>
      <c r="NN106" s="188" t="n">
        <v>2879611.08</v>
      </c>
      <c r="NO106" s="9">
        <f>NN107</f>
        <v/>
      </c>
      <c r="NP106" s="188">
        <f>NN106-NO106</f>
        <v/>
      </c>
      <c r="NQ106" s="271">
        <f>NP106/NO106</f>
        <v/>
      </c>
      <c r="NR106" s="272" t="n"/>
      <c r="NS106" s="188" t="n"/>
      <c r="NT106" s="273" t="n"/>
      <c r="NU106" s="188">
        <f>C106</f>
        <v/>
      </c>
      <c r="NV106" s="188" t="n">
        <v>265026.5</v>
      </c>
      <c r="NW106" s="188">
        <f>NV107</f>
        <v/>
      </c>
      <c r="NX106" s="188">
        <f>NV106-NW106</f>
        <v/>
      </c>
      <c r="NY106" s="271">
        <f>NX106/NW106</f>
        <v/>
      </c>
      <c r="NZ106" s="366" t="n"/>
      <c r="OA106" s="364" t="n"/>
      <c r="OB106" s="364" t="n"/>
      <c r="OC106" s="365">
        <f>C106</f>
        <v/>
      </c>
      <c r="OD106" s="365" t="n">
        <v>17589.97</v>
      </c>
      <c r="OE106" s="365">
        <f>OD107</f>
        <v/>
      </c>
      <c r="OF106" s="388">
        <f>OD106-OE106</f>
        <v/>
      </c>
      <c r="OG106" s="389">
        <f>OF106/OE106</f>
        <v/>
      </c>
      <c r="OH106" s="182" t="n"/>
      <c r="OI106" s="182" t="n"/>
      <c r="OJ106" s="364" t="n"/>
      <c r="OK106" s="365">
        <f>C106</f>
        <v/>
      </c>
      <c r="OL106" s="0" t="n">
        <v>14518.65</v>
      </c>
      <c r="OM106" s="0">
        <f>OL107</f>
        <v/>
      </c>
      <c r="ON106" s="0">
        <f>OL106-OM106</f>
        <v/>
      </c>
      <c r="OO106" s="182">
        <f>ON106/OM106</f>
        <v/>
      </c>
      <c r="OP106" s="182" t="n"/>
      <c r="OQ106" s="182" t="n"/>
      <c r="OT106" s="25">
        <f>OK106</f>
        <v/>
      </c>
      <c r="OU106" s="199" t="n">
        <v>149832.4066</v>
      </c>
      <c r="OV106" s="9">
        <f>OU107</f>
        <v/>
      </c>
      <c r="OW106" s="671">
        <f>OU106-OV106</f>
        <v/>
      </c>
      <c r="OX106" s="182">
        <f>OW106/OV106</f>
        <v/>
      </c>
    </row>
    <row r="107" ht="17" customFormat="1" customHeight="1" s="9">
      <c r="A107" s="631" t="n"/>
      <c r="B107" s="631" t="n"/>
      <c r="C107" s="693" t="inlineStr">
        <is>
          <t>2026//6/15</t>
        </is>
      </c>
      <c r="D107" s="362" t="n">
        <v>2838288.77</v>
      </c>
      <c r="E107" s="362">
        <f>D108</f>
        <v/>
      </c>
      <c r="F107" s="377">
        <f>D107-E107</f>
        <v/>
      </c>
      <c r="G107" s="378">
        <f>F107/E107</f>
        <v/>
      </c>
      <c r="H107" s="19" t="n"/>
      <c r="I107" s="426" t="n"/>
      <c r="J107" s="426" t="n"/>
      <c r="K107" s="362">
        <f>C107</f>
        <v/>
      </c>
      <c r="L107" s="362" t="n">
        <v>2147554.4</v>
      </c>
      <c r="M107" s="362">
        <f>L108</f>
        <v/>
      </c>
      <c r="N107" s="377">
        <f>L107-M107</f>
        <v/>
      </c>
      <c r="O107" s="378">
        <f>N107/M107</f>
        <v/>
      </c>
      <c r="P107" s="19" t="n"/>
      <c r="Q107" s="426" t="n"/>
      <c r="R107" s="427" t="n"/>
      <c r="S107" s="362">
        <f>C107</f>
        <v/>
      </c>
      <c r="T107" s="362" t="n">
        <v>828876.6800000001</v>
      </c>
      <c r="U107" s="362">
        <f>T108</f>
        <v/>
      </c>
      <c r="V107" s="377">
        <f>T107-U107</f>
        <v/>
      </c>
      <c r="W107" s="378">
        <f>V107/U107</f>
        <v/>
      </c>
      <c r="X107" s="19" t="n"/>
      <c r="Y107" s="426" t="n"/>
      <c r="Z107" s="427" t="n"/>
      <c r="AA107" s="362">
        <f>S107</f>
        <v/>
      </c>
      <c r="AB107" s="362" t="n">
        <v>469856.86</v>
      </c>
      <c r="AC107" s="362">
        <f>AB108</f>
        <v/>
      </c>
      <c r="AD107" s="377">
        <f>AB107-AC107</f>
        <v/>
      </c>
      <c r="AE107" s="378">
        <f>AD107/AC107</f>
        <v/>
      </c>
      <c r="AF107" s="19" t="n"/>
      <c r="AG107" s="426" t="n"/>
      <c r="AH107" s="427" t="n"/>
      <c r="AI107" s="362">
        <f>C107</f>
        <v/>
      </c>
      <c r="AJ107" s="362" t="n">
        <v>357721.76</v>
      </c>
      <c r="AK107" s="362">
        <f>AJ108</f>
        <v/>
      </c>
      <c r="AL107" s="377">
        <f>AJ107-AK107</f>
        <v/>
      </c>
      <c r="AM107" s="378">
        <f>AL107/AK107</f>
        <v/>
      </c>
      <c r="AN107" s="19" t="n"/>
      <c r="AO107" s="19" t="n"/>
      <c r="AP107" s="427" t="n"/>
      <c r="AQ107" s="362">
        <f>C107</f>
        <v/>
      </c>
      <c r="AR107" s="697" t="n">
        <v>1050545.4936</v>
      </c>
      <c r="AS107" s="362">
        <f>AR108</f>
        <v/>
      </c>
      <c r="AT107" s="377">
        <f>AR107-AS107</f>
        <v/>
      </c>
      <c r="AU107" s="378">
        <f>AT107/AS107</f>
        <v/>
      </c>
      <c r="AV107" s="19" t="n"/>
      <c r="AW107" s="19" t="n"/>
      <c r="AX107" s="5" t="n"/>
      <c r="AY107" s="188" t="n"/>
      <c r="AZ107" s="188">
        <f>C107</f>
        <v/>
      </c>
      <c r="BA107" s="188" t="n">
        <v>1200531.6676</v>
      </c>
      <c r="BB107" s="188">
        <f>BA108</f>
        <v/>
      </c>
      <c r="BC107" s="188">
        <f>BA107-BB107</f>
        <v/>
      </c>
      <c r="BD107" s="271">
        <f>BC107/BB107</f>
        <v/>
      </c>
      <c r="BE107" s="19" t="n"/>
      <c r="BF107" s="19" t="n"/>
      <c r="BG107" s="647" t="n"/>
      <c r="BH107" s="363">
        <f>C107</f>
        <v/>
      </c>
      <c r="BI107" s="363" t="n">
        <v>1251826.5525</v>
      </c>
      <c r="BJ107" s="363">
        <f>BI108</f>
        <v/>
      </c>
      <c r="BK107" s="395">
        <f>BI107-BJ107</f>
        <v/>
      </c>
      <c r="BL107" s="396">
        <f>BK107/BJ107</f>
        <v/>
      </c>
      <c r="BM107" s="191" t="n"/>
      <c r="BN107" s="182" t="n"/>
      <c r="BO107" s="364" t="n"/>
      <c r="BP107" s="365">
        <f>C107</f>
        <v/>
      </c>
      <c r="BQ107" s="694" t="n">
        <v>1159462.3921</v>
      </c>
      <c r="BR107" s="365">
        <f>BQ108</f>
        <v/>
      </c>
      <c r="BS107" s="390">
        <f>BQ107-BR107</f>
        <v/>
      </c>
      <c r="BT107" s="391">
        <f>BS107/BR107</f>
        <v/>
      </c>
      <c r="BU107" s="182" t="n"/>
      <c r="BV107" s="182" t="n"/>
      <c r="BW107" s="364" t="n"/>
      <c r="BX107" s="365">
        <f>C107</f>
        <v/>
      </c>
      <c r="BY107" s="365" t="n">
        <v>2091110.7019</v>
      </c>
      <c r="BZ107" s="365">
        <f>BY108</f>
        <v/>
      </c>
      <c r="CA107" s="388">
        <f>BY107-BZ107</f>
        <v/>
      </c>
      <c r="CB107" s="389">
        <f>CA107/BZ107</f>
        <v/>
      </c>
      <c r="CC107" s="182" t="n"/>
      <c r="CD107" s="383" t="n"/>
      <c r="CE107" s="364" t="n"/>
      <c r="CF107" s="365">
        <f>C107</f>
        <v/>
      </c>
      <c r="CG107" s="365" t="n">
        <v>1318553.9</v>
      </c>
      <c r="CH107" s="13">
        <f>CG108</f>
        <v/>
      </c>
      <c r="CI107" s="13">
        <f>CG107-CH107</f>
        <v/>
      </c>
      <c r="CJ107" s="193">
        <f>CI107/CH107</f>
        <v/>
      </c>
      <c r="CK107" s="182" t="n"/>
      <c r="CL107" s="366" t="n"/>
      <c r="CM107" s="364" t="n"/>
      <c r="CN107" s="365">
        <f>C107</f>
        <v/>
      </c>
      <c r="CO107" s="365" t="n">
        <v>556946.48</v>
      </c>
      <c r="CP107" s="365">
        <f>CO108</f>
        <v/>
      </c>
      <c r="CQ107" s="13">
        <f>CO107-CP107</f>
        <v/>
      </c>
      <c r="CR107" s="193">
        <f>CQ107/CP107</f>
        <v/>
      </c>
      <c r="CS107" s="366" t="n"/>
      <c r="CT107" s="366" t="n"/>
      <c r="CU107" s="364" t="n"/>
      <c r="CV107" s="365">
        <f>C107</f>
        <v/>
      </c>
      <c r="CW107" s="365" t="n">
        <v>510340.4</v>
      </c>
      <c r="CX107" s="365">
        <f>CW108</f>
        <v/>
      </c>
      <c r="CY107" s="388">
        <f>CW107-CX107</f>
        <v/>
      </c>
      <c r="CZ107" s="389">
        <f>CY107/CX107</f>
        <v/>
      </c>
      <c r="DA107" s="182" t="n"/>
      <c r="DB107" s="182" t="n"/>
      <c r="DC107" s="256" t="n"/>
      <c r="DD107" s="365">
        <f>C107</f>
        <v/>
      </c>
      <c r="DE107" s="365" t="n">
        <v>1709317.9986</v>
      </c>
      <c r="DF107" s="13">
        <f>DE108</f>
        <v/>
      </c>
      <c r="DG107" s="390">
        <f>DE107-DF107</f>
        <v/>
      </c>
      <c r="DH107" s="391">
        <f>DG107/DF107</f>
        <v/>
      </c>
      <c r="DI107" s="182" t="n"/>
      <c r="DJ107" s="182" t="n"/>
      <c r="DK107" s="364" t="n"/>
      <c r="DL107" s="365">
        <f>C107</f>
        <v/>
      </c>
      <c r="DM107" s="365" t="n">
        <v>830100.36</v>
      </c>
      <c r="DN107" s="365">
        <f>DM108</f>
        <v/>
      </c>
      <c r="DO107" s="388">
        <f>DM107-DN107</f>
        <v/>
      </c>
      <c r="DP107" s="389">
        <f>DO107/DN107</f>
        <v/>
      </c>
      <c r="DQ107" s="182" t="n"/>
      <c r="DR107" s="182" t="n"/>
      <c r="DS107" s="364" t="n"/>
      <c r="DT107" s="365">
        <f>C107</f>
        <v/>
      </c>
      <c r="DU107" s="365" t="n">
        <v>1246589.48</v>
      </c>
      <c r="DV107" s="365">
        <f>DU108</f>
        <v/>
      </c>
      <c r="DW107" s="388">
        <f>DU107-DV107</f>
        <v/>
      </c>
      <c r="DX107" s="389">
        <f>DW107/DV107</f>
        <v/>
      </c>
      <c r="DY107" s="182" t="n"/>
      <c r="DZ107" s="182" t="n"/>
      <c r="EA107" s="364" t="n"/>
      <c r="EB107" s="365">
        <f>C107</f>
        <v/>
      </c>
      <c r="EC107" s="365" t="n">
        <v>3287666.82</v>
      </c>
      <c r="ED107" s="365">
        <f>EC108</f>
        <v/>
      </c>
      <c r="EE107" s="388">
        <f>EC107-ED107</f>
        <v/>
      </c>
      <c r="EF107" s="389">
        <f>EE107/ED107</f>
        <v/>
      </c>
      <c r="EG107" s="182" t="n"/>
      <c r="EH107" s="182" t="n"/>
      <c r="EI107" s="364" t="n"/>
      <c r="EJ107" s="365">
        <f>C107</f>
        <v/>
      </c>
      <c r="EK107" s="365" t="n">
        <v>1129722.9669</v>
      </c>
      <c r="EL107" s="365">
        <f>EK108</f>
        <v/>
      </c>
      <c r="EM107" s="388">
        <f>EK107-EL107</f>
        <v/>
      </c>
      <c r="EN107" s="389">
        <f>EM107/EL107</f>
        <v/>
      </c>
      <c r="EO107" s="182" t="n"/>
      <c r="EP107" s="182" t="n"/>
      <c r="EQ107" s="317" t="n"/>
      <c r="ER107" s="318">
        <f>C107</f>
        <v/>
      </c>
      <c r="ES107" s="318" t="n">
        <v>379547.02</v>
      </c>
      <c r="ET107" s="318">
        <f>ES108</f>
        <v/>
      </c>
      <c r="EU107" s="318">
        <f>ES107-ET107</f>
        <v/>
      </c>
      <c r="EV107" s="327">
        <f>EU107/ET107</f>
        <v/>
      </c>
      <c r="EW107" s="182" t="n"/>
      <c r="EX107" s="182" t="n"/>
      <c r="EY107" s="364" t="n"/>
      <c r="EZ107" s="365">
        <f>C107</f>
        <v/>
      </c>
      <c r="FA107" s="365" t="n">
        <v>557808</v>
      </c>
      <c r="FB107" s="365">
        <f>FA108</f>
        <v/>
      </c>
      <c r="FC107" s="388">
        <f>FA107-FB107</f>
        <v/>
      </c>
      <c r="FD107" s="389">
        <f>FC107/FB107</f>
        <v/>
      </c>
      <c r="FE107" s="182" t="n"/>
      <c r="FF107" s="182" t="n"/>
      <c r="FG107" s="182" t="n"/>
      <c r="FH107" s="365">
        <f>C107</f>
        <v/>
      </c>
      <c r="FI107" s="694" t="n">
        <v>1073095.3365</v>
      </c>
      <c r="FJ107" s="365">
        <f>FI108</f>
        <v/>
      </c>
      <c r="FK107" s="325">
        <f>FI107-FJ107</f>
        <v/>
      </c>
      <c r="FL107" s="326">
        <f>FK107/FJ107</f>
        <v/>
      </c>
      <c r="FM107" s="366" t="n"/>
      <c r="FN107" s="366" t="n"/>
      <c r="FO107" s="364" t="n"/>
      <c r="FP107" s="365">
        <f>C107</f>
        <v/>
      </c>
      <c r="FQ107" s="365" t="n">
        <v>1615468.73</v>
      </c>
      <c r="FR107" s="365">
        <f>FQ108</f>
        <v/>
      </c>
      <c r="FS107" s="390">
        <f>FQ107-FR107</f>
        <v/>
      </c>
      <c r="FT107" s="391">
        <f>FS107/FR107</f>
        <v/>
      </c>
      <c r="FU107" s="182" t="n"/>
      <c r="FV107" s="182" t="n"/>
      <c r="FW107" s="364" t="n"/>
      <c r="FX107" s="365">
        <f>C107</f>
        <v/>
      </c>
      <c r="FY107" s="365" t="n">
        <v>8600482.050000001</v>
      </c>
      <c r="FZ107" s="365">
        <f>FY108</f>
        <v/>
      </c>
      <c r="GA107" s="390">
        <f>FY107-FZ107</f>
        <v/>
      </c>
      <c r="GB107" s="391">
        <f>GA107/FZ107</f>
        <v/>
      </c>
      <c r="GC107" s="182" t="n"/>
      <c r="GD107" s="182" t="n"/>
      <c r="GE107" s="364" t="n"/>
      <c r="GF107" s="365">
        <f>C107</f>
        <v/>
      </c>
      <c r="GG107" s="365" t="n">
        <v>5050469.49</v>
      </c>
      <c r="GH107" s="365">
        <f>GG108</f>
        <v/>
      </c>
      <c r="GI107" s="390">
        <f>GG107-GH107</f>
        <v/>
      </c>
      <c r="GJ107" s="391">
        <f>GI107/GH107</f>
        <v/>
      </c>
      <c r="GK107" s="182" t="n"/>
      <c r="GL107" s="182" t="n"/>
      <c r="GM107" s="364" t="n"/>
      <c r="GN107" s="365">
        <f>C107</f>
        <v/>
      </c>
      <c r="GO107" s="365" t="n">
        <v>1942078.1217</v>
      </c>
      <c r="GP107" s="365">
        <f>GO108</f>
        <v/>
      </c>
      <c r="GQ107" s="388">
        <f>GO107-GP107</f>
        <v/>
      </c>
      <c r="GR107" s="389">
        <f>GQ107/GP107</f>
        <v/>
      </c>
      <c r="GS107" s="182" t="n"/>
      <c r="GT107" s="182" t="n"/>
      <c r="GU107" s="364" t="n"/>
      <c r="GV107" s="365">
        <f>C107</f>
        <v/>
      </c>
      <c r="GW107" s="365" t="n">
        <v>723149.4</v>
      </c>
      <c r="GX107" s="365">
        <f>GW108</f>
        <v/>
      </c>
      <c r="GY107" s="388">
        <f>GW107-GX107</f>
        <v/>
      </c>
      <c r="GZ107" s="389">
        <f>GY107/GX107</f>
        <v/>
      </c>
      <c r="HA107" s="182" t="n"/>
      <c r="HB107" s="182" t="n"/>
      <c r="HC107" s="364" t="n"/>
      <c r="HD107" s="365">
        <f>C107</f>
        <v/>
      </c>
      <c r="HE107" s="365" t="n">
        <v>992764.6746</v>
      </c>
      <c r="HF107" s="365">
        <f>HE108</f>
        <v/>
      </c>
      <c r="HG107" s="388">
        <f>HE107-HF107</f>
        <v/>
      </c>
      <c r="HH107" s="389">
        <f>HG107/HF107</f>
        <v/>
      </c>
      <c r="HI107" s="366" t="n"/>
      <c r="HJ107" s="182" t="n"/>
      <c r="HK107" s="364" t="n"/>
      <c r="HL107" s="365">
        <f>C107</f>
        <v/>
      </c>
      <c r="HM107" s="365" t="n">
        <v>118104.25</v>
      </c>
      <c r="HN107" s="365">
        <f>HM108</f>
        <v/>
      </c>
      <c r="HO107" s="388">
        <f>HM107-HN107</f>
        <v/>
      </c>
      <c r="HP107" s="389">
        <f>HO107/HN107</f>
        <v/>
      </c>
      <c r="HQ107" s="182" t="n"/>
      <c r="HR107" s="182" t="n"/>
      <c r="HS107" s="364" t="n"/>
      <c r="HT107" s="365">
        <f>C107</f>
        <v/>
      </c>
      <c r="HU107" s="365" t="n">
        <v>146968.8265</v>
      </c>
      <c r="HV107" s="365">
        <f>HU108</f>
        <v/>
      </c>
      <c r="HW107" s="388">
        <f>HU107-HV107</f>
        <v/>
      </c>
      <c r="HX107" s="389">
        <f>HW107/HV107</f>
        <v/>
      </c>
      <c r="HY107" s="182" t="n"/>
      <c r="HZ107" s="182" t="n"/>
      <c r="IA107" s="364" t="n"/>
      <c r="IB107" s="365">
        <f>C107</f>
        <v/>
      </c>
      <c r="IC107" s="365" t="n">
        <v>326109.79</v>
      </c>
      <c r="ID107" s="365">
        <f>IC108</f>
        <v/>
      </c>
      <c r="IE107" s="365">
        <f>IC107-ID107</f>
        <v/>
      </c>
      <c r="IF107" s="366">
        <f>IE107/ID107</f>
        <v/>
      </c>
      <c r="IG107" s="366" t="n"/>
      <c r="IH107" s="182" t="n"/>
      <c r="II107" s="364" t="n"/>
      <c r="IJ107" s="365">
        <f>C107</f>
        <v/>
      </c>
      <c r="IK107" s="365" t="n">
        <v>929916.29</v>
      </c>
      <c r="IL107" s="365">
        <f>IK108</f>
        <v/>
      </c>
      <c r="IM107" s="388">
        <f>IK107-IL107</f>
        <v/>
      </c>
      <c r="IN107" s="389">
        <f>IM107/IL107</f>
        <v/>
      </c>
      <c r="IO107" s="182" t="n"/>
      <c r="IP107" s="182" t="n"/>
      <c r="IQ107" s="364" t="n"/>
      <c r="IR107" s="365">
        <f>C107</f>
        <v/>
      </c>
      <c r="IS107" s="365" t="n">
        <v>137289</v>
      </c>
      <c r="IT107" s="365">
        <f>IS108</f>
        <v/>
      </c>
      <c r="IU107" s="388">
        <f>IS107-IT107</f>
        <v/>
      </c>
      <c r="IV107" s="389">
        <f>IU107/IT107</f>
        <v/>
      </c>
      <c r="IW107" s="182" t="n"/>
      <c r="IX107" s="182" t="n"/>
      <c r="IY107" s="364" t="n"/>
      <c r="IZ107" s="365">
        <f>C107</f>
        <v/>
      </c>
      <c r="JA107" s="365" t="n">
        <v>5296429.15</v>
      </c>
      <c r="JB107" s="365">
        <f>JA108</f>
        <v/>
      </c>
      <c r="JC107" s="390">
        <f>JA107-JB107</f>
        <v/>
      </c>
      <c r="JD107" s="391">
        <f>JC107/JB107</f>
        <v/>
      </c>
      <c r="JE107" s="182" t="n"/>
      <c r="JF107" s="182" t="n"/>
      <c r="JG107" s="364" t="n"/>
      <c r="JH107" s="365">
        <f>C107</f>
        <v/>
      </c>
      <c r="JI107" s="365" t="n">
        <v>1618047.99</v>
      </c>
      <c r="JJ107" s="365">
        <f>JI108</f>
        <v/>
      </c>
      <c r="JK107" s="388">
        <f>JI107-JJ107</f>
        <v/>
      </c>
      <c r="JL107" s="389">
        <f>JK107/JJ107</f>
        <v/>
      </c>
      <c r="JM107" s="182" t="n"/>
      <c r="JN107" s="182" t="n"/>
      <c r="JP107" s="365">
        <f>C107</f>
        <v/>
      </c>
      <c r="JQ107" s="365" t="n">
        <v>1033090.4148</v>
      </c>
      <c r="JR107" s="365">
        <f>JQ108</f>
        <v/>
      </c>
      <c r="JS107" s="390">
        <f>JQ107-JR107</f>
        <v/>
      </c>
      <c r="JT107" s="391">
        <f>JS107/JR107</f>
        <v/>
      </c>
      <c r="JU107" s="182" t="n"/>
      <c r="JV107" s="182" t="n"/>
      <c r="JW107" s="383" t="n"/>
      <c r="JX107" s="365">
        <f>C107</f>
        <v/>
      </c>
      <c r="JY107" s="365" t="n">
        <v>1070798.8</v>
      </c>
      <c r="JZ107" s="365">
        <f>JY108</f>
        <v/>
      </c>
      <c r="KA107" s="388">
        <f>JY107-JZ107</f>
        <v/>
      </c>
      <c r="KB107" s="389">
        <f>KA107/JZ107</f>
        <v/>
      </c>
      <c r="KC107" s="182" t="n"/>
      <c r="KD107" s="383" t="n"/>
      <c r="KF107" s="365">
        <f>C107</f>
        <v/>
      </c>
      <c r="KG107" s="365" t="n">
        <v>656355.9219</v>
      </c>
      <c r="KH107" s="365">
        <f>KG108</f>
        <v/>
      </c>
      <c r="KI107" s="384">
        <f>KG107-KH107</f>
        <v/>
      </c>
      <c r="KJ107" s="383">
        <f>KI107/KH107</f>
        <v/>
      </c>
      <c r="KK107" s="366" t="n"/>
      <c r="KL107" s="366" t="n"/>
      <c r="KM107" s="364" t="n"/>
      <c r="KN107" s="365">
        <f>C107</f>
        <v/>
      </c>
      <c r="KO107" s="365" t="n">
        <v>7553475.95</v>
      </c>
      <c r="KP107" s="365">
        <f>KO108</f>
        <v/>
      </c>
      <c r="KQ107" s="384">
        <f>KO107-KP107</f>
        <v/>
      </c>
      <c r="KR107" s="383">
        <f>KQ107/KP107</f>
        <v/>
      </c>
      <c r="KS107" s="182" t="n"/>
      <c r="KT107" s="182" t="n"/>
      <c r="KU107" s="364" t="n"/>
      <c r="KV107" s="365">
        <f>C107</f>
        <v/>
      </c>
      <c r="KW107" s="365" t="n">
        <v>1057772.9726</v>
      </c>
      <c r="KX107" s="365">
        <f>KW108</f>
        <v/>
      </c>
      <c r="KY107" s="365">
        <f>KW107-KX107</f>
        <v/>
      </c>
      <c r="KZ107" s="366">
        <f>KY107/KX107</f>
        <v/>
      </c>
      <c r="LA107" s="366" t="n"/>
      <c r="LB107" s="182" t="n"/>
      <c r="LC107" s="364" t="n"/>
      <c r="LD107" s="365">
        <f>C107</f>
        <v/>
      </c>
      <c r="LE107" s="365" t="n">
        <v>406957.7</v>
      </c>
      <c r="LF107" s="365">
        <f>LE108</f>
        <v/>
      </c>
      <c r="LG107" s="388">
        <f>LE107-LF107</f>
        <v/>
      </c>
      <c r="LH107" s="389">
        <f>LG107/LF107</f>
        <v/>
      </c>
      <c r="LI107" s="182" t="n"/>
      <c r="LJ107" s="182" t="n"/>
      <c r="LK107" s="364" t="n"/>
      <c r="LL107" s="365">
        <f>C107</f>
        <v/>
      </c>
      <c r="LM107" s="694" t="n">
        <v>3437215.02</v>
      </c>
      <c r="LN107" s="365">
        <f>LM108</f>
        <v/>
      </c>
      <c r="LO107" s="388">
        <f>LM107-LN107</f>
        <v/>
      </c>
      <c r="LP107" s="389">
        <f>LO107/LN107</f>
        <v/>
      </c>
      <c r="LQ107" s="182" t="n"/>
      <c r="LR107" s="182" t="n"/>
      <c r="LS107" s="364" t="n"/>
      <c r="LT107" s="365">
        <f>C107</f>
        <v/>
      </c>
      <c r="LU107" s="365" t="n">
        <v>2361262.904</v>
      </c>
      <c r="LV107" s="365">
        <f>LU108</f>
        <v/>
      </c>
      <c r="LW107" s="390">
        <f>LU107-LV107</f>
        <v/>
      </c>
      <c r="LX107" s="391">
        <f>LW107/LV107</f>
        <v/>
      </c>
      <c r="LY107" s="182" t="n"/>
      <c r="LZ107" s="182" t="n"/>
      <c r="MA107" s="364" t="n"/>
      <c r="MB107" s="365">
        <f>C107</f>
        <v/>
      </c>
      <c r="MC107" s="365" t="n">
        <v>1121217.69</v>
      </c>
      <c r="MD107" s="365">
        <f>MC108</f>
        <v/>
      </c>
      <c r="ME107" s="390">
        <f>MC107-MD107</f>
        <v/>
      </c>
      <c r="MF107" s="391">
        <f>ME107/MD107</f>
        <v/>
      </c>
      <c r="MG107" s="182" t="n"/>
      <c r="MH107" s="182" t="n"/>
      <c r="MI107" s="319" t="n"/>
      <c r="MJ107" s="318" t="n"/>
      <c r="MK107" s="318">
        <f>C107</f>
        <v/>
      </c>
      <c r="ML107" s="318" t="n">
        <v>168465.5354</v>
      </c>
      <c r="MM107" s="13">
        <f>ML108</f>
        <v/>
      </c>
      <c r="MN107" s="318">
        <f>ML107-MM107</f>
        <v/>
      </c>
      <c r="MO107" s="327">
        <f>MN107/MM107</f>
        <v/>
      </c>
      <c r="MP107" s="182" t="n"/>
      <c r="MQ107" s="369" t="n"/>
      <c r="MR107" s="369" t="n"/>
      <c r="MS107" s="188" t="n"/>
      <c r="MT107" s="274">
        <f>C107</f>
        <v/>
      </c>
      <c r="MU107" s="188" t="n">
        <v>147814.8</v>
      </c>
      <c r="MV107" s="188">
        <f>MU108</f>
        <v/>
      </c>
      <c r="MW107" s="188">
        <f>MU107-MV107</f>
        <v/>
      </c>
      <c r="MX107" s="271">
        <f>MW107/MV107</f>
        <v/>
      </c>
      <c r="MY107" s="182" t="n"/>
      <c r="MZ107" s="182" t="n"/>
      <c r="NA107" s="182" t="n"/>
      <c r="NB107" s="188" t="n"/>
      <c r="NC107" s="188">
        <f>C107</f>
        <v/>
      </c>
      <c r="ND107" s="188" t="n">
        <v>39691.48</v>
      </c>
      <c r="NE107" s="188">
        <f>ND108</f>
        <v/>
      </c>
      <c r="NF107" s="188">
        <f>ND107-NE107</f>
        <v/>
      </c>
      <c r="NG107" s="271">
        <f>NF107/NE107</f>
        <v/>
      </c>
      <c r="NH107" s="182" t="n"/>
      <c r="NI107" s="182" t="n"/>
      <c r="NJ107" s="182" t="n"/>
      <c r="NK107" s="182" t="n"/>
      <c r="NL107" s="188" t="n"/>
      <c r="NM107" s="188">
        <f>C107</f>
        <v/>
      </c>
      <c r="NN107" s="188" t="n">
        <v>2857511.08</v>
      </c>
      <c r="NO107" s="9">
        <f>NN108</f>
        <v/>
      </c>
      <c r="NP107" s="188">
        <f>NN107-NO107</f>
        <v/>
      </c>
      <c r="NQ107" s="271">
        <f>NP107/NO107</f>
        <v/>
      </c>
      <c r="NR107" s="272" t="n"/>
      <c r="NS107" s="188" t="n"/>
      <c r="NT107" s="273" t="n"/>
      <c r="NU107" s="188">
        <f>C107</f>
        <v/>
      </c>
      <c r="NV107" s="188" t="n">
        <v>265226.5</v>
      </c>
      <c r="NW107" s="188">
        <f>NV108</f>
        <v/>
      </c>
      <c r="NX107" s="188">
        <f>NV107-NW107</f>
        <v/>
      </c>
      <c r="NY107" s="271">
        <f>NX107/NW107</f>
        <v/>
      </c>
      <c r="NZ107" s="366" t="n"/>
      <c r="OA107" s="364" t="n"/>
      <c r="OB107" s="364" t="n"/>
      <c r="OC107" s="365">
        <f>C107</f>
        <v/>
      </c>
      <c r="OD107" s="365" t="n">
        <v>17690.97</v>
      </c>
      <c r="OE107" s="365">
        <f>OD108</f>
        <v/>
      </c>
      <c r="OF107" s="388">
        <f>OD107-OE107</f>
        <v/>
      </c>
      <c r="OG107" s="389">
        <f>OF107/OE107</f>
        <v/>
      </c>
      <c r="OH107" s="182" t="n"/>
      <c r="OI107" s="182" t="n"/>
      <c r="OJ107" s="364" t="n"/>
      <c r="OK107" s="365">
        <f>C107</f>
        <v/>
      </c>
      <c r="OL107" s="0" t="n">
        <v>14609.65</v>
      </c>
      <c r="OM107" s="0">
        <f>OL108</f>
        <v/>
      </c>
      <c r="ON107" s="0">
        <f>OL107-OM107</f>
        <v/>
      </c>
      <c r="OO107" s="182">
        <f>ON107/OM107</f>
        <v/>
      </c>
      <c r="OP107" s="182" t="n"/>
      <c r="OQ107" s="182" t="n"/>
      <c r="OT107" s="25">
        <f>OK107</f>
        <v/>
      </c>
      <c r="OU107" s="199" t="n">
        <v>149712.4066</v>
      </c>
      <c r="OV107" s="9">
        <f>OU108</f>
        <v/>
      </c>
      <c r="OW107" s="671">
        <f>OU107-OV107</f>
        <v/>
      </c>
      <c r="OX107" s="182">
        <f>OW107/OV107</f>
        <v/>
      </c>
    </row>
    <row r="108" ht="17" customFormat="1" customHeight="1" s="9">
      <c r="A108" s="631" t="n"/>
      <c r="B108" s="631" t="n"/>
      <c r="C108" s="693" t="inlineStr">
        <is>
          <t>2026//6/12</t>
        </is>
      </c>
      <c r="D108" s="362" t="n">
        <v>2862408.77</v>
      </c>
      <c r="E108" s="362">
        <f>D109</f>
        <v/>
      </c>
      <c r="F108" s="377">
        <f>D108-E108</f>
        <v/>
      </c>
      <c r="G108" s="378">
        <f>F108/E108</f>
        <v/>
      </c>
      <c r="H108" s="19" t="n"/>
      <c r="I108" s="426" t="n"/>
      <c r="J108" s="426" t="n"/>
      <c r="K108" s="362">
        <f>C108</f>
        <v/>
      </c>
      <c r="L108" s="362" t="n">
        <v>2220634.4</v>
      </c>
      <c r="M108" s="362">
        <f>L109</f>
        <v/>
      </c>
      <c r="N108" s="377">
        <f>L108-M108</f>
        <v/>
      </c>
      <c r="O108" s="378">
        <f>N108/M108</f>
        <v/>
      </c>
      <c r="P108" s="19" t="n"/>
      <c r="Q108" s="426" t="n"/>
      <c r="R108" s="427" t="n"/>
      <c r="S108" s="362">
        <f>C108</f>
        <v/>
      </c>
      <c r="T108" s="362" t="n">
        <v>816456.6800000001</v>
      </c>
      <c r="U108" s="362">
        <f>T109</f>
        <v/>
      </c>
      <c r="V108" s="432">
        <f>T108-U108</f>
        <v/>
      </c>
      <c r="W108" s="433">
        <f>V108/U108</f>
        <v/>
      </c>
      <c r="X108" s="19" t="n"/>
      <c r="Y108" s="426" t="n"/>
      <c r="Z108" s="427" t="n"/>
      <c r="AA108" s="362">
        <f>S108</f>
        <v/>
      </c>
      <c r="AB108" s="362" t="n">
        <v>445336.86</v>
      </c>
      <c r="AC108" s="362">
        <f>AB109</f>
        <v/>
      </c>
      <c r="AD108" s="377">
        <f>AB108-AC108</f>
        <v/>
      </c>
      <c r="AE108" s="378">
        <f>AD108/AC108</f>
        <v/>
      </c>
      <c r="AF108" s="19" t="n"/>
      <c r="AG108" s="426" t="n"/>
      <c r="AH108" s="427" t="n"/>
      <c r="AI108" s="362">
        <f>C108</f>
        <v/>
      </c>
      <c r="AJ108" s="362" t="n">
        <v>350721.76</v>
      </c>
      <c r="AK108" s="362">
        <f>AJ109</f>
        <v/>
      </c>
      <c r="AL108" s="377">
        <f>AJ108-AK108</f>
        <v/>
      </c>
      <c r="AM108" s="378">
        <f>AL108/AK108</f>
        <v/>
      </c>
      <c r="AN108" s="19" t="n"/>
      <c r="AO108" s="19" t="n"/>
      <c r="AP108" s="427" t="n"/>
      <c r="AQ108" s="362">
        <f>C108</f>
        <v/>
      </c>
      <c r="AR108" s="697" t="n">
        <v>1064245.4936</v>
      </c>
      <c r="AS108" s="362">
        <f>AR109</f>
        <v/>
      </c>
      <c r="AT108" s="377">
        <f>AR108-AS108</f>
        <v/>
      </c>
      <c r="AU108" s="378">
        <f>AT108/AS108</f>
        <v/>
      </c>
      <c r="AV108" s="19" t="n"/>
      <c r="AW108" s="19" t="n"/>
      <c r="AX108" s="5" t="n"/>
      <c r="AY108" s="188" t="n"/>
      <c r="AZ108" s="188">
        <f>C108</f>
        <v/>
      </c>
      <c r="BA108" s="188" t="n">
        <v>1241301.6676</v>
      </c>
      <c r="BB108" s="188">
        <f>BA109</f>
        <v/>
      </c>
      <c r="BC108" s="188">
        <f>BA108-BB108</f>
        <v/>
      </c>
      <c r="BD108" s="271">
        <f>BC108/BB108</f>
        <v/>
      </c>
      <c r="BE108" s="19" t="n"/>
      <c r="BF108" s="19" t="n"/>
      <c r="BG108" s="647" t="n"/>
      <c r="BH108" s="363">
        <f>C108</f>
        <v/>
      </c>
      <c r="BI108" s="363" t="n">
        <v>1270626.5525</v>
      </c>
      <c r="BJ108" s="363">
        <f>BI109</f>
        <v/>
      </c>
      <c r="BK108" s="435">
        <f>BI108-BJ108</f>
        <v/>
      </c>
      <c r="BL108" s="436">
        <f>BK108/BJ108</f>
        <v/>
      </c>
      <c r="BM108" s="191" t="n"/>
      <c r="BN108" s="182" t="n"/>
      <c r="BO108" s="364" t="n"/>
      <c r="BP108" s="365">
        <f>C108</f>
        <v/>
      </c>
      <c r="BQ108" s="694" t="n">
        <v>1163262.3921</v>
      </c>
      <c r="BR108" s="365">
        <f>BQ109</f>
        <v/>
      </c>
      <c r="BS108" s="390">
        <f>BQ108-BR108</f>
        <v/>
      </c>
      <c r="BT108" s="391">
        <f>BS108/BR108</f>
        <v/>
      </c>
      <c r="BU108" s="182" t="n"/>
      <c r="BV108" s="182" t="n"/>
      <c r="BW108" s="364" t="n"/>
      <c r="BX108" s="365">
        <f>C108</f>
        <v/>
      </c>
      <c r="BY108" s="365" t="n">
        <v>2026310.7019</v>
      </c>
      <c r="BZ108" s="365">
        <f>BY109</f>
        <v/>
      </c>
      <c r="CA108" s="390">
        <f>BY108-BZ108</f>
        <v/>
      </c>
      <c r="CB108" s="391">
        <f>CA108/BZ108</f>
        <v/>
      </c>
      <c r="CC108" s="182" t="n"/>
      <c r="CD108" s="383" t="n"/>
      <c r="CE108" s="364" t="n"/>
      <c r="CF108" s="365">
        <f>C108</f>
        <v/>
      </c>
      <c r="CG108" s="365" t="n">
        <v>1253953.9</v>
      </c>
      <c r="CH108" s="13">
        <f>CG109</f>
        <v/>
      </c>
      <c r="CI108" s="13">
        <f>CG108-CH108</f>
        <v/>
      </c>
      <c r="CJ108" s="193">
        <f>CI108/CH108</f>
        <v/>
      </c>
      <c r="CK108" s="182" t="n"/>
      <c r="CL108" s="366" t="n"/>
      <c r="CM108" s="364" t="n"/>
      <c r="CN108" s="365">
        <f>C108</f>
        <v/>
      </c>
      <c r="CO108" s="365" t="n">
        <v>553846.48</v>
      </c>
      <c r="CP108" s="365">
        <f>CO109</f>
        <v/>
      </c>
      <c r="CQ108" s="13">
        <f>CO108-CP108</f>
        <v/>
      </c>
      <c r="CR108" s="193">
        <f>CQ108/CP108</f>
        <v/>
      </c>
      <c r="CS108" s="366" t="n"/>
      <c r="CT108" s="366" t="n"/>
      <c r="CU108" s="364" t="n"/>
      <c r="CV108" s="365">
        <f>C108</f>
        <v/>
      </c>
      <c r="CW108" s="365" t="n">
        <v>508590.4</v>
      </c>
      <c r="CX108" s="365">
        <f>CW109</f>
        <v/>
      </c>
      <c r="CY108" s="388">
        <f>CW108-CX108</f>
        <v/>
      </c>
      <c r="CZ108" s="389">
        <f>CY108/CX108</f>
        <v/>
      </c>
      <c r="DA108" s="182" t="n"/>
      <c r="DB108" s="182" t="n"/>
      <c r="DC108" s="256" t="n"/>
      <c r="DD108" s="365">
        <f>C108</f>
        <v/>
      </c>
      <c r="DE108" s="365" t="n">
        <v>1669517.9986</v>
      </c>
      <c r="DF108" s="13">
        <f>DE109</f>
        <v/>
      </c>
      <c r="DG108" s="388">
        <f>DE108-DF108</f>
        <v/>
      </c>
      <c r="DH108" s="389">
        <f>DG108/DF108</f>
        <v/>
      </c>
      <c r="DI108" s="182" t="n"/>
      <c r="DJ108" s="182" t="n"/>
      <c r="DK108" s="364" t="n"/>
      <c r="DL108" s="365">
        <f>C108</f>
        <v/>
      </c>
      <c r="DM108" s="365" t="n">
        <v>833500.36</v>
      </c>
      <c r="DN108" s="365">
        <f>DM109</f>
        <v/>
      </c>
      <c r="DO108" s="388">
        <f>DM108-DN108</f>
        <v/>
      </c>
      <c r="DP108" s="389">
        <f>DO108/DN108</f>
        <v/>
      </c>
      <c r="DQ108" s="182" t="n"/>
      <c r="DR108" s="182" t="n"/>
      <c r="DS108" s="364" t="n"/>
      <c r="DT108" s="365">
        <f>C108</f>
        <v/>
      </c>
      <c r="DU108" s="365" t="n">
        <v>1229789.48</v>
      </c>
      <c r="DV108" s="365">
        <f>DU109</f>
        <v/>
      </c>
      <c r="DW108" s="388">
        <f>DU108-DV108</f>
        <v/>
      </c>
      <c r="DX108" s="389">
        <f>DW108/DV108</f>
        <v/>
      </c>
      <c r="DY108" s="182" t="n"/>
      <c r="DZ108" s="182" t="n"/>
      <c r="EA108" s="364" t="n"/>
      <c r="EB108" s="365">
        <f>C108</f>
        <v/>
      </c>
      <c r="EC108" s="365" t="n">
        <v>3322766.82</v>
      </c>
      <c r="ED108" s="365">
        <f>EC109</f>
        <v/>
      </c>
      <c r="EE108" s="388">
        <f>EC108-ED108</f>
        <v/>
      </c>
      <c r="EF108" s="389">
        <f>EE108/ED108</f>
        <v/>
      </c>
      <c r="EG108" s="182" t="n"/>
      <c r="EH108" s="182" t="n"/>
      <c r="EI108" s="364" t="n"/>
      <c r="EJ108" s="365">
        <f>C108</f>
        <v/>
      </c>
      <c r="EK108" s="365" t="n">
        <v>1143722.9669</v>
      </c>
      <c r="EL108" s="365">
        <f>EK109</f>
        <v/>
      </c>
      <c r="EM108" s="388">
        <f>EK108-EL108</f>
        <v/>
      </c>
      <c r="EN108" s="389">
        <f>EM108/EL108</f>
        <v/>
      </c>
      <c r="EO108" s="182" t="n"/>
      <c r="EP108" s="182" t="n"/>
      <c r="EQ108" s="317" t="n"/>
      <c r="ER108" s="318">
        <f>C108</f>
        <v/>
      </c>
      <c r="ES108" s="318" t="n">
        <v>383147.02</v>
      </c>
      <c r="ET108" s="318">
        <f>ES109</f>
        <v/>
      </c>
      <c r="EU108" s="318">
        <f>ES108-ET108</f>
        <v/>
      </c>
      <c r="EV108" s="327">
        <f>EU108/ET108</f>
        <v/>
      </c>
      <c r="EW108" s="182" t="n"/>
      <c r="EX108" s="182" t="n"/>
      <c r="EY108" s="364" t="n"/>
      <c r="EZ108" s="365">
        <f>C108</f>
        <v/>
      </c>
      <c r="FA108" s="365" t="n">
        <v>551808</v>
      </c>
      <c r="FB108" s="365">
        <f>FA109</f>
        <v/>
      </c>
      <c r="FC108" s="388">
        <f>FA108-FB108</f>
        <v/>
      </c>
      <c r="FD108" s="389">
        <f>FC108/FB108</f>
        <v/>
      </c>
      <c r="FE108" s="182" t="n"/>
      <c r="FF108" s="182" t="n"/>
      <c r="FG108" s="182" t="n"/>
      <c r="FH108" s="365">
        <f>C108</f>
        <v/>
      </c>
      <c r="FI108" s="694" t="n">
        <v>1086795.3365</v>
      </c>
      <c r="FJ108" s="365">
        <f>FI109</f>
        <v/>
      </c>
      <c r="FK108" s="325">
        <f>FI108-FJ108</f>
        <v/>
      </c>
      <c r="FL108" s="326">
        <f>FK108/FJ108</f>
        <v/>
      </c>
      <c r="FM108" s="366" t="n"/>
      <c r="FN108" s="366" t="n"/>
      <c r="FO108" s="364" t="n"/>
      <c r="FP108" s="365">
        <f>C108</f>
        <v/>
      </c>
      <c r="FQ108" s="365" t="n">
        <v>1633468.73</v>
      </c>
      <c r="FR108" s="365">
        <f>FQ109</f>
        <v/>
      </c>
      <c r="FS108" s="390">
        <f>FQ108-FR108</f>
        <v/>
      </c>
      <c r="FT108" s="391">
        <f>FS108/FR108</f>
        <v/>
      </c>
      <c r="FU108" s="182" t="n"/>
      <c r="FV108" s="182" t="n"/>
      <c r="FW108" s="364" t="n"/>
      <c r="FX108" s="365">
        <f>C108</f>
        <v/>
      </c>
      <c r="FY108" s="365" t="n">
        <v>8595482.050000001</v>
      </c>
      <c r="FZ108" s="365">
        <f>FY109</f>
        <v/>
      </c>
      <c r="GA108" s="390">
        <f>FY108-FZ108</f>
        <v/>
      </c>
      <c r="GB108" s="391">
        <f>GA108/FZ108</f>
        <v/>
      </c>
      <c r="GC108" s="182" t="n"/>
      <c r="GD108" s="182" t="n"/>
      <c r="GE108" s="364" t="n"/>
      <c r="GF108" s="365">
        <f>C108</f>
        <v/>
      </c>
      <c r="GG108" s="365" t="n">
        <v>5026269.49</v>
      </c>
      <c r="GH108" s="365">
        <f>GG109</f>
        <v/>
      </c>
      <c r="GI108" s="390">
        <f>GG108-GH108</f>
        <v/>
      </c>
      <c r="GJ108" s="391">
        <f>GI108/GH108</f>
        <v/>
      </c>
      <c r="GK108" s="182" t="n"/>
      <c r="GL108" s="182" t="n"/>
      <c r="GM108" s="364" t="n"/>
      <c r="GN108" s="365">
        <f>C108</f>
        <v/>
      </c>
      <c r="GO108" s="365" t="n">
        <v>1915138.1217</v>
      </c>
      <c r="GP108" s="365">
        <f>GO109</f>
        <v/>
      </c>
      <c r="GQ108" s="390">
        <f>GO108-GP108</f>
        <v/>
      </c>
      <c r="GR108" s="391">
        <f>GQ108/GP108</f>
        <v/>
      </c>
      <c r="GS108" s="182" t="n"/>
      <c r="GT108" s="182" t="n"/>
      <c r="GU108" s="364" t="n"/>
      <c r="GV108" s="365">
        <f>C108</f>
        <v/>
      </c>
      <c r="GW108" s="365" t="n">
        <v>724549.4</v>
      </c>
      <c r="GX108" s="365">
        <f>GW109</f>
        <v/>
      </c>
      <c r="GY108" s="388">
        <f>GW108-GX108</f>
        <v/>
      </c>
      <c r="GZ108" s="389">
        <f>GY108/GX108</f>
        <v/>
      </c>
      <c r="HA108" s="182" t="n"/>
      <c r="HB108" s="182" t="n"/>
      <c r="HC108" s="364" t="n"/>
      <c r="HD108" s="365">
        <f>C108</f>
        <v/>
      </c>
      <c r="HE108" s="365" t="n">
        <v>976864.6746</v>
      </c>
      <c r="HF108" s="365">
        <f>HE109</f>
        <v/>
      </c>
      <c r="HG108" s="388">
        <f>HE108-HF108</f>
        <v/>
      </c>
      <c r="HH108" s="389">
        <f>HG108/HF108</f>
        <v/>
      </c>
      <c r="HI108" s="366" t="n"/>
      <c r="HJ108" s="182" t="n"/>
      <c r="HK108" s="364" t="n"/>
      <c r="HL108" s="365">
        <f>C108</f>
        <v/>
      </c>
      <c r="HM108" s="365" t="n">
        <v>117854.25</v>
      </c>
      <c r="HN108" s="365">
        <f>HM109</f>
        <v/>
      </c>
      <c r="HO108" s="388">
        <f>HM108-HN108</f>
        <v/>
      </c>
      <c r="HP108" s="389">
        <f>HO108/HN108</f>
        <v/>
      </c>
      <c r="HQ108" s="182" t="n"/>
      <c r="HR108" s="182" t="n"/>
      <c r="HS108" s="364" t="n"/>
      <c r="HT108" s="365">
        <f>C108</f>
        <v/>
      </c>
      <c r="HU108" s="365" t="n">
        <v>150168.8265</v>
      </c>
      <c r="HV108" s="365">
        <f>HU109</f>
        <v/>
      </c>
      <c r="HW108" s="388">
        <f>HU108-HV108</f>
        <v/>
      </c>
      <c r="HX108" s="389">
        <f>HW108/HV108</f>
        <v/>
      </c>
      <c r="HY108" s="182" t="n"/>
      <c r="HZ108" s="182" t="n"/>
      <c r="IA108" s="364" t="n"/>
      <c r="IB108" s="365">
        <f>C108</f>
        <v/>
      </c>
      <c r="IC108" s="365" t="n">
        <v>325934.79</v>
      </c>
      <c r="ID108" s="365">
        <f>IC109</f>
        <v/>
      </c>
      <c r="IE108" s="365">
        <f>IC108-ID108</f>
        <v/>
      </c>
      <c r="IF108" s="366">
        <f>IE108/ID108</f>
        <v/>
      </c>
      <c r="IG108" s="366" t="n"/>
      <c r="IH108" s="182" t="n"/>
      <c r="II108" s="364" t="n"/>
      <c r="IJ108" s="365">
        <f>C108</f>
        <v/>
      </c>
      <c r="IK108" s="365" t="n">
        <v>928636.29</v>
      </c>
      <c r="IL108" s="365">
        <f>IK109</f>
        <v/>
      </c>
      <c r="IM108" s="388">
        <f>IK108-IL108</f>
        <v/>
      </c>
      <c r="IN108" s="389">
        <f>IM108/IL108</f>
        <v/>
      </c>
      <c r="IO108" s="182" t="n"/>
      <c r="IP108" s="182" t="n"/>
      <c r="IQ108" s="364" t="n"/>
      <c r="IR108" s="365">
        <f>C108</f>
        <v/>
      </c>
      <c r="IS108" s="365" t="n">
        <v>137189</v>
      </c>
      <c r="IT108" s="365">
        <f>IS109</f>
        <v/>
      </c>
      <c r="IU108" s="388">
        <f>IS108-IT108</f>
        <v/>
      </c>
      <c r="IV108" s="389">
        <f>IU108/IT108</f>
        <v/>
      </c>
      <c r="IW108" s="182" t="n"/>
      <c r="IX108" s="182" t="n"/>
      <c r="IY108" s="364" t="n"/>
      <c r="IZ108" s="365">
        <f>C108</f>
        <v/>
      </c>
      <c r="JA108" s="365" t="n">
        <v>5270329.15</v>
      </c>
      <c r="JB108" s="365">
        <f>JA109</f>
        <v/>
      </c>
      <c r="JC108" s="390">
        <f>JA108-JB108</f>
        <v/>
      </c>
      <c r="JD108" s="391">
        <f>JC108/JB108</f>
        <v/>
      </c>
      <c r="JE108" s="182" t="n"/>
      <c r="JF108" s="182" t="n"/>
      <c r="JG108" s="364" t="n"/>
      <c r="JH108" s="365">
        <f>C108</f>
        <v/>
      </c>
      <c r="JI108" s="365" t="n">
        <v>1594347.99</v>
      </c>
      <c r="JJ108" s="365">
        <f>JI109</f>
        <v/>
      </c>
      <c r="JK108" s="388">
        <f>JI108-JJ108</f>
        <v/>
      </c>
      <c r="JL108" s="389">
        <f>JK108/JJ108</f>
        <v/>
      </c>
      <c r="JM108" s="182" t="n"/>
      <c r="JN108" s="182" t="n"/>
      <c r="JP108" s="365">
        <f>C108</f>
        <v/>
      </c>
      <c r="JQ108" s="365" t="n">
        <v>1011190.4148</v>
      </c>
      <c r="JR108" s="365">
        <f>JQ109</f>
        <v/>
      </c>
      <c r="JS108" s="390">
        <f>JQ108-JR108</f>
        <v/>
      </c>
      <c r="JT108" s="391">
        <f>JS108/JR108</f>
        <v/>
      </c>
      <c r="JU108" s="182" t="n"/>
      <c r="JV108" s="182" t="n"/>
      <c r="JW108" s="383" t="n"/>
      <c r="JX108" s="365">
        <f>C108</f>
        <v/>
      </c>
      <c r="JY108" s="365" t="n">
        <v>1090648.8</v>
      </c>
      <c r="JZ108" s="365">
        <f>JY109</f>
        <v/>
      </c>
      <c r="KA108" s="388">
        <f>JY108-JZ108</f>
        <v/>
      </c>
      <c r="KB108" s="389">
        <f>KA108/JZ108</f>
        <v/>
      </c>
      <c r="KC108" s="182" t="n"/>
      <c r="KD108" s="383" t="n"/>
      <c r="KF108" s="365">
        <f>C108</f>
        <v/>
      </c>
      <c r="KG108" s="365" t="n">
        <v>658555.9219</v>
      </c>
      <c r="KH108" s="365">
        <f>KG109</f>
        <v/>
      </c>
      <c r="KI108" s="388">
        <f>KG108-KH108</f>
        <v/>
      </c>
      <c r="KJ108" s="389">
        <f>KI108/KH108</f>
        <v/>
      </c>
      <c r="KK108" s="366" t="n"/>
      <c r="KL108" s="366" t="n"/>
      <c r="KM108" s="364" t="n"/>
      <c r="KN108" s="365">
        <f>C108</f>
        <v/>
      </c>
      <c r="KO108" s="365" t="n">
        <v>7553475.95</v>
      </c>
      <c r="KP108" s="365">
        <f>KO109</f>
        <v/>
      </c>
      <c r="KQ108" s="384">
        <f>KO108-KP108</f>
        <v/>
      </c>
      <c r="KR108" s="383">
        <f>KQ108/KP108</f>
        <v/>
      </c>
      <c r="KS108" s="182" t="n"/>
      <c r="KT108" s="182" t="n"/>
      <c r="KU108" s="364" t="n"/>
      <c r="KV108" s="365">
        <f>C108</f>
        <v/>
      </c>
      <c r="KW108" s="365" t="n">
        <v>1060872.9726</v>
      </c>
      <c r="KX108" s="365">
        <f>KW109</f>
        <v/>
      </c>
      <c r="KY108" s="365">
        <f>KW108-KX108</f>
        <v/>
      </c>
      <c r="KZ108" s="366">
        <f>KY108/KX108</f>
        <v/>
      </c>
      <c r="LA108" s="366" t="n"/>
      <c r="LB108" s="182" t="n"/>
      <c r="LC108" s="364" t="n"/>
      <c r="LD108" s="365">
        <f>C108</f>
        <v/>
      </c>
      <c r="LE108" s="365" t="n">
        <v>403457.7</v>
      </c>
      <c r="LF108" s="365">
        <f>LE109</f>
        <v/>
      </c>
      <c r="LG108" s="388">
        <f>LE108-LF108</f>
        <v/>
      </c>
      <c r="LH108" s="389">
        <f>LG108/LF108</f>
        <v/>
      </c>
      <c r="LI108" s="182" t="n"/>
      <c r="LJ108" s="182" t="n"/>
      <c r="LK108" s="364" t="n"/>
      <c r="LL108" s="365">
        <f>C108</f>
        <v/>
      </c>
      <c r="LM108" s="694" t="n">
        <v>3421735.02</v>
      </c>
      <c r="LN108" s="365">
        <f>LM109</f>
        <v/>
      </c>
      <c r="LO108" s="388">
        <f>LM108-LN108</f>
        <v/>
      </c>
      <c r="LP108" s="389">
        <f>LO108/LN108</f>
        <v/>
      </c>
      <c r="LQ108" s="182" t="n"/>
      <c r="LR108" s="182" t="n"/>
      <c r="LS108" s="364" t="n"/>
      <c r="LT108" s="365">
        <f>C108</f>
        <v/>
      </c>
      <c r="LU108" s="365" t="n">
        <v>2354862.904</v>
      </c>
      <c r="LV108" s="365">
        <f>LU109</f>
        <v/>
      </c>
      <c r="LW108" s="390">
        <f>LU108-LV108</f>
        <v/>
      </c>
      <c r="LX108" s="391">
        <f>LW108/LV108</f>
        <v/>
      </c>
      <c r="LY108" s="182" t="n"/>
      <c r="LZ108" s="182" t="n"/>
      <c r="MA108" s="364" t="n"/>
      <c r="MB108" s="365">
        <f>C108</f>
        <v/>
      </c>
      <c r="MC108" s="365" t="n">
        <v>1133767.69</v>
      </c>
      <c r="MD108" s="365">
        <f>MC109</f>
        <v/>
      </c>
      <c r="ME108" s="390">
        <f>MC108-MD108</f>
        <v/>
      </c>
      <c r="MF108" s="391">
        <f>ME108/MD108</f>
        <v/>
      </c>
      <c r="MG108" s="182" t="n"/>
      <c r="MH108" s="182" t="n"/>
      <c r="MI108" s="319" t="n"/>
      <c r="MJ108" s="318" t="n"/>
      <c r="MK108" s="318">
        <f>C108</f>
        <v/>
      </c>
      <c r="ML108" s="318" t="n">
        <v>168105.5354</v>
      </c>
      <c r="MM108" s="13">
        <f>ML109</f>
        <v/>
      </c>
      <c r="MN108" s="318">
        <f>ML108-MM108</f>
        <v/>
      </c>
      <c r="MO108" s="327">
        <f>MN108/MM108</f>
        <v/>
      </c>
      <c r="MP108" s="182" t="n"/>
      <c r="MQ108" s="369" t="n"/>
      <c r="MR108" s="369" t="n"/>
      <c r="MS108" s="188" t="n"/>
      <c r="MT108" s="274">
        <f>C108</f>
        <v/>
      </c>
      <c r="MU108" s="188" t="n">
        <v>151814.8</v>
      </c>
      <c r="MV108" s="188">
        <f>MU109</f>
        <v/>
      </c>
      <c r="MW108" s="188">
        <f>MU108-MV108</f>
        <v/>
      </c>
      <c r="MX108" s="271">
        <f>MW108/MV108</f>
        <v/>
      </c>
      <c r="MY108" s="182" t="n"/>
      <c r="MZ108" s="182" t="n"/>
      <c r="NA108" s="182" t="n"/>
      <c r="NB108" s="188" t="n"/>
      <c r="NC108" s="188">
        <f>C108</f>
        <v/>
      </c>
      <c r="ND108" s="188" t="n">
        <v>40091.48</v>
      </c>
      <c r="NE108" s="188">
        <f>ND109</f>
        <v/>
      </c>
      <c r="NF108" s="188">
        <f>ND108-NE108</f>
        <v/>
      </c>
      <c r="NG108" s="271">
        <f>NF108/NE108</f>
        <v/>
      </c>
      <c r="NH108" s="182" t="n"/>
      <c r="NI108" s="182" t="n"/>
      <c r="NJ108" s="182" t="n"/>
      <c r="NK108" s="182" t="n"/>
      <c r="NL108" s="188" t="n"/>
      <c r="NM108" s="188">
        <f>C108</f>
        <v/>
      </c>
      <c r="NN108" s="188" t="n">
        <v>2847711.08</v>
      </c>
      <c r="NO108" s="9">
        <f>NN109</f>
        <v/>
      </c>
      <c r="NP108" s="188">
        <f>NN108-NO108</f>
        <v/>
      </c>
      <c r="NQ108" s="271">
        <f>NP108/NO108</f>
        <v/>
      </c>
      <c r="NR108" s="272" t="n"/>
      <c r="NS108" s="188" t="n"/>
      <c r="NT108" s="273" t="n"/>
      <c r="NU108" s="188">
        <f>C108</f>
        <v/>
      </c>
      <c r="NV108" s="188" t="n">
        <v>265026.5</v>
      </c>
      <c r="NW108" s="188">
        <f>NV109</f>
        <v/>
      </c>
      <c r="NX108" s="188">
        <f>NV108-NW108</f>
        <v/>
      </c>
      <c r="NY108" s="271">
        <f>NX108/NW108</f>
        <v/>
      </c>
      <c r="NZ108" s="366" t="n"/>
      <c r="OA108" s="364" t="n"/>
      <c r="OB108" s="364" t="n"/>
      <c r="OC108" s="365">
        <f>C108</f>
        <v/>
      </c>
      <c r="OD108" s="365" t="n">
        <v>17808.97</v>
      </c>
      <c r="OE108" s="365">
        <f>OD109</f>
        <v/>
      </c>
      <c r="OF108" s="388">
        <f>OD108-OE108</f>
        <v/>
      </c>
      <c r="OG108" s="389">
        <f>OF108/OE108</f>
        <v/>
      </c>
      <c r="OH108" s="182" t="n"/>
      <c r="OI108" s="182" t="n"/>
      <c r="OJ108" s="364" t="n"/>
      <c r="OK108" s="365">
        <f>C108</f>
        <v/>
      </c>
      <c r="OL108" s="0" t="n">
        <v>14620.65</v>
      </c>
      <c r="OM108" s="0">
        <f>OL109</f>
        <v/>
      </c>
      <c r="ON108" s="0">
        <f>OL108-OM108</f>
        <v/>
      </c>
      <c r="OO108" s="182">
        <f>ON108/OM108</f>
        <v/>
      </c>
      <c r="OP108" s="182" t="n"/>
      <c r="OQ108" s="182" t="n"/>
      <c r="OT108" s="25">
        <f>OK108</f>
        <v/>
      </c>
      <c r="OU108" s="199" t="n">
        <v>149592.4066</v>
      </c>
      <c r="OV108" s="9">
        <f>OU109</f>
        <v/>
      </c>
      <c r="OW108" s="671">
        <f>OU108-OV108</f>
        <v/>
      </c>
      <c r="OX108" s="182">
        <f>OW108/OV108</f>
        <v/>
      </c>
    </row>
    <row r="109" ht="17" customFormat="1" customHeight="1" s="9">
      <c r="A109" s="631" t="n"/>
      <c r="B109" s="631" t="n"/>
      <c r="C109" s="693" t="inlineStr">
        <is>
          <t>2026//6/11</t>
        </is>
      </c>
      <c r="D109" s="362" t="n">
        <v>2873028.77</v>
      </c>
      <c r="E109" s="362">
        <f>D110</f>
        <v/>
      </c>
      <c r="F109" s="377">
        <f>D109-E109</f>
        <v/>
      </c>
      <c r="G109" s="378">
        <f>F109/E109</f>
        <v/>
      </c>
      <c r="H109" s="19" t="n"/>
      <c r="I109" s="426" t="n"/>
      <c r="J109" s="426" t="n"/>
      <c r="K109" s="362">
        <f>C109</f>
        <v/>
      </c>
      <c r="L109" s="362" t="n">
        <v>2231974.4</v>
      </c>
      <c r="M109" s="362">
        <f>L110</f>
        <v/>
      </c>
      <c r="N109" s="377">
        <f>L109-M109</f>
        <v/>
      </c>
      <c r="O109" s="378">
        <f>N109/M109</f>
        <v/>
      </c>
      <c r="P109" s="19" t="n"/>
      <c r="Q109" s="426" t="n"/>
      <c r="R109" s="427" t="n"/>
      <c r="S109" s="362">
        <f>C109</f>
        <v/>
      </c>
      <c r="T109" s="362" t="n">
        <v>773886.6800000001</v>
      </c>
      <c r="U109" s="362">
        <f>T110</f>
        <v/>
      </c>
      <c r="V109" s="432">
        <f>T109-U109</f>
        <v/>
      </c>
      <c r="W109" s="433">
        <f>V109/U109</f>
        <v/>
      </c>
      <c r="X109" s="19" t="n"/>
      <c r="Y109" s="426" t="n"/>
      <c r="Z109" s="427" t="n"/>
      <c r="AA109" s="362">
        <f>S109</f>
        <v/>
      </c>
      <c r="AB109" s="362" t="n">
        <v>435016.86</v>
      </c>
      <c r="AC109" s="362">
        <f>AB110</f>
        <v/>
      </c>
      <c r="AD109" s="432">
        <f>AB109-AC109</f>
        <v/>
      </c>
      <c r="AE109" s="433">
        <f>AD109/AC109</f>
        <v/>
      </c>
      <c r="AF109" s="19" t="n"/>
      <c r="AG109" s="426" t="n"/>
      <c r="AH109" s="427" t="n"/>
      <c r="AI109" s="362">
        <f>C109</f>
        <v/>
      </c>
      <c r="AJ109" s="362" t="n">
        <v>329921.76</v>
      </c>
      <c r="AK109" s="362">
        <f>AJ110</f>
        <v/>
      </c>
      <c r="AL109" s="432">
        <f>AJ109-AK109</f>
        <v/>
      </c>
      <c r="AM109" s="433">
        <f>AL109/AK109</f>
        <v/>
      </c>
      <c r="AN109" s="19" t="n"/>
      <c r="AO109" s="19" t="n"/>
      <c r="AP109" s="427" t="n"/>
      <c r="AQ109" s="362">
        <f>C109</f>
        <v/>
      </c>
      <c r="AR109" s="697" t="n">
        <v>1068945.4936</v>
      </c>
      <c r="AS109" s="362">
        <f>AR110</f>
        <v/>
      </c>
      <c r="AT109" s="432">
        <f>AR109-AS109</f>
        <v/>
      </c>
      <c r="AU109" s="433">
        <f>AT109/AS109</f>
        <v/>
      </c>
      <c r="AV109" s="19" t="n"/>
      <c r="AW109" s="19" t="n"/>
      <c r="AX109" s="5" t="n"/>
      <c r="AY109" s="188" t="n"/>
      <c r="AZ109" s="188">
        <f>C109</f>
        <v/>
      </c>
      <c r="BA109" s="188" t="n">
        <v>1249581.6676</v>
      </c>
      <c r="BB109" s="188">
        <f>BA110</f>
        <v/>
      </c>
      <c r="BC109" s="188">
        <f>BA109-BB109</f>
        <v/>
      </c>
      <c r="BD109" s="271">
        <f>BC109/BB109</f>
        <v/>
      </c>
      <c r="BE109" s="19" t="n"/>
      <c r="BF109" s="19" t="n"/>
      <c r="BG109" s="647" t="n"/>
      <c r="BH109" s="363">
        <f>C109</f>
        <v/>
      </c>
      <c r="BI109" s="363" t="n">
        <v>1301826.5525</v>
      </c>
      <c r="BJ109" s="363">
        <f>BI110</f>
        <v/>
      </c>
      <c r="BK109" s="395">
        <f>BI109-BJ109</f>
        <v/>
      </c>
      <c r="BL109" s="396">
        <f>BK109/BJ109</f>
        <v/>
      </c>
      <c r="BM109" s="191" t="n"/>
      <c r="BN109" s="182" t="n"/>
      <c r="BO109" s="364" t="n"/>
      <c r="BP109" s="365">
        <f>C109</f>
        <v/>
      </c>
      <c r="BQ109" s="694" t="n">
        <v>1175862.3921</v>
      </c>
      <c r="BR109" s="365">
        <f>BQ110</f>
        <v/>
      </c>
      <c r="BS109" s="390">
        <f>BQ109-BR109</f>
        <v/>
      </c>
      <c r="BT109" s="391">
        <f>BS109/BR109</f>
        <v/>
      </c>
      <c r="BU109" s="182" t="n"/>
      <c r="BV109" s="182" t="n"/>
      <c r="BW109" s="364" t="n"/>
      <c r="BX109" s="365">
        <f>C109</f>
        <v/>
      </c>
      <c r="BY109" s="365" t="n">
        <v>1940410.7019</v>
      </c>
      <c r="BZ109" s="365">
        <f>BY110</f>
        <v/>
      </c>
      <c r="CA109" s="390">
        <f>BY109-BZ109</f>
        <v/>
      </c>
      <c r="CB109" s="391">
        <f>CA109/BZ109</f>
        <v/>
      </c>
      <c r="CC109" s="182" t="n"/>
      <c r="CD109" s="383" t="n"/>
      <c r="CE109" s="364" t="n"/>
      <c r="CF109" s="365">
        <f>C109</f>
        <v/>
      </c>
      <c r="CG109" s="365" t="n">
        <v>1258553.9</v>
      </c>
      <c r="CH109" s="13">
        <f>CG110</f>
        <v/>
      </c>
      <c r="CI109" s="13">
        <f>CG109-CH109</f>
        <v/>
      </c>
      <c r="CJ109" s="193">
        <f>CI109/CH109</f>
        <v/>
      </c>
      <c r="CK109" s="182" t="n"/>
      <c r="CL109" s="366" t="n"/>
      <c r="CM109" s="364" t="n"/>
      <c r="CN109" s="365">
        <f>C109</f>
        <v/>
      </c>
      <c r="CO109" s="365" t="n">
        <v>559446.48</v>
      </c>
      <c r="CP109" s="365">
        <f>CO110</f>
        <v/>
      </c>
      <c r="CQ109" s="13">
        <f>CO109-CP109</f>
        <v/>
      </c>
      <c r="CR109" s="193">
        <f>CQ109/CP109</f>
        <v/>
      </c>
      <c r="CS109" s="366" t="n"/>
      <c r="CT109" s="366" t="n"/>
      <c r="CU109" s="364" t="n"/>
      <c r="CV109" s="365">
        <f>C109</f>
        <v/>
      </c>
      <c r="CW109" s="365" t="n">
        <v>514790.4</v>
      </c>
      <c r="CX109" s="365">
        <f>CW110</f>
        <v/>
      </c>
      <c r="CY109" s="388">
        <f>CW109-CX109</f>
        <v/>
      </c>
      <c r="CZ109" s="389">
        <f>CY109/CX109</f>
        <v/>
      </c>
      <c r="DA109" s="182" t="n"/>
      <c r="DB109" s="182" t="n"/>
      <c r="DC109" s="256" t="n"/>
      <c r="DD109" s="365">
        <f>C109</f>
        <v/>
      </c>
      <c r="DE109" s="365" t="n">
        <v>1623317.9986</v>
      </c>
      <c r="DF109" s="13">
        <f>DE110</f>
        <v/>
      </c>
      <c r="DG109" s="390">
        <f>DE109-DF109</f>
        <v/>
      </c>
      <c r="DH109" s="391">
        <f>DG109/DF109</f>
        <v/>
      </c>
      <c r="DI109" s="182" t="n"/>
      <c r="DJ109" s="182" t="n"/>
      <c r="DK109" s="364" t="n"/>
      <c r="DL109" s="365">
        <f>C109</f>
        <v/>
      </c>
      <c r="DM109" s="365" t="n">
        <v>825500.36</v>
      </c>
      <c r="DN109" s="365">
        <f>DM110</f>
        <v/>
      </c>
      <c r="DO109" s="390">
        <f>DM109-DN109</f>
        <v/>
      </c>
      <c r="DP109" s="391">
        <f>DO109/DN109</f>
        <v/>
      </c>
      <c r="DQ109" s="182" t="n"/>
      <c r="DR109" s="182" t="n"/>
      <c r="DS109" s="364" t="n"/>
      <c r="DT109" s="365">
        <f>C109</f>
        <v/>
      </c>
      <c r="DU109" s="365" t="n">
        <v>1229489.48</v>
      </c>
      <c r="DV109" s="365">
        <f>DU110</f>
        <v/>
      </c>
      <c r="DW109" s="390">
        <f>DU109-DV109</f>
        <v/>
      </c>
      <c r="DX109" s="391">
        <f>DW109/DV109</f>
        <v/>
      </c>
      <c r="DY109" s="182" t="n"/>
      <c r="DZ109" s="182" t="n"/>
      <c r="EA109" s="364" t="n"/>
      <c r="EB109" s="365">
        <f>C109</f>
        <v/>
      </c>
      <c r="EC109" s="365" t="n">
        <v>3305966.82</v>
      </c>
      <c r="ED109" s="365">
        <f>EC110</f>
        <v/>
      </c>
      <c r="EE109" s="390">
        <f>EC109-ED109</f>
        <v/>
      </c>
      <c r="EF109" s="391">
        <f>EE109/ED109</f>
        <v/>
      </c>
      <c r="EG109" s="182" t="n"/>
      <c r="EH109" s="182" t="n"/>
      <c r="EI109" s="364" t="n"/>
      <c r="EJ109" s="365">
        <f>C109</f>
        <v/>
      </c>
      <c r="EK109" s="365" t="n">
        <v>1138522.9669</v>
      </c>
      <c r="EL109" s="365">
        <f>EK110</f>
        <v/>
      </c>
      <c r="EM109" s="388">
        <f>EK109-EL109</f>
        <v/>
      </c>
      <c r="EN109" s="389">
        <f>EM109/EL109</f>
        <v/>
      </c>
      <c r="EO109" s="182" t="n"/>
      <c r="EP109" s="182" t="n"/>
      <c r="EQ109" s="317" t="n"/>
      <c r="ER109" s="318">
        <f>C109</f>
        <v/>
      </c>
      <c r="ES109" s="318" t="n">
        <v>381647.02</v>
      </c>
      <c r="ET109" s="318">
        <f>ES110</f>
        <v/>
      </c>
      <c r="EU109" s="318">
        <f>ES109-ET109</f>
        <v/>
      </c>
      <c r="EV109" s="327">
        <f>EU109/ET109</f>
        <v/>
      </c>
      <c r="EW109" s="182" t="n"/>
      <c r="EX109" s="182" t="n"/>
      <c r="EY109" s="364" t="n"/>
      <c r="EZ109" s="365">
        <f>C109</f>
        <v/>
      </c>
      <c r="FA109" s="365" t="n">
        <v>551208</v>
      </c>
      <c r="FB109" s="365">
        <f>FA110</f>
        <v/>
      </c>
      <c r="FC109" s="388">
        <f>FA109-FB109</f>
        <v/>
      </c>
      <c r="FD109" s="389">
        <f>FC109/FB109</f>
        <v/>
      </c>
      <c r="FE109" s="182" t="n"/>
      <c r="FF109" s="182" t="n"/>
      <c r="FG109" s="182" t="n"/>
      <c r="FH109" s="365">
        <f>C109</f>
        <v/>
      </c>
      <c r="FI109" s="694" t="n">
        <v>1084395.3365</v>
      </c>
      <c r="FJ109" s="365">
        <f>FI110</f>
        <v/>
      </c>
      <c r="FK109" s="325">
        <f>FI109-FJ109</f>
        <v/>
      </c>
      <c r="FL109" s="326">
        <f>FK109/FJ109</f>
        <v/>
      </c>
      <c r="FM109" s="366" t="n"/>
      <c r="FN109" s="366" t="n"/>
      <c r="FO109" s="364" t="n"/>
      <c r="FP109" s="365">
        <f>C109</f>
        <v/>
      </c>
      <c r="FQ109" s="365" t="n">
        <v>1637518.73</v>
      </c>
      <c r="FR109" s="365">
        <f>FQ110</f>
        <v/>
      </c>
      <c r="FS109" s="388">
        <f>FQ109-FR109</f>
        <v/>
      </c>
      <c r="FT109" s="389">
        <f>FS109/FR109</f>
        <v/>
      </c>
      <c r="FU109" s="182" t="n"/>
      <c r="FV109" s="182" t="n"/>
      <c r="FW109" s="364" t="n"/>
      <c r="FX109" s="365">
        <f>C109</f>
        <v/>
      </c>
      <c r="FY109" s="365" t="n">
        <v>8602882.050000001</v>
      </c>
      <c r="FZ109" s="365">
        <f>FY110</f>
        <v/>
      </c>
      <c r="GA109" s="388">
        <f>FY109-FZ109</f>
        <v/>
      </c>
      <c r="GB109" s="389">
        <f>GA109/FZ109</f>
        <v/>
      </c>
      <c r="GC109" s="182" t="n"/>
      <c r="GD109" s="182" t="n"/>
      <c r="GE109" s="364" t="n"/>
      <c r="GF109" s="365">
        <f>C109</f>
        <v/>
      </c>
      <c r="GG109" s="365" t="n">
        <v>5062069.49</v>
      </c>
      <c r="GH109" s="365">
        <f>GG110</f>
        <v/>
      </c>
      <c r="GI109" s="388">
        <f>GG109-GH109</f>
        <v/>
      </c>
      <c r="GJ109" s="389">
        <f>GI109/GH109</f>
        <v/>
      </c>
      <c r="GK109" s="182" t="n"/>
      <c r="GL109" s="182" t="n"/>
      <c r="GM109" s="364" t="n"/>
      <c r="GN109" s="365">
        <f>C109</f>
        <v/>
      </c>
      <c r="GO109" s="365" t="n">
        <v>1918918.1217</v>
      </c>
      <c r="GP109" s="365">
        <f>GO110</f>
        <v/>
      </c>
      <c r="GQ109" s="388">
        <f>GO109-GP109</f>
        <v/>
      </c>
      <c r="GR109" s="389">
        <f>GQ109/GP109</f>
        <v/>
      </c>
      <c r="GS109" s="182" t="n"/>
      <c r="GT109" s="182" t="n"/>
      <c r="GU109" s="364" t="n"/>
      <c r="GV109" s="365">
        <f>C109</f>
        <v/>
      </c>
      <c r="GW109" s="365" t="n">
        <v>713349.4</v>
      </c>
      <c r="GX109" s="365">
        <f>GW110</f>
        <v/>
      </c>
      <c r="GY109" s="388">
        <f>GW109-GX109</f>
        <v/>
      </c>
      <c r="GZ109" s="389">
        <f>GY109/GX109</f>
        <v/>
      </c>
      <c r="HA109" s="182" t="n"/>
      <c r="HB109" s="182" t="n"/>
      <c r="HC109" s="364" t="n"/>
      <c r="HD109" s="365">
        <f>C109</f>
        <v/>
      </c>
      <c r="HE109" s="365" t="n">
        <v>973564.6746</v>
      </c>
      <c r="HF109" s="365">
        <f>HE110</f>
        <v/>
      </c>
      <c r="HG109" s="388">
        <f>HE109-HF109</f>
        <v/>
      </c>
      <c r="HH109" s="389">
        <f>HG109/HF109</f>
        <v/>
      </c>
      <c r="HI109" s="366" t="n"/>
      <c r="HJ109" s="182" t="n"/>
      <c r="HK109" s="364" t="n"/>
      <c r="HL109" s="365">
        <f>C109</f>
        <v/>
      </c>
      <c r="HM109" s="365" t="n">
        <v>117554.25</v>
      </c>
      <c r="HN109" s="365">
        <f>HM110</f>
        <v/>
      </c>
      <c r="HO109" s="388">
        <f>HM109-HN109</f>
        <v/>
      </c>
      <c r="HP109" s="389">
        <f>HO109/HN109</f>
        <v/>
      </c>
      <c r="HQ109" s="182" t="n"/>
      <c r="HR109" s="182" t="n"/>
      <c r="HS109" s="364" t="n"/>
      <c r="HT109" s="365">
        <f>C109</f>
        <v/>
      </c>
      <c r="HU109" s="365" t="n">
        <v>154568.8265</v>
      </c>
      <c r="HV109" s="365">
        <f>HU110</f>
        <v/>
      </c>
      <c r="HW109" s="388">
        <f>HU109-HV109</f>
        <v/>
      </c>
      <c r="HX109" s="389">
        <f>HW109/HV109</f>
        <v/>
      </c>
      <c r="HY109" s="182" t="n"/>
      <c r="HZ109" s="182" t="n"/>
      <c r="IA109" s="364" t="n"/>
      <c r="IB109" s="365">
        <f>C109</f>
        <v/>
      </c>
      <c r="IC109" s="365" t="n">
        <v>336584.79</v>
      </c>
      <c r="ID109" s="365">
        <f>IC110</f>
        <v/>
      </c>
      <c r="IE109" s="365">
        <f>IC109-ID109</f>
        <v/>
      </c>
      <c r="IF109" s="366">
        <f>IE109/ID109</f>
        <v/>
      </c>
      <c r="IG109" s="366" t="n"/>
      <c r="IH109" s="182" t="n"/>
      <c r="II109" s="364" t="n"/>
      <c r="IJ109" s="365">
        <f>C109</f>
        <v/>
      </c>
      <c r="IK109" s="365" t="n">
        <v>935196.29</v>
      </c>
      <c r="IL109" s="365">
        <f>IK110</f>
        <v/>
      </c>
      <c r="IM109" s="388">
        <f>IK109-IL109</f>
        <v/>
      </c>
      <c r="IN109" s="389">
        <f>IM109/IL109</f>
        <v/>
      </c>
      <c r="IO109" s="182" t="n"/>
      <c r="IP109" s="182" t="n"/>
      <c r="IQ109" s="364" t="n"/>
      <c r="IR109" s="365">
        <f>C109</f>
        <v/>
      </c>
      <c r="IS109" s="365" t="n">
        <v>137089</v>
      </c>
      <c r="IT109" s="365">
        <f>IS110</f>
        <v/>
      </c>
      <c r="IU109" s="388">
        <f>IS109-IT109</f>
        <v/>
      </c>
      <c r="IV109" s="389">
        <f>IU109/IT109</f>
        <v/>
      </c>
      <c r="IW109" s="182" t="n"/>
      <c r="IX109" s="182" t="n"/>
      <c r="IY109" s="364" t="n"/>
      <c r="IZ109" s="365">
        <f>C109</f>
        <v/>
      </c>
      <c r="JA109" s="365" t="n">
        <v>5359729.15</v>
      </c>
      <c r="JB109" s="365">
        <f>JA110</f>
        <v/>
      </c>
      <c r="JC109" s="388">
        <f>JA109-JB109</f>
        <v/>
      </c>
      <c r="JD109" s="389">
        <f>JC109/JB109</f>
        <v/>
      </c>
      <c r="JE109" s="182" t="n"/>
      <c r="JF109" s="182" t="n"/>
      <c r="JG109" s="364" t="n"/>
      <c r="JH109" s="365">
        <f>C109</f>
        <v/>
      </c>
      <c r="JI109" s="365" t="n">
        <v>1563987.99</v>
      </c>
      <c r="JJ109" s="365">
        <f>JI110</f>
        <v/>
      </c>
      <c r="JK109" s="390">
        <f>JI109-JJ109</f>
        <v/>
      </c>
      <c r="JL109" s="391">
        <f>JK109/JJ109</f>
        <v/>
      </c>
      <c r="JM109" s="182" t="n"/>
      <c r="JN109" s="182" t="n"/>
      <c r="JO109" s="182" t="n"/>
      <c r="JP109" s="365">
        <f>C109</f>
        <v/>
      </c>
      <c r="JQ109" s="365" t="n">
        <v>1027490.4148</v>
      </c>
      <c r="JR109" s="365">
        <f>JQ110</f>
        <v/>
      </c>
      <c r="JS109" s="388">
        <f>JQ109-JR109</f>
        <v/>
      </c>
      <c r="JT109" s="389">
        <f>JS109/JR109</f>
        <v/>
      </c>
      <c r="JU109" s="182" t="n"/>
      <c r="JV109" s="182" t="n"/>
      <c r="JW109" s="383" t="n"/>
      <c r="JX109" s="365">
        <f>C109</f>
        <v/>
      </c>
      <c r="JY109" s="365" t="n">
        <v>1110648.8</v>
      </c>
      <c r="JZ109" s="365">
        <f>JY110</f>
        <v/>
      </c>
      <c r="KA109" s="388">
        <f>JY109-JZ109</f>
        <v/>
      </c>
      <c r="KB109" s="389">
        <f>KA109/JZ109</f>
        <v/>
      </c>
      <c r="KC109" s="182" t="n"/>
      <c r="KD109" s="383" t="n"/>
      <c r="KF109" s="365">
        <f>C109</f>
        <v/>
      </c>
      <c r="KG109" s="365" t="n">
        <v>658555.9219</v>
      </c>
      <c r="KH109" s="365">
        <f>KG110</f>
        <v/>
      </c>
      <c r="KI109" s="388">
        <f>KG109-KH109</f>
        <v/>
      </c>
      <c r="KJ109" s="389">
        <f>KI109/KH109</f>
        <v/>
      </c>
      <c r="KK109" s="366" t="n"/>
      <c r="KL109" s="366" t="n"/>
      <c r="KM109" s="364" t="n"/>
      <c r="KN109" s="365">
        <f>C109</f>
        <v/>
      </c>
      <c r="KO109" s="365" t="n">
        <v>7553575.95</v>
      </c>
      <c r="KP109" s="365">
        <f>KO110</f>
        <v/>
      </c>
      <c r="KQ109" s="390">
        <f>KO109-KP109</f>
        <v/>
      </c>
      <c r="KR109" s="391">
        <f>KQ109/KP109</f>
        <v/>
      </c>
      <c r="KS109" s="182" t="n"/>
      <c r="KT109" s="182" t="n"/>
      <c r="KU109" s="364" t="n"/>
      <c r="KV109" s="365">
        <f>C109</f>
        <v/>
      </c>
      <c r="KW109" s="365" t="n">
        <v>1079572.9726</v>
      </c>
      <c r="KX109" s="365">
        <f>KW110</f>
        <v/>
      </c>
      <c r="KY109" s="365">
        <f>KW109-KX109</f>
        <v/>
      </c>
      <c r="KZ109" s="366">
        <f>KY109/KX109</f>
        <v/>
      </c>
      <c r="LA109" s="366" t="n"/>
      <c r="LB109" s="182" t="n"/>
      <c r="LC109" s="364" t="n"/>
      <c r="LD109" s="365">
        <f>C109</f>
        <v/>
      </c>
      <c r="LE109" s="365" t="n">
        <v>403857.7</v>
      </c>
      <c r="LF109" s="365">
        <f>LE110</f>
        <v/>
      </c>
      <c r="LG109" s="388">
        <f>LE109-LF109</f>
        <v/>
      </c>
      <c r="LH109" s="389">
        <f>LG109/LF109</f>
        <v/>
      </c>
      <c r="LI109" s="182" t="n"/>
      <c r="LJ109" s="182" t="n"/>
      <c r="LK109" s="364" t="n"/>
      <c r="LL109" s="365">
        <f>C109</f>
        <v/>
      </c>
      <c r="LM109" s="694" t="n">
        <v>3395995.02</v>
      </c>
      <c r="LN109" s="365">
        <f>LM110</f>
        <v/>
      </c>
      <c r="LO109" s="388">
        <f>LM109-LN109</f>
        <v/>
      </c>
      <c r="LP109" s="389">
        <f>LO109/LN109</f>
        <v/>
      </c>
      <c r="LQ109" s="182" t="n"/>
      <c r="LR109" s="182" t="n"/>
      <c r="LS109" s="364" t="n"/>
      <c r="LT109" s="365">
        <f>C109</f>
        <v/>
      </c>
      <c r="LU109" s="365" t="n">
        <v>2355862.904</v>
      </c>
      <c r="LV109" s="365">
        <f>LU110</f>
        <v/>
      </c>
      <c r="LW109" s="388">
        <f>LU109-LV109</f>
        <v/>
      </c>
      <c r="LX109" s="389">
        <f>LW109/LV109</f>
        <v/>
      </c>
      <c r="LY109" s="182" t="n"/>
      <c r="LZ109" s="182" t="n"/>
      <c r="MA109" s="364" t="n"/>
      <c r="MB109" s="365">
        <f>C109</f>
        <v/>
      </c>
      <c r="MC109" s="365" t="n">
        <v>1148817.69</v>
      </c>
      <c r="MD109" s="365">
        <f>MC110</f>
        <v/>
      </c>
      <c r="ME109" s="390">
        <f>MC109-MD109</f>
        <v/>
      </c>
      <c r="MF109" s="391">
        <f>ME109/MD109</f>
        <v/>
      </c>
      <c r="MG109" s="182" t="n"/>
      <c r="MH109" s="182" t="n"/>
      <c r="MI109" s="319" t="n"/>
      <c r="MJ109" s="318" t="n"/>
      <c r="MK109" s="318">
        <f>C109</f>
        <v/>
      </c>
      <c r="ML109" s="318" t="n">
        <v>168465.5354</v>
      </c>
      <c r="MM109" s="13">
        <f>ML110</f>
        <v/>
      </c>
      <c r="MN109" s="318">
        <f>ML109-MM109</f>
        <v/>
      </c>
      <c r="MO109" s="327">
        <f>MN109/MM109</f>
        <v/>
      </c>
      <c r="MP109" s="182" t="n"/>
      <c r="MQ109" s="369" t="n"/>
      <c r="MR109" s="369" t="n"/>
      <c r="MS109" s="188" t="n"/>
      <c r="MT109" s="274">
        <f>C109</f>
        <v/>
      </c>
      <c r="MU109" s="188" t="n">
        <v>152914.8</v>
      </c>
      <c r="MV109" s="188">
        <f>MU110</f>
        <v/>
      </c>
      <c r="MW109" s="188">
        <f>MU109-MV109</f>
        <v/>
      </c>
      <c r="MX109" s="271">
        <f>MW109/MV109</f>
        <v/>
      </c>
      <c r="MY109" s="182" t="n"/>
      <c r="MZ109" s="182" t="n"/>
      <c r="NA109" s="182" t="n"/>
      <c r="NB109" s="188" t="n"/>
      <c r="NC109" s="188">
        <f>C109</f>
        <v/>
      </c>
      <c r="ND109" s="188" t="n">
        <v>40291.48</v>
      </c>
      <c r="NE109" s="188">
        <f>ND110</f>
        <v/>
      </c>
      <c r="NF109" s="188">
        <f>ND109-NE109</f>
        <v/>
      </c>
      <c r="NG109" s="271">
        <f>NF109/NE109</f>
        <v/>
      </c>
      <c r="NH109" s="182" t="n"/>
      <c r="NI109" s="182" t="n"/>
      <c r="NJ109" s="182" t="n"/>
      <c r="NK109" s="182" t="n"/>
      <c r="NL109" s="188" t="n"/>
      <c r="NM109" s="188">
        <f>C109</f>
        <v/>
      </c>
      <c r="NN109" s="188" t="n">
        <v>2853211.08</v>
      </c>
      <c r="NO109" s="9">
        <f>NN110</f>
        <v/>
      </c>
      <c r="NP109" s="188">
        <f>NN109-NO109</f>
        <v/>
      </c>
      <c r="NQ109" s="271">
        <f>NP109/NO109</f>
        <v/>
      </c>
      <c r="NR109" s="272" t="n"/>
      <c r="NS109" s="188" t="n"/>
      <c r="NT109" s="273" t="n"/>
      <c r="NU109" s="188">
        <f>C109</f>
        <v/>
      </c>
      <c r="NV109" s="188" t="n">
        <v>266126.5</v>
      </c>
      <c r="NW109" s="188">
        <f>NV110</f>
        <v/>
      </c>
      <c r="NX109" s="188">
        <f>NV109-NW109</f>
        <v/>
      </c>
      <c r="NY109" s="271">
        <f>NX109/NW109</f>
        <v/>
      </c>
      <c r="NZ109" s="366" t="n"/>
      <c r="OA109" s="364" t="n"/>
      <c r="OB109" s="364" t="n"/>
      <c r="OC109" s="365">
        <f>C109</f>
        <v/>
      </c>
      <c r="OD109" s="365" t="n">
        <v>17966.97</v>
      </c>
      <c r="OE109" s="365">
        <f>OD110</f>
        <v/>
      </c>
      <c r="OF109" s="388">
        <f>OD109-OE109</f>
        <v/>
      </c>
      <c r="OG109" s="389">
        <f>OF109/OE109</f>
        <v/>
      </c>
      <c r="OH109" s="182" t="n"/>
      <c r="OI109" s="182" t="n"/>
      <c r="OJ109" s="364" t="n"/>
      <c r="OK109" s="365">
        <f>C109</f>
        <v/>
      </c>
      <c r="OL109" s="0" t="n">
        <v>14852.65</v>
      </c>
      <c r="OM109" s="0">
        <f>OL110</f>
        <v/>
      </c>
      <c r="ON109" s="0">
        <f>OL109-OM109</f>
        <v/>
      </c>
      <c r="OO109" s="182">
        <f>ON109/OM109</f>
        <v/>
      </c>
      <c r="OP109" s="182" t="n"/>
      <c r="OQ109" s="182" t="n"/>
      <c r="OT109" s="25">
        <f>OK109</f>
        <v/>
      </c>
      <c r="OU109" s="199" t="n">
        <v>149472.4066</v>
      </c>
      <c r="OV109" s="9">
        <f>OU110</f>
        <v/>
      </c>
      <c r="OW109" s="671">
        <f>OU109-OV109</f>
        <v/>
      </c>
      <c r="OX109" s="182">
        <f>OW109/OV109</f>
        <v/>
      </c>
    </row>
    <row r="110" ht="17" customFormat="1" customHeight="1" s="9">
      <c r="A110" s="631" t="n"/>
      <c r="B110" s="631" t="n"/>
      <c r="C110" s="693" t="inlineStr">
        <is>
          <t>2026//6/10</t>
        </is>
      </c>
      <c r="D110" s="362" t="n">
        <v>2851428.77</v>
      </c>
      <c r="E110" s="362">
        <f>D111</f>
        <v/>
      </c>
      <c r="F110" s="432">
        <f>D110-E110</f>
        <v/>
      </c>
      <c r="G110" s="433">
        <f>F110/E110</f>
        <v/>
      </c>
      <c r="H110" s="19" t="n"/>
      <c r="I110" s="426" t="n"/>
      <c r="J110" s="426" t="n"/>
      <c r="K110" s="362">
        <f>C110</f>
        <v/>
      </c>
      <c r="L110" s="362" t="n">
        <v>2230624.4</v>
      </c>
      <c r="M110" s="362">
        <f>L111</f>
        <v/>
      </c>
      <c r="N110" s="432">
        <f>L110-M110</f>
        <v/>
      </c>
      <c r="O110" s="479">
        <f>N110/M110</f>
        <v/>
      </c>
      <c r="P110" s="19" t="n"/>
      <c r="Q110" s="426" t="n"/>
      <c r="R110" s="427" t="n"/>
      <c r="S110" s="362">
        <f>C110</f>
        <v/>
      </c>
      <c r="T110" s="362" t="n">
        <v>750846.6800000001</v>
      </c>
      <c r="U110" s="362">
        <f>T111</f>
        <v/>
      </c>
      <c r="V110" s="377">
        <f>T110-U110</f>
        <v/>
      </c>
      <c r="W110" s="378">
        <f>V110/U110</f>
        <v/>
      </c>
      <c r="X110" s="19" t="n"/>
      <c r="Y110" s="426" t="n"/>
      <c r="Z110" s="427" t="n"/>
      <c r="AA110" s="362">
        <f>S110</f>
        <v/>
      </c>
      <c r="AB110" s="362" t="n">
        <v>432736.86</v>
      </c>
      <c r="AC110" s="362">
        <f>AB111</f>
        <v/>
      </c>
      <c r="AD110" s="432">
        <f>AB110-AC110</f>
        <v/>
      </c>
      <c r="AE110" s="433">
        <f>AD110/AC110</f>
        <v/>
      </c>
      <c r="AF110" s="19" t="n"/>
      <c r="AG110" s="426" t="n"/>
      <c r="AH110" s="427" t="n"/>
      <c r="AI110" s="362">
        <f>C110</f>
        <v/>
      </c>
      <c r="AJ110" s="362" t="n">
        <v>315721.76</v>
      </c>
      <c r="AK110" s="362">
        <f>AJ111</f>
        <v/>
      </c>
      <c r="AL110" s="377">
        <f>AJ110-AK110</f>
        <v/>
      </c>
      <c r="AM110" s="378">
        <f>AL110/AK110</f>
        <v/>
      </c>
      <c r="AN110" s="19" t="n"/>
      <c r="AO110" s="19" t="n"/>
      <c r="AP110" s="427" t="n"/>
      <c r="AQ110" s="362">
        <f>C110</f>
        <v/>
      </c>
      <c r="AR110" s="697" t="n">
        <v>1058945.4936</v>
      </c>
      <c r="AS110" s="362">
        <f>AR111</f>
        <v/>
      </c>
      <c r="AT110" s="432">
        <f>AR110-AS110</f>
        <v/>
      </c>
      <c r="AU110" s="433">
        <f>AT110/AS110</f>
        <v/>
      </c>
      <c r="AV110" s="19" t="n"/>
      <c r="AW110" s="19" t="n"/>
      <c r="AX110" s="5" t="n"/>
      <c r="AY110" s="188" t="n"/>
      <c r="AZ110" s="188">
        <f>C110</f>
        <v/>
      </c>
      <c r="BA110" s="188" t="n">
        <v>1248321.6676</v>
      </c>
      <c r="BB110" s="188">
        <f>BA111</f>
        <v/>
      </c>
      <c r="BC110" s="188">
        <f>BA110-BB110</f>
        <v/>
      </c>
      <c r="BD110" s="271">
        <f>BC110/BB110</f>
        <v/>
      </c>
      <c r="BE110" s="19" t="n"/>
      <c r="BF110" s="19" t="n"/>
      <c r="BG110" s="647" t="n"/>
      <c r="BH110" s="363">
        <f>C110</f>
        <v/>
      </c>
      <c r="BI110" s="363" t="n">
        <v>1304126.5525</v>
      </c>
      <c r="BJ110" s="363">
        <f>BI111</f>
        <v/>
      </c>
      <c r="BK110" s="395">
        <f>BI110-BJ110</f>
        <v/>
      </c>
      <c r="BL110" s="396">
        <f>BK110/BJ110</f>
        <v/>
      </c>
      <c r="BM110" s="191" t="n"/>
      <c r="BN110" s="182" t="n"/>
      <c r="BO110" s="364" t="n"/>
      <c r="BP110" s="365">
        <f>C110</f>
        <v/>
      </c>
      <c r="BQ110" s="694" t="n">
        <v>1158962.3921</v>
      </c>
      <c r="BR110" s="365">
        <f>BQ111</f>
        <v/>
      </c>
      <c r="BS110" s="388">
        <f>BQ110-BR110</f>
        <v/>
      </c>
      <c r="BT110" s="389">
        <f>BS110/BR110</f>
        <v/>
      </c>
      <c r="BU110" s="182" t="n"/>
      <c r="BV110" s="182" t="n"/>
      <c r="BW110" s="364" t="n"/>
      <c r="BX110" s="365">
        <f>C110</f>
        <v/>
      </c>
      <c r="BY110" s="365" t="n">
        <v>1945760.7019</v>
      </c>
      <c r="BZ110" s="365">
        <f>BY111</f>
        <v/>
      </c>
      <c r="CA110" s="390">
        <f>BY110-BZ110</f>
        <v/>
      </c>
      <c r="CB110" s="391">
        <f>CA110/BZ110</f>
        <v/>
      </c>
      <c r="CC110" s="182" t="n"/>
      <c r="CD110" s="383" t="n"/>
      <c r="CE110" s="364" t="n"/>
      <c r="CF110" s="365">
        <f>C110</f>
        <v/>
      </c>
      <c r="CG110" s="365" t="n">
        <v>1289203.9</v>
      </c>
      <c r="CH110" s="13">
        <f>CG111</f>
        <v/>
      </c>
      <c r="CI110" s="13">
        <f>CG110-CH110</f>
        <v/>
      </c>
      <c r="CJ110" s="193">
        <f>CI110/CH110</f>
        <v/>
      </c>
      <c r="CK110" s="182" t="n"/>
      <c r="CL110" s="366" t="n"/>
      <c r="CM110" s="364" t="n"/>
      <c r="CN110" s="365">
        <f>C110</f>
        <v/>
      </c>
      <c r="CO110" s="365" t="n">
        <v>564546.48</v>
      </c>
      <c r="CP110" s="365">
        <f>CO111</f>
        <v/>
      </c>
      <c r="CQ110" s="13">
        <f>CO110-CP110</f>
        <v/>
      </c>
      <c r="CR110" s="193">
        <f>CQ110/CP110</f>
        <v/>
      </c>
      <c r="CS110" s="366" t="n"/>
      <c r="CT110" s="366" t="n"/>
      <c r="CU110" s="364" t="n"/>
      <c r="CV110" s="365">
        <f>C110</f>
        <v/>
      </c>
      <c r="CW110" s="365" t="n">
        <v>532990.4</v>
      </c>
      <c r="CX110" s="365">
        <f>CW111</f>
        <v/>
      </c>
      <c r="CY110" s="388">
        <f>CW110-CX110</f>
        <v/>
      </c>
      <c r="CZ110" s="389">
        <f>CY110/CX110</f>
        <v/>
      </c>
      <c r="DA110" s="182" t="n"/>
      <c r="DB110" s="182" t="n"/>
      <c r="DC110" s="256" t="n"/>
      <c r="DD110" s="365">
        <f>C110</f>
        <v/>
      </c>
      <c r="DE110" s="365" t="n">
        <v>1649717.9986</v>
      </c>
      <c r="DF110" s="13">
        <f>DE111</f>
        <v/>
      </c>
      <c r="DG110" s="390">
        <f>DE110-DF110</f>
        <v/>
      </c>
      <c r="DH110" s="391">
        <f>DG110/DF110</f>
        <v/>
      </c>
      <c r="DI110" s="182" t="n"/>
      <c r="DJ110" s="182" t="n"/>
      <c r="DK110" s="364" t="n"/>
      <c r="DL110" s="365">
        <f>C110</f>
        <v/>
      </c>
      <c r="DM110" s="365" t="n">
        <v>827300.36</v>
      </c>
      <c r="DN110" s="365">
        <f>DM111</f>
        <v/>
      </c>
      <c r="DO110" s="388">
        <f>DM110-DN110</f>
        <v/>
      </c>
      <c r="DP110" s="389">
        <f>DO110/DN110</f>
        <v/>
      </c>
      <c r="DQ110" s="182" t="n"/>
      <c r="DR110" s="182" t="n"/>
      <c r="DS110" s="364" t="n"/>
      <c r="DT110" s="365">
        <f>C110</f>
        <v/>
      </c>
      <c r="DU110" s="365" t="n">
        <v>1229189.48</v>
      </c>
      <c r="DV110" s="365">
        <f>DU111</f>
        <v/>
      </c>
      <c r="DW110" s="390">
        <f>DU110-DV110</f>
        <v/>
      </c>
      <c r="DX110" s="391">
        <f>DW110/DV110</f>
        <v/>
      </c>
      <c r="DY110" s="182" t="n"/>
      <c r="DZ110" s="182" t="n"/>
      <c r="EA110" s="364" t="n"/>
      <c r="EB110" s="365">
        <f>C110</f>
        <v/>
      </c>
      <c r="EC110" s="365" t="n">
        <v>3297566.82</v>
      </c>
      <c r="ED110" s="365">
        <f>EC111</f>
        <v/>
      </c>
      <c r="EE110" s="390">
        <f>EC110-ED110</f>
        <v/>
      </c>
      <c r="EF110" s="391">
        <f>EE110/ED110</f>
        <v/>
      </c>
      <c r="EG110" s="182" t="n"/>
      <c r="EH110" s="182" t="n"/>
      <c r="EI110" s="364" t="n"/>
      <c r="EJ110" s="365">
        <f>C110</f>
        <v/>
      </c>
      <c r="EK110" s="365" t="n">
        <v>1131722.9669</v>
      </c>
      <c r="EL110" s="365">
        <f>EK111</f>
        <v/>
      </c>
      <c r="EM110" s="390">
        <f>EK110-EL110</f>
        <v/>
      </c>
      <c r="EN110" s="391">
        <f>EM110/EL110</f>
        <v/>
      </c>
      <c r="EO110" s="182" t="n"/>
      <c r="EP110" s="182" t="n"/>
      <c r="EQ110" s="317" t="n"/>
      <c r="ER110" s="318">
        <f>C110</f>
        <v/>
      </c>
      <c r="ES110" s="318" t="n">
        <v>379847.02</v>
      </c>
      <c r="ET110" s="318">
        <f>ES111</f>
        <v/>
      </c>
      <c r="EU110" s="318">
        <f>ES110-ET110</f>
        <v/>
      </c>
      <c r="EV110" s="327">
        <f>EU110/ET110</f>
        <v/>
      </c>
      <c r="EW110" s="182" t="n"/>
      <c r="EX110" s="182" t="n"/>
      <c r="EY110" s="364" t="n"/>
      <c r="EZ110" s="365">
        <f>C110</f>
        <v/>
      </c>
      <c r="FA110" s="365" t="n">
        <v>552408</v>
      </c>
      <c r="FB110" s="365">
        <f>FA111</f>
        <v/>
      </c>
      <c r="FC110" s="388">
        <f>FA110-FB110</f>
        <v/>
      </c>
      <c r="FD110" s="389">
        <f>FC110/FB110</f>
        <v/>
      </c>
      <c r="FE110" s="182" t="n"/>
      <c r="FF110" s="182" t="n"/>
      <c r="FG110" s="182" t="n"/>
      <c r="FH110" s="365">
        <f>C110</f>
        <v/>
      </c>
      <c r="FI110" s="694" t="n">
        <v>1098195.3365</v>
      </c>
      <c r="FJ110" s="365">
        <f>FI111</f>
        <v/>
      </c>
      <c r="FK110" s="325">
        <f>FI110-FJ110</f>
        <v/>
      </c>
      <c r="FL110" s="326">
        <f>FK110/FJ110</f>
        <v/>
      </c>
      <c r="FM110" s="366" t="n"/>
      <c r="FN110" s="366" t="n"/>
      <c r="FO110" s="364" t="n"/>
      <c r="FP110" s="365">
        <f>C110</f>
        <v/>
      </c>
      <c r="FQ110" s="365" t="n">
        <v>1649518.73</v>
      </c>
      <c r="FR110" s="365">
        <f>FQ111</f>
        <v/>
      </c>
      <c r="FS110" s="390">
        <f>FQ110-FR110</f>
        <v/>
      </c>
      <c r="FT110" s="391">
        <f>FS110/FR110</f>
        <v/>
      </c>
      <c r="FU110" s="182" t="n"/>
      <c r="FV110" s="182" t="n"/>
      <c r="FW110" s="364" t="n"/>
      <c r="FX110" s="365">
        <f>C110</f>
        <v/>
      </c>
      <c r="FY110" s="365" t="n">
        <v>8632382.050000001</v>
      </c>
      <c r="FZ110" s="365">
        <f>FY111</f>
        <v/>
      </c>
      <c r="GA110" s="388">
        <f>FY110-FZ110</f>
        <v/>
      </c>
      <c r="GB110" s="389">
        <f>GA110/FZ110</f>
        <v/>
      </c>
      <c r="GC110" s="182" t="n"/>
      <c r="GD110" s="182" t="n"/>
      <c r="GE110" s="364" t="n"/>
      <c r="GF110" s="365">
        <f>C110</f>
        <v/>
      </c>
      <c r="GG110" s="365" t="n">
        <v>5068069.49</v>
      </c>
      <c r="GH110" s="365">
        <f>GG111</f>
        <v/>
      </c>
      <c r="GI110" s="388">
        <f>GG110-GH110</f>
        <v/>
      </c>
      <c r="GJ110" s="389">
        <f>GI110/GH110</f>
        <v/>
      </c>
      <c r="GK110" s="182" t="n"/>
      <c r="GL110" s="182" t="n"/>
      <c r="GM110" s="364" t="n"/>
      <c r="GN110" s="365">
        <f>C110</f>
        <v/>
      </c>
      <c r="GO110" s="365" t="n">
        <v>1921618.1217</v>
      </c>
      <c r="GP110" s="365">
        <f>GO111</f>
        <v/>
      </c>
      <c r="GQ110" s="388">
        <f>GO110-GP110</f>
        <v/>
      </c>
      <c r="GR110" s="389">
        <f>GQ110/GP110</f>
        <v/>
      </c>
      <c r="GS110" s="182" t="n"/>
      <c r="GT110" s="182" t="n"/>
      <c r="GU110" s="364" t="n"/>
      <c r="GV110" s="365">
        <f>C110</f>
        <v/>
      </c>
      <c r="GW110" s="365" t="n">
        <v>720949.4</v>
      </c>
      <c r="GX110" s="365">
        <f>GW111</f>
        <v/>
      </c>
      <c r="GY110" s="388">
        <f>GW110-GX110</f>
        <v/>
      </c>
      <c r="GZ110" s="389">
        <f>GY110/GX110</f>
        <v/>
      </c>
      <c r="HA110" s="182" t="n"/>
      <c r="HB110" s="182" t="n"/>
      <c r="HC110" s="364" t="n"/>
      <c r="HD110" s="365">
        <f>C110</f>
        <v/>
      </c>
      <c r="HE110" s="365" t="n">
        <v>980464.6746</v>
      </c>
      <c r="HF110" s="365">
        <f>HE111</f>
        <v/>
      </c>
      <c r="HG110" s="390">
        <f>HE110-HF110</f>
        <v/>
      </c>
      <c r="HH110" s="391">
        <f>HG110/HF110</f>
        <v/>
      </c>
      <c r="HI110" s="366" t="n"/>
      <c r="HJ110" s="182" t="n"/>
      <c r="HK110" s="364" t="n"/>
      <c r="HL110" s="365">
        <f>C110</f>
        <v/>
      </c>
      <c r="HM110" s="365" t="n">
        <v>117754.25</v>
      </c>
      <c r="HN110" s="365">
        <f>HM111</f>
        <v/>
      </c>
      <c r="HO110" s="388">
        <f>HM110-HN110</f>
        <v/>
      </c>
      <c r="HP110" s="389">
        <f>HO110/HN110</f>
        <v/>
      </c>
      <c r="HQ110" s="182" t="n"/>
      <c r="HR110" s="182" t="n"/>
      <c r="HS110" s="364" t="n"/>
      <c r="HT110" s="365">
        <f>C110</f>
        <v/>
      </c>
      <c r="HU110" s="365" t="n">
        <v>155968.8265</v>
      </c>
      <c r="HV110" s="365">
        <f>HU111</f>
        <v/>
      </c>
      <c r="HW110" s="388">
        <f>HU110-HV110</f>
        <v/>
      </c>
      <c r="HX110" s="389">
        <f>HW110/HV110</f>
        <v/>
      </c>
      <c r="HY110" s="182" t="n"/>
      <c r="HZ110" s="182" t="n"/>
      <c r="IA110" s="364" t="n"/>
      <c r="IB110" s="365">
        <f>C110</f>
        <v/>
      </c>
      <c r="IC110" s="365" t="n">
        <v>335259.79</v>
      </c>
      <c r="ID110" s="365">
        <f>IC111</f>
        <v/>
      </c>
      <c r="IE110" s="365">
        <f>IC110-ID110</f>
        <v/>
      </c>
      <c r="IF110" s="366">
        <f>IE110/ID110</f>
        <v/>
      </c>
      <c r="IG110" s="366" t="n"/>
      <c r="IH110" s="182" t="n"/>
      <c r="II110" s="364" t="n"/>
      <c r="IJ110" s="365">
        <f>C110</f>
        <v/>
      </c>
      <c r="IK110" s="365" t="n">
        <v>950556.29</v>
      </c>
      <c r="IL110" s="365">
        <f>IK111</f>
        <v/>
      </c>
      <c r="IM110" s="388">
        <f>IK110-IL110</f>
        <v/>
      </c>
      <c r="IN110" s="389">
        <f>IM110/IL110</f>
        <v/>
      </c>
      <c r="IO110" s="182" t="n"/>
      <c r="IP110" s="182" t="n"/>
      <c r="IQ110" s="364" t="n"/>
      <c r="IR110" s="365">
        <f>C110</f>
        <v/>
      </c>
      <c r="IS110" s="365" t="n">
        <v>136189</v>
      </c>
      <c r="IT110" s="365">
        <f>IS111</f>
        <v/>
      </c>
      <c r="IU110" s="388">
        <f>IS110-IT110</f>
        <v/>
      </c>
      <c r="IV110" s="389">
        <f>IU110/IT110</f>
        <v/>
      </c>
      <c r="IW110" s="182" t="n"/>
      <c r="IX110" s="182" t="n"/>
      <c r="IY110" s="364" t="n"/>
      <c r="IZ110" s="365">
        <f>C110</f>
        <v/>
      </c>
      <c r="JA110" s="365" t="n">
        <v>5338529.15</v>
      </c>
      <c r="JB110" s="365">
        <f>JA111</f>
        <v/>
      </c>
      <c r="JC110" s="388">
        <f>JA110-JB110</f>
        <v/>
      </c>
      <c r="JD110" s="389">
        <f>JC110/JB110</f>
        <v/>
      </c>
      <c r="JE110" s="182" t="n"/>
      <c r="JF110" s="182" t="n"/>
      <c r="JG110" s="364" t="n"/>
      <c r="JH110" s="365">
        <f>C110</f>
        <v/>
      </c>
      <c r="JI110" s="365" t="n">
        <v>1487787.99</v>
      </c>
      <c r="JJ110" s="365">
        <f>JI111</f>
        <v/>
      </c>
      <c r="JK110" s="388">
        <f>JI110-JJ110</f>
        <v/>
      </c>
      <c r="JL110" s="389">
        <f>JK110/JJ110</f>
        <v/>
      </c>
      <c r="JM110" s="182" t="n"/>
      <c r="JN110" s="182" t="n"/>
      <c r="JO110" s="182" t="n"/>
      <c r="JP110" s="365">
        <f>C110</f>
        <v/>
      </c>
      <c r="JQ110" s="365" t="n">
        <v>1023990.4148</v>
      </c>
      <c r="JR110" s="365">
        <f>JQ111</f>
        <v/>
      </c>
      <c r="JS110" s="390">
        <f>JQ110-JR110</f>
        <v/>
      </c>
      <c r="JT110" s="391">
        <f>JS110/JR110</f>
        <v/>
      </c>
      <c r="JU110" s="182" t="n"/>
      <c r="JV110" s="182" t="n"/>
      <c r="JW110" s="383" t="n"/>
      <c r="JX110" s="365">
        <f>C110</f>
        <v/>
      </c>
      <c r="JY110" s="365" t="n">
        <v>1110798.8</v>
      </c>
      <c r="JZ110" s="365">
        <f>JY111</f>
        <v/>
      </c>
      <c r="KA110" s="388">
        <f>JY110-JZ110</f>
        <v/>
      </c>
      <c r="KB110" s="383">
        <f>KA110/JZ110</f>
        <v/>
      </c>
      <c r="KC110" s="182" t="n"/>
      <c r="KD110" s="383" t="n"/>
      <c r="KF110" s="365">
        <f>C110</f>
        <v/>
      </c>
      <c r="KG110" s="365" t="n">
        <v>658555.9219</v>
      </c>
      <c r="KH110" s="365">
        <f>KG111</f>
        <v/>
      </c>
      <c r="KI110" s="388">
        <f>KG110-KH110</f>
        <v/>
      </c>
      <c r="KJ110" s="389">
        <f>KI110/KH110</f>
        <v/>
      </c>
      <c r="KK110" s="366" t="n"/>
      <c r="KL110" s="366" t="n"/>
      <c r="KM110" s="364" t="n"/>
      <c r="KN110" s="365">
        <f>C110</f>
        <v/>
      </c>
      <c r="KO110" s="365" t="n">
        <v>7553775.95</v>
      </c>
      <c r="KP110" s="365">
        <f>KO111</f>
        <v/>
      </c>
      <c r="KQ110" s="390">
        <f>KO110-KP110</f>
        <v/>
      </c>
      <c r="KR110" s="391">
        <f>KQ110/KP110</f>
        <v/>
      </c>
      <c r="KS110" s="182" t="n"/>
      <c r="KT110" s="182" t="n"/>
      <c r="KU110" s="364" t="n"/>
      <c r="KV110" s="365">
        <f>C110</f>
        <v/>
      </c>
      <c r="KW110" s="365" t="n">
        <v>1079572.9726</v>
      </c>
      <c r="KX110" s="365">
        <f>KW111</f>
        <v/>
      </c>
      <c r="KY110" s="365">
        <f>KW110-KX110</f>
        <v/>
      </c>
      <c r="KZ110" s="366">
        <f>KY110/KX110</f>
        <v/>
      </c>
      <c r="LA110" s="366" t="n"/>
      <c r="LB110" s="182" t="n"/>
      <c r="LC110" s="364" t="n"/>
      <c r="LD110" s="365">
        <f>C110</f>
        <v/>
      </c>
      <c r="LE110" s="365" t="n">
        <v>405407.7</v>
      </c>
      <c r="LF110" s="365">
        <f>LE111</f>
        <v/>
      </c>
      <c r="LG110" s="388">
        <f>LE110-LF110</f>
        <v/>
      </c>
      <c r="LH110" s="389">
        <f>LG110/LF110</f>
        <v/>
      </c>
      <c r="LI110" s="182" t="n"/>
      <c r="LJ110" s="182" t="n"/>
      <c r="LK110" s="364" t="n"/>
      <c r="LL110" s="365">
        <f>C110</f>
        <v/>
      </c>
      <c r="LM110" s="694" t="n">
        <v>3396715.02</v>
      </c>
      <c r="LN110" s="365">
        <f>LM111</f>
        <v/>
      </c>
      <c r="LO110" s="388">
        <f>LM110-LN110</f>
        <v/>
      </c>
      <c r="LP110" s="389">
        <f>LO110/LN110</f>
        <v/>
      </c>
      <c r="LQ110" s="182" t="n"/>
      <c r="LR110" s="182" t="n"/>
      <c r="LS110" s="364" t="n"/>
      <c r="LT110" s="365">
        <f>C110</f>
        <v/>
      </c>
      <c r="LU110" s="365" t="n">
        <v>2358662.904</v>
      </c>
      <c r="LV110" s="365">
        <f>LU111</f>
        <v/>
      </c>
      <c r="LW110" s="390">
        <f>LU110-LV110</f>
        <v/>
      </c>
      <c r="LX110" s="391">
        <f>LW110/LV110</f>
        <v/>
      </c>
      <c r="LY110" s="182" t="n"/>
      <c r="LZ110" s="182" t="n"/>
      <c r="MA110" s="364" t="n"/>
      <c r="MB110" s="365">
        <f>C110</f>
        <v/>
      </c>
      <c r="MC110" s="365" t="n">
        <v>1156117.69</v>
      </c>
      <c r="MD110" s="365">
        <f>MC111</f>
        <v/>
      </c>
      <c r="ME110" s="390">
        <f>MC110-MD110</f>
        <v/>
      </c>
      <c r="MF110" s="391">
        <f>ME110/MD110</f>
        <v/>
      </c>
      <c r="MG110" s="182" t="n"/>
      <c r="MH110" s="182" t="n"/>
      <c r="MI110" s="319" t="n"/>
      <c r="MJ110" s="318" t="n"/>
      <c r="MK110" s="318">
        <f>C110</f>
        <v/>
      </c>
      <c r="ML110" s="318" t="n">
        <v>169065.5354</v>
      </c>
      <c r="MM110" s="13">
        <f>ML111</f>
        <v/>
      </c>
      <c r="MN110" s="318">
        <f>ML110-MM110</f>
        <v/>
      </c>
      <c r="MO110" s="327">
        <f>MN110/MM110</f>
        <v/>
      </c>
      <c r="MP110" s="182" t="n"/>
      <c r="MQ110" s="369" t="n"/>
      <c r="MR110" s="369" t="n"/>
      <c r="MS110" s="188" t="n"/>
      <c r="MT110" s="274">
        <f>C110</f>
        <v/>
      </c>
      <c r="MU110" s="188" t="n">
        <v>154014.8</v>
      </c>
      <c r="MV110" s="188">
        <f>MU111</f>
        <v/>
      </c>
      <c r="MW110" s="188">
        <f>MU110-MV110</f>
        <v/>
      </c>
      <c r="MX110" s="271">
        <f>MW110/MV110</f>
        <v/>
      </c>
      <c r="MY110" s="182" t="n"/>
      <c r="MZ110" s="182" t="n"/>
      <c r="NA110" s="182" t="n"/>
      <c r="NB110" s="188" t="n"/>
      <c r="NC110" s="188">
        <f>C110</f>
        <v/>
      </c>
      <c r="ND110" s="188" t="n">
        <v>40491.48</v>
      </c>
      <c r="NE110" s="188">
        <f>ND111</f>
        <v/>
      </c>
      <c r="NF110" s="188">
        <f>ND110-NE110</f>
        <v/>
      </c>
      <c r="NG110" s="271">
        <f>NF110/NE110</f>
        <v/>
      </c>
      <c r="NH110" s="182" t="n"/>
      <c r="NI110" s="182" t="n"/>
      <c r="NJ110" s="182" t="n"/>
      <c r="NK110" s="182" t="n"/>
      <c r="NL110" s="188" t="n"/>
      <c r="NM110" s="188">
        <f>C110</f>
        <v/>
      </c>
      <c r="NN110" s="188" t="n">
        <v>2839411.08</v>
      </c>
      <c r="NO110" s="9">
        <f>NN111</f>
        <v/>
      </c>
      <c r="NP110" s="188">
        <f>NN110-NO110</f>
        <v/>
      </c>
      <c r="NQ110" s="271">
        <f>NP110/NO110</f>
        <v/>
      </c>
      <c r="NR110" s="272" t="n"/>
      <c r="NS110" s="188" t="n"/>
      <c r="NT110" s="273" t="n"/>
      <c r="NU110" s="188">
        <f>C110</f>
        <v/>
      </c>
      <c r="NV110" s="188" t="n">
        <v>266326.5</v>
      </c>
      <c r="NW110" s="188">
        <f>NV111</f>
        <v/>
      </c>
      <c r="NX110" s="188">
        <f>NV110-NW110</f>
        <v/>
      </c>
      <c r="NY110" s="271">
        <f>NX110/NW110</f>
        <v/>
      </c>
      <c r="NZ110" s="366" t="n"/>
      <c r="OA110" s="364" t="n"/>
      <c r="OB110" s="364" t="n"/>
      <c r="OC110" s="365">
        <f>C110</f>
        <v/>
      </c>
      <c r="OD110" s="365" t="n">
        <v>18212.97</v>
      </c>
      <c r="OE110" s="365">
        <f>OD111</f>
        <v/>
      </c>
      <c r="OF110" s="388">
        <f>OD110-OE110</f>
        <v/>
      </c>
      <c r="OG110" s="389">
        <f>OF110/OE110</f>
        <v/>
      </c>
      <c r="OH110" s="182" t="n"/>
      <c r="OI110" s="182" t="n"/>
      <c r="OJ110" s="364" t="n"/>
      <c r="OK110" s="365">
        <f>C110</f>
        <v/>
      </c>
      <c r="OL110" s="0" t="n">
        <v>15121.65</v>
      </c>
      <c r="OM110" s="0">
        <f>OL111</f>
        <v/>
      </c>
      <c r="ON110" s="0">
        <f>OL110-OM110</f>
        <v/>
      </c>
      <c r="OO110" s="182">
        <f>ON110/OM110</f>
        <v/>
      </c>
      <c r="OP110" s="182" t="n"/>
      <c r="OQ110" s="182" t="n"/>
      <c r="OT110" s="25">
        <f>OK110</f>
        <v/>
      </c>
      <c r="OU110" s="199" t="n">
        <v>149352.4066</v>
      </c>
      <c r="OV110" s="9">
        <f>OU111</f>
        <v/>
      </c>
      <c r="OW110" s="671">
        <f>OU110-OV110</f>
        <v/>
      </c>
      <c r="OX110" s="182">
        <f>OW110/OV110</f>
        <v/>
      </c>
    </row>
    <row r="111" ht="17" customFormat="1" customHeight="1" s="9">
      <c r="A111" s="631" t="n"/>
      <c r="B111" s="631" t="n"/>
      <c r="C111" s="693" t="inlineStr">
        <is>
          <t>2026//6/9</t>
        </is>
      </c>
      <c r="D111" s="362" t="n">
        <v>2833158.77</v>
      </c>
      <c r="E111" s="362">
        <f>D112</f>
        <v/>
      </c>
      <c r="F111" s="432">
        <f>D111-E111</f>
        <v/>
      </c>
      <c r="G111" s="433">
        <f>F111/E111</f>
        <v/>
      </c>
      <c r="H111" s="19" t="n"/>
      <c r="I111" s="426" t="n"/>
      <c r="J111" s="426" t="n"/>
      <c r="K111" s="362">
        <f>C111</f>
        <v/>
      </c>
      <c r="L111" s="362" t="n">
        <v>2226844.4</v>
      </c>
      <c r="M111" s="362">
        <f>L112</f>
        <v/>
      </c>
      <c r="N111" s="432">
        <f>L111-M111</f>
        <v/>
      </c>
      <c r="O111" s="433">
        <f>N111/M111</f>
        <v/>
      </c>
      <c r="P111" s="19" t="n"/>
      <c r="Q111" s="426" t="n"/>
      <c r="R111" s="427" t="n"/>
      <c r="S111" s="362">
        <f>C111</f>
        <v/>
      </c>
      <c r="T111" s="362" t="n">
        <v>762546.6800000001</v>
      </c>
      <c r="U111" s="362">
        <f>T112</f>
        <v/>
      </c>
      <c r="V111" s="377">
        <f>T111-U111</f>
        <v/>
      </c>
      <c r="W111" s="378">
        <f>V111/U111</f>
        <v/>
      </c>
      <c r="X111" s="19" t="n"/>
      <c r="Y111" s="426" t="n"/>
      <c r="Z111" s="427" t="n"/>
      <c r="AA111" s="362">
        <f>S111</f>
        <v/>
      </c>
      <c r="AB111" s="362" t="n">
        <v>437936.86</v>
      </c>
      <c r="AC111" s="362">
        <f>AB112</f>
        <v/>
      </c>
      <c r="AD111" s="432">
        <f>AB111-AC111</f>
        <v/>
      </c>
      <c r="AE111" s="433">
        <f>AD111/AC111</f>
        <v/>
      </c>
      <c r="AF111" s="19" t="n"/>
      <c r="AG111" s="426" t="n"/>
      <c r="AH111" s="427" t="n"/>
      <c r="AI111" s="362">
        <f>C111</f>
        <v/>
      </c>
      <c r="AJ111" s="362" t="n">
        <v>322321.76</v>
      </c>
      <c r="AK111" s="362">
        <f>AJ112</f>
        <v/>
      </c>
      <c r="AL111" s="432">
        <f>AJ111-AK111</f>
        <v/>
      </c>
      <c r="AM111" s="433">
        <f>AL111/AK111</f>
        <v/>
      </c>
      <c r="AN111" s="19" t="n"/>
      <c r="AO111" s="19" t="n"/>
      <c r="AP111" s="427" t="n"/>
      <c r="AQ111" s="362">
        <f>C111</f>
        <v/>
      </c>
      <c r="AR111" s="697" t="n">
        <v>1041045.4936</v>
      </c>
      <c r="AS111" s="362">
        <f>AR112</f>
        <v/>
      </c>
      <c r="AT111" s="377">
        <f>AR111-AS111</f>
        <v/>
      </c>
      <c r="AU111" s="378">
        <f>AT111/AS111</f>
        <v/>
      </c>
      <c r="AV111" s="19" t="n"/>
      <c r="AW111" s="19" t="n"/>
      <c r="AX111" s="5" t="n"/>
      <c r="AY111" s="188" t="n"/>
      <c r="AZ111" s="188">
        <f>C111</f>
        <v/>
      </c>
      <c r="BA111" s="188" t="n">
        <v>1248051.6676</v>
      </c>
      <c r="BB111" s="188">
        <f>BA112</f>
        <v/>
      </c>
      <c r="BC111" s="188">
        <f>BA111-BB111</f>
        <v/>
      </c>
      <c r="BD111" s="271">
        <f>BC111/BB111</f>
        <v/>
      </c>
      <c r="BE111" s="19" t="n"/>
      <c r="BF111" s="19" t="n"/>
      <c r="BG111" s="647" t="n"/>
      <c r="BH111" s="363">
        <f>C111</f>
        <v/>
      </c>
      <c r="BI111" s="363" t="n">
        <v>1319826.5525</v>
      </c>
      <c r="BJ111" s="363">
        <f>BI112</f>
        <v/>
      </c>
      <c r="BK111" s="395">
        <f>BI111-BJ111</f>
        <v/>
      </c>
      <c r="BL111" s="396">
        <f>BK111/BJ111</f>
        <v/>
      </c>
      <c r="BM111" s="191" t="n"/>
      <c r="BN111" s="182" t="n"/>
      <c r="BO111" s="364" t="n"/>
      <c r="BP111" s="365">
        <f>C111</f>
        <v/>
      </c>
      <c r="BQ111" s="694" t="n">
        <v>1162362.3921</v>
      </c>
      <c r="BR111" s="365">
        <f>BQ112</f>
        <v/>
      </c>
      <c r="BS111" s="390">
        <f>BQ111-BR111</f>
        <v/>
      </c>
      <c r="BT111" s="391">
        <f>BS111/BR111</f>
        <v/>
      </c>
      <c r="BU111" s="182" t="n"/>
      <c r="BV111" s="182" t="n"/>
      <c r="BW111" s="364" t="n"/>
      <c r="BX111" s="365">
        <f>C111</f>
        <v/>
      </c>
      <c r="BY111" s="365" t="n">
        <v>1956160.7019</v>
      </c>
      <c r="BZ111" s="365">
        <f>BY112</f>
        <v/>
      </c>
      <c r="CA111" s="388">
        <f>BY111-BZ111</f>
        <v/>
      </c>
      <c r="CB111" s="389">
        <f>CA111/BZ111</f>
        <v/>
      </c>
      <c r="CC111" s="182" t="n"/>
      <c r="CD111" s="383" t="n"/>
      <c r="CE111" s="364" t="n"/>
      <c r="CF111" s="365">
        <f>C111</f>
        <v/>
      </c>
      <c r="CG111" s="365" t="n">
        <v>1306553.9</v>
      </c>
      <c r="CH111" s="13">
        <f>CG112</f>
        <v/>
      </c>
      <c r="CI111" s="13">
        <f>CG111-CH111</f>
        <v/>
      </c>
      <c r="CJ111" s="193">
        <f>CI111/CH111</f>
        <v/>
      </c>
      <c r="CK111" s="182" t="n"/>
      <c r="CL111" s="366" t="n"/>
      <c r="CM111" s="364" t="n"/>
      <c r="CN111" s="365">
        <f>C111</f>
        <v/>
      </c>
      <c r="CO111" s="365" t="n">
        <v>570946.48</v>
      </c>
      <c r="CP111" s="365">
        <f>CO112</f>
        <v/>
      </c>
      <c r="CQ111" s="13">
        <f>CO111-CP111</f>
        <v/>
      </c>
      <c r="CR111" s="193">
        <f>CQ111/CP111</f>
        <v/>
      </c>
      <c r="CS111" s="366" t="n"/>
      <c r="CT111" s="366" t="n"/>
      <c r="CU111" s="364" t="n"/>
      <c r="CV111" s="365">
        <f>C111</f>
        <v/>
      </c>
      <c r="CW111" s="365" t="n">
        <v>544890.4</v>
      </c>
      <c r="CX111" s="365">
        <f>CW112</f>
        <v/>
      </c>
      <c r="CY111" s="388">
        <f>CW111-CX111</f>
        <v/>
      </c>
      <c r="CZ111" s="389">
        <f>CY111/CX111</f>
        <v/>
      </c>
      <c r="DA111" s="182" t="n"/>
      <c r="DB111" s="182" t="n"/>
      <c r="DC111" s="256" t="n"/>
      <c r="DD111" s="365">
        <f>C111</f>
        <v/>
      </c>
      <c r="DE111" s="365" t="n">
        <v>1662917.9986</v>
      </c>
      <c r="DF111" s="13">
        <f>DE112</f>
        <v/>
      </c>
      <c r="DG111" s="390">
        <f>DE111-DF111</f>
        <v/>
      </c>
      <c r="DH111" s="391">
        <f>DG111/DF111</f>
        <v/>
      </c>
      <c r="DI111" s="182" t="n"/>
      <c r="DJ111" s="182" t="n"/>
      <c r="DK111" s="364" t="n"/>
      <c r="DL111" s="365">
        <f>C111</f>
        <v/>
      </c>
      <c r="DM111" s="365" t="n">
        <v>835700.36</v>
      </c>
      <c r="DN111" s="365">
        <f>DM112</f>
        <v/>
      </c>
      <c r="DO111" s="390">
        <f>DM111-DN111</f>
        <v/>
      </c>
      <c r="DP111" s="391">
        <f>DO111/DN111</f>
        <v/>
      </c>
      <c r="DQ111" s="182" t="n"/>
      <c r="DR111" s="182" t="n"/>
      <c r="DS111" s="364" t="n"/>
      <c r="DT111" s="365">
        <f>C111</f>
        <v/>
      </c>
      <c r="DU111" s="365" t="n">
        <v>1248689.48</v>
      </c>
      <c r="DV111" s="365">
        <f>DU112</f>
        <v/>
      </c>
      <c r="DW111" s="388">
        <f>DU111-DV111</f>
        <v/>
      </c>
      <c r="DX111" s="389">
        <f>DW111/DV111</f>
        <v/>
      </c>
      <c r="DY111" s="182" t="n"/>
      <c r="DZ111" s="182" t="n"/>
      <c r="EA111" s="364" t="n"/>
      <c r="EB111" s="365">
        <f>C111</f>
        <v/>
      </c>
      <c r="EC111" s="365" t="n">
        <v>3350366.82</v>
      </c>
      <c r="ED111" s="365">
        <f>EC112</f>
        <v/>
      </c>
      <c r="EE111" s="388">
        <f>EC111-ED111</f>
        <v/>
      </c>
      <c r="EF111" s="389">
        <f>EE111/ED111</f>
        <v/>
      </c>
      <c r="EG111" s="182" t="n"/>
      <c r="EH111" s="182" t="n"/>
      <c r="EI111" s="364" t="n"/>
      <c r="EJ111" s="365">
        <f>C111</f>
        <v/>
      </c>
      <c r="EK111" s="365" t="n">
        <v>1134922.9669</v>
      </c>
      <c r="EL111" s="365">
        <f>EK112</f>
        <v/>
      </c>
      <c r="EM111" s="388">
        <f>EK111-EL111</f>
        <v/>
      </c>
      <c r="EN111" s="389">
        <f>EM111/EL111</f>
        <v/>
      </c>
      <c r="EO111" s="182" t="n"/>
      <c r="EP111" s="182" t="n"/>
      <c r="EQ111" s="317" t="n"/>
      <c r="ER111" s="318">
        <f>C111</f>
        <v/>
      </c>
      <c r="ES111" s="318" t="n">
        <v>382247.02</v>
      </c>
      <c r="ET111" s="318">
        <f>ES112</f>
        <v/>
      </c>
      <c r="EU111" s="318">
        <f>ES111-ET111</f>
        <v/>
      </c>
      <c r="EV111" s="327">
        <f>EU111/ET111</f>
        <v/>
      </c>
      <c r="EW111" s="182" t="n"/>
      <c r="EX111" s="182" t="n"/>
      <c r="EY111" s="364" t="n"/>
      <c r="EZ111" s="365">
        <f>C111</f>
        <v/>
      </c>
      <c r="FA111" s="365" t="n">
        <v>560008</v>
      </c>
      <c r="FB111" s="365">
        <f>FA112</f>
        <v/>
      </c>
      <c r="FC111" s="388">
        <f>FA111-FB111</f>
        <v/>
      </c>
      <c r="FD111" s="389">
        <f>FC111/FB111</f>
        <v/>
      </c>
      <c r="FE111" s="182" t="n"/>
      <c r="FF111" s="182" t="n"/>
      <c r="FG111" s="182" t="n"/>
      <c r="FH111" s="365">
        <f>C111</f>
        <v/>
      </c>
      <c r="FI111" s="694" t="n">
        <v>1092795.3365</v>
      </c>
      <c r="FJ111" s="365">
        <f>FI112</f>
        <v/>
      </c>
      <c r="FK111" s="325">
        <f>FI111-FJ111</f>
        <v/>
      </c>
      <c r="FL111" s="326">
        <f>FK111/FJ111</f>
        <v/>
      </c>
      <c r="FM111" s="366" t="n"/>
      <c r="FN111" s="366" t="n"/>
      <c r="FO111" s="364" t="n"/>
      <c r="FP111" s="365">
        <f>C111</f>
        <v/>
      </c>
      <c r="FQ111" s="365" t="n">
        <v>1630918.73</v>
      </c>
      <c r="FR111" s="365">
        <f>FQ112</f>
        <v/>
      </c>
      <c r="FS111" s="390">
        <f>FQ111-FR111</f>
        <v/>
      </c>
      <c r="FT111" s="391">
        <f>FS111/FR111</f>
        <v/>
      </c>
      <c r="FU111" s="182" t="n"/>
      <c r="FV111" s="182" t="n"/>
      <c r="FW111" s="364" t="n"/>
      <c r="FX111" s="365">
        <f>C111</f>
        <v/>
      </c>
      <c r="FY111" s="365" t="n">
        <v>8653582.050000001</v>
      </c>
      <c r="FZ111" s="365">
        <f>FY112</f>
        <v/>
      </c>
      <c r="GA111" s="388">
        <f>FY111-FZ111</f>
        <v/>
      </c>
      <c r="GB111" s="389">
        <f>GA111/FZ111</f>
        <v/>
      </c>
      <c r="GC111" s="182" t="n"/>
      <c r="GD111" s="182" t="n"/>
      <c r="GE111" s="364" t="n"/>
      <c r="GF111" s="365">
        <f>C111</f>
        <v/>
      </c>
      <c r="GG111" s="365" t="n">
        <v>5135969.49</v>
      </c>
      <c r="GH111" s="365">
        <f>GG112</f>
        <v/>
      </c>
      <c r="GI111" s="388">
        <f>GG111-GH111</f>
        <v/>
      </c>
      <c r="GJ111" s="389">
        <f>GI111/GH111</f>
        <v/>
      </c>
      <c r="GK111" s="182" t="n"/>
      <c r="GL111" s="182" t="n"/>
      <c r="GM111" s="364" t="n"/>
      <c r="GN111" s="365">
        <f>C111</f>
        <v/>
      </c>
      <c r="GO111" s="365" t="n">
        <v>1928818.1217</v>
      </c>
      <c r="GP111" s="365">
        <f>GO112</f>
        <v/>
      </c>
      <c r="GQ111" s="388">
        <f>GO111-GP111</f>
        <v/>
      </c>
      <c r="GR111" s="389">
        <f>GQ111/GP111</f>
        <v/>
      </c>
      <c r="GS111" s="182" t="n"/>
      <c r="GT111" s="182" t="n"/>
      <c r="GU111" s="364" t="n"/>
      <c r="GV111" s="365">
        <f>C111</f>
        <v/>
      </c>
      <c r="GW111" s="365" t="n">
        <v>728949.4</v>
      </c>
      <c r="GX111" s="365">
        <f>GW112</f>
        <v/>
      </c>
      <c r="GY111" s="388">
        <f>GW111-GX111</f>
        <v/>
      </c>
      <c r="GZ111" s="389">
        <f>GY111/GX111</f>
        <v/>
      </c>
      <c r="HA111" s="182" t="n"/>
      <c r="HB111" s="182" t="n"/>
      <c r="HC111" s="364" t="n"/>
      <c r="HD111" s="365">
        <f>C111</f>
        <v/>
      </c>
      <c r="HE111" s="365" t="n">
        <v>980464.6746</v>
      </c>
      <c r="HF111" s="365">
        <f>HE112</f>
        <v/>
      </c>
      <c r="HG111" s="388">
        <f>HE111-HF111</f>
        <v/>
      </c>
      <c r="HH111" s="389">
        <f>HG111/HF111</f>
        <v/>
      </c>
      <c r="HI111" s="366" t="n"/>
      <c r="HJ111" s="182" t="n"/>
      <c r="HK111" s="364" t="n"/>
      <c r="HL111" s="365">
        <f>C111</f>
        <v/>
      </c>
      <c r="HM111" s="365" t="n">
        <v>119254.25</v>
      </c>
      <c r="HN111" s="365">
        <f>HM112</f>
        <v/>
      </c>
      <c r="HO111" s="388">
        <f>HM111-HN111</f>
        <v/>
      </c>
      <c r="HP111" s="389">
        <f>HO111/HN111</f>
        <v/>
      </c>
      <c r="HQ111" s="182" t="n"/>
      <c r="HR111" s="182" t="n"/>
      <c r="HS111" s="364" t="n"/>
      <c r="HT111" s="365">
        <f>C111</f>
        <v/>
      </c>
      <c r="HU111" s="365" t="n">
        <v>163568.8265</v>
      </c>
      <c r="HV111" s="365">
        <f>HU112</f>
        <v/>
      </c>
      <c r="HW111" s="388">
        <f>HU111-HV111</f>
        <v/>
      </c>
      <c r="HX111" s="389">
        <f>HW111/HV111</f>
        <v/>
      </c>
      <c r="HY111" s="182" t="n"/>
      <c r="HZ111" s="182" t="n"/>
      <c r="IA111" s="364" t="n"/>
      <c r="IB111" s="365">
        <f>C111</f>
        <v/>
      </c>
      <c r="IC111" s="365" t="n">
        <v>336309.79</v>
      </c>
      <c r="ID111" s="365">
        <f>IC112</f>
        <v/>
      </c>
      <c r="IE111" s="365">
        <f>IC111-ID111</f>
        <v/>
      </c>
      <c r="IF111" s="366">
        <f>IE111/ID111</f>
        <v/>
      </c>
      <c r="IG111" s="366" t="n"/>
      <c r="IH111" s="182" t="n"/>
      <c r="II111" s="364" t="n"/>
      <c r="IJ111" s="365">
        <f>C111</f>
        <v/>
      </c>
      <c r="IK111" s="365" t="n">
        <v>945036.29</v>
      </c>
      <c r="IL111" s="365">
        <f>IK112</f>
        <v/>
      </c>
      <c r="IM111" s="388">
        <f>IK111-IL111</f>
        <v/>
      </c>
      <c r="IN111" s="389">
        <f>IM111/IL111</f>
        <v/>
      </c>
      <c r="IO111" s="182" t="n"/>
      <c r="IP111" s="182" t="n"/>
      <c r="IQ111" s="364" t="n"/>
      <c r="IR111" s="365">
        <f>C111</f>
        <v/>
      </c>
      <c r="IS111" s="365" t="n">
        <v>136789</v>
      </c>
      <c r="IT111" s="365">
        <f>IS112</f>
        <v/>
      </c>
      <c r="IU111" s="384">
        <f>IS111-IT111</f>
        <v/>
      </c>
      <c r="IV111" s="383">
        <f>IU111/IT111</f>
        <v/>
      </c>
      <c r="IW111" s="182" t="n"/>
      <c r="IX111" s="182" t="n"/>
      <c r="IY111" s="364" t="n"/>
      <c r="IZ111" s="365">
        <f>C111</f>
        <v/>
      </c>
      <c r="JA111" s="365" t="n">
        <v>5380529.15</v>
      </c>
      <c r="JB111" s="365">
        <f>JA112</f>
        <v/>
      </c>
      <c r="JC111" s="388">
        <f>JA111-JB111</f>
        <v/>
      </c>
      <c r="JD111" s="389">
        <f>JC111/JB111</f>
        <v/>
      </c>
      <c r="JE111" s="182" t="n"/>
      <c r="JF111" s="182" t="n"/>
      <c r="JG111" s="364" t="n"/>
      <c r="JH111" s="365">
        <f>C111</f>
        <v/>
      </c>
      <c r="JI111" s="365" t="n">
        <v>1451967.99</v>
      </c>
      <c r="JJ111" s="365">
        <f>JI112</f>
        <v/>
      </c>
      <c r="JK111" s="388">
        <f>JI111-JJ111</f>
        <v/>
      </c>
      <c r="JL111" s="389">
        <f>JK111/JJ111</f>
        <v/>
      </c>
      <c r="JM111" s="182" t="n"/>
      <c r="JN111" s="182" t="n"/>
      <c r="JO111" s="182" t="n"/>
      <c r="JP111" s="365">
        <f>C111</f>
        <v/>
      </c>
      <c r="JQ111" s="365" t="n">
        <v>1022590.4148</v>
      </c>
      <c r="JR111" s="365">
        <f>JQ112</f>
        <v/>
      </c>
      <c r="JS111" s="390">
        <f>JQ111-JR111</f>
        <v/>
      </c>
      <c r="JT111" s="391">
        <f>JS111/JR111</f>
        <v/>
      </c>
      <c r="JU111" s="182" t="n"/>
      <c r="JV111" s="182" t="n"/>
      <c r="JW111" s="383" t="n"/>
      <c r="JX111" s="365">
        <f>C111</f>
        <v/>
      </c>
      <c r="JY111" s="365" t="n">
        <v>1111648.8</v>
      </c>
      <c r="JZ111" s="365">
        <f>JY112</f>
        <v/>
      </c>
      <c r="KA111" s="390">
        <f>JY111-JZ111</f>
        <v/>
      </c>
      <c r="KB111" s="391">
        <f>KA111/JZ111</f>
        <v/>
      </c>
      <c r="KC111" s="182" t="n"/>
      <c r="KD111" s="383" t="n"/>
      <c r="KF111" s="365">
        <f>C111</f>
        <v/>
      </c>
      <c r="KG111" s="365" t="n">
        <v>662555.9219</v>
      </c>
      <c r="KH111" s="365">
        <f>KG112</f>
        <v/>
      </c>
      <c r="KI111" s="384">
        <f>KG111-KH111</f>
        <v/>
      </c>
      <c r="KJ111" s="383">
        <f>KI111/KH111</f>
        <v/>
      </c>
      <c r="KK111" s="366" t="n"/>
      <c r="KL111" s="366" t="n"/>
      <c r="KM111" s="364" t="n"/>
      <c r="KN111" s="365">
        <f>C111</f>
        <v/>
      </c>
      <c r="KO111" s="365" t="n">
        <v>7553775.95</v>
      </c>
      <c r="KP111" s="365">
        <f>KO112</f>
        <v/>
      </c>
      <c r="KQ111" s="390">
        <f>KO111-KP111</f>
        <v/>
      </c>
      <c r="KR111" s="391">
        <f>KQ111/KP111</f>
        <v/>
      </c>
      <c r="KS111" s="182" t="n"/>
      <c r="KT111" s="182" t="n"/>
      <c r="KU111" s="364" t="n"/>
      <c r="KV111" s="365">
        <f>C111</f>
        <v/>
      </c>
      <c r="KW111" s="365" t="n">
        <v>1079572.9726</v>
      </c>
      <c r="KX111" s="365">
        <f>KW112</f>
        <v/>
      </c>
      <c r="KY111" s="365">
        <f>KW111-KX111</f>
        <v/>
      </c>
      <c r="KZ111" s="366">
        <f>KY111/KX111</f>
        <v/>
      </c>
      <c r="LA111" s="366" t="n"/>
      <c r="LB111" s="182" t="n"/>
      <c r="LC111" s="364" t="n"/>
      <c r="LD111" s="365">
        <f>C111</f>
        <v/>
      </c>
      <c r="LE111" s="365" t="n">
        <v>408757.7</v>
      </c>
      <c r="LF111" s="365">
        <f>LE112</f>
        <v/>
      </c>
      <c r="LG111" s="388">
        <f>LE111-LF111</f>
        <v/>
      </c>
      <c r="LH111" s="389">
        <f>LG111/LF111</f>
        <v/>
      </c>
      <c r="LI111" s="182" t="n"/>
      <c r="LJ111" s="182" t="n"/>
      <c r="LK111" s="364" t="n"/>
      <c r="LL111" s="365">
        <f>C111</f>
        <v/>
      </c>
      <c r="LM111" s="694" t="n">
        <v>3417055.02</v>
      </c>
      <c r="LN111" s="365">
        <f>LM112</f>
        <v/>
      </c>
      <c r="LO111" s="390">
        <f>LM111-LN111</f>
        <v/>
      </c>
      <c r="LP111" s="391">
        <f>LO111/LN111</f>
        <v/>
      </c>
      <c r="LQ111" s="182" t="n"/>
      <c r="LR111" s="182" t="n"/>
      <c r="LS111" s="364" t="n"/>
      <c r="LT111" s="365">
        <f>C111</f>
        <v/>
      </c>
      <c r="LU111" s="365" t="n">
        <v>2370262.904</v>
      </c>
      <c r="LV111" s="365">
        <f>LU112</f>
        <v/>
      </c>
      <c r="LW111" s="384">
        <f>LU111-LV111</f>
        <v/>
      </c>
      <c r="LX111" s="383">
        <f>LW111/LV111</f>
        <v/>
      </c>
      <c r="LY111" s="182" t="n"/>
      <c r="LZ111" s="182" t="n"/>
      <c r="MA111" s="364" t="n"/>
      <c r="MB111" s="365">
        <f>C111</f>
        <v/>
      </c>
      <c r="MC111" s="365" t="n">
        <v>1179717.69</v>
      </c>
      <c r="MD111" s="365">
        <f>MC112</f>
        <v/>
      </c>
      <c r="ME111" s="388">
        <f>MC111-MD111</f>
        <v/>
      </c>
      <c r="MF111" s="389">
        <f>ME111/MD111</f>
        <v/>
      </c>
      <c r="MG111" s="182" t="n"/>
      <c r="MH111" s="182" t="n"/>
      <c r="MI111" s="319" t="n"/>
      <c r="MJ111" s="318" t="n"/>
      <c r="MK111" s="318">
        <f>C111</f>
        <v/>
      </c>
      <c r="ML111" s="318" t="n">
        <v>170385.5354</v>
      </c>
      <c r="MM111" s="13">
        <f>ML112</f>
        <v/>
      </c>
      <c r="MN111" s="318">
        <f>ML111-MM111</f>
        <v/>
      </c>
      <c r="MO111" s="327">
        <f>MN111/MM111</f>
        <v/>
      </c>
      <c r="MP111" s="182" t="n"/>
      <c r="MQ111" s="369" t="n"/>
      <c r="MR111" s="369" t="n"/>
      <c r="MS111" s="188" t="n"/>
      <c r="MT111" s="274">
        <f>C111</f>
        <v/>
      </c>
      <c r="MU111" s="188" t="n">
        <v>155214.8</v>
      </c>
      <c r="MV111" s="188">
        <f>MU112</f>
        <v/>
      </c>
      <c r="MW111" s="188">
        <f>MU111-MV111</f>
        <v/>
      </c>
      <c r="MX111" s="271">
        <f>MW111/MV111</f>
        <v/>
      </c>
      <c r="MY111" s="182" t="n"/>
      <c r="MZ111" s="182" t="n"/>
      <c r="NA111" s="182" t="n"/>
      <c r="NB111" s="188" t="n"/>
      <c r="NC111" s="188">
        <f>C111</f>
        <v/>
      </c>
      <c r="ND111" s="188" t="n">
        <v>40091.48</v>
      </c>
      <c r="NE111" s="188">
        <f>ND112</f>
        <v/>
      </c>
      <c r="NF111" s="188">
        <f>ND111-NE111</f>
        <v/>
      </c>
      <c r="NG111" s="271">
        <f>NF111/NE111</f>
        <v/>
      </c>
      <c r="NH111" s="182" t="n"/>
      <c r="NI111" s="182" t="n"/>
      <c r="NJ111" s="182" t="n"/>
      <c r="NK111" s="182" t="n"/>
      <c r="NL111" s="188" t="n"/>
      <c r="NM111" s="188">
        <f>C111</f>
        <v/>
      </c>
      <c r="NN111" s="188" t="n">
        <v>2854711.08</v>
      </c>
      <c r="NO111" s="9">
        <f>NN112</f>
        <v/>
      </c>
      <c r="NP111" s="188">
        <f>NN111-NO111</f>
        <v/>
      </c>
      <c r="NQ111" s="271">
        <f>NP111/NO111</f>
        <v/>
      </c>
      <c r="NR111" s="272" t="n"/>
      <c r="NS111" s="188" t="n"/>
      <c r="NT111" s="273" t="n"/>
      <c r="NU111" s="188">
        <f>C111</f>
        <v/>
      </c>
      <c r="NV111" s="188" t="n">
        <v>266676.5</v>
      </c>
      <c r="NW111" s="188">
        <f>NV112</f>
        <v/>
      </c>
      <c r="NX111" s="188">
        <f>NV111-NW111</f>
        <v/>
      </c>
      <c r="NY111" s="271">
        <f>NX111/NW111</f>
        <v/>
      </c>
      <c r="NZ111" s="366" t="n"/>
      <c r="OA111" s="364" t="n"/>
      <c r="OB111" s="364" t="n"/>
      <c r="OC111" s="365">
        <f>C111</f>
        <v/>
      </c>
      <c r="OD111" s="365" t="n">
        <v>18200.97</v>
      </c>
      <c r="OE111" s="365">
        <f>OD112</f>
        <v/>
      </c>
      <c r="OF111" s="388">
        <f>OD111-OE111</f>
        <v/>
      </c>
      <c r="OG111" s="389">
        <f>OF111/OE111</f>
        <v/>
      </c>
      <c r="OH111" s="182" t="n"/>
      <c r="OI111" s="182" t="n"/>
      <c r="OJ111" s="364" t="n"/>
      <c r="OK111" s="365">
        <f>C111</f>
        <v/>
      </c>
      <c r="OL111" s="0" t="n">
        <v>15330.65</v>
      </c>
      <c r="OM111" s="0">
        <f>OL112</f>
        <v/>
      </c>
      <c r="ON111" s="0">
        <f>OL111-OM111</f>
        <v/>
      </c>
      <c r="OO111" s="182">
        <f>ON111/OM111</f>
        <v/>
      </c>
      <c r="OP111" s="182" t="n"/>
      <c r="OQ111" s="182" t="n"/>
      <c r="OT111" s="25">
        <f>OK111</f>
        <v/>
      </c>
      <c r="OU111" s="199" t="n">
        <v>149232.4066</v>
      </c>
      <c r="OV111" s="9">
        <f>OU112</f>
        <v/>
      </c>
      <c r="OW111" s="671">
        <f>OU111-OV111</f>
        <v/>
      </c>
      <c r="OX111" s="182">
        <f>OW111/OV111</f>
        <v/>
      </c>
    </row>
    <row r="112" ht="17" customFormat="1" customHeight="1" s="9">
      <c r="A112" s="631" t="n"/>
      <c r="B112" s="631" t="n"/>
      <c r="C112" s="693" t="inlineStr">
        <is>
          <t>2026//6/8</t>
        </is>
      </c>
      <c r="D112" s="362" t="n">
        <v>2848188.77</v>
      </c>
      <c r="E112" s="362">
        <f>D113</f>
        <v/>
      </c>
      <c r="F112" s="377">
        <f>D112-E112</f>
        <v/>
      </c>
      <c r="G112" s="378">
        <f>F112/E112</f>
        <v/>
      </c>
      <c r="H112" s="19" t="n"/>
      <c r="I112" s="426" t="n"/>
      <c r="J112" s="426" t="n"/>
      <c r="K112" s="362">
        <f>C112</f>
        <v/>
      </c>
      <c r="L112" s="362" t="n">
        <v>2229994.4</v>
      </c>
      <c r="M112" s="362">
        <f>L113</f>
        <v/>
      </c>
      <c r="N112" s="432">
        <f>L112-M112</f>
        <v/>
      </c>
      <c r="O112" s="433">
        <f>N112/M112</f>
        <v/>
      </c>
      <c r="P112" s="19" t="n"/>
      <c r="Q112" s="426" t="n"/>
      <c r="R112" s="427" t="n"/>
      <c r="S112" s="362">
        <f>C112</f>
        <v/>
      </c>
      <c r="T112" s="362" t="n">
        <v>811506.6800000001</v>
      </c>
      <c r="U112" s="362">
        <f>T113</f>
        <v/>
      </c>
      <c r="V112" s="377">
        <f>T112-U112</f>
        <v/>
      </c>
      <c r="W112" s="378">
        <f>V112/U112</f>
        <v/>
      </c>
      <c r="X112" s="19" t="n"/>
      <c r="Y112" s="426" t="n"/>
      <c r="Z112" s="427" t="n"/>
      <c r="AA112" s="362">
        <f>S112</f>
        <v/>
      </c>
      <c r="AB112" s="362" t="n">
        <v>459336.86</v>
      </c>
      <c r="AC112" s="362">
        <f>AB113</f>
        <v/>
      </c>
      <c r="AD112" s="377">
        <f>AB112-AC112</f>
        <v/>
      </c>
      <c r="AE112" s="378">
        <f>AD112/AC112</f>
        <v/>
      </c>
      <c r="AF112" s="19" t="n"/>
      <c r="AG112" s="426" t="n"/>
      <c r="AH112" s="427" t="n"/>
      <c r="AI112" s="362">
        <f>C112</f>
        <v/>
      </c>
      <c r="AJ112" s="362" t="n">
        <v>422321.76</v>
      </c>
      <c r="AK112" s="362">
        <f>AJ113</f>
        <v/>
      </c>
      <c r="AL112" s="432">
        <f>AJ112-AK112</f>
        <v/>
      </c>
      <c r="AM112" s="433">
        <f>AL112/AK112</f>
        <v/>
      </c>
      <c r="AN112" s="19" t="n"/>
      <c r="AO112" s="19" t="n"/>
      <c r="AP112" s="427" t="n"/>
      <c r="AQ112" s="362">
        <f>C112</f>
        <v/>
      </c>
      <c r="AR112" s="697" t="n">
        <v>1082645.4936</v>
      </c>
      <c r="AS112" s="362">
        <f>AR113</f>
        <v/>
      </c>
      <c r="AT112" s="432">
        <f>AR112-AS112</f>
        <v/>
      </c>
      <c r="AU112" s="433">
        <f>AT112/AS112</f>
        <v/>
      </c>
      <c r="AV112" s="19" t="n"/>
      <c r="AW112" s="19" t="n"/>
      <c r="AX112" s="5" t="n"/>
      <c r="AY112" s="188" t="n"/>
      <c r="AZ112" s="188">
        <f>C112</f>
        <v/>
      </c>
      <c r="BA112" s="188" t="n">
        <v>1252101.6676</v>
      </c>
      <c r="BB112" s="188">
        <f>BA113</f>
        <v/>
      </c>
      <c r="BC112" s="188">
        <f>BA112-BB112</f>
        <v/>
      </c>
      <c r="BD112" s="271">
        <f>BC112/BB112</f>
        <v/>
      </c>
      <c r="BE112" s="19" t="n"/>
      <c r="BF112" s="19" t="n"/>
      <c r="BG112" s="647" t="n"/>
      <c r="BH112" s="363">
        <f>C112</f>
        <v/>
      </c>
      <c r="BI112" s="363" t="n">
        <v>1349726.5525</v>
      </c>
      <c r="BJ112" s="363">
        <f>BI113</f>
        <v/>
      </c>
      <c r="BK112" s="395">
        <f>BI112-BJ112</f>
        <v/>
      </c>
      <c r="BL112" s="396">
        <f>BK112/BJ112</f>
        <v/>
      </c>
      <c r="BM112" s="191" t="n"/>
      <c r="BN112" s="182" t="n"/>
      <c r="BO112" s="364" t="n"/>
      <c r="BP112" s="365">
        <f>C112</f>
        <v/>
      </c>
      <c r="BQ112" s="694" t="n">
        <v>1174562.3921</v>
      </c>
      <c r="BR112" s="365">
        <f>BQ113</f>
        <v/>
      </c>
      <c r="BS112" s="390">
        <f>BQ112-BR112</f>
        <v/>
      </c>
      <c r="BT112" s="391">
        <f>BS112/BR112</f>
        <v/>
      </c>
      <c r="BU112" s="182" t="n"/>
      <c r="BV112" s="182" t="n"/>
      <c r="BW112" s="364" t="n"/>
      <c r="BX112" s="365">
        <f>C112</f>
        <v/>
      </c>
      <c r="BY112" s="365" t="n">
        <v>1966760.7019</v>
      </c>
      <c r="BZ112" s="365">
        <f>BY113</f>
        <v/>
      </c>
      <c r="CA112" s="388">
        <f>BY112-BZ112</f>
        <v/>
      </c>
      <c r="CB112" s="389">
        <f>CA112/BZ112</f>
        <v/>
      </c>
      <c r="CC112" s="182" t="n"/>
      <c r="CD112" s="383" t="n"/>
      <c r="CE112" s="364" t="n"/>
      <c r="CF112" s="365">
        <f>C112</f>
        <v/>
      </c>
      <c r="CG112" s="365" t="n">
        <v>1323303.9</v>
      </c>
      <c r="CH112" s="13">
        <f>CG113</f>
        <v/>
      </c>
      <c r="CI112" s="13">
        <f>CG112-CH112</f>
        <v/>
      </c>
      <c r="CJ112" s="193">
        <f>CI112/CH112</f>
        <v/>
      </c>
      <c r="CK112" s="182" t="n"/>
      <c r="CL112" s="366" t="n"/>
      <c r="CM112" s="364" t="n"/>
      <c r="CN112" s="365">
        <f>C112</f>
        <v/>
      </c>
      <c r="CO112" s="365" t="n">
        <v>570246.48</v>
      </c>
      <c r="CP112" s="365">
        <f>CO113</f>
        <v/>
      </c>
      <c r="CQ112" s="13">
        <f>CO112-CP112</f>
        <v/>
      </c>
      <c r="CR112" s="193">
        <f>CQ112/CP112</f>
        <v/>
      </c>
      <c r="CS112" s="366" t="n"/>
      <c r="CT112" s="366" t="n"/>
      <c r="CU112" s="364" t="n"/>
      <c r="CV112" s="365">
        <f>C112</f>
        <v/>
      </c>
      <c r="CW112" s="365" t="n">
        <v>554890.4</v>
      </c>
      <c r="CX112" s="365">
        <f>CW113</f>
        <v/>
      </c>
      <c r="CY112" s="390">
        <f>CW112-CX112</f>
        <v/>
      </c>
      <c r="CZ112" s="391">
        <f>CY112/CX112</f>
        <v/>
      </c>
      <c r="DA112" s="182" t="n"/>
      <c r="DB112" s="182" t="n"/>
      <c r="DC112" s="256" t="n"/>
      <c r="DD112" s="365">
        <f>C112</f>
        <v/>
      </c>
      <c r="DE112" s="365" t="n">
        <v>1651517.9986</v>
      </c>
      <c r="DF112" s="13">
        <f>DE113</f>
        <v/>
      </c>
      <c r="DG112" s="390">
        <f>DE112-DF112</f>
        <v/>
      </c>
      <c r="DH112" s="391">
        <f>DG112/DF112</f>
        <v/>
      </c>
      <c r="DI112" s="182" t="n"/>
      <c r="DJ112" s="182" t="n"/>
      <c r="DK112" s="364" t="n"/>
      <c r="DL112" s="365">
        <f>C112</f>
        <v/>
      </c>
      <c r="DM112" s="365" t="n">
        <v>845500.36</v>
      </c>
      <c r="DN112" s="365">
        <f>DM113</f>
        <v/>
      </c>
      <c r="DO112" s="390">
        <f>DM112-DN112</f>
        <v/>
      </c>
      <c r="DP112" s="391">
        <f>DO112/DN112</f>
        <v/>
      </c>
      <c r="DQ112" s="182" t="n"/>
      <c r="DR112" s="182" t="n"/>
      <c r="DS112" s="364" t="n"/>
      <c r="DT112" s="365">
        <f>C112</f>
        <v/>
      </c>
      <c r="DU112" s="365" t="n">
        <v>1277489.48</v>
      </c>
      <c r="DV112" s="365">
        <f>DU113</f>
        <v/>
      </c>
      <c r="DW112" s="390">
        <f>DU112-DV112</f>
        <v/>
      </c>
      <c r="DX112" s="391">
        <f>DW112/DV112</f>
        <v/>
      </c>
      <c r="DY112" s="182" t="n"/>
      <c r="DZ112" s="182" t="n"/>
      <c r="EA112" s="364" t="n"/>
      <c r="EB112" s="365">
        <f>C112</f>
        <v/>
      </c>
      <c r="EC112" s="365" t="n">
        <v>3441266.82</v>
      </c>
      <c r="ED112" s="365">
        <f>EC113</f>
        <v/>
      </c>
      <c r="EE112" s="390">
        <f>EC112-ED112</f>
        <v/>
      </c>
      <c r="EF112" s="391">
        <f>EE112/ED112</f>
        <v/>
      </c>
      <c r="EG112" s="182" t="n"/>
      <c r="EH112" s="182" t="n"/>
      <c r="EI112" s="364" t="n"/>
      <c r="EJ112" s="365">
        <f>C112</f>
        <v/>
      </c>
      <c r="EK112" s="365" t="n">
        <v>1145122.9669</v>
      </c>
      <c r="EL112" s="365">
        <f>EK113</f>
        <v/>
      </c>
      <c r="EM112" s="388">
        <f>EK112-EL112</f>
        <v/>
      </c>
      <c r="EN112" s="389">
        <f>EM112/EL112</f>
        <v/>
      </c>
      <c r="EO112" s="182" t="n"/>
      <c r="EP112" s="182" t="n"/>
      <c r="EQ112" s="317" t="n"/>
      <c r="ER112" s="318">
        <f>C112</f>
        <v/>
      </c>
      <c r="ES112" s="318" t="n">
        <v>384347.02</v>
      </c>
      <c r="ET112" s="318">
        <f>ES113</f>
        <v/>
      </c>
      <c r="EU112" s="318">
        <f>ES112-ET112</f>
        <v/>
      </c>
      <c r="EV112" s="327">
        <f>EU112/ET112</f>
        <v/>
      </c>
      <c r="EW112" s="182" t="n"/>
      <c r="EX112" s="182" t="n"/>
      <c r="EY112" s="364" t="n"/>
      <c r="EZ112" s="365">
        <f>C112</f>
        <v/>
      </c>
      <c r="FA112" s="365" t="n">
        <v>566808</v>
      </c>
      <c r="FB112" s="365">
        <f>FA113</f>
        <v/>
      </c>
      <c r="FC112" s="388">
        <f>FA112-FB112</f>
        <v/>
      </c>
      <c r="FD112" s="389">
        <f>FC112/FB112</f>
        <v/>
      </c>
      <c r="FE112" s="182" t="n"/>
      <c r="FF112" s="182" t="n"/>
      <c r="FG112" s="182" t="n"/>
      <c r="FH112" s="365">
        <f>C112</f>
        <v/>
      </c>
      <c r="FI112" s="694" t="n">
        <v>1086995.3365</v>
      </c>
      <c r="FJ112" s="365">
        <f>FI113</f>
        <v/>
      </c>
      <c r="FK112" s="325">
        <f>FI112-FJ112</f>
        <v/>
      </c>
      <c r="FL112" s="326">
        <f>FK112/FJ112</f>
        <v/>
      </c>
      <c r="FM112" s="366" t="n"/>
      <c r="FN112" s="366" t="n"/>
      <c r="FO112" s="364" t="n"/>
      <c r="FP112" s="365">
        <f>C112</f>
        <v/>
      </c>
      <c r="FQ112" s="365" t="n">
        <v>1612468.73</v>
      </c>
      <c r="FR112" s="365">
        <f>FQ113</f>
        <v/>
      </c>
      <c r="FS112" s="390">
        <f>FQ112-FR112</f>
        <v/>
      </c>
      <c r="FT112" s="391">
        <f>FS112/FR112</f>
        <v/>
      </c>
      <c r="FU112" s="182" t="n"/>
      <c r="FV112" s="182" t="n"/>
      <c r="FW112" s="364" t="n"/>
      <c r="FX112" s="365">
        <f>C112</f>
        <v/>
      </c>
      <c r="FY112" s="365" t="n">
        <v>8649782.050000001</v>
      </c>
      <c r="FZ112" s="365">
        <f>FY113</f>
        <v/>
      </c>
      <c r="GA112" s="390">
        <f>FY112-FZ112</f>
        <v/>
      </c>
      <c r="GB112" s="391">
        <f>GA112/FZ112</f>
        <v/>
      </c>
      <c r="GC112" s="182" t="n"/>
      <c r="GD112" s="182" t="n"/>
      <c r="GE112" s="364" t="n"/>
      <c r="GF112" s="365">
        <f>C112</f>
        <v/>
      </c>
      <c r="GG112" s="365" t="n">
        <v>5115669.49</v>
      </c>
      <c r="GH112" s="365">
        <f>GG113</f>
        <v/>
      </c>
      <c r="GI112" s="390">
        <f>GG112-GH112</f>
        <v/>
      </c>
      <c r="GJ112" s="391">
        <f>GI112/GH112</f>
        <v/>
      </c>
      <c r="GK112" s="182" t="n"/>
      <c r="GL112" s="182" t="n"/>
      <c r="GM112" s="364" t="n"/>
      <c r="GN112" s="365">
        <f>C112</f>
        <v/>
      </c>
      <c r="GO112" s="365" t="n">
        <v>1923958.1217</v>
      </c>
      <c r="GP112" s="365">
        <f>GO113</f>
        <v/>
      </c>
      <c r="GQ112" s="390">
        <f>GO112-GP112</f>
        <v/>
      </c>
      <c r="GR112" s="391">
        <f>GQ112/GP112</f>
        <v/>
      </c>
      <c r="GS112" s="182" t="n"/>
      <c r="GT112" s="182" t="n"/>
      <c r="GU112" s="364" t="n"/>
      <c r="GV112" s="365">
        <f>C112</f>
        <v/>
      </c>
      <c r="GW112" s="365" t="n">
        <v>734749.4</v>
      </c>
      <c r="GX112" s="365">
        <f>GW113</f>
        <v/>
      </c>
      <c r="GY112" s="388">
        <f>GW112-GX112</f>
        <v/>
      </c>
      <c r="GZ112" s="389">
        <f>GY112/GX112</f>
        <v/>
      </c>
      <c r="HA112" s="182" t="n"/>
      <c r="HB112" s="182" t="n"/>
      <c r="HC112" s="364" t="n"/>
      <c r="HD112" s="365">
        <f>C112</f>
        <v/>
      </c>
      <c r="HE112" s="365" t="n">
        <v>987464.6746</v>
      </c>
      <c r="HF112" s="365">
        <f>HE113</f>
        <v/>
      </c>
      <c r="HG112" s="390">
        <f>HE112-HF112</f>
        <v/>
      </c>
      <c r="HH112" s="391">
        <f>HG112/HF112</f>
        <v/>
      </c>
      <c r="HI112" s="366" t="n"/>
      <c r="HJ112" s="182" t="n"/>
      <c r="HK112" s="364" t="n"/>
      <c r="HL112" s="365">
        <f>C112</f>
        <v/>
      </c>
      <c r="HM112" s="365" t="n">
        <v>118554.25</v>
      </c>
      <c r="HN112" s="365">
        <f>HM113</f>
        <v/>
      </c>
      <c r="HO112" s="388">
        <f>HM112-HN112</f>
        <v/>
      </c>
      <c r="HP112" s="389">
        <f>HO112/HN112</f>
        <v/>
      </c>
      <c r="HQ112" s="182" t="n"/>
      <c r="HR112" s="182" t="n"/>
      <c r="HS112" s="364" t="n"/>
      <c r="HT112" s="365">
        <f>C112</f>
        <v/>
      </c>
      <c r="HU112" s="365" t="n">
        <v>162868.8265</v>
      </c>
      <c r="HV112" s="365">
        <f>HU113</f>
        <v/>
      </c>
      <c r="HW112" s="388">
        <f>HU112-HV112</f>
        <v/>
      </c>
      <c r="HX112" s="389">
        <f>HW112/HV112</f>
        <v/>
      </c>
      <c r="HY112" s="182" t="n"/>
      <c r="HZ112" s="182" t="n"/>
      <c r="IA112" s="364" t="n"/>
      <c r="IB112" s="365">
        <f>C112</f>
        <v/>
      </c>
      <c r="IC112" s="365" t="n">
        <v>340884.79</v>
      </c>
      <c r="ID112" s="365">
        <f>IC113</f>
        <v/>
      </c>
      <c r="IE112" s="365">
        <f>IC112-ID112</f>
        <v/>
      </c>
      <c r="IF112" s="366">
        <f>IE112/ID112</f>
        <v/>
      </c>
      <c r="IG112" s="366" t="n"/>
      <c r="IH112" s="182" t="n"/>
      <c r="II112" s="364" t="n"/>
      <c r="IJ112" s="365">
        <f>C112</f>
        <v/>
      </c>
      <c r="IK112" s="365" t="n">
        <v>958316.29</v>
      </c>
      <c r="IL112" s="365">
        <f>IK113</f>
        <v/>
      </c>
      <c r="IM112" s="388">
        <f>IK112-IL112</f>
        <v/>
      </c>
      <c r="IN112" s="389">
        <f>IM112/IL112</f>
        <v/>
      </c>
      <c r="IO112" s="182" t="n"/>
      <c r="IP112" s="182" t="n"/>
      <c r="IQ112" s="364" t="n"/>
      <c r="IR112" s="365">
        <f>C112</f>
        <v/>
      </c>
      <c r="IS112" s="365" t="n">
        <v>139489</v>
      </c>
      <c r="IT112" s="365">
        <f>IS113</f>
        <v/>
      </c>
      <c r="IU112" s="388">
        <f>IS112-IT112</f>
        <v/>
      </c>
      <c r="IV112" s="389">
        <f>IU112/IT112</f>
        <v/>
      </c>
      <c r="IW112" s="182" t="n"/>
      <c r="IX112" s="182" t="n"/>
      <c r="IY112" s="364" t="n"/>
      <c r="IZ112" s="365">
        <f>C112</f>
        <v/>
      </c>
      <c r="JA112" s="365" t="n">
        <v>5369929.15</v>
      </c>
      <c r="JB112" s="365">
        <f>JA113</f>
        <v/>
      </c>
      <c r="JC112" s="390">
        <f>JA112-JB112</f>
        <v/>
      </c>
      <c r="JD112" s="391">
        <f>JC112/JB112</f>
        <v/>
      </c>
      <c r="JE112" s="182" t="n"/>
      <c r="JF112" s="182" t="n"/>
      <c r="JG112" s="364" t="n"/>
      <c r="JH112" s="365">
        <f>C112</f>
        <v/>
      </c>
      <c r="JI112" s="365" t="n">
        <v>1417947.99</v>
      </c>
      <c r="JJ112" s="365">
        <f>JI113</f>
        <v/>
      </c>
      <c r="JK112" s="390">
        <f>JI112-JJ112</f>
        <v/>
      </c>
      <c r="JL112" s="391">
        <f>JK112/JJ112</f>
        <v/>
      </c>
      <c r="JM112" s="182" t="n"/>
      <c r="JN112" s="182" t="n"/>
      <c r="JO112" s="182" t="n"/>
      <c r="JP112" s="365">
        <f>C112</f>
        <v/>
      </c>
      <c r="JQ112" s="365" t="n">
        <v>1034190.4148</v>
      </c>
      <c r="JR112" s="365">
        <f>JQ113</f>
        <v/>
      </c>
      <c r="JS112" s="388">
        <f>JQ112-JR112</f>
        <v/>
      </c>
      <c r="JT112" s="389">
        <f>JS112/JR112</f>
        <v/>
      </c>
      <c r="JU112" s="182" t="n"/>
      <c r="JV112" s="182" t="n"/>
      <c r="JW112" s="383" t="n"/>
      <c r="JX112" s="365">
        <f>C112</f>
        <v/>
      </c>
      <c r="JY112" s="365" t="n">
        <v>1120198.8</v>
      </c>
      <c r="JZ112" s="365">
        <f>JY113</f>
        <v/>
      </c>
      <c r="KA112" s="390">
        <f>JY112-JZ112</f>
        <v/>
      </c>
      <c r="KB112" s="383">
        <f>KA112/JZ112</f>
        <v/>
      </c>
      <c r="KC112" s="182" t="n"/>
      <c r="KD112" s="383" t="n"/>
      <c r="KF112" s="365">
        <f>C112</f>
        <v/>
      </c>
      <c r="KG112" s="365" t="n">
        <v>662755.9219</v>
      </c>
      <c r="KH112" s="365">
        <f>KG113</f>
        <v/>
      </c>
      <c r="KI112" s="384">
        <f>KG112-KH112</f>
        <v/>
      </c>
      <c r="KJ112" s="383">
        <f>KI112/KH112</f>
        <v/>
      </c>
      <c r="KK112" s="366" t="n"/>
      <c r="KL112" s="366" t="n"/>
      <c r="KM112" s="364" t="n"/>
      <c r="KN112" s="365">
        <f>C112</f>
        <v/>
      </c>
      <c r="KO112" s="365" t="n">
        <v>7553775.95</v>
      </c>
      <c r="KP112" s="365">
        <f>KO113</f>
        <v/>
      </c>
      <c r="KQ112" s="390">
        <f>KO112-KP112</f>
        <v/>
      </c>
      <c r="KR112" s="391">
        <f>KQ112/KP112</f>
        <v/>
      </c>
      <c r="KS112" s="182" t="n"/>
      <c r="KT112" s="182" t="n"/>
      <c r="KU112" s="364" t="n"/>
      <c r="KV112" s="365">
        <f>C112</f>
        <v/>
      </c>
      <c r="KW112" s="365" t="n">
        <v>1079772.9726</v>
      </c>
      <c r="KX112" s="365">
        <f>KW113</f>
        <v/>
      </c>
      <c r="KY112" s="325">
        <f>KW112-KX112</f>
        <v/>
      </c>
      <c r="KZ112" s="326">
        <f>KY112/KX112</f>
        <v/>
      </c>
      <c r="LA112" s="326" t="n"/>
      <c r="LB112" s="182" t="n"/>
      <c r="LC112" s="364" t="n"/>
      <c r="LD112" s="365">
        <f>C112</f>
        <v/>
      </c>
      <c r="LE112" s="365" t="n">
        <v>409007.7</v>
      </c>
      <c r="LF112" s="365">
        <f>LE113</f>
        <v/>
      </c>
      <c r="LG112" s="388">
        <f>LE112-LF112</f>
        <v/>
      </c>
      <c r="LH112" s="389">
        <f>LG112/LF112</f>
        <v/>
      </c>
      <c r="LI112" s="182" t="n"/>
      <c r="LJ112" s="182" t="n"/>
      <c r="LK112" s="364" t="n"/>
      <c r="LL112" s="365">
        <f>C112</f>
        <v/>
      </c>
      <c r="LM112" s="694" t="n">
        <v>3434335.02</v>
      </c>
      <c r="LN112" s="365">
        <f>LM113</f>
        <v/>
      </c>
      <c r="LO112" s="388">
        <f>LM112-LN112</f>
        <v/>
      </c>
      <c r="LP112" s="389">
        <f>LO112/LN112</f>
        <v/>
      </c>
      <c r="LQ112" s="182" t="n"/>
      <c r="LR112" s="182" t="n"/>
      <c r="LS112" s="364" t="n"/>
      <c r="LT112" s="365">
        <f>C112</f>
        <v/>
      </c>
      <c r="LU112" s="365" t="n">
        <v>2378262.904</v>
      </c>
      <c r="LV112" s="365">
        <f>LU113</f>
        <v/>
      </c>
      <c r="LW112" s="390">
        <f>LU112-LV112</f>
        <v/>
      </c>
      <c r="LX112" s="391">
        <f>LW112/LV112</f>
        <v/>
      </c>
      <c r="LY112" s="182" t="n"/>
      <c r="LZ112" s="182" t="n"/>
      <c r="MA112" s="364" t="n"/>
      <c r="MB112" s="365">
        <f>C112</f>
        <v/>
      </c>
      <c r="MC112" s="365" t="n">
        <v>1186167.69</v>
      </c>
      <c r="MD112" s="365">
        <f>MC113</f>
        <v/>
      </c>
      <c r="ME112" s="388">
        <f>MC112-MD112</f>
        <v/>
      </c>
      <c r="MF112" s="389">
        <f>ME112/MD112</f>
        <v/>
      </c>
      <c r="MG112" s="182" t="n"/>
      <c r="MH112" s="182" t="n"/>
      <c r="MI112" s="319" t="n"/>
      <c r="MJ112" s="318" t="n"/>
      <c r="MK112" s="318">
        <f>C112</f>
        <v/>
      </c>
      <c r="ML112" s="318" t="n">
        <v>171825.5354</v>
      </c>
      <c r="MM112" s="13">
        <f>ML113</f>
        <v/>
      </c>
      <c r="MN112" s="318">
        <f>ML112-MM112</f>
        <v/>
      </c>
      <c r="MO112" s="327">
        <f>MN112/MM112</f>
        <v/>
      </c>
      <c r="MP112" s="182" t="n"/>
      <c r="MQ112" s="369" t="n"/>
      <c r="MR112" s="369" t="n"/>
      <c r="MS112" s="188" t="n"/>
      <c r="MT112" s="274">
        <f>C112</f>
        <v/>
      </c>
      <c r="MU112" s="188" t="n">
        <v>156714.8</v>
      </c>
      <c r="MV112" s="188">
        <f>MU113</f>
        <v/>
      </c>
      <c r="MW112" s="188">
        <f>MU112-MV112</f>
        <v/>
      </c>
      <c r="MX112" s="271">
        <f>MW112/MV112</f>
        <v/>
      </c>
      <c r="MY112" s="182" t="n"/>
      <c r="MZ112" s="182" t="n"/>
      <c r="NA112" s="182" t="n"/>
      <c r="NB112" s="188" t="n"/>
      <c r="NC112" s="188">
        <f>C112</f>
        <v/>
      </c>
      <c r="ND112" s="188" t="n">
        <v>40091.48</v>
      </c>
      <c r="NE112" s="188">
        <f>ND113</f>
        <v/>
      </c>
      <c r="NF112" s="188">
        <f>ND112-NE112</f>
        <v/>
      </c>
      <c r="NG112" s="271">
        <f>NF112/NE112</f>
        <v/>
      </c>
      <c r="NH112" s="182" t="n"/>
      <c r="NI112" s="182" t="n"/>
      <c r="NJ112" s="182" t="n"/>
      <c r="NK112" s="182" t="n"/>
      <c r="NL112" s="9" t="n"/>
      <c r="NM112" s="9">
        <f>C112</f>
        <v/>
      </c>
      <c r="NN112" s="188" t="n">
        <v>2847211.08</v>
      </c>
      <c r="NO112" s="188">
        <f>NN113</f>
        <v/>
      </c>
      <c r="NP112" s="188">
        <f>NN112-NO112</f>
        <v/>
      </c>
      <c r="NQ112" s="271">
        <f>NP112/NO112</f>
        <v/>
      </c>
      <c r="NR112" s="182" t="n"/>
      <c r="NS112" s="9" t="n"/>
      <c r="NU112" s="9">
        <f>C112</f>
        <v/>
      </c>
      <c r="NV112" s="188" t="n">
        <v>267276.5</v>
      </c>
      <c r="NW112" s="364">
        <f>NV113</f>
        <v/>
      </c>
      <c r="NX112" s="188">
        <f>NV112-NW112</f>
        <v/>
      </c>
      <c r="NY112" s="271">
        <f>NX112/NW112</f>
        <v/>
      </c>
      <c r="NZ112" s="366" t="n"/>
      <c r="OA112" s="364" t="n"/>
      <c r="OB112" s="364" t="n"/>
      <c r="OC112" s="365">
        <f>C112</f>
        <v/>
      </c>
      <c r="OD112" s="365" t="n">
        <v>17855.97</v>
      </c>
      <c r="OE112" s="365">
        <f>OD113</f>
        <v/>
      </c>
      <c r="OF112" s="388">
        <f>OD112-OE112</f>
        <v/>
      </c>
      <c r="OG112" s="389">
        <f>OF112/OE112</f>
        <v/>
      </c>
      <c r="OH112" s="182" t="n"/>
      <c r="OI112" s="182" t="n"/>
      <c r="OJ112" s="364" t="n"/>
      <c r="OK112" s="365">
        <f>C112</f>
        <v/>
      </c>
      <c r="OL112" s="0" t="n">
        <v>15358.65</v>
      </c>
      <c r="OM112" s="0">
        <f>OL113</f>
        <v/>
      </c>
      <c r="ON112" s="0">
        <f>OL112-OM112</f>
        <v/>
      </c>
      <c r="OO112" s="182">
        <f>ON112/OM112</f>
        <v/>
      </c>
      <c r="OP112" s="182" t="n"/>
      <c r="OQ112" s="182" t="n"/>
      <c r="OT112" s="25">
        <f>OK112</f>
        <v/>
      </c>
      <c r="OU112" s="199" t="n">
        <v>149112.4066</v>
      </c>
      <c r="OV112" s="9">
        <f>OU113</f>
        <v/>
      </c>
      <c r="OW112" s="671">
        <f>OU112-OV112</f>
        <v/>
      </c>
      <c r="OX112" s="182">
        <f>OW112/OV112</f>
        <v/>
      </c>
    </row>
    <row r="113" ht="17" customFormat="1" customHeight="1" s="9">
      <c r="A113" s="631" t="n"/>
      <c r="B113" s="631" t="n"/>
      <c r="C113" s="693" t="inlineStr">
        <is>
          <t>2026//6/05</t>
        </is>
      </c>
      <c r="D113" s="362" t="n">
        <v>2790498.77</v>
      </c>
      <c r="E113" s="362">
        <f>D114</f>
        <v/>
      </c>
      <c r="F113" s="377">
        <f>D113-E113</f>
        <v/>
      </c>
      <c r="G113" s="378">
        <f>F113/E113</f>
        <v/>
      </c>
      <c r="H113" s="19" t="n"/>
      <c r="I113" s="426" t="n"/>
      <c r="J113" s="426" t="n"/>
      <c r="K113" s="362">
        <f>C113</f>
        <v/>
      </c>
      <c r="L113" s="362" t="n">
        <v>2199574.4</v>
      </c>
      <c r="M113" s="362">
        <f>L114</f>
        <v/>
      </c>
      <c r="N113" s="377">
        <f>L113-M113</f>
        <v/>
      </c>
      <c r="O113" s="378">
        <f>N113/M113</f>
        <v/>
      </c>
      <c r="P113" s="19" t="n"/>
      <c r="Q113" s="426" t="n"/>
      <c r="R113" s="427" t="n"/>
      <c r="S113" s="362">
        <f>C113</f>
        <v/>
      </c>
      <c r="T113" s="362" t="n">
        <v>766146.6800000001</v>
      </c>
      <c r="U113" s="362">
        <f>T114</f>
        <v/>
      </c>
      <c r="V113" s="377">
        <f>T113-U113</f>
        <v/>
      </c>
      <c r="W113" s="378">
        <f>V113/U113</f>
        <v/>
      </c>
      <c r="X113" s="19" t="n"/>
      <c r="Y113" s="426" t="n"/>
      <c r="Z113" s="427" t="n"/>
      <c r="AA113" s="362">
        <f>S113</f>
        <v/>
      </c>
      <c r="AB113" s="362" t="n">
        <v>449336.86</v>
      </c>
      <c r="AC113" s="362">
        <f>AB114</f>
        <v/>
      </c>
      <c r="AD113" s="377">
        <f>AB113-AC113</f>
        <v/>
      </c>
      <c r="AE113" s="378">
        <f>AD113/AC113</f>
        <v/>
      </c>
      <c r="AF113" s="19" t="n"/>
      <c r="AG113" s="426" t="n"/>
      <c r="AH113" s="427" t="n"/>
      <c r="AI113" s="362">
        <f>C113</f>
        <v/>
      </c>
      <c r="AJ113" s="362" t="n">
        <v>335921.76</v>
      </c>
      <c r="AK113" s="362">
        <f>AJ114</f>
        <v/>
      </c>
      <c r="AL113" s="377">
        <f>AJ113-AK113</f>
        <v/>
      </c>
      <c r="AM113" s="378">
        <f>AL113/AK113</f>
        <v/>
      </c>
      <c r="AN113" s="19" t="n"/>
      <c r="AO113" s="19" t="n"/>
      <c r="AP113" s="427" t="n"/>
      <c r="AQ113" s="362">
        <f>C113</f>
        <v/>
      </c>
      <c r="AR113" s="697" t="n">
        <v>1066745.4936</v>
      </c>
      <c r="AS113" s="362">
        <f>AR114</f>
        <v/>
      </c>
      <c r="AT113" s="432">
        <f>AR113-AS113</f>
        <v/>
      </c>
      <c r="AU113" s="433">
        <f>AT113/AS113</f>
        <v/>
      </c>
      <c r="AV113" s="19" t="n"/>
      <c r="AW113" s="19" t="n"/>
      <c r="AX113" s="5" t="n"/>
      <c r="AY113" s="188" t="n"/>
      <c r="AZ113" s="188">
        <f>C113</f>
        <v/>
      </c>
      <c r="BA113" s="188" t="n">
        <v>1229421.6676</v>
      </c>
      <c r="BB113" s="188">
        <f>BA114</f>
        <v/>
      </c>
      <c r="BC113" s="188">
        <f>BA113-BB113</f>
        <v/>
      </c>
      <c r="BD113" s="271">
        <f>BC113/BB113</f>
        <v/>
      </c>
      <c r="BE113" s="19" t="n"/>
      <c r="BF113" s="19" t="n"/>
      <c r="BG113" s="647" t="n"/>
      <c r="BH113" s="363">
        <f>C113</f>
        <v/>
      </c>
      <c r="BI113" s="363" t="n">
        <v>1359726.5525</v>
      </c>
      <c r="BJ113" s="363">
        <f>BI114</f>
        <v/>
      </c>
      <c r="BK113" s="395">
        <f>BI113-BJ113</f>
        <v/>
      </c>
      <c r="BL113" s="396">
        <f>BK113/BJ113</f>
        <v/>
      </c>
      <c r="BM113" s="191" t="n"/>
      <c r="BN113" s="182" t="n"/>
      <c r="BO113" s="364" t="n"/>
      <c r="BP113" s="365">
        <f>C113</f>
        <v/>
      </c>
      <c r="BQ113" s="694" t="n">
        <v>1169962.3921</v>
      </c>
      <c r="BR113" s="365">
        <f>BQ114</f>
        <v/>
      </c>
      <c r="BS113" s="388">
        <f>BQ113-BR113</f>
        <v/>
      </c>
      <c r="BT113" s="389">
        <f>BS113/BR113</f>
        <v/>
      </c>
      <c r="BU113" s="182" t="n"/>
      <c r="BV113" s="182" t="n"/>
      <c r="BW113" s="364" t="n"/>
      <c r="BX113" s="365">
        <f>C113</f>
        <v/>
      </c>
      <c r="BY113" s="365" t="n">
        <v>2010160.7019</v>
      </c>
      <c r="BZ113" s="365">
        <f>BY114</f>
        <v/>
      </c>
      <c r="CA113" s="388">
        <f>BY113-BZ113</f>
        <v/>
      </c>
      <c r="CB113" s="389">
        <f>CA113/BZ113</f>
        <v/>
      </c>
      <c r="CC113" s="182" t="n"/>
      <c r="CD113" s="383" t="n"/>
      <c r="CE113" s="364" t="n"/>
      <c r="CF113" s="365">
        <f>C113</f>
        <v/>
      </c>
      <c r="CG113" s="365" t="n">
        <v>1324553.9</v>
      </c>
      <c r="CH113" s="13">
        <f>CG114</f>
        <v/>
      </c>
      <c r="CI113" s="13">
        <f>CG113-CH113</f>
        <v/>
      </c>
      <c r="CJ113" s="193">
        <f>CI113/CH113</f>
        <v/>
      </c>
      <c r="CK113" s="182" t="n"/>
      <c r="CL113" s="366" t="n"/>
      <c r="CM113" s="364" t="n"/>
      <c r="CN113" s="365">
        <f>C113</f>
        <v/>
      </c>
      <c r="CO113" s="365" t="n">
        <v>572446.48</v>
      </c>
      <c r="CP113" s="365">
        <f>CO114</f>
        <v/>
      </c>
      <c r="CQ113" s="13">
        <f>CO113-CP113</f>
        <v/>
      </c>
      <c r="CR113" s="193">
        <f>CQ113/CP113</f>
        <v/>
      </c>
      <c r="CS113" s="366" t="n"/>
      <c r="CT113" s="366" t="n"/>
      <c r="CU113" s="364" t="n"/>
      <c r="CV113" s="365">
        <f>C113</f>
        <v/>
      </c>
      <c r="CW113" s="365" t="n">
        <v>571090.4</v>
      </c>
      <c r="CX113" s="365">
        <f>CW114</f>
        <v/>
      </c>
      <c r="CY113" s="390">
        <f>CW113-CX113</f>
        <v/>
      </c>
      <c r="CZ113" s="391">
        <f>CY113/CX113</f>
        <v/>
      </c>
      <c r="DA113" s="182" t="n"/>
      <c r="DB113" s="182" t="n"/>
      <c r="DC113" s="256" t="n"/>
      <c r="DD113" s="365">
        <f>C113</f>
        <v/>
      </c>
      <c r="DE113" s="365" t="n">
        <v>1701117.9986</v>
      </c>
      <c r="DF113" s="13">
        <f>DE114</f>
        <v/>
      </c>
      <c r="DG113" s="390">
        <f>DE113-DF113</f>
        <v/>
      </c>
      <c r="DH113" s="391">
        <f>DG113/DF113</f>
        <v/>
      </c>
      <c r="DI113" s="182" t="n"/>
      <c r="DJ113" s="182" t="n"/>
      <c r="DK113" s="364" t="n"/>
      <c r="DL113" s="365">
        <f>C113</f>
        <v/>
      </c>
      <c r="DM113" s="365" t="n">
        <v>847100.36</v>
      </c>
      <c r="DN113" s="365">
        <f>DM114</f>
        <v/>
      </c>
      <c r="DO113" s="390">
        <f>DM113-DN113</f>
        <v/>
      </c>
      <c r="DP113" s="391">
        <f>DO113/DN113</f>
        <v/>
      </c>
      <c r="DQ113" s="182" t="n"/>
      <c r="DR113" s="182" t="n"/>
      <c r="DS113" s="364" t="n"/>
      <c r="DT113" s="365">
        <f>C113</f>
        <v/>
      </c>
      <c r="DU113" s="365" t="n">
        <v>1257989.48</v>
      </c>
      <c r="DV113" s="365">
        <f>DU114</f>
        <v/>
      </c>
      <c r="DW113" s="390">
        <f>DU113-DV113</f>
        <v/>
      </c>
      <c r="DX113" s="391">
        <f>DW113/DV113</f>
        <v/>
      </c>
      <c r="DY113" s="182" t="n"/>
      <c r="DZ113" s="182" t="n"/>
      <c r="EA113" s="364" t="n"/>
      <c r="EB113" s="365">
        <f>C113</f>
        <v/>
      </c>
      <c r="EC113" s="365" t="n">
        <v>3346466.82</v>
      </c>
      <c r="ED113" s="365">
        <f>EC114</f>
        <v/>
      </c>
      <c r="EE113" s="390">
        <f>EC113-ED113</f>
        <v/>
      </c>
      <c r="EF113" s="391">
        <f>EE113/ED113</f>
        <v/>
      </c>
      <c r="EG113" s="182" t="n"/>
      <c r="EH113" s="182" t="n"/>
      <c r="EI113" s="364" t="n"/>
      <c r="EJ113" s="365">
        <f>C113</f>
        <v/>
      </c>
      <c r="EK113" s="365" t="n">
        <v>1147122.9669</v>
      </c>
      <c r="EL113" s="365">
        <f>EK114</f>
        <v/>
      </c>
      <c r="EM113" s="388">
        <f>EK113-EL113</f>
        <v/>
      </c>
      <c r="EN113" s="389">
        <f>EM113/EL113</f>
        <v/>
      </c>
      <c r="EO113" s="182" t="n"/>
      <c r="EP113" s="182" t="n"/>
      <c r="EQ113" s="317" t="n"/>
      <c r="ER113" s="318">
        <f>C113</f>
        <v/>
      </c>
      <c r="ES113" s="318" t="n">
        <v>383297.02</v>
      </c>
      <c r="ET113" s="318">
        <f>ES114</f>
        <v/>
      </c>
      <c r="EU113" s="318">
        <f>ES113-ET113</f>
        <v/>
      </c>
      <c r="EV113" s="327">
        <f>EU113/ET113</f>
        <v/>
      </c>
      <c r="EW113" s="182" t="n"/>
      <c r="EX113" s="182" t="n"/>
      <c r="EY113" s="364" t="n"/>
      <c r="EZ113" s="365">
        <f>C113</f>
        <v/>
      </c>
      <c r="FA113" s="365" t="n">
        <v>560208</v>
      </c>
      <c r="FB113" s="365">
        <f>FA114</f>
        <v/>
      </c>
      <c r="FC113" s="388">
        <f>FA113-FB113</f>
        <v/>
      </c>
      <c r="FD113" s="389">
        <f>FC113/FB113</f>
        <v/>
      </c>
      <c r="FE113" s="182" t="n"/>
      <c r="FF113" s="182" t="n"/>
      <c r="FG113" s="182" t="n"/>
      <c r="FH113" s="365">
        <f>C113</f>
        <v/>
      </c>
      <c r="FI113" s="694" t="n">
        <v>1071195.3365</v>
      </c>
      <c r="FJ113" s="365">
        <f>FI114</f>
        <v/>
      </c>
      <c r="FK113" s="325">
        <f>FI113-FJ113</f>
        <v/>
      </c>
      <c r="FL113" s="326">
        <f>FK113/FJ113</f>
        <v/>
      </c>
      <c r="FM113" s="366" t="n"/>
      <c r="FN113" s="366" t="n"/>
      <c r="FO113" s="364" t="n"/>
      <c r="FP113" s="365">
        <f>C113</f>
        <v/>
      </c>
      <c r="FQ113" s="365" t="n">
        <v>1586518.73</v>
      </c>
      <c r="FR113" s="365">
        <f>FQ114</f>
        <v/>
      </c>
      <c r="FS113" s="390">
        <f>FQ113-FR113</f>
        <v/>
      </c>
      <c r="FT113" s="391">
        <f>FS113/FR113</f>
        <v/>
      </c>
      <c r="FU113" s="182" t="n"/>
      <c r="FV113" s="182" t="n"/>
      <c r="FW113" s="364" t="n"/>
      <c r="FX113" s="365">
        <f>C113</f>
        <v/>
      </c>
      <c r="FY113" s="365" t="n">
        <v>8585382.050000001</v>
      </c>
      <c r="FZ113" s="365">
        <f>FY114</f>
        <v/>
      </c>
      <c r="GA113" s="390">
        <f>FY113-FZ113</f>
        <v/>
      </c>
      <c r="GB113" s="391">
        <f>GA113/FZ113</f>
        <v/>
      </c>
      <c r="GC113" s="182" t="n"/>
      <c r="GD113" s="182" t="n"/>
      <c r="GE113" s="364" t="n"/>
      <c r="GF113" s="365">
        <f>C113</f>
        <v/>
      </c>
      <c r="GG113" s="365" t="n">
        <v>5074569.49</v>
      </c>
      <c r="GH113" s="365">
        <f>GG114</f>
        <v/>
      </c>
      <c r="GI113" s="390">
        <f>GG113-GH113</f>
        <v/>
      </c>
      <c r="GJ113" s="391">
        <f>GI113/GH113</f>
        <v/>
      </c>
      <c r="GK113" s="182" t="n"/>
      <c r="GL113" s="182" t="n"/>
      <c r="GM113" s="364" t="n"/>
      <c r="GN113" s="365">
        <f>C113</f>
        <v/>
      </c>
      <c r="GO113" s="365" t="n">
        <v>1910098.1217</v>
      </c>
      <c r="GP113" s="365">
        <f>GO114</f>
        <v/>
      </c>
      <c r="GQ113" s="390">
        <f>GO113-GP113</f>
        <v/>
      </c>
      <c r="GR113" s="391">
        <f>GQ113/GP113</f>
        <v/>
      </c>
      <c r="GS113" s="182" t="n"/>
      <c r="GT113" s="182" t="n"/>
      <c r="GU113" s="364" t="n"/>
      <c r="GV113" s="365">
        <f>C113</f>
        <v/>
      </c>
      <c r="GW113" s="365" t="n">
        <v>731149.4</v>
      </c>
      <c r="GX113" s="365">
        <f>GW114</f>
        <v/>
      </c>
      <c r="GY113" s="388">
        <f>GW113-GX113</f>
        <v/>
      </c>
      <c r="GZ113" s="389">
        <f>GY113/GX113</f>
        <v/>
      </c>
      <c r="HA113" s="182" t="n"/>
      <c r="HB113" s="182" t="n"/>
      <c r="HC113" s="364" t="n"/>
      <c r="HD113" s="365">
        <f>C113</f>
        <v/>
      </c>
      <c r="HE113" s="365" t="n">
        <v>995264.6746</v>
      </c>
      <c r="HF113" s="365">
        <f>HE114</f>
        <v/>
      </c>
      <c r="HG113" s="388">
        <f>HE113-HF113</f>
        <v/>
      </c>
      <c r="HH113" s="389">
        <f>HG113/HF113</f>
        <v/>
      </c>
      <c r="HI113" s="366" t="n"/>
      <c r="HJ113" s="182" t="n"/>
      <c r="HK113" s="364" t="n"/>
      <c r="HL113" s="365">
        <f>C113</f>
        <v/>
      </c>
      <c r="HM113" s="365" t="n">
        <v>119104.25</v>
      </c>
      <c r="HN113" s="365">
        <f>HM114</f>
        <v/>
      </c>
      <c r="HO113" s="388">
        <f>HM113-HN113</f>
        <v/>
      </c>
      <c r="HP113" s="389">
        <f>HO113/HN113</f>
        <v/>
      </c>
      <c r="HQ113" s="182" t="n"/>
      <c r="HR113" s="182" t="n"/>
      <c r="HS113" s="364" t="n"/>
      <c r="HT113" s="365">
        <f>C113</f>
        <v/>
      </c>
      <c r="HU113" s="365" t="n">
        <v>157568.8265</v>
      </c>
      <c r="HV113" s="365">
        <f>HU114</f>
        <v/>
      </c>
      <c r="HW113" s="388">
        <f>HU113-HV113</f>
        <v/>
      </c>
      <c r="HX113" s="389">
        <f>HW113/HV113</f>
        <v/>
      </c>
      <c r="HY113" s="182" t="n"/>
      <c r="HZ113" s="182" t="n"/>
      <c r="IA113" s="364" t="n"/>
      <c r="IB113" s="365">
        <f>C113</f>
        <v/>
      </c>
      <c r="IC113" s="365" t="n">
        <v>341234.79</v>
      </c>
      <c r="ID113" s="365">
        <f>IC114</f>
        <v/>
      </c>
      <c r="IE113" s="365">
        <f>IC113-ID113</f>
        <v/>
      </c>
      <c r="IF113" s="366">
        <f>IE113/ID113</f>
        <v/>
      </c>
      <c r="IG113" s="366" t="n"/>
      <c r="IH113" s="182" t="n"/>
      <c r="II113" s="364" t="n"/>
      <c r="IJ113" s="365">
        <f>C113</f>
        <v/>
      </c>
      <c r="IK113" s="365" t="n">
        <v>979596.29</v>
      </c>
      <c r="IL113" s="365">
        <f>IK114</f>
        <v/>
      </c>
      <c r="IM113" s="388">
        <f>IK113-IL113</f>
        <v/>
      </c>
      <c r="IN113" s="389">
        <f>IM113/IL113</f>
        <v/>
      </c>
      <c r="IO113" s="182" t="n"/>
      <c r="IP113" s="182" t="n"/>
      <c r="IQ113" s="364" t="n"/>
      <c r="IR113" s="365">
        <f>C113</f>
        <v/>
      </c>
      <c r="IS113" s="365" t="n">
        <v>140989</v>
      </c>
      <c r="IT113" s="365">
        <f>IS114</f>
        <v/>
      </c>
      <c r="IU113" s="388">
        <f>IS113-IT113</f>
        <v/>
      </c>
      <c r="IV113" s="389">
        <f>IU113/IT113</f>
        <v/>
      </c>
      <c r="IW113" s="182" t="n"/>
      <c r="IX113" s="182" t="n"/>
      <c r="IY113" s="364" t="n"/>
      <c r="IZ113" s="365">
        <f>C113</f>
        <v/>
      </c>
      <c r="JA113" s="365" t="n">
        <v>5322029.15</v>
      </c>
      <c r="JB113" s="365">
        <f>JA114</f>
        <v/>
      </c>
      <c r="JC113" s="388">
        <f>JA113-JB113</f>
        <v/>
      </c>
      <c r="JD113" s="389">
        <f>JC113/JB113</f>
        <v/>
      </c>
      <c r="JE113" s="182" t="n"/>
      <c r="JF113" s="182" t="n"/>
      <c r="JG113" s="364" t="n"/>
      <c r="JH113" s="365">
        <f>C113</f>
        <v/>
      </c>
      <c r="JI113" s="365" t="n">
        <v>1383507.99</v>
      </c>
      <c r="JJ113" s="365">
        <f>JI114</f>
        <v/>
      </c>
      <c r="JK113" s="388">
        <f>JI113-JJ113</f>
        <v/>
      </c>
      <c r="JL113" s="389">
        <f>JK113/JJ113</f>
        <v/>
      </c>
      <c r="JM113" s="182" t="n"/>
      <c r="JN113" s="182" t="n"/>
      <c r="JO113" s="182" t="n"/>
      <c r="JP113" s="365">
        <f>C113</f>
        <v/>
      </c>
      <c r="JQ113" s="365" t="n">
        <v>1038090.4148</v>
      </c>
      <c r="JR113" s="365">
        <f>JQ114</f>
        <v/>
      </c>
      <c r="JS113" s="390">
        <f>JQ113-JR113</f>
        <v/>
      </c>
      <c r="JT113" s="391">
        <f>JS113/JR113</f>
        <v/>
      </c>
      <c r="JU113" s="182" t="n"/>
      <c r="JV113" s="182" t="n"/>
      <c r="JW113" s="383" t="n"/>
      <c r="JX113" s="365">
        <f>C113</f>
        <v/>
      </c>
      <c r="JY113" s="365" t="n">
        <v>1112848.8</v>
      </c>
      <c r="JZ113" s="365">
        <f>JY114</f>
        <v/>
      </c>
      <c r="KA113" s="388">
        <f>JY113-JZ113</f>
        <v/>
      </c>
      <c r="KB113" s="389">
        <f>KA113/JZ113</f>
        <v/>
      </c>
      <c r="KC113" s="182" t="n"/>
      <c r="KD113" s="383" t="n"/>
      <c r="KF113" s="365">
        <f>C113</f>
        <v/>
      </c>
      <c r="KG113" s="365" t="n">
        <v>663355.9219</v>
      </c>
      <c r="KH113" s="365">
        <f>KG114</f>
        <v/>
      </c>
      <c r="KI113" s="388">
        <f>KG113-KH113</f>
        <v/>
      </c>
      <c r="KJ113" s="389">
        <f>KI113/KH113</f>
        <v/>
      </c>
      <c r="KK113" s="366" t="n"/>
      <c r="KL113" s="366" t="n"/>
      <c r="KM113" s="364" t="n"/>
      <c r="KN113" s="365">
        <f>C113</f>
        <v/>
      </c>
      <c r="KO113" s="365" t="n">
        <v>7552875.95</v>
      </c>
      <c r="KP113" s="365">
        <f>KO114</f>
        <v/>
      </c>
      <c r="KQ113" s="390">
        <f>KO113-KP113</f>
        <v/>
      </c>
      <c r="KR113" s="391">
        <f>KQ113/KP113</f>
        <v/>
      </c>
      <c r="KS113" s="182" t="n"/>
      <c r="KT113" s="182" t="n"/>
      <c r="KU113" s="364" t="n"/>
      <c r="KV113" s="365">
        <f>C113</f>
        <v/>
      </c>
      <c r="KW113" s="365" t="n">
        <v>1079772.9726</v>
      </c>
      <c r="KX113" s="365">
        <f>KW114</f>
        <v/>
      </c>
      <c r="KY113" s="325">
        <f>KW113-KX113</f>
        <v/>
      </c>
      <c r="KZ113" s="326">
        <f>KY113/KX113</f>
        <v/>
      </c>
      <c r="LA113" s="326" t="n"/>
      <c r="LB113" s="182" t="n"/>
      <c r="LC113" s="364" t="n"/>
      <c r="LD113" s="365">
        <f>C113</f>
        <v/>
      </c>
      <c r="LE113" s="365" t="n">
        <v>412107.7</v>
      </c>
      <c r="LF113" s="365">
        <f>LE114</f>
        <v/>
      </c>
      <c r="LG113" s="388">
        <f>LE113-LF113</f>
        <v/>
      </c>
      <c r="LH113" s="389">
        <f>LG113/LF113</f>
        <v/>
      </c>
      <c r="LI113" s="182" t="n"/>
      <c r="LJ113" s="182" t="n"/>
      <c r="LK113" s="364" t="n"/>
      <c r="LL113" s="365">
        <f>C113</f>
        <v/>
      </c>
      <c r="LM113" s="694" t="n">
        <v>3428935.02</v>
      </c>
      <c r="LN113" s="365">
        <f>LM114</f>
        <v/>
      </c>
      <c r="LO113" s="388">
        <f>LM113-LN113</f>
        <v/>
      </c>
      <c r="LP113" s="389">
        <f>LO113/LN113</f>
        <v/>
      </c>
      <c r="LQ113" s="182" t="n"/>
      <c r="LR113" s="182" t="n"/>
      <c r="LS113" s="364" t="n"/>
      <c r="LT113" s="365">
        <f>C113</f>
        <v/>
      </c>
      <c r="LU113" s="365" t="n">
        <v>2378662.904</v>
      </c>
      <c r="LV113" s="365">
        <f>LU114</f>
        <v/>
      </c>
      <c r="LW113" s="390">
        <f>LU113-LV113</f>
        <v/>
      </c>
      <c r="LX113" s="391">
        <f>LW113/LV113</f>
        <v/>
      </c>
      <c r="LY113" s="182" t="n"/>
      <c r="LZ113" s="182" t="n"/>
      <c r="MA113" s="364" t="n"/>
      <c r="MB113" s="365">
        <f>C113</f>
        <v/>
      </c>
      <c r="MC113" s="365" t="n">
        <v>1151267.69</v>
      </c>
      <c r="MD113" s="365">
        <f>MC114</f>
        <v/>
      </c>
      <c r="ME113" s="388">
        <f>MC113-MD113</f>
        <v/>
      </c>
      <c r="MF113" s="389">
        <f>ME113/MD113</f>
        <v/>
      </c>
      <c r="MG113" s="182" t="n"/>
      <c r="MH113" s="182" t="n"/>
      <c r="MI113" s="319" t="n"/>
      <c r="MJ113" s="318" t="n"/>
      <c r="MK113" s="318">
        <f>C113</f>
        <v/>
      </c>
      <c r="ML113" s="318" t="n">
        <v>171705.5354</v>
      </c>
      <c r="MM113" s="13">
        <f>ML114</f>
        <v/>
      </c>
      <c r="MN113" s="318">
        <f>ML113-MM113</f>
        <v/>
      </c>
      <c r="MO113" s="327">
        <f>MN113/MM113</f>
        <v/>
      </c>
      <c r="MP113" s="182" t="n"/>
      <c r="MQ113" s="369" t="n"/>
      <c r="MR113" s="369" t="n"/>
      <c r="MS113" s="188" t="n"/>
      <c r="MT113" s="274">
        <f>C113</f>
        <v/>
      </c>
      <c r="MU113" s="188" t="n">
        <v>157614.8</v>
      </c>
      <c r="MV113" s="188">
        <f>MU114</f>
        <v/>
      </c>
      <c r="MW113" s="188">
        <f>MU113-MV113</f>
        <v/>
      </c>
      <c r="MX113" s="271">
        <f>MW113/MV113</f>
        <v/>
      </c>
      <c r="MY113" s="182" t="n"/>
      <c r="MZ113" s="182" t="n"/>
      <c r="NA113" s="182" t="n"/>
      <c r="NB113" s="188" t="n"/>
      <c r="NC113" s="188">
        <f>C113</f>
        <v/>
      </c>
      <c r="ND113" s="188" t="n">
        <v>39891.48</v>
      </c>
      <c r="NE113" s="188">
        <f>ND114</f>
        <v/>
      </c>
      <c r="NF113" s="188">
        <f>ND113-NE113</f>
        <v/>
      </c>
      <c r="NG113" s="271">
        <f>NF113/NE113</f>
        <v/>
      </c>
      <c r="NH113" s="182" t="n"/>
      <c r="NI113" s="182" t="n"/>
      <c r="NJ113" s="182" t="n"/>
      <c r="NK113" s="182" t="n"/>
      <c r="NL113" s="9" t="n"/>
      <c r="NM113" s="9">
        <f>C113</f>
        <v/>
      </c>
      <c r="NN113" s="24" t="n">
        <v>2838911.08</v>
      </c>
      <c r="NO113" s="24">
        <f>NN114</f>
        <v/>
      </c>
      <c r="NP113" s="24">
        <f>NN113-NO113</f>
        <v/>
      </c>
      <c r="NQ113" s="182">
        <f>NP113/NO113</f>
        <v/>
      </c>
      <c r="NR113" s="182" t="n"/>
      <c r="NS113" s="9" t="n"/>
      <c r="NU113" s="9">
        <f>C113</f>
        <v/>
      </c>
      <c r="NV113" s="364" t="n">
        <v>269326.5</v>
      </c>
      <c r="NW113" s="364">
        <f>NV114</f>
        <v/>
      </c>
      <c r="NX113" s="364">
        <f>NV113-NW113</f>
        <v/>
      </c>
      <c r="NY113" s="366">
        <f>NX113/NW113</f>
        <v/>
      </c>
      <c r="NZ113" s="366" t="n"/>
      <c r="OA113" s="364" t="n"/>
      <c r="OB113" s="364" t="n"/>
      <c r="OC113" s="365">
        <f>C113</f>
        <v/>
      </c>
      <c r="OD113" s="365" t="n">
        <v>17586.97</v>
      </c>
      <c r="OE113" s="365">
        <f>OD114</f>
        <v/>
      </c>
      <c r="OF113" s="390">
        <f>OD113-OE113</f>
        <v/>
      </c>
      <c r="OG113" s="391">
        <f>OF113/OE113</f>
        <v/>
      </c>
      <c r="OH113" s="182" t="n"/>
      <c r="OI113" s="182" t="n"/>
      <c r="OJ113" s="364" t="n"/>
      <c r="OK113" s="365">
        <f>C113</f>
        <v/>
      </c>
      <c r="OL113" s="0" t="n">
        <v>15428.65</v>
      </c>
      <c r="OM113" s="0">
        <f>OL114</f>
        <v/>
      </c>
      <c r="ON113" s="0">
        <f>OL113-OM113</f>
        <v/>
      </c>
      <c r="OO113" s="182">
        <f>ON113/OM113</f>
        <v/>
      </c>
      <c r="OP113" s="182" t="n"/>
      <c r="OQ113" s="182" t="n"/>
      <c r="OT113" s="25">
        <f>OK113</f>
        <v/>
      </c>
      <c r="OU113" s="199" t="n">
        <v>148992.4066</v>
      </c>
      <c r="OV113" s="9">
        <f>OU114</f>
        <v/>
      </c>
      <c r="OW113" s="671">
        <f>OU113-OV113</f>
        <v/>
      </c>
      <c r="OX113" s="182">
        <f>OW113/OV113</f>
        <v/>
      </c>
    </row>
    <row r="114" ht="17" customFormat="1" customHeight="1" s="9">
      <c r="A114" s="631" t="n"/>
      <c r="B114" s="631" t="n"/>
      <c r="C114" s="693" t="inlineStr">
        <is>
          <t>2026//6/03</t>
        </is>
      </c>
      <c r="D114" s="362" t="n">
        <v>2804718.77</v>
      </c>
      <c r="E114" s="362">
        <f>D115</f>
        <v/>
      </c>
      <c r="F114" s="432">
        <f>D114-E114</f>
        <v/>
      </c>
      <c r="G114" s="433">
        <f>F114/E114</f>
        <v/>
      </c>
      <c r="H114" s="19" t="n"/>
      <c r="I114" s="426" t="n"/>
      <c r="J114" s="426" t="n"/>
      <c r="K114" s="362">
        <f>C114</f>
        <v/>
      </c>
      <c r="L114" s="362" t="n">
        <v>2204974.4</v>
      </c>
      <c r="M114" s="362">
        <f>L115</f>
        <v/>
      </c>
      <c r="N114" s="432">
        <f>L114-M114</f>
        <v/>
      </c>
      <c r="O114" s="433">
        <f>N114/M114</f>
        <v/>
      </c>
      <c r="P114" s="19" t="n"/>
      <c r="Q114" s="426" t="n"/>
      <c r="R114" s="427" t="n"/>
      <c r="S114" s="362">
        <f>C114</f>
        <v/>
      </c>
      <c r="T114" s="362" t="n">
        <v>815286.6800000001</v>
      </c>
      <c r="U114" s="362">
        <f>T115</f>
        <v/>
      </c>
      <c r="V114" s="432">
        <f>T114-U114</f>
        <v/>
      </c>
      <c r="W114" s="433">
        <f>V114/U114</f>
        <v/>
      </c>
      <c r="X114" s="19" t="n"/>
      <c r="Y114" s="426" t="n"/>
      <c r="Z114" s="427" t="n"/>
      <c r="AA114" s="362">
        <f>S114</f>
        <v/>
      </c>
      <c r="AB114" s="362" t="n">
        <v>470096.86</v>
      </c>
      <c r="AC114" s="362">
        <f>AB115</f>
        <v/>
      </c>
      <c r="AD114" s="432">
        <f>AB114-AC114</f>
        <v/>
      </c>
      <c r="AE114" s="433">
        <f>AD114/AC114</f>
        <v/>
      </c>
      <c r="AF114" s="19" t="n"/>
      <c r="AG114" s="426" t="n"/>
      <c r="AH114" s="427" t="n"/>
      <c r="AI114" s="362">
        <f>C114</f>
        <v/>
      </c>
      <c r="AJ114" s="362" t="n">
        <v>372721.76</v>
      </c>
      <c r="AK114" s="362">
        <f>AJ115</f>
        <v/>
      </c>
      <c r="AL114" s="432">
        <f>AJ114-AK114</f>
        <v/>
      </c>
      <c r="AM114" s="433">
        <f>AL114/AK114</f>
        <v/>
      </c>
      <c r="AN114" s="19" t="n"/>
      <c r="AO114" s="19" t="n"/>
      <c r="AP114" s="427" t="n"/>
      <c r="AQ114" s="362">
        <f>C114</f>
        <v/>
      </c>
      <c r="AR114" s="697" t="n">
        <v>1007145.4936</v>
      </c>
      <c r="AS114" s="362">
        <f>AR115</f>
        <v/>
      </c>
      <c r="AT114" s="432">
        <f>AR114-AS114</f>
        <v/>
      </c>
      <c r="AU114" s="433">
        <f>AT114/AS114</f>
        <v/>
      </c>
      <c r="AV114" s="19" t="n"/>
      <c r="AW114" s="19" t="n"/>
      <c r="AX114" s="5" t="n"/>
      <c r="AY114" s="188" t="n"/>
      <c r="AZ114" s="188">
        <f>C114</f>
        <v/>
      </c>
      <c r="BA114" s="188" t="n">
        <v>1231581.6676</v>
      </c>
      <c r="BB114" s="188">
        <f>BA115</f>
        <v/>
      </c>
      <c r="BC114" s="188">
        <f>BA114-BB114</f>
        <v/>
      </c>
      <c r="BD114" s="271">
        <f>BC114/BB114</f>
        <v/>
      </c>
      <c r="BE114" s="19" t="n"/>
      <c r="BF114" s="19" t="n"/>
      <c r="BG114" s="647" t="n"/>
      <c r="BH114" s="363">
        <f>C114</f>
        <v/>
      </c>
      <c r="BI114" s="363" t="n">
        <v>1418226.5525</v>
      </c>
      <c r="BJ114" s="363">
        <f>BI115</f>
        <v/>
      </c>
      <c r="BK114" s="395">
        <f>BI114-BJ114</f>
        <v/>
      </c>
      <c r="BL114" s="396">
        <f>BK114/BJ114</f>
        <v/>
      </c>
      <c r="BM114" s="191" t="n"/>
      <c r="BN114" s="182" t="n"/>
      <c r="BO114" s="364" t="n"/>
      <c r="BP114" s="365">
        <f>C114</f>
        <v/>
      </c>
      <c r="BQ114" s="694" t="n">
        <v>1159262.3921</v>
      </c>
      <c r="BR114" s="365">
        <f>BQ115</f>
        <v/>
      </c>
      <c r="BS114" s="388">
        <f>BQ114-BR114</f>
        <v/>
      </c>
      <c r="BT114" s="389">
        <f>BS114/BR114</f>
        <v/>
      </c>
      <c r="BU114" s="182" t="n"/>
      <c r="BV114" s="182" t="n"/>
      <c r="BW114" s="364" t="n"/>
      <c r="BX114" s="365">
        <f>C114</f>
        <v/>
      </c>
      <c r="BY114" s="365" t="n">
        <v>2128210.7019</v>
      </c>
      <c r="BZ114" s="365">
        <f>BY115</f>
        <v/>
      </c>
      <c r="CA114" s="390">
        <f>BY114-BZ114</f>
        <v/>
      </c>
      <c r="CB114" s="391">
        <f>CA114/BZ114</f>
        <v/>
      </c>
      <c r="CC114" s="182" t="n"/>
      <c r="CD114" s="383" t="n"/>
      <c r="CE114" s="364" t="n"/>
      <c r="CF114" s="365">
        <f>C114</f>
        <v/>
      </c>
      <c r="CG114" s="365" t="n">
        <v>1312553.9</v>
      </c>
      <c r="CH114" s="13">
        <f>CG115</f>
        <v/>
      </c>
      <c r="CI114" s="13">
        <f>CG114-CH114</f>
        <v/>
      </c>
      <c r="CJ114" s="193">
        <f>CI114/CH114</f>
        <v/>
      </c>
      <c r="CK114" s="182" t="n"/>
      <c r="CL114" s="366" t="n"/>
      <c r="CM114" s="364" t="n"/>
      <c r="CN114" s="365">
        <f>C114</f>
        <v/>
      </c>
      <c r="CO114" s="365" t="n">
        <v>568846.48</v>
      </c>
      <c r="CP114" s="365">
        <f>CO115</f>
        <v/>
      </c>
      <c r="CQ114" s="13">
        <f>CO114-CP114</f>
        <v/>
      </c>
      <c r="CR114" s="193">
        <f>CQ114/CP114</f>
        <v/>
      </c>
      <c r="CS114" s="366" t="n"/>
      <c r="CT114" s="366" t="n"/>
      <c r="CU114" s="364" t="n"/>
      <c r="CV114" s="365">
        <f>C114</f>
        <v/>
      </c>
      <c r="CW114" s="365" t="n">
        <v>574090.4</v>
      </c>
      <c r="CX114" s="365">
        <f>CW115</f>
        <v/>
      </c>
      <c r="CY114" s="390">
        <f>CW114-CX114</f>
        <v/>
      </c>
      <c r="CZ114" s="391">
        <f>CY114/CX114</f>
        <v/>
      </c>
      <c r="DA114" s="182" t="n"/>
      <c r="DB114" s="182" t="n"/>
      <c r="DC114" s="256" t="n"/>
      <c r="DD114" s="365">
        <f>C114</f>
        <v/>
      </c>
      <c r="DE114" s="365" t="n">
        <v>1759117.9986</v>
      </c>
      <c r="DF114" s="13">
        <f>DE115</f>
        <v/>
      </c>
      <c r="DG114" s="390">
        <f>DE114-DF114</f>
        <v/>
      </c>
      <c r="DH114" s="391">
        <f>DG114/DF114</f>
        <v/>
      </c>
      <c r="DI114" s="182" t="n"/>
      <c r="DJ114" s="182" t="n"/>
      <c r="DK114" s="364" t="n"/>
      <c r="DL114" s="365">
        <f>C114</f>
        <v/>
      </c>
      <c r="DM114" s="365" t="n">
        <v>842100.36</v>
      </c>
      <c r="DN114" s="365">
        <f>DM115</f>
        <v/>
      </c>
      <c r="DO114" s="388">
        <f>DM114-DN114</f>
        <v/>
      </c>
      <c r="DP114" s="389">
        <f>DO114/DN114</f>
        <v/>
      </c>
      <c r="DQ114" s="182" t="n"/>
      <c r="DR114" s="182" t="n"/>
      <c r="DS114" s="364" t="n"/>
      <c r="DT114" s="365">
        <f>C114</f>
        <v/>
      </c>
      <c r="DU114" s="365" t="n">
        <v>1269089.48</v>
      </c>
      <c r="DV114" s="365">
        <f>DU115</f>
        <v/>
      </c>
      <c r="DW114" s="388">
        <f>DU114-DV114</f>
        <v/>
      </c>
      <c r="DX114" s="389">
        <f>DW114/DV114</f>
        <v/>
      </c>
      <c r="DY114" s="182" t="n"/>
      <c r="DZ114" s="182" t="n"/>
      <c r="EA114" s="364" t="n"/>
      <c r="EB114" s="365">
        <f>C114</f>
        <v/>
      </c>
      <c r="EC114" s="365" t="n">
        <v>3331766.82</v>
      </c>
      <c r="ED114" s="365">
        <f>EC115</f>
        <v/>
      </c>
      <c r="EE114" s="388">
        <f>EC114-ED114</f>
        <v/>
      </c>
      <c r="EF114" s="389">
        <f>EE114/ED114</f>
        <v/>
      </c>
      <c r="EG114" s="182" t="n"/>
      <c r="EH114" s="182" t="n"/>
      <c r="EI114" s="364" t="n"/>
      <c r="EJ114" s="365">
        <f>C114</f>
        <v/>
      </c>
      <c r="EK114" s="365" t="n">
        <v>1171922.9669</v>
      </c>
      <c r="EL114" s="365">
        <f>EK115</f>
        <v/>
      </c>
      <c r="EM114" s="388">
        <f>EK114-EL114</f>
        <v/>
      </c>
      <c r="EN114" s="389">
        <f>EM114/EL114</f>
        <v/>
      </c>
      <c r="EO114" s="182" t="n"/>
      <c r="EP114" s="182" t="n"/>
      <c r="EQ114" s="317" t="n"/>
      <c r="ER114" s="318">
        <f>C114</f>
        <v/>
      </c>
      <c r="ES114" s="318" t="n">
        <v>385097.02</v>
      </c>
      <c r="ET114" s="318">
        <f>ES115</f>
        <v/>
      </c>
      <c r="EU114" s="318">
        <f>ES114-ET114</f>
        <v/>
      </c>
      <c r="EV114" s="327">
        <f>EU114/ET114</f>
        <v/>
      </c>
      <c r="EW114" s="182" t="n"/>
      <c r="EX114" s="182" t="n"/>
      <c r="EY114" s="364" t="n"/>
      <c r="EZ114" s="365">
        <f>C114</f>
        <v/>
      </c>
      <c r="FA114" s="365" t="n">
        <v>568208</v>
      </c>
      <c r="FB114" s="365">
        <f>FA115</f>
        <v/>
      </c>
      <c r="FC114" s="388">
        <f>FA114-FB114</f>
        <v/>
      </c>
      <c r="FD114" s="389">
        <f>FC114/FB114</f>
        <v/>
      </c>
      <c r="FE114" s="182" t="n"/>
      <c r="FF114" s="182" t="n"/>
      <c r="FG114" s="182" t="n"/>
      <c r="FH114" s="365">
        <f>C114</f>
        <v/>
      </c>
      <c r="FI114" s="694" t="n">
        <v>1042895.3365</v>
      </c>
      <c r="FJ114" s="365">
        <f>FI115</f>
        <v/>
      </c>
      <c r="FK114" s="325">
        <f>FI114-FJ114</f>
        <v/>
      </c>
      <c r="FL114" s="326">
        <f>FK114/FJ114</f>
        <v/>
      </c>
      <c r="FM114" s="366" t="n"/>
      <c r="FN114" s="366" t="n"/>
      <c r="FO114" s="364" t="n"/>
      <c r="FP114" s="365">
        <f>C114</f>
        <v/>
      </c>
      <c r="FQ114" s="365" t="n">
        <v>1606018.73</v>
      </c>
      <c r="FR114" s="365">
        <f>FQ115</f>
        <v/>
      </c>
      <c r="FS114" s="388">
        <f>FQ114-FR114</f>
        <v/>
      </c>
      <c r="FT114" s="389">
        <f>FS114/FR114</f>
        <v/>
      </c>
      <c r="FU114" s="182" t="n"/>
      <c r="FV114" s="182" t="n"/>
      <c r="FW114" s="364" t="n"/>
      <c r="FX114" s="365">
        <f>C114</f>
        <v/>
      </c>
      <c r="FY114" s="365" t="n">
        <v>8512182.050000001</v>
      </c>
      <c r="FZ114" s="365">
        <f>FY115</f>
        <v/>
      </c>
      <c r="GA114" s="388">
        <f>FY114-FZ114</f>
        <v/>
      </c>
      <c r="GB114" s="389">
        <f>GA114/FZ114</f>
        <v/>
      </c>
      <c r="GC114" s="182" t="n"/>
      <c r="GD114" s="182" t="n"/>
      <c r="GE114" s="364" t="n"/>
      <c r="GF114" s="365">
        <f>C114</f>
        <v/>
      </c>
      <c r="GG114" s="365" t="n">
        <v>5089069.49</v>
      </c>
      <c r="GH114" s="365">
        <f>GG115</f>
        <v/>
      </c>
      <c r="GI114" s="390">
        <f>GG114-GH114</f>
        <v/>
      </c>
      <c r="GJ114" s="391">
        <f>GI114/GH114</f>
        <v/>
      </c>
      <c r="GK114" s="182" t="n"/>
      <c r="GL114" s="182" t="n"/>
      <c r="GM114" s="364" t="n"/>
      <c r="GN114" s="365">
        <f>C114</f>
        <v/>
      </c>
      <c r="GO114" s="365" t="n">
        <v>1927738.1217</v>
      </c>
      <c r="GP114" s="365">
        <f>GO115</f>
        <v/>
      </c>
      <c r="GQ114" s="388">
        <f>GO114-GP114</f>
        <v/>
      </c>
      <c r="GR114" s="389">
        <f>GQ114/GP114</f>
        <v/>
      </c>
      <c r="GS114" s="182" t="n"/>
      <c r="GT114" s="182" t="n"/>
      <c r="GU114" s="364" t="n"/>
      <c r="GV114" s="365">
        <f>C114</f>
        <v/>
      </c>
      <c r="GW114" s="365" t="n">
        <v>753749.4</v>
      </c>
      <c r="GX114" s="365">
        <f>GW115</f>
        <v/>
      </c>
      <c r="GY114" s="388">
        <f>GW114-GX114</f>
        <v/>
      </c>
      <c r="GZ114" s="389">
        <f>GY114/GX114</f>
        <v/>
      </c>
      <c r="HA114" s="182" t="n"/>
      <c r="HB114" s="182" t="n"/>
      <c r="HC114" s="364" t="n"/>
      <c r="HD114" s="365">
        <f>C114</f>
        <v/>
      </c>
      <c r="HE114" s="365" t="n">
        <v>1091664.6746</v>
      </c>
      <c r="HF114" s="365">
        <f>HE115</f>
        <v/>
      </c>
      <c r="HG114" s="390">
        <f>HE114-HF114</f>
        <v/>
      </c>
      <c r="HH114" s="391">
        <f>HG114/HF114</f>
        <v/>
      </c>
      <c r="HI114" s="366" t="n"/>
      <c r="HJ114" s="182" t="n"/>
      <c r="HK114" s="364" t="n"/>
      <c r="HL114" s="365">
        <f>C114</f>
        <v/>
      </c>
      <c r="HM114" s="365" t="n">
        <v>120154.25</v>
      </c>
      <c r="HN114" s="365">
        <f>HM115</f>
        <v/>
      </c>
      <c r="HO114" s="388">
        <f>HM114-HN114</f>
        <v/>
      </c>
      <c r="HP114" s="389">
        <f>HO114/HN114</f>
        <v/>
      </c>
      <c r="HQ114" s="182" t="n"/>
      <c r="HR114" s="182" t="n"/>
      <c r="HS114" s="364" t="n"/>
      <c r="HT114" s="365">
        <f>C114</f>
        <v/>
      </c>
      <c r="HU114" s="365" t="n">
        <v>161168.8265</v>
      </c>
      <c r="HV114" s="365">
        <f>HU115</f>
        <v/>
      </c>
      <c r="HW114" s="388">
        <f>HU114-HV114</f>
        <v/>
      </c>
      <c r="HX114" s="389">
        <f>HW114/HV114</f>
        <v/>
      </c>
      <c r="HY114" s="182" t="n"/>
      <c r="HZ114" s="182" t="n"/>
      <c r="IA114" s="364" t="n"/>
      <c r="IB114" s="365">
        <f>C114</f>
        <v/>
      </c>
      <c r="IC114" s="365" t="n">
        <v>340759.79</v>
      </c>
      <c r="ID114" s="365">
        <f>IC115</f>
        <v/>
      </c>
      <c r="IE114" s="365">
        <f>IC114-ID114</f>
        <v/>
      </c>
      <c r="IF114" s="366">
        <f>IE114/ID114</f>
        <v/>
      </c>
      <c r="IG114" s="366" t="n"/>
      <c r="IH114" s="182" t="n"/>
      <c r="II114" s="364" t="n"/>
      <c r="IJ114" s="365">
        <f>C114</f>
        <v/>
      </c>
      <c r="IK114" s="365" t="n">
        <v>950236.29</v>
      </c>
      <c r="IL114" s="365">
        <f>IK115</f>
        <v/>
      </c>
      <c r="IM114" s="388">
        <f>IK114-IL114</f>
        <v/>
      </c>
      <c r="IN114" s="389">
        <f>IM114/IL114</f>
        <v/>
      </c>
      <c r="IO114" s="182" t="n"/>
      <c r="IP114" s="182" t="n"/>
      <c r="IQ114" s="364" t="n"/>
      <c r="IR114" s="365">
        <f>C114</f>
        <v/>
      </c>
      <c r="IS114" s="365" t="n">
        <v>144289</v>
      </c>
      <c r="IT114" s="365">
        <f>IS115</f>
        <v/>
      </c>
      <c r="IU114" s="388">
        <f>IS114-IT114</f>
        <v/>
      </c>
      <c r="IV114" s="389">
        <f>IU114/IT114</f>
        <v/>
      </c>
      <c r="IW114" s="182" t="n"/>
      <c r="IX114" s="182" t="n"/>
      <c r="IY114" s="364" t="n"/>
      <c r="IZ114" s="365">
        <f>C114</f>
        <v/>
      </c>
      <c r="JA114" s="365" t="n">
        <v>5279129.15</v>
      </c>
      <c r="JB114" s="365">
        <f>JA115</f>
        <v/>
      </c>
      <c r="JC114" s="390">
        <f>JA114-JB114</f>
        <v/>
      </c>
      <c r="JD114" s="391">
        <f>JC114/JB114</f>
        <v/>
      </c>
      <c r="JE114" s="182" t="n"/>
      <c r="JF114" s="182" t="n"/>
      <c r="JG114" s="364" t="n"/>
      <c r="JH114" s="365">
        <f>C114</f>
        <v/>
      </c>
      <c r="JI114" s="365" t="n">
        <v>1371327.99</v>
      </c>
      <c r="JJ114" s="365">
        <f>JI115</f>
        <v/>
      </c>
      <c r="JK114" s="388">
        <f>JI114-JJ114</f>
        <v/>
      </c>
      <c r="JL114" s="389">
        <f>JK114/JJ114</f>
        <v/>
      </c>
      <c r="JM114" s="182" t="n"/>
      <c r="JN114" s="182" t="n"/>
      <c r="JO114" s="182" t="n"/>
      <c r="JP114" s="365">
        <f>C114</f>
        <v/>
      </c>
      <c r="JQ114" s="365" t="n">
        <v>1040890.4148</v>
      </c>
      <c r="JR114" s="365">
        <f>JQ115</f>
        <v/>
      </c>
      <c r="JS114" s="390">
        <f>JQ114-JR114</f>
        <v/>
      </c>
      <c r="JT114" s="391">
        <f>JS114/JR114</f>
        <v/>
      </c>
      <c r="JU114" s="182" t="n"/>
      <c r="JV114" s="182" t="n"/>
      <c r="JW114" s="383" t="n"/>
      <c r="JX114" s="365">
        <f>C114</f>
        <v/>
      </c>
      <c r="JY114" s="365" t="n">
        <v>1112848.8</v>
      </c>
      <c r="JZ114" s="365">
        <f>JY115</f>
        <v/>
      </c>
      <c r="KA114" s="388">
        <f>JY114-JZ114</f>
        <v/>
      </c>
      <c r="KB114" s="389">
        <f>KA114/JZ114</f>
        <v/>
      </c>
      <c r="KC114" s="182" t="n"/>
      <c r="KD114" s="383" t="n"/>
      <c r="KF114" s="365">
        <f>C114</f>
        <v/>
      </c>
      <c r="KG114" s="365" t="n">
        <v>665755.9219</v>
      </c>
      <c r="KH114" s="365">
        <f>KG115</f>
        <v/>
      </c>
      <c r="KI114" s="384">
        <f>KG114-KH114</f>
        <v/>
      </c>
      <c r="KJ114" s="383">
        <f>KI114/KH114</f>
        <v/>
      </c>
      <c r="KK114" s="366" t="n"/>
      <c r="KL114" s="366" t="n"/>
      <c r="KM114" s="364" t="n"/>
      <c r="KN114" s="365">
        <f>C114</f>
        <v/>
      </c>
      <c r="KO114" s="365" t="n">
        <v>7552975.95</v>
      </c>
      <c r="KP114" s="365">
        <f>KO115</f>
        <v/>
      </c>
      <c r="KQ114" s="390">
        <f>KO114-KP114</f>
        <v/>
      </c>
      <c r="KR114" s="391">
        <f>KQ114/KP114</f>
        <v/>
      </c>
      <c r="KS114" s="182" t="n"/>
      <c r="KT114" s="182" t="n"/>
      <c r="KU114" s="364" t="n"/>
      <c r="KV114" s="365">
        <f>C114</f>
        <v/>
      </c>
      <c r="KW114" s="365" t="n">
        <v>1079772.9726</v>
      </c>
      <c r="KX114" s="365">
        <f>KW115</f>
        <v/>
      </c>
      <c r="KY114" s="365">
        <f>KW114-KX114</f>
        <v/>
      </c>
      <c r="KZ114" s="366">
        <f>KY114/KX114</f>
        <v/>
      </c>
      <c r="LA114" s="366" t="n"/>
      <c r="LB114" s="182" t="n"/>
      <c r="LC114" s="364" t="n"/>
      <c r="LD114" s="365">
        <f>C114</f>
        <v/>
      </c>
      <c r="LE114" s="365" t="n">
        <v>414257.7</v>
      </c>
      <c r="LF114" s="365">
        <f>LE115</f>
        <v/>
      </c>
      <c r="LG114" s="388">
        <f>LE114-LF114</f>
        <v/>
      </c>
      <c r="LH114" s="389">
        <f>LG114/LF114</f>
        <v/>
      </c>
      <c r="LI114" s="182" t="n"/>
      <c r="LJ114" s="182" t="n"/>
      <c r="LK114" s="364" t="n"/>
      <c r="LL114" s="365">
        <f>C114</f>
        <v/>
      </c>
      <c r="LM114" s="694" t="n">
        <v>3440995.02</v>
      </c>
      <c r="LN114" s="365">
        <f>LM115</f>
        <v/>
      </c>
      <c r="LO114" s="388">
        <f>LM114-LN114</f>
        <v/>
      </c>
      <c r="LP114" s="389">
        <f>LO114/LN114</f>
        <v/>
      </c>
      <c r="LQ114" s="182" t="n"/>
      <c r="LR114" s="182" t="n"/>
      <c r="LS114" s="364" t="n"/>
      <c r="LT114" s="365">
        <f>C114</f>
        <v/>
      </c>
      <c r="LU114" s="365" t="n">
        <v>2380662.904</v>
      </c>
      <c r="LV114" s="365">
        <f>LU115</f>
        <v/>
      </c>
      <c r="LW114" s="390">
        <f>LU114-LV114</f>
        <v/>
      </c>
      <c r="LX114" s="391">
        <f>LW114/LV114</f>
        <v/>
      </c>
      <c r="LY114" s="182" t="n"/>
      <c r="LZ114" s="182" t="n"/>
      <c r="MA114" s="364" t="n"/>
      <c r="MB114" s="365">
        <f>C114</f>
        <v/>
      </c>
      <c r="MC114" s="365" t="n">
        <v>1066867.69</v>
      </c>
      <c r="MD114" s="365">
        <f>MC115</f>
        <v/>
      </c>
      <c r="ME114" s="388">
        <f>MC114-MD114</f>
        <v/>
      </c>
      <c r="MF114" s="389">
        <f>ME114/MD114</f>
        <v/>
      </c>
      <c r="MG114" s="182" t="n"/>
      <c r="MH114" s="182" t="n"/>
      <c r="MI114" s="319" t="n"/>
      <c r="MJ114" s="318" t="n"/>
      <c r="MK114" s="318">
        <f>C114</f>
        <v/>
      </c>
      <c r="ML114" s="318" t="n">
        <v>173865.5354</v>
      </c>
      <c r="MM114" s="13">
        <f>ML115</f>
        <v/>
      </c>
      <c r="MN114" s="318">
        <f>ML114-MM114</f>
        <v/>
      </c>
      <c r="MO114" s="327">
        <f>MN114/MM114</f>
        <v/>
      </c>
      <c r="MP114" s="182" t="n"/>
      <c r="MQ114" s="369" t="n"/>
      <c r="MR114" s="369" t="n"/>
      <c r="MS114" s="188" t="n"/>
      <c r="MT114" s="274">
        <f>C114</f>
        <v/>
      </c>
      <c r="MU114" s="188" t="n">
        <v>160314.8</v>
      </c>
      <c r="MV114" s="188">
        <f>MU115</f>
        <v/>
      </c>
      <c r="MW114" s="188">
        <f>MU114-MV114</f>
        <v/>
      </c>
      <c r="MX114" s="271">
        <f>MW114/MV114</f>
        <v/>
      </c>
      <c r="MY114" s="182" t="n"/>
      <c r="MZ114" s="182" t="n"/>
      <c r="NA114" s="182" t="n"/>
      <c r="NB114" s="188" t="n"/>
      <c r="NC114" s="188">
        <f>C114</f>
        <v/>
      </c>
      <c r="ND114" s="188" t="n">
        <v>40091.48</v>
      </c>
      <c r="NE114" s="188">
        <f>ND115</f>
        <v/>
      </c>
      <c r="NF114" s="188">
        <f>ND114-NE114</f>
        <v/>
      </c>
      <c r="NG114" s="271">
        <f>NF114/NE114</f>
        <v/>
      </c>
      <c r="NH114" s="182" t="n"/>
      <c r="NI114" s="182" t="n"/>
      <c r="NJ114" s="182" t="n"/>
      <c r="NK114" s="182" t="n"/>
      <c r="NL114" s="9" t="n"/>
      <c r="NM114" s="9">
        <f>C114</f>
        <v/>
      </c>
      <c r="NN114" s="24" t="n">
        <v>2802711.08</v>
      </c>
      <c r="NO114" s="0">
        <f>NN115</f>
        <v/>
      </c>
      <c r="NP114" s="24">
        <f>NN114-NO114</f>
        <v/>
      </c>
      <c r="NQ114" s="182">
        <f>NP114/NO114</f>
        <v/>
      </c>
      <c r="NR114" s="182" t="n"/>
      <c r="NS114" s="9" t="n"/>
      <c r="NU114" s="9">
        <f>C114</f>
        <v/>
      </c>
      <c r="NV114" s="364" t="n">
        <v>269426.5</v>
      </c>
      <c r="NW114" s="364">
        <f>NV115</f>
        <v/>
      </c>
      <c r="NX114" s="364">
        <f>NV114-NW114</f>
        <v/>
      </c>
      <c r="NY114" s="366">
        <f>NX114/NW114</f>
        <v/>
      </c>
      <c r="NZ114" s="366" t="n"/>
      <c r="OA114" s="364" t="n"/>
      <c r="OB114" s="364" t="n"/>
      <c r="OC114" s="365">
        <f>C114</f>
        <v/>
      </c>
      <c r="OD114" s="365" t="n">
        <v>17304.97</v>
      </c>
      <c r="OE114" s="365">
        <f>OD115</f>
        <v/>
      </c>
      <c r="OF114" s="388">
        <f>OD114-OE114</f>
        <v/>
      </c>
      <c r="OG114" s="389">
        <f>OF114/OE114</f>
        <v/>
      </c>
      <c r="OH114" s="182" t="n"/>
      <c r="OI114" s="182" t="n"/>
      <c r="OJ114" s="364" t="n"/>
      <c r="OK114" s="365">
        <f>C114</f>
        <v/>
      </c>
      <c r="OL114" s="0" t="n">
        <v>15325.65</v>
      </c>
      <c r="OM114" s="0">
        <f>OL115</f>
        <v/>
      </c>
      <c r="ON114" s="0">
        <f>OL114-OM114</f>
        <v/>
      </c>
      <c r="OO114" s="182">
        <f>ON114/OM114</f>
        <v/>
      </c>
      <c r="OP114" s="182" t="n"/>
      <c r="OQ114" s="182" t="n"/>
      <c r="OT114" s="25">
        <f>OK114</f>
        <v/>
      </c>
      <c r="OU114" s="199" t="n"/>
      <c r="OV114" s="9">
        <f>OU115</f>
        <v/>
      </c>
      <c r="OW114" s="671">
        <f>OU114-OV114</f>
        <v/>
      </c>
      <c r="OX114" s="182">
        <f>OW114/OV114</f>
        <v/>
      </c>
    </row>
    <row r="115" ht="17" customFormat="1" customHeight="1" s="9">
      <c r="A115" s="631" t="n"/>
      <c r="B115" s="631" t="n"/>
      <c r="C115" s="693" t="inlineStr">
        <is>
          <t>2026//6/02</t>
        </is>
      </c>
      <c r="D115" s="362" t="n">
        <v>2824158.77</v>
      </c>
      <c r="E115" s="362">
        <f>D116</f>
        <v/>
      </c>
      <c r="F115" s="377">
        <f>D115-E115</f>
        <v/>
      </c>
      <c r="G115" s="378">
        <f>F115/E115</f>
        <v/>
      </c>
      <c r="H115" s="19" t="n"/>
      <c r="I115" s="426" t="n"/>
      <c r="J115" s="426" t="n"/>
      <c r="K115" s="362">
        <f>C115</f>
        <v/>
      </c>
      <c r="L115" s="362" t="n">
        <v>2210014.4</v>
      </c>
      <c r="M115" s="362">
        <f>L116</f>
        <v/>
      </c>
      <c r="N115" s="377">
        <f>L115-M115</f>
        <v/>
      </c>
      <c r="O115" s="479">
        <f>N115/M115</f>
        <v/>
      </c>
      <c r="P115" s="19" t="n"/>
      <c r="Q115" s="426" t="n"/>
      <c r="R115" s="427" t="n"/>
      <c r="S115" s="362">
        <f>C115</f>
        <v/>
      </c>
      <c r="T115" s="362" t="n">
        <v>849486.6800000001</v>
      </c>
      <c r="U115" s="362">
        <f>T116</f>
        <v/>
      </c>
      <c r="V115" s="432">
        <f>T115-U115</f>
        <v/>
      </c>
      <c r="W115" s="433">
        <f>V115/U115</f>
        <v/>
      </c>
      <c r="X115" s="19" t="n"/>
      <c r="Y115" s="426" t="n"/>
      <c r="Z115" s="427" t="n"/>
      <c r="AA115" s="362">
        <f>S115</f>
        <v/>
      </c>
      <c r="AB115" s="362" t="n">
        <v>474296.86</v>
      </c>
      <c r="AC115" s="362">
        <f>AB116</f>
        <v/>
      </c>
      <c r="AD115" s="377">
        <f>AB115-AC115</f>
        <v/>
      </c>
      <c r="AE115" s="378">
        <f>AD115/AC115</f>
        <v/>
      </c>
      <c r="AF115" s="19" t="n"/>
      <c r="AG115" s="426" t="n"/>
      <c r="AH115" s="427" t="n"/>
      <c r="AI115" s="362">
        <f>C115</f>
        <v/>
      </c>
      <c r="AJ115" s="362" t="n">
        <v>451321.76</v>
      </c>
      <c r="AK115" s="362">
        <f>AJ116</f>
        <v/>
      </c>
      <c r="AL115" s="377">
        <f>AJ115-AK115</f>
        <v/>
      </c>
      <c r="AM115" s="378">
        <f>AL115/AK115</f>
        <v/>
      </c>
      <c r="AN115" s="19" t="n"/>
      <c r="AO115" s="19" t="n"/>
      <c r="AP115" s="427" t="n"/>
      <c r="AQ115" s="362">
        <f>C115</f>
        <v/>
      </c>
      <c r="AR115" s="697" t="n">
        <v>1023445.4936</v>
      </c>
      <c r="AS115" s="362">
        <f>AR116</f>
        <v/>
      </c>
      <c r="AT115" s="377">
        <f>AR115-AS115</f>
        <v/>
      </c>
      <c r="AU115" s="378">
        <f>AT115/AS115</f>
        <v/>
      </c>
      <c r="AV115" s="19" t="n"/>
      <c r="AW115" s="19" t="n"/>
      <c r="AX115" s="5" t="n"/>
      <c r="AY115" s="5" t="n"/>
      <c r="AZ115" s="5">
        <f>C115</f>
        <v/>
      </c>
      <c r="BA115" s="188" t="n">
        <v>1242111.6676</v>
      </c>
      <c r="BB115" s="188">
        <f>BA116</f>
        <v/>
      </c>
      <c r="BC115" s="188">
        <f>BA115-BB115</f>
        <v/>
      </c>
      <c r="BD115" s="271">
        <f>BC115/BB115</f>
        <v/>
      </c>
      <c r="BE115" s="19" t="n"/>
      <c r="BF115" s="19" t="n"/>
      <c r="BG115" s="647" t="n"/>
      <c r="BH115" s="363">
        <f>C115</f>
        <v/>
      </c>
      <c r="BI115" s="363" t="n">
        <v>1422826.5525</v>
      </c>
      <c r="BJ115" s="363">
        <f>BI116</f>
        <v/>
      </c>
      <c r="BK115" s="395">
        <f>BI115-BJ115</f>
        <v/>
      </c>
      <c r="BL115" s="396">
        <f>BK115/BJ115</f>
        <v/>
      </c>
      <c r="BM115" s="191" t="n"/>
      <c r="BN115" s="182" t="n"/>
      <c r="BO115" s="364" t="n"/>
      <c r="BP115" s="365">
        <f>C115</f>
        <v/>
      </c>
      <c r="BQ115" s="694" t="n">
        <v>1149962.3921</v>
      </c>
      <c r="BR115" s="365">
        <f>BQ116</f>
        <v/>
      </c>
      <c r="BS115" s="390">
        <f>BQ115-BR115</f>
        <v/>
      </c>
      <c r="BT115" s="391">
        <f>BS115/BR115</f>
        <v/>
      </c>
      <c r="BU115" s="182" t="n"/>
      <c r="BV115" s="182" t="n"/>
      <c r="BW115" s="364" t="n"/>
      <c r="BX115" s="365">
        <f>C115</f>
        <v/>
      </c>
      <c r="BY115" s="365" t="n">
        <v>2150210.7019</v>
      </c>
      <c r="BZ115" s="365">
        <f>BY116</f>
        <v/>
      </c>
      <c r="CA115" s="388">
        <f>BY115-BZ115</f>
        <v/>
      </c>
      <c r="CB115" s="389">
        <f>CA115/BZ115</f>
        <v/>
      </c>
      <c r="CC115" s="182" t="n"/>
      <c r="CD115" s="383" t="n"/>
      <c r="CE115" s="364" t="n"/>
      <c r="CF115" s="365">
        <f>C115</f>
        <v/>
      </c>
      <c r="CG115" s="365" t="n">
        <v>1307603.9</v>
      </c>
      <c r="CH115" s="13">
        <f>CG116</f>
        <v/>
      </c>
      <c r="CI115" s="13">
        <f>CG115-CH115</f>
        <v/>
      </c>
      <c r="CJ115" s="193">
        <f>CI115/CH115</f>
        <v/>
      </c>
      <c r="CK115" s="182" t="n"/>
      <c r="CL115" s="366" t="n"/>
      <c r="CM115" s="364" t="n"/>
      <c r="CN115" s="365">
        <f>C115</f>
        <v/>
      </c>
      <c r="CO115" s="365" t="n">
        <v>572946.48</v>
      </c>
      <c r="CP115" s="365">
        <f>CO116</f>
        <v/>
      </c>
      <c r="CQ115" s="13">
        <f>CO115-CP115</f>
        <v/>
      </c>
      <c r="CR115" s="193">
        <f>CQ115/CP115</f>
        <v/>
      </c>
      <c r="CS115" s="366" t="n"/>
      <c r="CT115" s="366" t="n"/>
      <c r="CU115" s="364" t="n"/>
      <c r="CV115" s="365">
        <f>C115</f>
        <v/>
      </c>
      <c r="CW115" s="365" t="n">
        <v>577890.4</v>
      </c>
      <c r="CX115" s="365">
        <f>CW116</f>
        <v/>
      </c>
      <c r="CY115" s="390">
        <f>CW115-CX115</f>
        <v/>
      </c>
      <c r="CZ115" s="391">
        <f>CY115/CX115</f>
        <v/>
      </c>
      <c r="DA115" s="182" t="n"/>
      <c r="DB115" s="182" t="n"/>
      <c r="DC115" s="256" t="n"/>
      <c r="DD115" s="365">
        <f>C115</f>
        <v/>
      </c>
      <c r="DE115" s="365" t="n">
        <v>1796317.9986</v>
      </c>
      <c r="DF115" s="13">
        <f>DE116</f>
        <v/>
      </c>
      <c r="DG115" s="388">
        <f>DE115-DF115</f>
        <v/>
      </c>
      <c r="DH115" s="389">
        <f>DG115/DF115</f>
        <v/>
      </c>
      <c r="DI115" s="182" t="n"/>
      <c r="DJ115" s="182" t="n"/>
      <c r="DK115" s="364" t="n"/>
      <c r="DL115" s="365">
        <f>C115</f>
        <v/>
      </c>
      <c r="DM115" s="365" t="n">
        <v>853300.36</v>
      </c>
      <c r="DN115" s="365">
        <f>DM116</f>
        <v/>
      </c>
      <c r="DO115" s="388">
        <f>DM115-DN115</f>
        <v/>
      </c>
      <c r="DP115" s="389">
        <f>DO115/DN115</f>
        <v/>
      </c>
      <c r="DQ115" s="182" t="n"/>
      <c r="DR115" s="182" t="n"/>
      <c r="DS115" s="364" t="n"/>
      <c r="DT115" s="365">
        <f>C115</f>
        <v/>
      </c>
      <c r="DU115" s="365" t="n">
        <v>1319489.48</v>
      </c>
      <c r="DV115" s="365">
        <f>DU116</f>
        <v/>
      </c>
      <c r="DW115" s="388">
        <f>DU115-DV115</f>
        <v/>
      </c>
      <c r="DX115" s="389">
        <f>DW115/DV115</f>
        <v/>
      </c>
      <c r="DY115" s="182" t="n"/>
      <c r="DZ115" s="182" t="n"/>
      <c r="EA115" s="364" t="n"/>
      <c r="EB115" s="365">
        <f>C115</f>
        <v/>
      </c>
      <c r="EC115" s="365" t="n">
        <v>3439766.82</v>
      </c>
      <c r="ED115" s="365">
        <f>EC116</f>
        <v/>
      </c>
      <c r="EE115" s="390">
        <f>EC115-ED115</f>
        <v/>
      </c>
      <c r="EF115" s="391">
        <f>EE115/ED115</f>
        <v/>
      </c>
      <c r="EG115" s="182" t="n"/>
      <c r="EH115" s="182" t="n"/>
      <c r="EI115" s="364" t="n"/>
      <c r="EJ115" s="365">
        <f>C115</f>
        <v/>
      </c>
      <c r="EK115" s="365" t="n">
        <v>1183922.9669</v>
      </c>
      <c r="EL115" s="365">
        <f>EK116</f>
        <v/>
      </c>
      <c r="EM115" s="388">
        <f>EK115-EL115</f>
        <v/>
      </c>
      <c r="EN115" s="389">
        <f>EM115/EL115</f>
        <v/>
      </c>
      <c r="EO115" s="182" t="n"/>
      <c r="EP115" s="182" t="n"/>
      <c r="EQ115" s="317" t="n"/>
      <c r="ER115" s="318">
        <f>C115</f>
        <v/>
      </c>
      <c r="ES115" s="318" t="n">
        <v>391847.02</v>
      </c>
      <c r="ET115" s="318">
        <f>ES116</f>
        <v/>
      </c>
      <c r="EU115" s="318">
        <f>ES115-ET115</f>
        <v/>
      </c>
      <c r="EV115" s="327">
        <f>EU115/ET115</f>
        <v/>
      </c>
      <c r="EW115" s="182" t="n"/>
      <c r="EX115" s="182" t="n"/>
      <c r="EY115" s="364" t="n"/>
      <c r="EZ115" s="365">
        <f>C115</f>
        <v/>
      </c>
      <c r="FA115" s="365" t="n">
        <v>592808</v>
      </c>
      <c r="FB115" s="365">
        <f>FA116</f>
        <v/>
      </c>
      <c r="FC115" s="388">
        <f>FA115-FB115</f>
        <v/>
      </c>
      <c r="FD115" s="389">
        <f>FC115/FB115</f>
        <v/>
      </c>
      <c r="FE115" s="182" t="n"/>
      <c r="FF115" s="182" t="n"/>
      <c r="FG115" s="182" t="n"/>
      <c r="FH115" s="365">
        <f>C115</f>
        <v/>
      </c>
      <c r="FI115" s="694" t="n">
        <v>1053795.3365</v>
      </c>
      <c r="FJ115" s="365">
        <f>FI116</f>
        <v/>
      </c>
      <c r="FK115" s="323">
        <f>FI115-FJ115</f>
        <v/>
      </c>
      <c r="FL115" s="324">
        <f>FK115/FJ115</f>
        <v/>
      </c>
      <c r="FM115" s="366" t="n"/>
      <c r="FN115" s="366" t="n"/>
      <c r="FO115" s="364" t="n"/>
      <c r="FP115" s="365">
        <f>C115</f>
        <v/>
      </c>
      <c r="FQ115" s="365" t="n">
        <v>1605568.73</v>
      </c>
      <c r="FR115" s="365">
        <f>FQ116</f>
        <v/>
      </c>
      <c r="FS115" s="390">
        <f>FQ115-FR115</f>
        <v/>
      </c>
      <c r="FT115" s="391">
        <f>FS115/FR115</f>
        <v/>
      </c>
      <c r="FU115" s="182" t="n"/>
      <c r="FV115" s="182" t="n"/>
      <c r="FW115" s="364" t="n"/>
      <c r="FX115" s="365">
        <f>C115</f>
        <v/>
      </c>
      <c r="FY115" s="365" t="n">
        <v>8452282.050000001</v>
      </c>
      <c r="FZ115" s="365">
        <f>FY116</f>
        <v/>
      </c>
      <c r="GA115" s="390">
        <f>FY115-FZ115</f>
        <v/>
      </c>
      <c r="GB115" s="391">
        <f>GA115/FZ115</f>
        <v/>
      </c>
      <c r="GC115" s="182" t="n"/>
      <c r="GD115" s="182" t="n"/>
      <c r="GE115" s="364" t="n"/>
      <c r="GF115" s="365">
        <f>C115</f>
        <v/>
      </c>
      <c r="GG115" s="365" t="n">
        <v>4998669.49</v>
      </c>
      <c r="GH115" s="365">
        <f>GG116</f>
        <v/>
      </c>
      <c r="GI115" s="390">
        <f>GG115-GH115</f>
        <v/>
      </c>
      <c r="GJ115" s="391">
        <f>GI115/GH115</f>
        <v/>
      </c>
      <c r="GK115" s="182" t="n"/>
      <c r="GL115" s="182" t="n"/>
      <c r="GM115" s="364" t="n"/>
      <c r="GN115" s="365">
        <f>C115</f>
        <v/>
      </c>
      <c r="GO115" s="365" t="n">
        <v>1916278.1217</v>
      </c>
      <c r="GP115" s="365">
        <f>GO116</f>
        <v/>
      </c>
      <c r="GQ115" s="388">
        <f>GO115-GP115</f>
        <v/>
      </c>
      <c r="GR115" s="389">
        <f>GQ115/GP115</f>
        <v/>
      </c>
      <c r="GS115" s="182" t="n"/>
      <c r="GT115" s="182" t="n"/>
      <c r="GU115" s="364" t="n"/>
      <c r="GV115" s="365">
        <f>C115</f>
        <v/>
      </c>
      <c r="GW115" s="365" t="n">
        <v>754549.4</v>
      </c>
      <c r="GX115" s="365">
        <f>GW116</f>
        <v/>
      </c>
      <c r="GY115" s="384">
        <f>GW115-GX115</f>
        <v/>
      </c>
      <c r="GZ115" s="383">
        <f>GY115/GX115</f>
        <v/>
      </c>
      <c r="HA115" s="182" t="n"/>
      <c r="HB115" s="182" t="n"/>
      <c r="HC115" s="364" t="n"/>
      <c r="HD115" s="365">
        <f>C115</f>
        <v/>
      </c>
      <c r="HE115" s="365" t="n">
        <v>1103264.6746</v>
      </c>
      <c r="HF115" s="365">
        <f>HE116</f>
        <v/>
      </c>
      <c r="HG115" s="390">
        <f>HE115-HF115</f>
        <v/>
      </c>
      <c r="HH115" s="391">
        <f>HG115/HF115</f>
        <v/>
      </c>
      <c r="HI115" s="366" t="n"/>
      <c r="HJ115" s="182" t="n"/>
      <c r="HK115" s="364" t="n"/>
      <c r="HL115" s="365">
        <f>C115</f>
        <v/>
      </c>
      <c r="HM115" s="365" t="n">
        <v>122954.25</v>
      </c>
      <c r="HN115" s="365">
        <f>HM116</f>
        <v/>
      </c>
      <c r="HO115" s="388">
        <f>HM115-HN115</f>
        <v/>
      </c>
      <c r="HP115" s="389">
        <f>HO115/HN115</f>
        <v/>
      </c>
      <c r="HQ115" s="182" t="n"/>
      <c r="HR115" s="182" t="n"/>
      <c r="HS115" s="364" t="n"/>
      <c r="HT115" s="365">
        <f>C115</f>
        <v/>
      </c>
      <c r="HU115" s="365" t="n">
        <v>163868.8265</v>
      </c>
      <c r="HV115" s="365">
        <f>HU116</f>
        <v/>
      </c>
      <c r="HW115" s="388">
        <f>HU115-HV115</f>
        <v/>
      </c>
      <c r="HX115" s="389">
        <f>HW115/HV115</f>
        <v/>
      </c>
      <c r="HY115" s="182" t="n"/>
      <c r="HZ115" s="182" t="n"/>
      <c r="IA115" s="364" t="n"/>
      <c r="IB115" s="365">
        <f>C115</f>
        <v/>
      </c>
      <c r="IC115" s="365" t="n">
        <v>341659.79</v>
      </c>
      <c r="ID115" s="365">
        <f>IC116</f>
        <v/>
      </c>
      <c r="IE115" s="365">
        <f>IC115-ID115</f>
        <v/>
      </c>
      <c r="IF115" s="366">
        <f>IE115/ID115</f>
        <v/>
      </c>
      <c r="IG115" s="366" t="n"/>
      <c r="IH115" s="182" t="n"/>
      <c r="II115" s="364" t="n"/>
      <c r="IJ115" s="365">
        <f>C115</f>
        <v/>
      </c>
      <c r="IK115" s="365" t="n">
        <v>891276.29</v>
      </c>
      <c r="IL115" s="365">
        <f>IK116</f>
        <v/>
      </c>
      <c r="IM115" s="388">
        <f>IK115-IL115</f>
        <v/>
      </c>
      <c r="IN115" s="389">
        <f>IM115/IL115</f>
        <v/>
      </c>
      <c r="IO115" s="182" t="n"/>
      <c r="IP115" s="182" t="n"/>
      <c r="IQ115" s="364" t="n"/>
      <c r="IR115" s="365">
        <f>C115</f>
        <v/>
      </c>
      <c r="IS115" s="365" t="n">
        <v>145889</v>
      </c>
      <c r="IT115" s="365">
        <f>IS116</f>
        <v/>
      </c>
      <c r="IU115" s="388">
        <f>IS115-IT115</f>
        <v/>
      </c>
      <c r="IV115" s="389">
        <f>IU115/IT115</f>
        <v/>
      </c>
      <c r="IW115" s="182" t="n"/>
      <c r="IX115" s="182" t="n"/>
      <c r="IY115" s="364" t="n"/>
      <c r="IZ115" s="365">
        <f>C115</f>
        <v/>
      </c>
      <c r="JA115" s="365" t="n">
        <v>5252629.15</v>
      </c>
      <c r="JB115" s="365">
        <f>JA116</f>
        <v/>
      </c>
      <c r="JC115" s="390">
        <f>JA115-JB115</f>
        <v/>
      </c>
      <c r="JD115" s="391">
        <f>JC115/JB115</f>
        <v/>
      </c>
      <c r="JE115" s="182" t="n"/>
      <c r="JF115" s="182" t="n"/>
      <c r="JG115" s="364" t="n"/>
      <c r="JH115" s="365">
        <f>C115</f>
        <v/>
      </c>
      <c r="JI115" s="365" t="n">
        <v>1370187.99</v>
      </c>
      <c r="JJ115" s="365">
        <f>JI116</f>
        <v/>
      </c>
      <c r="JK115" s="388">
        <f>JI115-JJ115</f>
        <v/>
      </c>
      <c r="JL115" s="389">
        <f>JK115/JJ115</f>
        <v/>
      </c>
      <c r="JM115" s="182" t="n"/>
      <c r="JN115" s="182" t="n"/>
      <c r="JO115" s="182" t="n"/>
      <c r="JP115" s="365">
        <f>C115</f>
        <v/>
      </c>
      <c r="JQ115" s="365" t="n">
        <v>1023690.4148</v>
      </c>
      <c r="JR115" s="365">
        <f>JQ116</f>
        <v/>
      </c>
      <c r="JS115" s="390">
        <f>JQ115-JR115</f>
        <v/>
      </c>
      <c r="JT115" s="391">
        <f>JS115/JR115</f>
        <v/>
      </c>
      <c r="JU115" s="182" t="n"/>
      <c r="JV115" s="182" t="n"/>
      <c r="JW115" s="383" t="n"/>
      <c r="JX115" s="365">
        <f>C115</f>
        <v/>
      </c>
      <c r="JY115" s="365" t="n">
        <v>1112848.8</v>
      </c>
      <c r="JZ115" s="365">
        <f>JY116</f>
        <v/>
      </c>
      <c r="KA115" s="384">
        <f>JY115-JZ115</f>
        <v/>
      </c>
      <c r="KB115" s="383">
        <f>KA115/JZ115</f>
        <v/>
      </c>
      <c r="KC115" s="182" t="n"/>
      <c r="KD115" s="383" t="n"/>
      <c r="KF115" s="365">
        <f>C115</f>
        <v/>
      </c>
      <c r="KG115" s="365" t="n">
        <v>668555.9219</v>
      </c>
      <c r="KH115" s="365">
        <f>KG116</f>
        <v/>
      </c>
      <c r="KI115" s="384">
        <f>KG115-KH115</f>
        <v/>
      </c>
      <c r="KJ115" s="383">
        <f>KI115/KH115</f>
        <v/>
      </c>
      <c r="KK115" s="366" t="n"/>
      <c r="KL115" s="366" t="n"/>
      <c r="KM115" s="364" t="n"/>
      <c r="KN115" s="365">
        <f>C115</f>
        <v/>
      </c>
      <c r="KO115" s="365" t="n">
        <v>7652375.95</v>
      </c>
      <c r="KP115" s="365">
        <f>KO116</f>
        <v/>
      </c>
      <c r="KQ115" s="390">
        <f>KO115-KP115</f>
        <v/>
      </c>
      <c r="KR115" s="391">
        <f>KQ115/KP115</f>
        <v/>
      </c>
      <c r="KS115" s="182" t="n"/>
      <c r="KT115" s="182" t="n"/>
      <c r="KU115" s="364" t="n"/>
      <c r="KV115" s="365">
        <f>C115</f>
        <v/>
      </c>
      <c r="KW115" s="365" t="n">
        <v>1080972.9726</v>
      </c>
      <c r="KX115" s="365">
        <f>KW116</f>
        <v/>
      </c>
      <c r="KY115" s="325">
        <f>KW115-KX115</f>
        <v/>
      </c>
      <c r="KZ115" s="326">
        <f>KY115/KX115</f>
        <v/>
      </c>
      <c r="LA115" s="326" t="n"/>
      <c r="LB115" s="182" t="n"/>
      <c r="LC115" s="364" t="n"/>
      <c r="LD115" s="365">
        <f>C115</f>
        <v/>
      </c>
      <c r="LE115" s="365" t="n">
        <v>416307.7</v>
      </c>
      <c r="LF115" s="365">
        <f>LE116</f>
        <v/>
      </c>
      <c r="LG115" s="388">
        <f>LE115-LF115</f>
        <v/>
      </c>
      <c r="LH115" s="389">
        <f>LG115/LF115</f>
        <v/>
      </c>
      <c r="LI115" s="182" t="n"/>
      <c r="LJ115" s="182" t="n"/>
      <c r="LK115" s="364" t="n"/>
      <c r="LL115" s="365">
        <f>C115</f>
        <v/>
      </c>
      <c r="LM115" s="694" t="n">
        <v>3401755.02</v>
      </c>
      <c r="LN115" s="365">
        <f>LM116</f>
        <v/>
      </c>
      <c r="LO115" s="388">
        <f>LM115-LN115</f>
        <v/>
      </c>
      <c r="LP115" s="389">
        <f>LO115/LN115</f>
        <v/>
      </c>
      <c r="LQ115" s="182" t="n"/>
      <c r="LR115" s="182" t="n"/>
      <c r="LS115" s="364" t="n"/>
      <c r="LT115" s="365">
        <f>C115</f>
        <v/>
      </c>
      <c r="LU115" s="365" t="n">
        <v>2382462.904</v>
      </c>
      <c r="LV115" s="365">
        <f>LU116</f>
        <v/>
      </c>
      <c r="LW115" s="390">
        <f>LU115-LV115</f>
        <v/>
      </c>
      <c r="LX115" s="391">
        <f>LW115/LV115</f>
        <v/>
      </c>
      <c r="LY115" s="182" t="n"/>
      <c r="LZ115" s="182" t="n"/>
      <c r="MA115" s="364" t="n"/>
      <c r="MB115" s="365">
        <f>C115</f>
        <v/>
      </c>
      <c r="MC115" s="365" t="n">
        <v>1006567.69</v>
      </c>
      <c r="MD115" s="365">
        <f>MC116</f>
        <v/>
      </c>
      <c r="ME115" s="388">
        <f>MC115-MD115</f>
        <v/>
      </c>
      <c r="MF115" s="389">
        <f>ME115/MD115</f>
        <v/>
      </c>
      <c r="MG115" s="182" t="n"/>
      <c r="MH115" s="182" t="n"/>
      <c r="MI115" s="319" t="n"/>
      <c r="MJ115" s="318" t="n"/>
      <c r="MK115" s="318">
        <f>C115</f>
        <v/>
      </c>
      <c r="ML115" s="318" t="n">
        <v>172785.5354</v>
      </c>
      <c r="MM115" s="13">
        <f>ML116</f>
        <v/>
      </c>
      <c r="MN115" s="318">
        <f>ML115-MM115</f>
        <v/>
      </c>
      <c r="MO115" s="327">
        <f>MN115/MM115</f>
        <v/>
      </c>
      <c r="MP115" s="182" t="n"/>
      <c r="MQ115" s="369" t="n"/>
      <c r="MR115" s="369" t="n"/>
      <c r="MS115" s="9" t="n"/>
      <c r="MT115" s="25">
        <f>C115</f>
        <v/>
      </c>
      <c r="MU115" s="188" t="n">
        <v>157714.8</v>
      </c>
      <c r="MV115" s="188">
        <f>MU116</f>
        <v/>
      </c>
      <c r="MW115" s="188">
        <f>MU115-MV115</f>
        <v/>
      </c>
      <c r="MX115" s="271">
        <f>MW115/MV115</f>
        <v/>
      </c>
      <c r="MY115" s="182" t="n"/>
      <c r="MZ115" s="182" t="n"/>
      <c r="NA115" s="182" t="n"/>
      <c r="NB115" s="9" t="n"/>
      <c r="NC115" s="9">
        <f>C115</f>
        <v/>
      </c>
      <c r="ND115" s="188" t="n">
        <v>40291.48</v>
      </c>
      <c r="NE115" s="188">
        <f>ND116</f>
        <v/>
      </c>
      <c r="NF115" s="188">
        <f>ND115-NE115</f>
        <v/>
      </c>
      <c r="NG115" s="271">
        <f>NF115/NE115</f>
        <v/>
      </c>
      <c r="NH115" s="182" t="n"/>
      <c r="NI115" s="182" t="n"/>
      <c r="NJ115" s="182" t="n"/>
      <c r="NK115" s="182" t="n"/>
      <c r="NL115" s="9" t="n"/>
      <c r="NM115" s="9">
        <f>C115</f>
        <v/>
      </c>
      <c r="NN115" s="0" t="n">
        <v>2773311.08</v>
      </c>
      <c r="NO115" s="0">
        <f>NN116</f>
        <v/>
      </c>
      <c r="NP115" s="0">
        <f>NN115-NO115</f>
        <v/>
      </c>
      <c r="NQ115" s="182">
        <f>NP115/NO115</f>
        <v/>
      </c>
      <c r="NR115" s="182" t="n"/>
      <c r="NS115" s="9" t="n"/>
      <c r="NU115" s="9">
        <f>C115</f>
        <v/>
      </c>
      <c r="NV115" s="364" t="n">
        <v>268876.5</v>
      </c>
      <c r="NW115" s="364">
        <f>NV116</f>
        <v/>
      </c>
      <c r="NX115" s="364">
        <f>NV115-NW115</f>
        <v/>
      </c>
      <c r="NY115" s="366">
        <f>NX115/NW115</f>
        <v/>
      </c>
      <c r="NZ115" s="366" t="n"/>
      <c r="OA115" s="364" t="n"/>
      <c r="OB115" s="364" t="n"/>
      <c r="OC115" s="365">
        <f>C115</f>
        <v/>
      </c>
      <c r="OD115" s="365" t="n">
        <v>16804.97</v>
      </c>
      <c r="OE115" s="365">
        <f>OD116</f>
        <v/>
      </c>
      <c r="OF115" s="388">
        <f>OD115-OE115</f>
        <v/>
      </c>
      <c r="OG115" s="389">
        <f>OF115/OE115</f>
        <v/>
      </c>
      <c r="OH115" s="182" t="n"/>
      <c r="OI115" s="182" t="n"/>
      <c r="OJ115" s="364" t="n"/>
      <c r="OK115" s="365">
        <f>C115</f>
        <v/>
      </c>
      <c r="OL115" s="0" t="n">
        <v>15238.65</v>
      </c>
      <c r="OM115" s="0">
        <f>OL116</f>
        <v/>
      </c>
      <c r="ON115" s="0">
        <f>OL115-OM115</f>
        <v/>
      </c>
      <c r="OO115" s="182">
        <f>ON115/OM115</f>
        <v/>
      </c>
      <c r="OP115" s="182" t="n"/>
      <c r="OQ115" s="182" t="n"/>
      <c r="OT115" s="25">
        <f>OK115</f>
        <v/>
      </c>
      <c r="OU115" s="199" t="n"/>
      <c r="OV115" s="9">
        <f>OU116</f>
        <v/>
      </c>
      <c r="OW115" s="671">
        <f>OU115-OV115</f>
        <v/>
      </c>
      <c r="OX115" s="182">
        <f>OW115/OV115</f>
        <v/>
      </c>
    </row>
    <row r="116" ht="17" customFormat="1" customHeight="1" s="9">
      <c r="A116" s="631" t="n"/>
      <c r="B116" s="631" t="n"/>
      <c r="C116" s="693" t="inlineStr">
        <is>
          <t>2026//6/01</t>
        </is>
      </c>
      <c r="D116" s="362" t="n">
        <v>2819928.77</v>
      </c>
      <c r="E116" s="362">
        <f>D117</f>
        <v/>
      </c>
      <c r="F116" s="377">
        <f>D116-E116</f>
        <v/>
      </c>
      <c r="G116" s="378">
        <f>F116/E116</f>
        <v/>
      </c>
      <c r="H116" s="19" t="n"/>
      <c r="I116" s="426" t="n"/>
      <c r="J116" s="426" t="n"/>
      <c r="K116" s="362">
        <f>C116</f>
        <v/>
      </c>
      <c r="L116" s="362" t="n">
        <v>2212264.4</v>
      </c>
      <c r="M116" s="362">
        <f>L117</f>
        <v/>
      </c>
      <c r="N116" s="377">
        <f>L116-M116</f>
        <v/>
      </c>
      <c r="O116" s="378">
        <f>N116/M116</f>
        <v/>
      </c>
      <c r="P116" s="19" t="n"/>
      <c r="Q116" s="426" t="n"/>
      <c r="R116" s="427" t="n"/>
      <c r="S116" s="362">
        <f>C116</f>
        <v/>
      </c>
      <c r="T116" s="362" t="n">
        <v>845166.6800000001</v>
      </c>
      <c r="U116" s="362">
        <f>T117</f>
        <v/>
      </c>
      <c r="V116" s="377">
        <f>T116-U116</f>
        <v/>
      </c>
      <c r="W116" s="378">
        <f>V116/U116</f>
        <v/>
      </c>
      <c r="X116" s="19" t="n"/>
      <c r="Y116" s="426" t="n"/>
      <c r="Z116" s="427" t="n"/>
      <c r="AA116" s="362">
        <f>S116</f>
        <v/>
      </c>
      <c r="AB116" s="362" t="n">
        <v>458576.86</v>
      </c>
      <c r="AC116" s="362">
        <f>AB117</f>
        <v/>
      </c>
      <c r="AD116" s="377">
        <f>AB116-AC116</f>
        <v/>
      </c>
      <c r="AE116" s="378">
        <f>AD116/AC116</f>
        <v/>
      </c>
      <c r="AF116" s="19" t="n"/>
      <c r="AG116" s="426" t="n"/>
      <c r="AH116" s="427" t="n"/>
      <c r="AI116" s="362">
        <f>C116</f>
        <v/>
      </c>
      <c r="AJ116" s="362" t="n">
        <v>443521.76</v>
      </c>
      <c r="AK116" s="362">
        <f>AJ117</f>
        <v/>
      </c>
      <c r="AL116" s="377">
        <f>AJ116-AK116</f>
        <v/>
      </c>
      <c r="AM116" s="378">
        <f>AL116/AK116</f>
        <v/>
      </c>
      <c r="AN116" s="19" t="n"/>
      <c r="AO116" s="19" t="n"/>
      <c r="AP116" s="427" t="n"/>
      <c r="AQ116" s="362">
        <f>C116</f>
        <v/>
      </c>
      <c r="AR116" s="697" t="n">
        <v>1060445.4936</v>
      </c>
      <c r="AS116" s="362">
        <f>AR117</f>
        <v/>
      </c>
      <c r="AT116" s="432">
        <f>AR116-AS116</f>
        <v/>
      </c>
      <c r="AU116" s="433">
        <f>AT116/AS116</f>
        <v/>
      </c>
      <c r="AV116" s="19" t="n"/>
      <c r="AW116" s="19" t="n"/>
      <c r="AX116" s="5" t="n"/>
      <c r="AY116" s="5" t="n"/>
      <c r="AZ116" s="5">
        <f>C116</f>
        <v/>
      </c>
      <c r="BA116" s="5" t="n">
        <v>1238151.6676</v>
      </c>
      <c r="BB116" s="5">
        <f>BA117</f>
        <v/>
      </c>
      <c r="BC116" s="5">
        <f>BA116-BB116</f>
        <v/>
      </c>
      <c r="BD116" s="19">
        <f>BC116/BB116</f>
        <v/>
      </c>
      <c r="BE116" s="19" t="n"/>
      <c r="BF116" s="19" t="n"/>
      <c r="BG116" s="647" t="n"/>
      <c r="BH116" s="363">
        <f>C116</f>
        <v/>
      </c>
      <c r="BI116" s="363" t="n">
        <v>1430726.5525</v>
      </c>
      <c r="BJ116" s="363">
        <f>BI117</f>
        <v/>
      </c>
      <c r="BK116" s="395">
        <f>BI116-BJ116</f>
        <v/>
      </c>
      <c r="BL116" s="396">
        <f>BK116/BJ116</f>
        <v/>
      </c>
      <c r="BM116" s="191" t="n"/>
      <c r="BN116" s="182" t="n"/>
      <c r="BO116" s="364" t="n"/>
      <c r="BP116" s="365">
        <f>C116</f>
        <v/>
      </c>
      <c r="BQ116" s="694" t="n">
        <v>1116462.3921</v>
      </c>
      <c r="BR116" s="365">
        <f>BQ117</f>
        <v/>
      </c>
      <c r="BS116" s="390">
        <f>BQ116-BR116</f>
        <v/>
      </c>
      <c r="BT116" s="391">
        <f>BS116/BR116</f>
        <v/>
      </c>
      <c r="BU116" s="182" t="n"/>
      <c r="BV116" s="182" t="n"/>
      <c r="BW116" s="364" t="n"/>
      <c r="BX116" s="365">
        <f>C116</f>
        <v/>
      </c>
      <c r="BY116" s="365" t="n">
        <v>2185860.7019</v>
      </c>
      <c r="BZ116" s="365">
        <f>BY117</f>
        <v/>
      </c>
      <c r="CA116" s="388">
        <f>BY116-BZ116</f>
        <v/>
      </c>
      <c r="CB116" s="389">
        <f>CA116/BZ116</f>
        <v/>
      </c>
      <c r="CC116" s="182" t="n"/>
      <c r="CD116" s="383" t="n"/>
      <c r="CE116" s="364" t="n"/>
      <c r="CF116" s="365">
        <f>C116</f>
        <v/>
      </c>
      <c r="CG116" s="365" t="n">
        <v>1315953.9</v>
      </c>
      <c r="CH116" s="13">
        <f>CG117</f>
        <v/>
      </c>
      <c r="CI116" s="13">
        <f>CG116-CH116</f>
        <v/>
      </c>
      <c r="CJ116" s="193">
        <f>CI116/CH116</f>
        <v/>
      </c>
      <c r="CK116" s="182" t="n"/>
      <c r="CL116" s="366" t="n"/>
      <c r="CM116" s="364" t="n"/>
      <c r="CN116" s="365">
        <f>C116</f>
        <v/>
      </c>
      <c r="CO116" s="365" t="n">
        <v>575746.48</v>
      </c>
      <c r="CP116" s="365">
        <f>CO117</f>
        <v/>
      </c>
      <c r="CQ116" s="13">
        <f>CO116-CP116</f>
        <v/>
      </c>
      <c r="CR116" s="193">
        <f>CQ116/CP116</f>
        <v/>
      </c>
      <c r="CS116" s="366" t="n"/>
      <c r="CT116" s="366" t="n"/>
      <c r="CU116" s="364" t="n"/>
      <c r="CV116" s="365">
        <f>C116</f>
        <v/>
      </c>
      <c r="CW116" s="365" t="n">
        <v>579140.4</v>
      </c>
      <c r="CX116" s="365">
        <f>CW117</f>
        <v/>
      </c>
      <c r="CY116" s="390">
        <f>CW116-CX116</f>
        <v/>
      </c>
      <c r="CZ116" s="391">
        <f>CY116/CX116</f>
        <v/>
      </c>
      <c r="DA116" s="182" t="n"/>
      <c r="DB116" s="182" t="n"/>
      <c r="DC116" s="256" t="n"/>
      <c r="DD116" s="365">
        <f>C116</f>
        <v/>
      </c>
      <c r="DE116" s="365" t="n">
        <v>1897117.9986</v>
      </c>
      <c r="DF116" s="13">
        <f>DE117</f>
        <v/>
      </c>
      <c r="DG116" s="390">
        <f>DE116-DF116</f>
        <v/>
      </c>
      <c r="DH116" s="391">
        <f>DG116/DF116</f>
        <v/>
      </c>
      <c r="DI116" s="182" t="n"/>
      <c r="DJ116" s="182" t="n"/>
      <c r="DK116" s="364" t="n"/>
      <c r="DL116" s="365">
        <f>C116</f>
        <v/>
      </c>
      <c r="DM116" s="365" t="n">
        <v>877100.36</v>
      </c>
      <c r="DN116" s="365">
        <f>DM117</f>
        <v/>
      </c>
      <c r="DO116" s="388">
        <f>DM116-DN116</f>
        <v/>
      </c>
      <c r="DP116" s="389">
        <f>DO116/DN116</f>
        <v/>
      </c>
      <c r="DQ116" s="182" t="n"/>
      <c r="DR116" s="182" t="n"/>
      <c r="DS116" s="364" t="n"/>
      <c r="DT116" s="365">
        <f>C116</f>
        <v/>
      </c>
      <c r="DU116" s="365" t="n">
        <v>1335089.48</v>
      </c>
      <c r="DV116" s="365">
        <f>DU117</f>
        <v/>
      </c>
      <c r="DW116" s="390">
        <f>DU116-DV116</f>
        <v/>
      </c>
      <c r="DX116" s="391">
        <f>DW116/DV116</f>
        <v/>
      </c>
      <c r="DY116" s="182" t="n"/>
      <c r="DZ116" s="182" t="n"/>
      <c r="EA116" s="364" t="n"/>
      <c r="EB116" s="365">
        <f>C116</f>
        <v/>
      </c>
      <c r="EC116" s="365" t="n">
        <v>3452666.82</v>
      </c>
      <c r="ED116" s="365">
        <f>EC117</f>
        <v/>
      </c>
      <c r="EE116" s="390">
        <f>EC116-ED116</f>
        <v/>
      </c>
      <c r="EF116" s="391">
        <f>EE116/ED116</f>
        <v/>
      </c>
      <c r="EG116" s="182" t="n"/>
      <c r="EH116" s="182" t="n"/>
      <c r="EI116" s="364" t="n"/>
      <c r="EJ116" s="365">
        <f>C116</f>
        <v/>
      </c>
      <c r="EK116" s="365" t="n">
        <v>1200722.9669</v>
      </c>
      <c r="EL116" s="365">
        <f>EK117</f>
        <v/>
      </c>
      <c r="EM116" s="388">
        <f>EK116-EL116</f>
        <v/>
      </c>
      <c r="EN116" s="389">
        <f>EM116/EL116</f>
        <v/>
      </c>
      <c r="EO116" s="182" t="n"/>
      <c r="EP116" s="182" t="n"/>
      <c r="EQ116" s="317" t="n"/>
      <c r="ER116" s="318">
        <f>C116</f>
        <v/>
      </c>
      <c r="ES116" s="318" t="n">
        <v>399647.02</v>
      </c>
      <c r="ET116" s="318">
        <f>ES117</f>
        <v/>
      </c>
      <c r="EU116" s="318">
        <f>ES116-ET116</f>
        <v/>
      </c>
      <c r="EV116" s="327">
        <f>EU116/ET116</f>
        <v/>
      </c>
      <c r="EW116" s="182" t="n"/>
      <c r="EX116" s="182" t="n"/>
      <c r="EY116" s="364" t="n"/>
      <c r="EZ116" s="365">
        <f>C116</f>
        <v/>
      </c>
      <c r="FA116" s="365" t="n">
        <v>585008</v>
      </c>
      <c r="FB116" s="365">
        <f>FA117</f>
        <v/>
      </c>
      <c r="FC116" s="388">
        <f>FA116-FB116</f>
        <v/>
      </c>
      <c r="FD116" s="389">
        <f>FC116/FB116</f>
        <v/>
      </c>
      <c r="FE116" s="182" t="n"/>
      <c r="FF116" s="182" t="n"/>
      <c r="FG116" s="182" t="n"/>
      <c r="FH116" s="365">
        <f>C116</f>
        <v/>
      </c>
      <c r="FI116" s="694" t="n">
        <v>1069795.3365</v>
      </c>
      <c r="FJ116" s="365">
        <f>FI117</f>
        <v/>
      </c>
      <c r="FK116" s="325">
        <f>FI116-FJ116</f>
        <v/>
      </c>
      <c r="FL116" s="326">
        <f>FK116/FJ116</f>
        <v/>
      </c>
      <c r="FM116" s="366" t="n"/>
      <c r="FN116" s="366" t="n"/>
      <c r="FO116" s="364" t="n"/>
      <c r="FP116" s="365">
        <f>C116</f>
        <v/>
      </c>
      <c r="FQ116" s="365" t="n">
        <v>1601218.73</v>
      </c>
      <c r="FR116" s="365">
        <f>FQ117</f>
        <v/>
      </c>
      <c r="FS116" s="390">
        <f>FQ116-FR116</f>
        <v/>
      </c>
      <c r="FT116" s="391">
        <f>FS116/FR116</f>
        <v/>
      </c>
      <c r="FU116" s="182" t="n"/>
      <c r="FV116" s="182" t="n"/>
      <c r="FW116" s="364" t="n"/>
      <c r="FX116" s="365">
        <f>C116</f>
        <v/>
      </c>
      <c r="FY116" s="365" t="n">
        <v>8316182.05</v>
      </c>
      <c r="FZ116" s="365">
        <f>FY117</f>
        <v/>
      </c>
      <c r="GA116" s="388">
        <f>FY116-FZ116</f>
        <v/>
      </c>
      <c r="GB116" s="389">
        <f>GA116/FZ116</f>
        <v/>
      </c>
      <c r="GC116" s="182" t="n"/>
      <c r="GD116" s="182" t="n"/>
      <c r="GE116" s="364" t="n"/>
      <c r="GF116" s="365">
        <f>C116</f>
        <v/>
      </c>
      <c r="GG116" s="365" t="n">
        <v>4941069.49</v>
      </c>
      <c r="GH116" s="365">
        <f>GG117</f>
        <v/>
      </c>
      <c r="GI116" s="390">
        <f>GG116-GH116</f>
        <v/>
      </c>
      <c r="GJ116" s="391">
        <f>GI116/GH116</f>
        <v/>
      </c>
      <c r="GK116" s="182" t="n"/>
      <c r="GL116" s="182" t="n"/>
      <c r="GM116" s="364" t="n"/>
      <c r="GN116" s="365">
        <f>C116</f>
        <v/>
      </c>
      <c r="GO116" s="365" t="n">
        <v>1897798.1217</v>
      </c>
      <c r="GP116" s="365">
        <f>GO117</f>
        <v/>
      </c>
      <c r="GQ116" s="390">
        <f>GO116-GP116</f>
        <v/>
      </c>
      <c r="GR116" s="391">
        <f>GQ116/GP116</f>
        <v/>
      </c>
      <c r="GS116" s="182" t="n"/>
      <c r="GT116" s="182" t="n"/>
      <c r="GU116" s="364" t="n"/>
      <c r="GV116" s="365">
        <f>C116</f>
        <v/>
      </c>
      <c r="GW116" s="365" t="n">
        <v>765549.4</v>
      </c>
      <c r="GX116" s="365">
        <f>GW117</f>
        <v/>
      </c>
      <c r="GY116" s="388">
        <f>GW116-GX116</f>
        <v/>
      </c>
      <c r="GZ116" s="389">
        <f>GY116/GX116</f>
        <v/>
      </c>
      <c r="HA116" s="182" t="n"/>
      <c r="HB116" s="182" t="n"/>
      <c r="HC116" s="364" t="n"/>
      <c r="HD116" s="365">
        <f>C116</f>
        <v/>
      </c>
      <c r="HE116" s="365" t="n">
        <v>1133564.6746</v>
      </c>
      <c r="HF116" s="365">
        <f>HE117</f>
        <v/>
      </c>
      <c r="HG116" s="388">
        <f>HE116-HF116</f>
        <v/>
      </c>
      <c r="HH116" s="389">
        <f>HG116/HF116</f>
        <v/>
      </c>
      <c r="HI116" s="366" t="n"/>
      <c r="HJ116" s="182" t="n"/>
      <c r="HK116" s="364" t="n"/>
      <c r="HL116" s="365">
        <f>C116</f>
        <v/>
      </c>
      <c r="HM116" s="365" t="n">
        <v>123154.25</v>
      </c>
      <c r="HN116" s="365">
        <f>HM117</f>
        <v/>
      </c>
      <c r="HO116" s="388">
        <f>HM116-HN116</f>
        <v/>
      </c>
      <c r="HP116" s="389">
        <f>HO116/HN116</f>
        <v/>
      </c>
      <c r="HQ116" s="182" t="n"/>
      <c r="HR116" s="182" t="n"/>
      <c r="HS116" s="364" t="n"/>
      <c r="HT116" s="365">
        <f>C116</f>
        <v/>
      </c>
      <c r="HU116" s="365" t="n">
        <v>163768.8265</v>
      </c>
      <c r="HV116" s="365">
        <f>HU117</f>
        <v/>
      </c>
      <c r="HW116" s="388">
        <f>HU116-HV116</f>
        <v/>
      </c>
      <c r="HX116" s="389">
        <f>HW116/HV116</f>
        <v/>
      </c>
      <c r="HY116" s="182" t="n"/>
      <c r="HZ116" s="182" t="n"/>
      <c r="IA116" s="364" t="n"/>
      <c r="IB116" s="365">
        <f>C116</f>
        <v/>
      </c>
      <c r="IC116" s="365" t="n">
        <v>346509.79</v>
      </c>
      <c r="ID116" s="365">
        <f>IC117</f>
        <v/>
      </c>
      <c r="IE116" s="365">
        <f>IC116-ID116</f>
        <v/>
      </c>
      <c r="IF116" s="366">
        <f>IE116/ID116</f>
        <v/>
      </c>
      <c r="IG116" s="366" t="n"/>
      <c r="IH116" s="182" t="n"/>
      <c r="II116" s="364" t="n"/>
      <c r="IJ116" s="365">
        <f>C116</f>
        <v/>
      </c>
      <c r="IK116" s="365" t="n">
        <v>835036.29</v>
      </c>
      <c r="IL116" s="365">
        <f>IK117</f>
        <v/>
      </c>
      <c r="IM116" s="388">
        <f>IK116-IL116</f>
        <v/>
      </c>
      <c r="IN116" s="389">
        <f>IM116/IL116</f>
        <v/>
      </c>
      <c r="IO116" s="182" t="n"/>
      <c r="IP116" s="182" t="n"/>
      <c r="IQ116" s="364" t="n"/>
      <c r="IR116" s="365">
        <f>C116</f>
        <v/>
      </c>
      <c r="IS116" s="365" t="n">
        <v>147189</v>
      </c>
      <c r="IT116" s="365">
        <f>IS117</f>
        <v/>
      </c>
      <c r="IU116" s="388">
        <f>IS116-IT116</f>
        <v/>
      </c>
      <c r="IV116" s="389">
        <f>IU116/IT116</f>
        <v/>
      </c>
      <c r="IW116" s="182" t="n"/>
      <c r="IX116" s="182" t="n"/>
      <c r="IY116" s="364" t="n"/>
      <c r="IZ116" s="365">
        <f>C116</f>
        <v/>
      </c>
      <c r="JA116" s="365" t="n">
        <v>5224329.15</v>
      </c>
      <c r="JB116" s="365">
        <f>JA117</f>
        <v/>
      </c>
      <c r="JC116" s="390">
        <f>JA116-JB116</f>
        <v/>
      </c>
      <c r="JD116" s="391">
        <f>JC116/JB116</f>
        <v/>
      </c>
      <c r="JE116" s="182" t="n"/>
      <c r="JF116" s="182" t="n"/>
      <c r="JG116" s="364" t="n"/>
      <c r="JH116" s="365">
        <f>C116</f>
        <v/>
      </c>
      <c r="JI116" s="365" t="n">
        <v>1364487.99</v>
      </c>
      <c r="JJ116" s="365">
        <f>JI117</f>
        <v/>
      </c>
      <c r="JK116" s="388">
        <f>JI116-JJ116</f>
        <v/>
      </c>
      <c r="JL116" s="389">
        <f>JK116/JJ116</f>
        <v/>
      </c>
      <c r="JM116" s="182" t="n"/>
      <c r="JN116" s="182" t="n"/>
      <c r="JO116" s="182" t="n"/>
      <c r="JP116" s="365">
        <f>C116</f>
        <v/>
      </c>
      <c r="JQ116" s="365" t="n">
        <v>1030790.4148</v>
      </c>
      <c r="JR116" s="365">
        <f>JQ117</f>
        <v/>
      </c>
      <c r="JS116" s="388">
        <f>JQ116-JR116</f>
        <v/>
      </c>
      <c r="JT116" s="389">
        <f>JS116/JR116</f>
        <v/>
      </c>
      <c r="JU116" s="182" t="n"/>
      <c r="JV116" s="182" t="n"/>
      <c r="JW116" s="383" t="n"/>
      <c r="JX116" s="365">
        <f>C116</f>
        <v/>
      </c>
      <c r="JY116" s="365" t="n">
        <v>1117648.8</v>
      </c>
      <c r="JZ116" s="365">
        <f>JY117</f>
        <v/>
      </c>
      <c r="KA116" s="388">
        <f>JY116-JZ116</f>
        <v/>
      </c>
      <c r="KB116" s="389">
        <f>KA116/JZ116</f>
        <v/>
      </c>
      <c r="KC116" s="182" t="n"/>
      <c r="KD116" s="383" t="n"/>
      <c r="KF116" s="365">
        <f>C116</f>
        <v/>
      </c>
      <c r="KG116" s="365" t="n">
        <v>671555.9219</v>
      </c>
      <c r="KH116" s="365">
        <f>KG117</f>
        <v/>
      </c>
      <c r="KI116" s="384">
        <f>KG116-KH116</f>
        <v/>
      </c>
      <c r="KJ116" s="383">
        <f>KI116/KH116</f>
        <v/>
      </c>
      <c r="KK116" s="366" t="n"/>
      <c r="KL116" s="366" t="n"/>
      <c r="KM116" s="364" t="n"/>
      <c r="KN116" s="365">
        <f>C116</f>
        <v/>
      </c>
      <c r="KO116" s="365" t="n">
        <v>7802375.95</v>
      </c>
      <c r="KP116" s="365">
        <f>KO117</f>
        <v/>
      </c>
      <c r="KQ116" s="390">
        <f>KO116-KP116</f>
        <v/>
      </c>
      <c r="KR116" s="391">
        <f>KQ116/KP116</f>
        <v/>
      </c>
      <c r="KS116" s="182" t="n"/>
      <c r="KT116" s="182" t="n"/>
      <c r="KU116" s="364" t="n"/>
      <c r="KV116" s="365">
        <f>C116</f>
        <v/>
      </c>
      <c r="KW116" s="365" t="n">
        <v>1087372.9726</v>
      </c>
      <c r="KX116" s="365">
        <f>KW117</f>
        <v/>
      </c>
      <c r="KY116" s="325">
        <f>KW116-KX116</f>
        <v/>
      </c>
      <c r="KZ116" s="326">
        <f>KY116/KX116</f>
        <v/>
      </c>
      <c r="LA116" s="326" t="n"/>
      <c r="LB116" s="182" t="n"/>
      <c r="LC116" s="364" t="n"/>
      <c r="LD116" s="365">
        <f>C116</f>
        <v/>
      </c>
      <c r="LE116" s="365" t="n">
        <v>417907.7</v>
      </c>
      <c r="LF116" s="365">
        <f>LE117</f>
        <v/>
      </c>
      <c r="LG116" s="388">
        <f>LE116-LF116</f>
        <v/>
      </c>
      <c r="LH116" s="389">
        <f>LG116/LF116</f>
        <v/>
      </c>
      <c r="LI116" s="182" t="n"/>
      <c r="LJ116" s="182" t="n"/>
      <c r="LK116" s="364" t="n"/>
      <c r="LL116" s="365">
        <f>C116</f>
        <v/>
      </c>
      <c r="LM116" s="694" t="n">
        <v>3359095.02</v>
      </c>
      <c r="LN116" s="365">
        <f>LM117</f>
        <v/>
      </c>
      <c r="LO116" s="388">
        <f>LM116-LN116</f>
        <v/>
      </c>
      <c r="LP116" s="389">
        <f>LO116/LN116</f>
        <v/>
      </c>
      <c r="LQ116" s="182" t="n"/>
      <c r="LR116" s="182" t="n"/>
      <c r="LS116" s="364" t="n"/>
      <c r="LT116" s="365">
        <f>C116</f>
        <v/>
      </c>
      <c r="LU116" s="365" t="n">
        <v>2366862.904</v>
      </c>
      <c r="LV116" s="365">
        <f>LU117</f>
        <v/>
      </c>
      <c r="LW116" s="388">
        <f>LU116-LV116</f>
        <v/>
      </c>
      <c r="LX116" s="389">
        <f>LW116/LV116</f>
        <v/>
      </c>
      <c r="LY116" s="182" t="n"/>
      <c r="LZ116" s="182" t="n"/>
      <c r="MA116" s="364" t="n"/>
      <c r="MB116" s="365">
        <f>C116</f>
        <v/>
      </c>
      <c r="MC116" s="365" t="n">
        <v>990517.6899999999</v>
      </c>
      <c r="MD116" s="365">
        <f>MC117</f>
        <v/>
      </c>
      <c r="ME116" s="390">
        <f>MC116-MD116</f>
        <v/>
      </c>
      <c r="MF116" s="391">
        <f>ME116/MD116</f>
        <v/>
      </c>
      <c r="MG116" s="182" t="n"/>
      <c r="MH116" s="182" t="n"/>
      <c r="MI116" s="319" t="n"/>
      <c r="MJ116" s="318" t="n"/>
      <c r="MK116" s="318">
        <f>C116</f>
        <v/>
      </c>
      <c r="ML116" s="318" t="n">
        <v>171345.5354</v>
      </c>
      <c r="MM116" s="13">
        <f>ML117</f>
        <v/>
      </c>
      <c r="MN116" s="318">
        <f>ML116-MM116</f>
        <v/>
      </c>
      <c r="MO116" s="327">
        <f>MN116/MM116</f>
        <v/>
      </c>
      <c r="MP116" s="182" t="n"/>
      <c r="MQ116" s="369" t="n"/>
      <c r="MR116" s="369" t="n"/>
      <c r="MS116" s="366" t="n"/>
      <c r="MT116" s="25">
        <f>C116</f>
        <v/>
      </c>
      <c r="MU116" s="24" t="n">
        <v>157614.8</v>
      </c>
      <c r="MV116" s="24">
        <f>MU117</f>
        <v/>
      </c>
      <c r="MW116" s="24">
        <f>MU116-MV116</f>
        <v/>
      </c>
      <c r="MX116" s="182">
        <f>MW116/MV116</f>
        <v/>
      </c>
      <c r="MY116" s="182" t="n"/>
      <c r="MZ116" s="182" t="n"/>
      <c r="NA116" s="182" t="n"/>
      <c r="NB116" s="182" t="n"/>
      <c r="NC116" s="9">
        <f>C116</f>
        <v/>
      </c>
      <c r="ND116" s="24" t="n">
        <v>40491.48</v>
      </c>
      <c r="NE116" s="24">
        <f>ND117</f>
        <v/>
      </c>
      <c r="NF116" s="24">
        <f>ND116-NE116</f>
        <v/>
      </c>
      <c r="NG116" s="182">
        <f>NF116/NE116</f>
        <v/>
      </c>
      <c r="NH116" s="182" t="n"/>
      <c r="NI116" s="182" t="n"/>
      <c r="NJ116" s="182" t="n"/>
      <c r="NK116" s="182" t="n"/>
      <c r="NL116" s="9" t="n"/>
      <c r="NM116" s="9">
        <f>C116</f>
        <v/>
      </c>
      <c r="NN116" s="0" t="n">
        <v>2782711.08</v>
      </c>
      <c r="NO116" s="0">
        <f>NN117</f>
        <v/>
      </c>
      <c r="NP116" s="0">
        <f>NN116-NO116</f>
        <v/>
      </c>
      <c r="NQ116" s="182">
        <f>NP116/NO116</f>
        <v/>
      </c>
      <c r="NR116" s="182" t="n"/>
      <c r="NS116" s="9" t="n"/>
      <c r="NU116" s="9">
        <f>C116</f>
        <v/>
      </c>
      <c r="NV116" s="364" t="n">
        <v>268576.5</v>
      </c>
      <c r="NW116" s="364">
        <f>NV117</f>
        <v/>
      </c>
      <c r="NX116" s="364">
        <f>NV116-NW116</f>
        <v/>
      </c>
      <c r="NY116" s="366">
        <f>NX116/NW116</f>
        <v/>
      </c>
      <c r="NZ116" s="366" t="n"/>
      <c r="OA116" s="364" t="n"/>
      <c r="OB116" s="364" t="n"/>
      <c r="OC116" s="365">
        <f>C116</f>
        <v/>
      </c>
      <c r="OD116" s="365" t="n">
        <v>16623.97</v>
      </c>
      <c r="OE116" s="365">
        <f>OD117</f>
        <v/>
      </c>
      <c r="OF116" s="388">
        <f>OD116-OE116</f>
        <v/>
      </c>
      <c r="OG116" s="389">
        <f>OF116/OE116</f>
        <v/>
      </c>
      <c r="OH116" s="182" t="n"/>
      <c r="OI116" s="182" t="n"/>
      <c r="OJ116" s="364" t="n"/>
      <c r="OK116" s="365">
        <f>C116</f>
        <v/>
      </c>
      <c r="OL116" s="0" t="n">
        <v>15125.65</v>
      </c>
      <c r="OM116" s="0">
        <f>OL117</f>
        <v/>
      </c>
      <c r="ON116" s="0">
        <f>OL116-OM116</f>
        <v/>
      </c>
      <c r="OO116" s="182">
        <f>ON116/OM116</f>
        <v/>
      </c>
      <c r="OP116" s="182" t="n"/>
      <c r="OQ116" s="182" t="n"/>
      <c r="OT116" s="25">
        <f>OK116</f>
        <v/>
      </c>
      <c r="OU116" s="199" t="n"/>
      <c r="OV116" s="9">
        <f>OU117</f>
        <v/>
      </c>
      <c r="OW116" s="671">
        <f>OU116-OV116</f>
        <v/>
      </c>
      <c r="OX116" s="182">
        <f>OW116/OV116</f>
        <v/>
      </c>
    </row>
    <row r="117" ht="17" customFormat="1" customHeight="1" s="9">
      <c r="A117" s="631" t="n"/>
      <c r="B117" s="631" t="n"/>
      <c r="C117" s="693" t="inlineStr">
        <is>
          <t>2026//5/29</t>
        </is>
      </c>
      <c r="D117" s="362" t="n">
        <v>2795628.77</v>
      </c>
      <c r="E117" s="362">
        <f>D118</f>
        <v/>
      </c>
      <c r="F117" s="377">
        <f>D117-E117</f>
        <v/>
      </c>
      <c r="G117" s="378">
        <f>F117/E117</f>
        <v/>
      </c>
      <c r="H117" s="19" t="n"/>
      <c r="I117" s="426" t="n"/>
      <c r="J117" s="426" t="n"/>
      <c r="K117" s="362">
        <f>C117</f>
        <v/>
      </c>
      <c r="L117" s="362" t="n">
        <v>2210914.4</v>
      </c>
      <c r="M117" s="362">
        <f>L118</f>
        <v/>
      </c>
      <c r="N117" s="377">
        <f>L117-M117</f>
        <v/>
      </c>
      <c r="O117" s="378">
        <f>N117/M117</f>
        <v/>
      </c>
      <c r="P117" s="19" t="n"/>
      <c r="Q117" s="426" t="n"/>
      <c r="R117" s="427" t="n"/>
      <c r="S117" s="362">
        <f>C117</f>
        <v/>
      </c>
      <c r="T117" s="362" t="n">
        <v>781086.6800000001</v>
      </c>
      <c r="U117" s="362">
        <f>T118</f>
        <v/>
      </c>
      <c r="V117" s="377">
        <f>T117-U117</f>
        <v/>
      </c>
      <c r="W117" s="378">
        <f>V117/U117</f>
        <v/>
      </c>
      <c r="X117" s="19" t="n"/>
      <c r="Y117" s="426" t="n"/>
      <c r="Z117" s="427" t="n"/>
      <c r="AA117" s="362">
        <f>S117</f>
        <v/>
      </c>
      <c r="AB117" s="362" t="n">
        <v>433496.86</v>
      </c>
      <c r="AC117" s="362">
        <f>AB118</f>
        <v/>
      </c>
      <c r="AD117" s="377">
        <f>AB117-AC117</f>
        <v/>
      </c>
      <c r="AE117" s="378">
        <f>AD117/AC117</f>
        <v/>
      </c>
      <c r="AF117" s="19" t="n"/>
      <c r="AG117" s="426" t="n"/>
      <c r="AH117" s="427" t="n"/>
      <c r="AI117" s="362">
        <f>C117</f>
        <v/>
      </c>
      <c r="AJ117" s="362" t="n">
        <v>362121.76</v>
      </c>
      <c r="AK117" s="362">
        <f>AJ118</f>
        <v/>
      </c>
      <c r="AL117" s="377">
        <f>AJ117-AK117</f>
        <v/>
      </c>
      <c r="AM117" s="378">
        <f>AL117/AK117</f>
        <v/>
      </c>
      <c r="AN117" s="19" t="n"/>
      <c r="AO117" s="19" t="n"/>
      <c r="AP117" s="427" t="n"/>
      <c r="AQ117" s="362">
        <f>C117</f>
        <v/>
      </c>
      <c r="AR117" s="697" t="n">
        <v>1055945.4936</v>
      </c>
      <c r="AS117" s="362">
        <f>AR118</f>
        <v/>
      </c>
      <c r="AT117" s="377">
        <f>AR117-AS117</f>
        <v/>
      </c>
      <c r="AU117" s="378">
        <f>AT117/AS117</f>
        <v/>
      </c>
      <c r="AV117" s="19" t="n"/>
      <c r="AW117" s="19" t="n"/>
      <c r="AX117" s="5" t="n"/>
      <c r="AY117" s="5" t="n"/>
      <c r="AZ117" s="5">
        <f>C117</f>
        <v/>
      </c>
      <c r="BA117" s="5" t="n">
        <v>1235631.6676</v>
      </c>
      <c r="BB117" s="5">
        <f>BA118</f>
        <v/>
      </c>
      <c r="BC117" s="5">
        <f>BA117-BB117</f>
        <v/>
      </c>
      <c r="BD117" s="19">
        <f>BC117/BB117</f>
        <v/>
      </c>
      <c r="BE117" s="19" t="n"/>
      <c r="BF117" s="19" t="n"/>
      <c r="BG117" s="647" t="n"/>
      <c r="BH117" s="363">
        <f>C117</f>
        <v/>
      </c>
      <c r="BI117" s="363" t="n">
        <v>1432826.5525</v>
      </c>
      <c r="BJ117" s="363">
        <f>BI118</f>
        <v/>
      </c>
      <c r="BK117" s="395">
        <f>BI117-BJ117</f>
        <v/>
      </c>
      <c r="BL117" s="396">
        <f>BK117/BJ117</f>
        <v/>
      </c>
      <c r="BM117" s="191" t="n"/>
      <c r="BN117" s="182" t="n"/>
      <c r="BO117" s="364" t="n"/>
      <c r="BP117" s="365">
        <f>C117</f>
        <v/>
      </c>
      <c r="BQ117" s="694" t="n">
        <v>1110562.3921</v>
      </c>
      <c r="BR117" s="365">
        <f>BQ118</f>
        <v/>
      </c>
      <c r="BS117" s="390">
        <f>BQ117-BR117</f>
        <v/>
      </c>
      <c r="BT117" s="391">
        <f>BS117/BR117</f>
        <v/>
      </c>
      <c r="BU117" s="182" t="n"/>
      <c r="BV117" s="182" t="n"/>
      <c r="BW117" s="364" t="n"/>
      <c r="BX117" s="365">
        <f>C117</f>
        <v/>
      </c>
      <c r="BY117" s="365" t="n">
        <v>2201160.7019</v>
      </c>
      <c r="BZ117" s="365">
        <f>BY118</f>
        <v/>
      </c>
      <c r="CA117" s="388">
        <f>BY117-BZ117</f>
        <v/>
      </c>
      <c r="CB117" s="389">
        <f>CA117/BZ117</f>
        <v/>
      </c>
      <c r="CC117" s="182" t="n"/>
      <c r="CD117" s="383" t="n"/>
      <c r="CE117" s="364" t="n"/>
      <c r="CF117" s="365">
        <f>C117</f>
        <v/>
      </c>
      <c r="CG117" s="365" t="n">
        <v>1315853.9</v>
      </c>
      <c r="CH117" s="13">
        <f>CG118</f>
        <v/>
      </c>
      <c r="CI117" s="13">
        <f>CG117-CH117</f>
        <v/>
      </c>
      <c r="CJ117" s="193">
        <f>CI117/CH117</f>
        <v/>
      </c>
      <c r="CK117" s="182" t="n"/>
      <c r="CL117" s="366" t="n"/>
      <c r="CM117" s="364" t="n"/>
      <c r="CN117" s="365">
        <f>C117</f>
        <v/>
      </c>
      <c r="CO117" s="365" t="n">
        <v>576146.48</v>
      </c>
      <c r="CP117" s="365">
        <f>CO118</f>
        <v/>
      </c>
      <c r="CQ117" s="13">
        <f>CO117-CP117</f>
        <v/>
      </c>
      <c r="CR117" s="193">
        <f>CQ117/CP117</f>
        <v/>
      </c>
      <c r="CS117" s="366">
        <f>(CO117-CO122)/CO122</f>
        <v/>
      </c>
      <c r="CT117" s="366" t="n"/>
      <c r="CU117" s="364" t="n"/>
      <c r="CV117" s="365">
        <f>C117</f>
        <v/>
      </c>
      <c r="CW117" s="365" t="n">
        <v>579490.4</v>
      </c>
      <c r="CX117" s="365">
        <f>CW118</f>
        <v/>
      </c>
      <c r="CY117" s="388">
        <f>CW117-CX117</f>
        <v/>
      </c>
      <c r="CZ117" s="389">
        <f>CY117/CX117</f>
        <v/>
      </c>
      <c r="DA117" s="182" t="n"/>
      <c r="DB117" s="182" t="n"/>
      <c r="DC117" s="256" t="n"/>
      <c r="DD117" s="365">
        <f>C117</f>
        <v/>
      </c>
      <c r="DE117" s="365" t="n">
        <v>1948117.9986</v>
      </c>
      <c r="DF117" s="13">
        <f>DE118</f>
        <v/>
      </c>
      <c r="DG117" s="390">
        <f>DE117-DF117</f>
        <v/>
      </c>
      <c r="DH117" s="391">
        <f>DG117/DF117</f>
        <v/>
      </c>
      <c r="DI117" s="182" t="n"/>
      <c r="DJ117" s="182" t="n"/>
      <c r="DK117" s="364" t="n"/>
      <c r="DL117" s="365">
        <f>C117</f>
        <v/>
      </c>
      <c r="DM117" s="365" t="n">
        <v>882100.36</v>
      </c>
      <c r="DN117" s="365">
        <f>DM118</f>
        <v/>
      </c>
      <c r="DO117" s="390">
        <f>DM117-DN117</f>
        <v/>
      </c>
      <c r="DP117" s="391">
        <f>DO117/DN117</f>
        <v/>
      </c>
      <c r="DQ117" s="182" t="n"/>
      <c r="DR117" s="182" t="n"/>
      <c r="DS117" s="364" t="n"/>
      <c r="DT117" s="365">
        <f>C117</f>
        <v/>
      </c>
      <c r="DU117" s="365" t="n">
        <v>1310489.48</v>
      </c>
      <c r="DV117" s="365">
        <f>DU118</f>
        <v/>
      </c>
      <c r="DW117" s="390">
        <f>DU117-DV117</f>
        <v/>
      </c>
      <c r="DX117" s="391">
        <f>DW117/DV117</f>
        <v/>
      </c>
      <c r="DY117" s="182" t="n"/>
      <c r="DZ117" s="182" t="n"/>
      <c r="EA117" s="364" t="n"/>
      <c r="EB117" s="365">
        <f>C117</f>
        <v/>
      </c>
      <c r="EC117" s="365" t="n">
        <v>3387866.82</v>
      </c>
      <c r="ED117" s="365">
        <f>EC118</f>
        <v/>
      </c>
      <c r="EE117" s="388">
        <f>EC117-ED117</f>
        <v/>
      </c>
      <c r="EF117" s="389">
        <f>EE117/ED117</f>
        <v/>
      </c>
      <c r="EG117" s="182" t="n"/>
      <c r="EH117" s="182" t="n"/>
      <c r="EI117" s="364" t="n"/>
      <c r="EJ117" s="365">
        <f>C117</f>
        <v/>
      </c>
      <c r="EK117" s="365" t="n">
        <v>1213522.9669</v>
      </c>
      <c r="EL117" s="365">
        <f>EK118</f>
        <v/>
      </c>
      <c r="EM117" s="388">
        <f>EK117-EL117</f>
        <v/>
      </c>
      <c r="EN117" s="389">
        <f>EM117/EL117</f>
        <v/>
      </c>
      <c r="EO117" s="182" t="n"/>
      <c r="EP117" s="182" t="n"/>
      <c r="EQ117" s="317" t="n"/>
      <c r="ER117" s="318">
        <f>C117</f>
        <v/>
      </c>
      <c r="ES117" s="318" t="n">
        <v>400397.02</v>
      </c>
      <c r="ET117" s="318">
        <f>ES118</f>
        <v/>
      </c>
      <c r="EU117" s="318">
        <f>ES117-ET117</f>
        <v/>
      </c>
      <c r="EV117" s="327">
        <f>EU117/ET117</f>
        <v/>
      </c>
      <c r="EW117" s="182" t="n"/>
      <c r="EX117" s="182" t="n"/>
      <c r="EY117" s="364" t="n"/>
      <c r="EZ117" s="365">
        <f>C117</f>
        <v/>
      </c>
      <c r="FA117" s="365" t="n">
        <v>590908</v>
      </c>
      <c r="FB117" s="365">
        <f>FA118</f>
        <v/>
      </c>
      <c r="FC117" s="388">
        <f>FA117-FB117</f>
        <v/>
      </c>
      <c r="FD117" s="389">
        <f>FC117/FB117</f>
        <v/>
      </c>
      <c r="FE117" s="182" t="n"/>
      <c r="FF117" s="182" t="n"/>
      <c r="FG117" s="182" t="n"/>
      <c r="FH117" s="365">
        <f>C117</f>
        <v/>
      </c>
      <c r="FI117" s="694" t="n">
        <v>1102595.3365</v>
      </c>
      <c r="FJ117" s="365">
        <f>FI118</f>
        <v/>
      </c>
      <c r="FK117" s="325">
        <f>FI117-FJ117</f>
        <v/>
      </c>
      <c r="FL117" s="326">
        <f>FK117/FJ117</f>
        <v/>
      </c>
      <c r="FM117" s="366" t="n"/>
      <c r="FN117" s="366" t="n"/>
      <c r="FO117" s="364" t="n"/>
      <c r="FP117" s="365">
        <f>C117</f>
        <v/>
      </c>
      <c r="FQ117" s="365" t="n">
        <v>1621618.73</v>
      </c>
      <c r="FR117" s="365">
        <f>FQ118</f>
        <v/>
      </c>
      <c r="FS117" s="388">
        <f>FQ117-FR117</f>
        <v/>
      </c>
      <c r="FT117" s="389">
        <f>FS117/FR117</f>
        <v/>
      </c>
      <c r="FU117" s="182" t="n"/>
      <c r="FV117" s="182" t="n"/>
      <c r="FW117" s="364" t="n"/>
      <c r="FX117" s="365">
        <f>C117</f>
        <v/>
      </c>
      <c r="FY117" s="365" t="n">
        <v>8250682.05</v>
      </c>
      <c r="FZ117" s="365">
        <f>FY118</f>
        <v/>
      </c>
      <c r="GA117" s="390">
        <f>FY117-FZ117</f>
        <v/>
      </c>
      <c r="GB117" s="391">
        <f>GA117/FZ117</f>
        <v/>
      </c>
      <c r="GC117" s="182" t="n"/>
      <c r="GD117" s="182" t="n"/>
      <c r="GE117" s="364" t="n"/>
      <c r="GF117" s="365">
        <f>C117</f>
        <v/>
      </c>
      <c r="GG117" s="365" t="n">
        <v>4863369.49</v>
      </c>
      <c r="GH117" s="365">
        <f>GG118</f>
        <v/>
      </c>
      <c r="GI117" s="388">
        <f>GG117-GH117</f>
        <v/>
      </c>
      <c r="GJ117" s="389">
        <f>GI117/GH117</f>
        <v/>
      </c>
      <c r="GK117" s="182" t="n"/>
      <c r="GL117" s="182" t="n"/>
      <c r="GM117" s="364" t="n"/>
      <c r="GN117" s="365">
        <f>C117</f>
        <v/>
      </c>
      <c r="GO117" s="365" t="n">
        <v>1847038.1217</v>
      </c>
      <c r="GP117" s="365">
        <f>GO118</f>
        <v/>
      </c>
      <c r="GQ117" s="390">
        <f>GO117-GP117</f>
        <v/>
      </c>
      <c r="GR117" s="391">
        <f>GQ117/GP117</f>
        <v/>
      </c>
      <c r="GS117" s="182" t="n"/>
      <c r="GT117" s="182" t="n"/>
      <c r="GU117" s="364" t="n"/>
      <c r="GV117" s="365">
        <f>C117</f>
        <v/>
      </c>
      <c r="GW117" s="365" t="n">
        <v>783349.4</v>
      </c>
      <c r="GX117" s="365">
        <f>GW118</f>
        <v/>
      </c>
      <c r="GY117" s="388">
        <f>GW117-GX117</f>
        <v/>
      </c>
      <c r="GZ117" s="389">
        <f>GY117/GX117</f>
        <v/>
      </c>
      <c r="HA117" s="182" t="n"/>
      <c r="HB117" s="182" t="n"/>
      <c r="HC117" s="364" t="n"/>
      <c r="HD117" s="365">
        <f>C117</f>
        <v/>
      </c>
      <c r="HE117" s="365" t="n">
        <v>1146864.6746</v>
      </c>
      <c r="HF117" s="365">
        <f>HE118</f>
        <v/>
      </c>
      <c r="HG117" s="390">
        <f>HE117-HF117</f>
        <v/>
      </c>
      <c r="HH117" s="391">
        <f>HG117/HF117</f>
        <v/>
      </c>
      <c r="HI117" s="366" t="n"/>
      <c r="HJ117" s="182" t="n"/>
      <c r="HK117" s="364" t="n"/>
      <c r="HL117" s="365">
        <f>C117</f>
        <v/>
      </c>
      <c r="HM117" s="365" t="n">
        <v>124354.25</v>
      </c>
      <c r="HN117" s="365">
        <f>HM118</f>
        <v/>
      </c>
      <c r="HO117" s="388">
        <f>HM117-HN117</f>
        <v/>
      </c>
      <c r="HP117" s="389">
        <f>HO117/HN117</f>
        <v/>
      </c>
      <c r="HQ117" s="182" t="n"/>
      <c r="HR117" s="182" t="n"/>
      <c r="HS117" s="364" t="n"/>
      <c r="HT117" s="365">
        <f>C117</f>
        <v/>
      </c>
      <c r="HU117" s="365" t="n">
        <v>167168.8265</v>
      </c>
      <c r="HV117" s="365">
        <f>HU118</f>
        <v/>
      </c>
      <c r="HW117" s="388">
        <f>HU117-HV117</f>
        <v/>
      </c>
      <c r="HX117" s="389">
        <f>HW117/HV117</f>
        <v/>
      </c>
      <c r="HY117" s="182" t="n"/>
      <c r="HZ117" s="182" t="n"/>
      <c r="IA117" s="364" t="n"/>
      <c r="IB117" s="365">
        <f>C117</f>
        <v/>
      </c>
      <c r="IC117" s="365" t="n">
        <v>345459.79</v>
      </c>
      <c r="ID117" s="365">
        <f>IC118</f>
        <v/>
      </c>
      <c r="IE117" s="365">
        <f>IC117-ID117</f>
        <v/>
      </c>
      <c r="IF117" s="366">
        <f>IE117/ID117</f>
        <v/>
      </c>
      <c r="IG117" s="366" t="n"/>
      <c r="IH117" s="182" t="n"/>
      <c r="II117" s="364" t="n"/>
      <c r="IJ117" s="365">
        <f>C117</f>
        <v/>
      </c>
      <c r="IK117" s="365" t="n">
        <v>764796.29</v>
      </c>
      <c r="IL117" s="365">
        <f>IK118</f>
        <v/>
      </c>
      <c r="IM117" s="388">
        <f>IK117-IL117</f>
        <v/>
      </c>
      <c r="IN117" s="389">
        <f>IM117/IL117</f>
        <v/>
      </c>
      <c r="IO117" s="182" t="n"/>
      <c r="IP117" s="182" t="n"/>
      <c r="IQ117" s="364" t="n"/>
      <c r="IR117" s="365">
        <f>C117</f>
        <v/>
      </c>
      <c r="IS117" s="365" t="n">
        <v>147989</v>
      </c>
      <c r="IT117" s="365">
        <f>IS118</f>
        <v/>
      </c>
      <c r="IU117" s="388">
        <f>IS117-IT117</f>
        <v/>
      </c>
      <c r="IV117" s="389">
        <f>IU117/IT117</f>
        <v/>
      </c>
      <c r="IW117" s="182" t="n"/>
      <c r="IX117" s="182" t="n"/>
      <c r="IY117" s="364" t="n"/>
      <c r="IZ117" s="365">
        <f>C117</f>
        <v/>
      </c>
      <c r="JA117" s="365" t="n">
        <v>5208629.15</v>
      </c>
      <c r="JB117" s="365">
        <f>JA118</f>
        <v/>
      </c>
      <c r="JC117" s="390">
        <f>JA117-JB117</f>
        <v/>
      </c>
      <c r="JD117" s="391">
        <f>JC117/JB117</f>
        <v/>
      </c>
      <c r="JE117" s="182" t="n"/>
      <c r="JF117" s="182" t="n"/>
      <c r="JG117" s="364" t="n"/>
      <c r="JH117" s="365">
        <f>C117</f>
        <v/>
      </c>
      <c r="JI117" s="365" t="n">
        <v>1337067.99</v>
      </c>
      <c r="JJ117" s="365">
        <f>JI118</f>
        <v/>
      </c>
      <c r="JK117" s="388">
        <f>JI117-JJ117</f>
        <v/>
      </c>
      <c r="JL117" s="389">
        <f>JK117/JJ117</f>
        <v/>
      </c>
      <c r="JM117" s="182" t="n"/>
      <c r="JN117" s="182" t="n"/>
      <c r="JO117" s="182" t="n"/>
      <c r="JP117" s="365">
        <f>C117</f>
        <v/>
      </c>
      <c r="JQ117" s="365" t="n">
        <v>1047590.4148</v>
      </c>
      <c r="JR117" s="365">
        <f>JQ118</f>
        <v/>
      </c>
      <c r="JS117" s="388">
        <f>JQ117-JR117</f>
        <v/>
      </c>
      <c r="JT117" s="389">
        <f>JS117/JR117</f>
        <v/>
      </c>
      <c r="JU117" s="182" t="n"/>
      <c r="JV117" s="182" t="n"/>
      <c r="JW117" s="383" t="n"/>
      <c r="JX117" s="365">
        <f>C117</f>
        <v/>
      </c>
      <c r="JY117" s="365" t="n">
        <v>1123648.8</v>
      </c>
      <c r="JZ117" s="365">
        <f>JY118</f>
        <v/>
      </c>
      <c r="KA117" s="388">
        <f>JY117-JZ117</f>
        <v/>
      </c>
      <c r="KB117" s="383">
        <f>KA117/JZ117</f>
        <v/>
      </c>
      <c r="KC117" s="182" t="n"/>
      <c r="KD117" s="383" t="n"/>
      <c r="KF117" s="365">
        <f>C117</f>
        <v/>
      </c>
      <c r="KG117" s="365" t="n">
        <v>681555.9219</v>
      </c>
      <c r="KH117" s="365">
        <f>KG118</f>
        <v/>
      </c>
      <c r="KI117" s="384">
        <f>KG117-KH117</f>
        <v/>
      </c>
      <c r="KJ117" s="383">
        <f>KI117/KH117</f>
        <v/>
      </c>
      <c r="KK117" s="366" t="n"/>
      <c r="KL117" s="366" t="n"/>
      <c r="KM117" s="364" t="n"/>
      <c r="KN117" s="365">
        <f>C117</f>
        <v/>
      </c>
      <c r="KO117" s="365" t="n">
        <v>7933075.95</v>
      </c>
      <c r="KP117" s="365">
        <f>KO118</f>
        <v/>
      </c>
      <c r="KQ117" s="390">
        <f>KO117-KP117</f>
        <v/>
      </c>
      <c r="KR117" s="391">
        <f>KQ117/KP117</f>
        <v/>
      </c>
      <c r="KS117" s="182" t="n"/>
      <c r="KT117" s="182" t="n"/>
      <c r="KU117" s="364" t="n"/>
      <c r="KV117" s="365">
        <f>C117</f>
        <v/>
      </c>
      <c r="KW117" s="365" t="n">
        <v>1087472.9726</v>
      </c>
      <c r="KX117" s="365">
        <f>KW118</f>
        <v/>
      </c>
      <c r="KY117" s="325">
        <f>KW117-KX117</f>
        <v/>
      </c>
      <c r="KZ117" s="326">
        <f>KY117/KX117</f>
        <v/>
      </c>
      <c r="LA117" s="326" t="n"/>
      <c r="LB117" s="182" t="n"/>
      <c r="LC117" s="364" t="n"/>
      <c r="LD117" s="365">
        <f>C117</f>
        <v/>
      </c>
      <c r="LE117" s="365" t="n">
        <v>418657.7</v>
      </c>
      <c r="LF117" s="365">
        <f>LE118</f>
        <v/>
      </c>
      <c r="LG117" s="388">
        <f>LE117-LF117</f>
        <v/>
      </c>
      <c r="LH117" s="389">
        <f>LG117/LF117</f>
        <v/>
      </c>
      <c r="LI117" s="182" t="n"/>
      <c r="LJ117" s="182" t="n"/>
      <c r="LK117" s="364" t="n"/>
      <c r="LL117" s="365">
        <f>C117</f>
        <v/>
      </c>
      <c r="LM117" s="694" t="n">
        <v>3358195.02</v>
      </c>
      <c r="LN117" s="365">
        <f>LM118</f>
        <v/>
      </c>
      <c r="LO117" s="390">
        <f>LM117-LN117</f>
        <v/>
      </c>
      <c r="LP117" s="391">
        <f>LO117/LN117</f>
        <v/>
      </c>
      <c r="LQ117" s="182" t="n"/>
      <c r="LR117" s="182" t="n"/>
      <c r="LS117" s="364" t="n"/>
      <c r="LT117" s="365">
        <f>C117</f>
        <v/>
      </c>
      <c r="LU117" s="365" t="n">
        <v>2363462.904</v>
      </c>
      <c r="LV117" s="365">
        <f>LU118</f>
        <v/>
      </c>
      <c r="LW117" s="388">
        <f>LU117-LV117</f>
        <v/>
      </c>
      <c r="LX117" s="389">
        <f>LW117/LV117</f>
        <v/>
      </c>
      <c r="LY117" s="182" t="n"/>
      <c r="LZ117" s="182" t="n"/>
      <c r="MA117" s="364" t="n"/>
      <c r="MB117" s="365">
        <f>C117</f>
        <v/>
      </c>
      <c r="MC117" s="365" t="n">
        <v>939867.6899999999</v>
      </c>
      <c r="MD117" s="365">
        <f>MC118</f>
        <v/>
      </c>
      <c r="ME117" s="388">
        <f>MC117-MD117</f>
        <v/>
      </c>
      <c r="MF117" s="389">
        <f>ME117/MD117</f>
        <v/>
      </c>
      <c r="MG117" s="182" t="n"/>
      <c r="MH117" s="182" t="n"/>
      <c r="MI117" s="319" t="n"/>
      <c r="MJ117" s="318" t="n"/>
      <c r="MK117" s="318">
        <f>C117</f>
        <v/>
      </c>
      <c r="ML117" s="318" t="n">
        <v>168945.5354</v>
      </c>
      <c r="MM117" s="13">
        <f>ML118</f>
        <v/>
      </c>
      <c r="MN117" s="318">
        <f>ML117-MM117</f>
        <v/>
      </c>
      <c r="MO117" s="327">
        <f>MN117/MM117</f>
        <v/>
      </c>
      <c r="MP117" s="182" t="n"/>
      <c r="MQ117" s="369" t="n"/>
      <c r="MR117" s="369" t="n"/>
      <c r="MS117" s="366" t="n"/>
      <c r="MT117" s="25">
        <f>C117</f>
        <v/>
      </c>
      <c r="MU117" s="24" t="n">
        <v>155214.8</v>
      </c>
      <c r="MV117" s="24">
        <f>MU118</f>
        <v/>
      </c>
      <c r="MW117" s="24">
        <f>MU117-MV117</f>
        <v/>
      </c>
      <c r="MX117" s="182">
        <f>MW117/MV117</f>
        <v/>
      </c>
      <c r="MY117" s="182" t="n"/>
      <c r="MZ117" s="182" t="n"/>
      <c r="NA117" s="182" t="n"/>
      <c r="NB117" s="182" t="n"/>
      <c r="NC117" s="9">
        <f>C117</f>
        <v/>
      </c>
      <c r="ND117" s="24" t="n">
        <v>40691.48</v>
      </c>
      <c r="NE117" s="24">
        <f>ND118</f>
        <v/>
      </c>
      <c r="NF117" s="24">
        <f>ND117-NE117</f>
        <v/>
      </c>
      <c r="NG117" s="182">
        <f>NF117/NE117</f>
        <v/>
      </c>
      <c r="NH117" s="182" t="n"/>
      <c r="NI117" s="182" t="n"/>
      <c r="NJ117" s="182" t="n"/>
      <c r="NK117" s="182" t="n"/>
      <c r="NL117" s="9" t="n"/>
      <c r="NM117" s="9">
        <f>C117</f>
        <v/>
      </c>
      <c r="NN117" s="0" t="n">
        <v>2774711.08</v>
      </c>
      <c r="NO117" s="0">
        <f>NN118</f>
        <v/>
      </c>
      <c r="NP117" s="0">
        <f>NN117-NO117</f>
        <v/>
      </c>
      <c r="NQ117" s="182">
        <f>NP117/NO117</f>
        <v/>
      </c>
      <c r="NR117" s="182" t="n"/>
      <c r="NS117" s="9" t="n"/>
      <c r="NU117" s="9">
        <f>C117</f>
        <v/>
      </c>
      <c r="NV117" s="364" t="n">
        <v>266176.5</v>
      </c>
      <c r="NW117" s="364">
        <f>NV118</f>
        <v/>
      </c>
      <c r="NX117" s="364">
        <f>NV117-NW117</f>
        <v/>
      </c>
      <c r="NY117" s="366">
        <f>NX117/NW117</f>
        <v/>
      </c>
      <c r="NZ117" s="366" t="n"/>
      <c r="OA117" s="364" t="n"/>
      <c r="OB117" s="364" t="n"/>
      <c r="OC117" s="365">
        <f>C117</f>
        <v/>
      </c>
      <c r="OD117" s="365" t="n">
        <v>16479.97</v>
      </c>
      <c r="OE117" s="365">
        <f>OD118</f>
        <v/>
      </c>
      <c r="OF117" s="388">
        <f>OD117-OE117</f>
        <v/>
      </c>
      <c r="OG117" s="389">
        <f>OF117/OE117</f>
        <v/>
      </c>
      <c r="OH117" s="182" t="n"/>
      <c r="OI117" s="182" t="n"/>
      <c r="OJ117" s="364" t="n"/>
      <c r="OK117" s="365">
        <f>C117</f>
        <v/>
      </c>
      <c r="OL117" s="0" t="n">
        <v>14830.65</v>
      </c>
      <c r="OM117" s="0">
        <f>OL118</f>
        <v/>
      </c>
      <c r="ON117" s="0">
        <f>OL117-OM117</f>
        <v/>
      </c>
      <c r="OO117" s="182">
        <f>ON117/OM117</f>
        <v/>
      </c>
      <c r="OP117" s="182" t="n"/>
      <c r="OQ117" s="182" t="n"/>
      <c r="OT117" s="25">
        <f>OK117</f>
        <v/>
      </c>
      <c r="OU117" s="199" t="n"/>
      <c r="OV117" s="9">
        <f>OU118</f>
        <v/>
      </c>
      <c r="OW117" s="671">
        <f>OU117-OV117</f>
        <v/>
      </c>
      <c r="OX117" s="182">
        <f>OW117/OV117</f>
        <v/>
      </c>
    </row>
    <row r="118" ht="17" customFormat="1" customHeight="1" s="9">
      <c r="A118" s="631" t="n"/>
      <c r="B118" s="631" t="n"/>
      <c r="C118" s="693" t="inlineStr">
        <is>
          <t>2026//5/28</t>
        </is>
      </c>
      <c r="D118" s="362" t="n">
        <v>2796888.77</v>
      </c>
      <c r="E118" s="362">
        <f>D119</f>
        <v/>
      </c>
      <c r="F118" s="432">
        <f>D118-E118</f>
        <v/>
      </c>
      <c r="G118" s="433">
        <f>F118/E118</f>
        <v/>
      </c>
      <c r="H118" s="19" t="n"/>
      <c r="I118" s="426" t="n"/>
      <c r="J118" s="426" t="n"/>
      <c r="K118" s="362">
        <f>C118</f>
        <v/>
      </c>
      <c r="L118" s="362" t="n">
        <v>2210014.4</v>
      </c>
      <c r="M118" s="362">
        <f>L119</f>
        <v/>
      </c>
      <c r="N118" s="432">
        <f>L118-M118</f>
        <v/>
      </c>
      <c r="O118" s="433">
        <f>N118/M118</f>
        <v/>
      </c>
      <c r="P118" s="19" t="n"/>
      <c r="Q118" s="426" t="n"/>
      <c r="R118" s="427" t="n"/>
      <c r="S118" s="362">
        <f>C118</f>
        <v/>
      </c>
      <c r="T118" s="362" t="n">
        <v>796116.6800000001</v>
      </c>
      <c r="U118" s="362">
        <f>T119</f>
        <v/>
      </c>
      <c r="V118" s="432">
        <f>T118-U118</f>
        <v/>
      </c>
      <c r="W118" s="433">
        <f>V118/U118</f>
        <v/>
      </c>
      <c r="X118" s="19" t="n"/>
      <c r="Y118" s="426" t="n"/>
      <c r="Z118" s="427" t="n"/>
      <c r="AA118" s="362">
        <f>S118</f>
        <v/>
      </c>
      <c r="AB118" s="362" t="n">
        <v>433216.86</v>
      </c>
      <c r="AC118" s="362">
        <f>AB119</f>
        <v/>
      </c>
      <c r="AD118" s="432">
        <f>AB118-AC118</f>
        <v/>
      </c>
      <c r="AE118" s="433">
        <f>AD118/AC118</f>
        <v/>
      </c>
      <c r="AF118" s="19" t="n"/>
      <c r="AG118" s="426" t="n"/>
      <c r="AH118" s="427" t="n"/>
      <c r="AI118" s="362">
        <f>C118</f>
        <v/>
      </c>
      <c r="AJ118" s="362" t="n">
        <v>294321.76</v>
      </c>
      <c r="AK118" s="362">
        <f>AJ119</f>
        <v/>
      </c>
      <c r="AL118" s="377">
        <f>AJ118-AK118</f>
        <v/>
      </c>
      <c r="AM118" s="378">
        <f>AL118/AK118</f>
        <v/>
      </c>
      <c r="AN118" s="19" t="n"/>
      <c r="AO118" s="19" t="n"/>
      <c r="AP118" s="427" t="n"/>
      <c r="AQ118" s="362">
        <f>C118</f>
        <v/>
      </c>
      <c r="AR118" s="697" t="n">
        <v>1051545.4936</v>
      </c>
      <c r="AS118" s="362">
        <f>AR119</f>
        <v/>
      </c>
      <c r="AT118" s="377">
        <f>AR118-AS118</f>
        <v/>
      </c>
      <c r="AU118" s="378">
        <f>AT118/AS118</f>
        <v/>
      </c>
      <c r="AV118" s="19" t="n"/>
      <c r="AW118" s="19" t="n"/>
      <c r="AX118" s="5" t="n"/>
      <c r="AY118" s="5" t="n"/>
      <c r="AZ118" s="5">
        <f>C118</f>
        <v/>
      </c>
      <c r="BA118" s="5" t="n">
        <v>1238691.6676</v>
      </c>
      <c r="BB118" s="5">
        <f>BA119</f>
        <v/>
      </c>
      <c r="BC118" s="5">
        <f>BA118-BB118</f>
        <v/>
      </c>
      <c r="BD118" s="19">
        <f>BC118/BB118</f>
        <v/>
      </c>
      <c r="BE118" s="19" t="n"/>
      <c r="BF118" s="19" t="n"/>
      <c r="BG118" s="647" t="n"/>
      <c r="BH118" s="363">
        <f>C118</f>
        <v/>
      </c>
      <c r="BI118" s="363" t="n">
        <v>1441226.5525</v>
      </c>
      <c r="BJ118" s="363">
        <f>BI119</f>
        <v/>
      </c>
      <c r="BK118" s="395">
        <f>BI118-BJ118</f>
        <v/>
      </c>
      <c r="BL118" s="396">
        <f>BK118/BJ118</f>
        <v/>
      </c>
      <c r="BM118" s="191" t="n"/>
      <c r="BN118" s="182" t="n"/>
      <c r="BO118" s="364" t="n"/>
      <c r="BP118" s="365">
        <f>C118</f>
        <v/>
      </c>
      <c r="BQ118" s="694" t="n">
        <v>1099362.3921</v>
      </c>
      <c r="BR118" s="365">
        <f>BQ119</f>
        <v/>
      </c>
      <c r="BS118" s="390">
        <f>BQ118-BR118</f>
        <v/>
      </c>
      <c r="BT118" s="391">
        <f>BS118/BR118</f>
        <v/>
      </c>
      <c r="BU118" s="182" t="n"/>
      <c r="BV118" s="182" t="n"/>
      <c r="BW118" s="364" t="n"/>
      <c r="BX118" s="365">
        <f>C118</f>
        <v/>
      </c>
      <c r="BY118" s="365" t="n">
        <v>2284060.7019</v>
      </c>
      <c r="BZ118" s="365">
        <f>BY119</f>
        <v/>
      </c>
      <c r="CA118" s="390">
        <f>BY118-BZ118</f>
        <v/>
      </c>
      <c r="CB118" s="391">
        <f>CA118/BZ118</f>
        <v/>
      </c>
      <c r="CC118" s="182" t="n"/>
      <c r="CD118" s="383" t="n"/>
      <c r="CE118" s="364" t="n"/>
      <c r="CF118" s="365">
        <f>C118</f>
        <v/>
      </c>
      <c r="CG118" s="365" t="n">
        <v>1323003.9</v>
      </c>
      <c r="CH118" s="13">
        <f>CG119</f>
        <v/>
      </c>
      <c r="CI118" s="13">
        <f>CG118-CH118</f>
        <v/>
      </c>
      <c r="CJ118" s="193">
        <f>CI118/CH118</f>
        <v/>
      </c>
      <c r="CK118" s="182" t="n"/>
      <c r="CL118" s="366" t="n"/>
      <c r="CM118" s="364" t="n"/>
      <c r="CN118" s="365">
        <f>C118</f>
        <v/>
      </c>
      <c r="CO118" s="365" t="n">
        <v>572546.48</v>
      </c>
      <c r="CP118" s="365">
        <f>CO119</f>
        <v/>
      </c>
      <c r="CQ118" s="13">
        <f>CO118-CP118</f>
        <v/>
      </c>
      <c r="CR118" s="193">
        <f>CQ118/CP118</f>
        <v/>
      </c>
      <c r="CS118" s="366" t="n"/>
      <c r="CT118" s="366" t="n"/>
      <c r="CU118" s="364" t="n"/>
      <c r="CV118" s="365">
        <f>C118</f>
        <v/>
      </c>
      <c r="CW118" s="365" t="n">
        <v>581690.4</v>
      </c>
      <c r="CX118" s="365">
        <f>CW119</f>
        <v/>
      </c>
      <c r="CY118" s="388">
        <f>CW118-CX118</f>
        <v/>
      </c>
      <c r="CZ118" s="389">
        <f>CY118/CX118</f>
        <v/>
      </c>
      <c r="DA118" s="182" t="n"/>
      <c r="DB118" s="182" t="n"/>
      <c r="DC118" s="256" t="n"/>
      <c r="DD118" s="365">
        <f>C118</f>
        <v/>
      </c>
      <c r="DE118" s="365" t="n">
        <v>1950517.9986</v>
      </c>
      <c r="DF118" s="13">
        <f>DE119</f>
        <v/>
      </c>
      <c r="DG118" s="390">
        <f>DE118-DF118</f>
        <v/>
      </c>
      <c r="DH118" s="391">
        <f>DG118/DF118</f>
        <v/>
      </c>
      <c r="DI118" s="182" t="n"/>
      <c r="DJ118" s="182" t="n"/>
      <c r="DK118" s="364" t="n"/>
      <c r="DL118" s="365">
        <f>C118</f>
        <v/>
      </c>
      <c r="DM118" s="365" t="n">
        <v>882100.36</v>
      </c>
      <c r="DN118" s="365">
        <f>DM119</f>
        <v/>
      </c>
      <c r="DO118" s="388">
        <f>DM118-DN118</f>
        <v/>
      </c>
      <c r="DP118" s="389">
        <f>DO118/DN118</f>
        <v/>
      </c>
      <c r="DQ118" s="182" t="n"/>
      <c r="DR118" s="182" t="n"/>
      <c r="DS118" s="364" t="n"/>
      <c r="DT118" s="365">
        <f>C118</f>
        <v/>
      </c>
      <c r="DU118" s="365" t="n">
        <v>1282289.48</v>
      </c>
      <c r="DV118" s="365">
        <f>DU119</f>
        <v/>
      </c>
      <c r="DW118" s="388">
        <f>DU118-DV118</f>
        <v/>
      </c>
      <c r="DX118" s="389">
        <f>DW118/DV118</f>
        <v/>
      </c>
      <c r="DY118" s="182" t="n"/>
      <c r="DZ118" s="182" t="n"/>
      <c r="EA118" s="364" t="n"/>
      <c r="EB118" s="365">
        <f>C118</f>
        <v/>
      </c>
      <c r="EC118" s="365" t="n">
        <v>3303566.82</v>
      </c>
      <c r="ED118" s="365">
        <f>EC119</f>
        <v/>
      </c>
      <c r="EE118" s="390">
        <f>EC118-ED118</f>
        <v/>
      </c>
      <c r="EF118" s="391">
        <f>EE118/ED118</f>
        <v/>
      </c>
      <c r="EG118" s="182" t="n"/>
      <c r="EH118" s="182" t="n"/>
      <c r="EI118" s="364" t="n"/>
      <c r="EJ118" s="365">
        <f>C118</f>
        <v/>
      </c>
      <c r="EK118" s="365" t="n">
        <v>1222922.9669</v>
      </c>
      <c r="EL118" s="365">
        <f>EK119</f>
        <v/>
      </c>
      <c r="EM118" s="388">
        <f>EK118-EL118</f>
        <v/>
      </c>
      <c r="EN118" s="389">
        <f>EM118/EL118</f>
        <v/>
      </c>
      <c r="EO118" s="182" t="n"/>
      <c r="EP118" s="182" t="n"/>
      <c r="EQ118" s="317" t="n"/>
      <c r="ER118" s="318">
        <f>C118</f>
        <v/>
      </c>
      <c r="ES118" s="318" t="n">
        <v>402197.02</v>
      </c>
      <c r="ET118" s="318">
        <f>ES119</f>
        <v/>
      </c>
      <c r="EU118" s="318">
        <f>ES118-ET118</f>
        <v/>
      </c>
      <c r="EV118" s="327">
        <f>EU118/ET118</f>
        <v/>
      </c>
      <c r="EW118" s="182" t="n"/>
      <c r="EX118" s="182" t="n"/>
      <c r="EY118" s="364" t="n"/>
      <c r="EZ118" s="365">
        <f>C118</f>
        <v/>
      </c>
      <c r="FA118" s="365" t="n">
        <v>590708</v>
      </c>
      <c r="FB118" s="365">
        <f>FA119</f>
        <v/>
      </c>
      <c r="FC118" s="388">
        <f>FA118-FB118</f>
        <v/>
      </c>
      <c r="FD118" s="389">
        <f>FC118/FB118</f>
        <v/>
      </c>
      <c r="FE118" s="182" t="n"/>
      <c r="FF118" s="182" t="n"/>
      <c r="FG118" s="182" t="n"/>
      <c r="FH118" s="365">
        <f>C118</f>
        <v/>
      </c>
      <c r="FI118" s="694" t="n">
        <v>1146395.3365</v>
      </c>
      <c r="FJ118" s="365">
        <f>FI119</f>
        <v/>
      </c>
      <c r="FK118" s="325">
        <f>FI118-FJ118</f>
        <v/>
      </c>
      <c r="FL118" s="326">
        <f>FK118/FJ118</f>
        <v/>
      </c>
      <c r="FM118" s="366" t="n"/>
      <c r="FN118" s="366" t="n"/>
      <c r="FO118" s="364" t="n"/>
      <c r="FP118" s="365">
        <f>C118</f>
        <v/>
      </c>
      <c r="FQ118" s="365" t="n">
        <v>1652818.73</v>
      </c>
      <c r="FR118" s="365">
        <f>FQ119</f>
        <v/>
      </c>
      <c r="FS118" s="390">
        <f>FQ118-FR118</f>
        <v/>
      </c>
      <c r="FT118" s="391">
        <f>FS118/FR118</f>
        <v/>
      </c>
      <c r="FU118" s="182" t="n"/>
      <c r="FV118" s="182" t="n"/>
      <c r="FW118" s="364" t="n"/>
      <c r="FX118" s="365">
        <f>C118</f>
        <v/>
      </c>
      <c r="FY118" s="365" t="n">
        <v>8246182.05</v>
      </c>
      <c r="FZ118" s="365">
        <f>FY119</f>
        <v/>
      </c>
      <c r="GA118" s="390">
        <f>FY118-FZ118</f>
        <v/>
      </c>
      <c r="GB118" s="391">
        <f>GA118/FZ118</f>
        <v/>
      </c>
      <c r="GC118" s="182" t="n"/>
      <c r="GD118" s="182" t="n"/>
      <c r="GE118" s="364" t="n"/>
      <c r="GF118" s="365">
        <f>C118</f>
        <v/>
      </c>
      <c r="GG118" s="365" t="n">
        <v>4902569.49</v>
      </c>
      <c r="GH118" s="365">
        <f>GG119</f>
        <v/>
      </c>
      <c r="GI118" s="388">
        <f>GG118-GH118</f>
        <v/>
      </c>
      <c r="GJ118" s="389">
        <f>GI118/GH118</f>
        <v/>
      </c>
      <c r="GK118" s="182" t="n"/>
      <c r="GL118" s="182" t="n"/>
      <c r="GM118" s="364" t="n"/>
      <c r="GN118" s="365">
        <f>C118</f>
        <v/>
      </c>
      <c r="GO118" s="365" t="n">
        <v>1866958.1217</v>
      </c>
      <c r="GP118" s="365">
        <f>GO119</f>
        <v/>
      </c>
      <c r="GQ118" s="390">
        <f>GO118-GP118</f>
        <v/>
      </c>
      <c r="GR118" s="391">
        <f>GQ118/GP118</f>
        <v/>
      </c>
      <c r="GS118" s="182" t="n"/>
      <c r="GT118" s="182" t="n"/>
      <c r="GU118" s="364" t="n"/>
      <c r="GV118" s="365">
        <f>C118</f>
        <v/>
      </c>
      <c r="GW118" s="365" t="n">
        <v>787149.4</v>
      </c>
      <c r="GX118" s="365">
        <f>GW119</f>
        <v/>
      </c>
      <c r="GY118" s="388">
        <f>GW118-GX118</f>
        <v/>
      </c>
      <c r="GZ118" s="389">
        <f>GY118/GX118</f>
        <v/>
      </c>
      <c r="HA118" s="182" t="n"/>
      <c r="HB118" s="182" t="n"/>
      <c r="HC118" s="364" t="n"/>
      <c r="HD118" s="365">
        <f>C118</f>
        <v/>
      </c>
      <c r="HE118" s="365" t="n">
        <v>1171264.6746</v>
      </c>
      <c r="HF118" s="365">
        <f>HE119</f>
        <v/>
      </c>
      <c r="HG118" s="388">
        <f>HE118-HF118</f>
        <v/>
      </c>
      <c r="HH118" s="389">
        <f>HG118/HF118</f>
        <v/>
      </c>
      <c r="HI118" s="366" t="n"/>
      <c r="HJ118" s="182" t="n"/>
      <c r="HK118" s="364" t="n"/>
      <c r="HL118" s="365">
        <f>C118</f>
        <v/>
      </c>
      <c r="HM118" s="365" t="n">
        <v>126254.25</v>
      </c>
      <c r="HN118" s="365">
        <f>HM119</f>
        <v/>
      </c>
      <c r="HO118" s="388">
        <f>HM118-HN118</f>
        <v/>
      </c>
      <c r="HP118" s="389">
        <f>HO118/HN118</f>
        <v/>
      </c>
      <c r="HQ118" s="182" t="n"/>
      <c r="HR118" s="182" t="n"/>
      <c r="HS118" s="364" t="n"/>
      <c r="HT118" s="365">
        <f>C118</f>
        <v/>
      </c>
      <c r="HU118" s="365" t="n">
        <v>170068.8265</v>
      </c>
      <c r="HV118" s="365">
        <f>HU119</f>
        <v/>
      </c>
      <c r="HW118" s="388">
        <f>HU118-HV118</f>
        <v/>
      </c>
      <c r="HX118" s="389">
        <f>HW118/HV118</f>
        <v/>
      </c>
      <c r="HY118" s="182" t="n"/>
      <c r="HZ118" s="182" t="n"/>
      <c r="IA118" s="364" t="n"/>
      <c r="IB118" s="365">
        <f>C118</f>
        <v/>
      </c>
      <c r="IC118" s="365" t="n">
        <v>337234.79</v>
      </c>
      <c r="ID118" s="365">
        <f>IC119</f>
        <v/>
      </c>
      <c r="IE118" s="365">
        <f>IC118-ID118</f>
        <v/>
      </c>
      <c r="IF118" s="366">
        <f>IE118/ID118</f>
        <v/>
      </c>
      <c r="IG118" s="366" t="n"/>
      <c r="IH118" s="182" t="n"/>
      <c r="II118" s="364" t="n"/>
      <c r="IJ118" s="365">
        <f>C118</f>
        <v/>
      </c>
      <c r="IK118" s="365" t="n">
        <v>728476.29</v>
      </c>
      <c r="IL118" s="365">
        <f>IK119</f>
        <v/>
      </c>
      <c r="IM118" s="390">
        <f>IK118-IL118</f>
        <v/>
      </c>
      <c r="IN118" s="391">
        <f>IM118/IL118</f>
        <v/>
      </c>
      <c r="IO118" s="182" t="n"/>
      <c r="IP118" s="182" t="n"/>
      <c r="IQ118" s="364" t="n"/>
      <c r="IR118" s="365">
        <f>C118</f>
        <v/>
      </c>
      <c r="IS118" s="365" t="n">
        <v>149189</v>
      </c>
      <c r="IT118" s="365">
        <f>IS119</f>
        <v/>
      </c>
      <c r="IU118" s="388">
        <f>IS118-IT118</f>
        <v/>
      </c>
      <c r="IV118" s="389">
        <f>IU118/IT118</f>
        <v/>
      </c>
      <c r="IW118" s="182" t="n"/>
      <c r="IX118" s="182" t="n"/>
      <c r="IY118" s="364" t="n"/>
      <c r="IZ118" s="365">
        <f>C118</f>
        <v/>
      </c>
      <c r="JA118" s="365" t="n">
        <v>5280029.15</v>
      </c>
      <c r="JB118" s="365">
        <f>JA119</f>
        <v/>
      </c>
      <c r="JC118" s="388">
        <f>JA118-JB118</f>
        <v/>
      </c>
      <c r="JD118" s="389">
        <f>JC118/JB118</f>
        <v/>
      </c>
      <c r="JE118" s="182" t="n"/>
      <c r="JF118" s="182" t="n"/>
      <c r="JG118" s="364" t="n"/>
      <c r="JH118" s="365">
        <f>C118</f>
        <v/>
      </c>
      <c r="JI118" s="365" t="n">
        <v>1335507.99</v>
      </c>
      <c r="JJ118" s="365">
        <f>JI119</f>
        <v/>
      </c>
      <c r="JK118" s="388">
        <f>JI118-JJ118</f>
        <v/>
      </c>
      <c r="JL118" s="389">
        <f>JK118/JJ118</f>
        <v/>
      </c>
      <c r="JM118" s="182" t="n"/>
      <c r="JN118" s="182" t="n"/>
      <c r="JO118" s="182" t="n"/>
      <c r="JP118" s="365">
        <f>C118</f>
        <v/>
      </c>
      <c r="JQ118" s="365" t="n">
        <v>1046990.4148</v>
      </c>
      <c r="JR118" s="365">
        <f>JQ119</f>
        <v/>
      </c>
      <c r="JS118" s="388">
        <f>JQ118-JR118</f>
        <v/>
      </c>
      <c r="JT118" s="389">
        <f>JS118/JR118</f>
        <v/>
      </c>
      <c r="JU118" s="182" t="n"/>
      <c r="JV118" s="182" t="n"/>
      <c r="JW118" s="383" t="n"/>
      <c r="JX118" s="365">
        <f>C118</f>
        <v/>
      </c>
      <c r="JY118" s="365" t="n">
        <v>1141748.8</v>
      </c>
      <c r="JZ118" s="365">
        <f>JY119</f>
        <v/>
      </c>
      <c r="KA118" s="388">
        <f>JY118-JZ118</f>
        <v/>
      </c>
      <c r="KB118" s="389">
        <f>KA118/JZ118</f>
        <v/>
      </c>
      <c r="KC118" s="182" t="n"/>
      <c r="KD118" s="182" t="n"/>
      <c r="KE118" s="383" t="n"/>
      <c r="KF118" s="365">
        <f>C118</f>
        <v/>
      </c>
      <c r="KG118" s="365" t="n">
        <v>686555.9219</v>
      </c>
      <c r="KH118" s="365">
        <f>KG119</f>
        <v/>
      </c>
      <c r="KI118" s="384">
        <f>KG118-KH118</f>
        <v/>
      </c>
      <c r="KJ118" s="383">
        <f>KI118/KH118</f>
        <v/>
      </c>
      <c r="KK118" s="366" t="n"/>
      <c r="KL118" s="366" t="n"/>
      <c r="KM118" s="364" t="n"/>
      <c r="KN118" s="365">
        <f>C118</f>
        <v/>
      </c>
      <c r="KO118" s="365" t="n">
        <v>8032575.95</v>
      </c>
      <c r="KP118" s="365">
        <f>KO119</f>
        <v/>
      </c>
      <c r="KQ118" s="390">
        <f>KO118-KP118</f>
        <v/>
      </c>
      <c r="KR118" s="391">
        <f>KQ118/KP118</f>
        <v/>
      </c>
      <c r="KS118" s="182" t="n"/>
      <c r="KT118" s="182" t="n"/>
      <c r="KU118" s="364" t="n"/>
      <c r="KV118" s="365">
        <f>C118</f>
        <v/>
      </c>
      <c r="KW118" s="365" t="n">
        <v>1099972.9726</v>
      </c>
      <c r="KX118" s="365">
        <f>KW119</f>
        <v/>
      </c>
      <c r="KY118" s="325">
        <f>KW118-KX118</f>
        <v/>
      </c>
      <c r="KZ118" s="326">
        <f>KY118/KX118</f>
        <v/>
      </c>
      <c r="LA118" s="326" t="n"/>
      <c r="LB118" s="182" t="n"/>
      <c r="LC118" s="364" t="n"/>
      <c r="LD118" s="365">
        <f>C118</f>
        <v/>
      </c>
      <c r="LE118" s="365" t="n">
        <v>422407.7</v>
      </c>
      <c r="LF118" s="365">
        <f>LE119</f>
        <v/>
      </c>
      <c r="LG118" s="388">
        <f>LE118-LF118</f>
        <v/>
      </c>
      <c r="LH118" s="389">
        <f>LG118/LF118</f>
        <v/>
      </c>
      <c r="LI118" s="182" t="n"/>
      <c r="LJ118" s="182" t="n"/>
      <c r="LK118" s="364" t="n"/>
      <c r="LL118" s="365">
        <f>C118</f>
        <v/>
      </c>
      <c r="LM118" s="694" t="n">
        <v>3420835.02</v>
      </c>
      <c r="LN118" s="365">
        <f>LM119</f>
        <v/>
      </c>
      <c r="LO118" s="390">
        <f>LM118-LN118</f>
        <v/>
      </c>
      <c r="LP118" s="391">
        <f>LO118/LN118</f>
        <v/>
      </c>
      <c r="LQ118" s="182" t="n"/>
      <c r="LR118" s="182" t="n"/>
      <c r="LS118" s="364" t="n"/>
      <c r="LT118" s="365">
        <f>C118</f>
        <v/>
      </c>
      <c r="LU118" s="365" t="n">
        <v>2365462.904</v>
      </c>
      <c r="LV118" s="365">
        <f>LU119</f>
        <v/>
      </c>
      <c r="LW118" s="390">
        <f>LU118-LV118</f>
        <v/>
      </c>
      <c r="LX118" s="391">
        <f>LW118/LV118</f>
        <v/>
      </c>
      <c r="LY118" s="182" t="n"/>
      <c r="LZ118" s="182" t="n"/>
      <c r="MA118" s="364" t="n"/>
      <c r="MB118" s="365">
        <f>C118</f>
        <v/>
      </c>
      <c r="MC118" s="365" t="n">
        <v>922517.6899999999</v>
      </c>
      <c r="MD118" s="365">
        <f>MC119</f>
        <v/>
      </c>
      <c r="ME118" s="388">
        <f>MC118-MD118</f>
        <v/>
      </c>
      <c r="MF118" s="389">
        <f>ME118/MD118</f>
        <v/>
      </c>
      <c r="MG118" s="182" t="n"/>
      <c r="MH118" s="182" t="n"/>
      <c r="MI118" s="319" t="n"/>
      <c r="MJ118" s="318" t="n"/>
      <c r="MK118" s="318">
        <f>C118</f>
        <v/>
      </c>
      <c r="ML118" s="318" t="n">
        <v>171345.5354</v>
      </c>
      <c r="MM118" s="13">
        <f>ML119</f>
        <v/>
      </c>
      <c r="MN118" s="318">
        <f>ML118-MM118</f>
        <v/>
      </c>
      <c r="MO118" s="327">
        <f>MN118/MM118</f>
        <v/>
      </c>
      <c r="MP118" s="182" t="n"/>
      <c r="MQ118" s="369" t="n"/>
      <c r="MR118" s="369" t="n"/>
      <c r="MS118" s="366" t="n"/>
      <c r="MT118" s="25">
        <f>C118</f>
        <v/>
      </c>
      <c r="MU118" s="0" t="n">
        <v>155414.8</v>
      </c>
      <c r="MV118" s="0">
        <f>MU119</f>
        <v/>
      </c>
      <c r="MW118" s="0">
        <f>MU118-MV118</f>
        <v/>
      </c>
      <c r="MX118" s="182">
        <f>MW118/MV118</f>
        <v/>
      </c>
      <c r="MY118" s="182" t="n"/>
      <c r="MZ118" s="182" t="n"/>
      <c r="NA118" s="182" t="n"/>
      <c r="NB118" s="182" t="n"/>
      <c r="NC118" s="9">
        <f>C118</f>
        <v/>
      </c>
      <c r="ND118" s="0" t="n">
        <v>41091.48</v>
      </c>
      <c r="NE118" s="0">
        <f>ND119</f>
        <v/>
      </c>
      <c r="NF118" s="0">
        <f>ND118-NE118</f>
        <v/>
      </c>
      <c r="NG118" s="182">
        <f>NF118/NE118</f>
        <v/>
      </c>
      <c r="NH118" s="182" t="n"/>
      <c r="NI118" s="182" t="n"/>
      <c r="NJ118" s="182" t="n"/>
      <c r="NK118" s="182" t="n"/>
      <c r="NL118" s="9" t="n"/>
      <c r="NM118" s="9">
        <f>C118</f>
        <v/>
      </c>
      <c r="NN118" s="0" t="n">
        <v>2784811.08</v>
      </c>
      <c r="NO118" s="0">
        <f>NN119</f>
        <v/>
      </c>
      <c r="NP118" s="0">
        <f>NN118-NO118</f>
        <v/>
      </c>
      <c r="NQ118" s="182">
        <f>NP118/NO118</f>
        <v/>
      </c>
      <c r="NR118" s="182" t="n"/>
      <c r="NS118" s="9" t="n"/>
      <c r="NU118" s="9">
        <f>C118</f>
        <v/>
      </c>
      <c r="NV118" s="364" t="n">
        <v>267676.5</v>
      </c>
      <c r="NW118" s="364">
        <f>NV119</f>
        <v/>
      </c>
      <c r="NX118" s="364">
        <f>NV118-NW118</f>
        <v/>
      </c>
      <c r="NY118" s="366">
        <f>NX118/NW118</f>
        <v/>
      </c>
      <c r="NZ118" s="366" t="n"/>
      <c r="OA118" s="364" t="n"/>
      <c r="OB118" s="364" t="n"/>
      <c r="OC118" s="365">
        <f>C118</f>
        <v/>
      </c>
      <c r="OD118" s="365" t="n">
        <v>16368.97</v>
      </c>
      <c r="OE118" s="365">
        <f>OD119</f>
        <v/>
      </c>
      <c r="OF118" s="388">
        <f>OD118-OE118</f>
        <v/>
      </c>
      <c r="OG118" s="389">
        <f>OF118/OE118</f>
        <v/>
      </c>
      <c r="OH118" s="182" t="n"/>
      <c r="OI118" s="182" t="n"/>
      <c r="OJ118" s="364" t="n"/>
      <c r="OK118" s="365">
        <f>C118</f>
        <v/>
      </c>
      <c r="OL118" s="0" t="n">
        <v>14584.65</v>
      </c>
      <c r="OM118" s="0">
        <f>OL119</f>
        <v/>
      </c>
      <c r="ON118" s="0">
        <f>OL118-OM118</f>
        <v/>
      </c>
      <c r="OO118" s="182">
        <f>ON118/OM118</f>
        <v/>
      </c>
      <c r="OP118" s="182" t="n"/>
      <c r="OQ118" s="182" t="n"/>
      <c r="OT118" s="25">
        <f>OK118</f>
        <v/>
      </c>
      <c r="OU118" s="199" t="n"/>
      <c r="OV118" s="9">
        <f>OU119</f>
        <v/>
      </c>
      <c r="OW118" s="671">
        <f>OU118-OV118</f>
        <v/>
      </c>
      <c r="OX118" s="182">
        <f>OW118/OV118</f>
        <v/>
      </c>
    </row>
    <row r="119" ht="17" customFormat="1" customHeight="1" s="9">
      <c r="A119" s="631" t="n"/>
      <c r="B119" s="631" t="n"/>
      <c r="C119" s="693" t="inlineStr">
        <is>
          <t>2026//5/27</t>
        </is>
      </c>
      <c r="D119" s="362" t="n">
        <v>2789688.77</v>
      </c>
      <c r="E119" s="362">
        <f>D120</f>
        <v/>
      </c>
      <c r="F119" s="432">
        <f>D119-E119</f>
        <v/>
      </c>
      <c r="G119" s="433">
        <f>F119/E119</f>
        <v/>
      </c>
      <c r="H119" s="19" t="n"/>
      <c r="I119" s="426" t="n"/>
      <c r="J119" s="426" t="n"/>
      <c r="K119" s="362">
        <f>C119</f>
        <v/>
      </c>
      <c r="L119" s="362" t="n">
        <v>2212084.4</v>
      </c>
      <c r="M119" s="362">
        <f>L120</f>
        <v/>
      </c>
      <c r="N119" s="432">
        <f>L119-M119</f>
        <v/>
      </c>
      <c r="O119" s="433">
        <f>N119/M119</f>
        <v/>
      </c>
      <c r="P119" s="19" t="n"/>
      <c r="Q119" s="426" t="n"/>
      <c r="R119" s="427" t="n"/>
      <c r="S119" s="362">
        <f>C119</f>
        <v/>
      </c>
      <c r="T119" s="362" t="n">
        <v>780996.6800000001</v>
      </c>
      <c r="U119" s="362">
        <f>T120</f>
        <v/>
      </c>
      <c r="V119" s="432">
        <f>T119-U119</f>
        <v/>
      </c>
      <c r="W119" s="433">
        <f>V119/U119</f>
        <v/>
      </c>
      <c r="X119" s="19" t="n"/>
      <c r="Y119" s="426" t="n"/>
      <c r="Z119" s="427" t="n"/>
      <c r="AA119" s="362">
        <f>S119</f>
        <v/>
      </c>
      <c r="AB119" s="362" t="n">
        <v>435416.86</v>
      </c>
      <c r="AC119" s="362">
        <f>AB120</f>
        <v/>
      </c>
      <c r="AD119" s="432">
        <f>AB119-AC119</f>
        <v/>
      </c>
      <c r="AE119" s="433">
        <f>AD119/AC119</f>
        <v/>
      </c>
      <c r="AF119" s="19" t="n"/>
      <c r="AG119" s="426" t="n"/>
      <c r="AH119" s="427" t="n"/>
      <c r="AI119" s="362">
        <f>C119</f>
        <v/>
      </c>
      <c r="AJ119" s="362" t="n">
        <v>305321.76</v>
      </c>
      <c r="AK119" s="362">
        <f>AJ120</f>
        <v/>
      </c>
      <c r="AL119" s="432">
        <f>AJ119-AK119</f>
        <v/>
      </c>
      <c r="AM119" s="433">
        <f>AL119/AK119</f>
        <v/>
      </c>
      <c r="AN119" s="19" t="n"/>
      <c r="AO119" s="19" t="n"/>
      <c r="AP119" s="427" t="n"/>
      <c r="AQ119" s="362">
        <f>C119</f>
        <v/>
      </c>
      <c r="AR119" s="697" t="n">
        <v>1056945.4936</v>
      </c>
      <c r="AS119" s="362">
        <f>AR120</f>
        <v/>
      </c>
      <c r="AT119" s="432">
        <f>AR119-AS119</f>
        <v/>
      </c>
      <c r="AU119" s="433">
        <f>AT119/AS119</f>
        <v/>
      </c>
      <c r="AV119" s="19" t="n"/>
      <c r="AW119" s="19" t="n"/>
      <c r="AX119" s="5" t="n"/>
      <c r="AY119" s="5" t="n"/>
      <c r="AZ119" s="5">
        <f>C119</f>
        <v/>
      </c>
      <c r="BA119" s="5" t="n">
        <v>1249221.6676</v>
      </c>
      <c r="BB119" s="5">
        <f>BA120</f>
        <v/>
      </c>
      <c r="BC119" s="5">
        <f>BA119-BB119</f>
        <v/>
      </c>
      <c r="BD119" s="19">
        <f>BC119/BB119</f>
        <v/>
      </c>
      <c r="BE119" s="19" t="n"/>
      <c r="BF119" s="19" t="n"/>
      <c r="BG119" s="647" t="n"/>
      <c r="BH119" s="363">
        <f>C119</f>
        <v/>
      </c>
      <c r="BI119" s="363" t="n">
        <v>1464526.5525</v>
      </c>
      <c r="BJ119" s="363">
        <f>BI120</f>
        <v/>
      </c>
      <c r="BK119" s="395">
        <f>BI119-BJ119</f>
        <v/>
      </c>
      <c r="BL119" s="396">
        <f>BK119/BJ119</f>
        <v/>
      </c>
      <c r="BM119" s="191" t="n"/>
      <c r="BN119" s="182" t="n"/>
      <c r="BO119" s="364" t="n"/>
      <c r="BP119" s="365">
        <f>C119</f>
        <v/>
      </c>
      <c r="BQ119" s="694" t="n">
        <v>1098862.3921</v>
      </c>
      <c r="BR119" s="365">
        <f>BQ120</f>
        <v/>
      </c>
      <c r="BS119" s="388">
        <f>BQ119-BR119</f>
        <v/>
      </c>
      <c r="BT119" s="389">
        <f>BS119/BR119</f>
        <v/>
      </c>
      <c r="BU119" s="182" t="n"/>
      <c r="BV119" s="182" t="n"/>
      <c r="BW119" s="364" t="n"/>
      <c r="BX119" s="365">
        <f>C119</f>
        <v/>
      </c>
      <c r="BY119" s="365" t="n">
        <v>2318860.7019</v>
      </c>
      <c r="BZ119" s="365">
        <f>BY120</f>
        <v/>
      </c>
      <c r="CA119" s="388">
        <f>BY119-BZ119</f>
        <v/>
      </c>
      <c r="CB119" s="389">
        <f>CA119/BZ119</f>
        <v/>
      </c>
      <c r="CC119" s="182" t="n"/>
      <c r="CD119" s="383" t="n"/>
      <c r="CE119" s="364" t="n"/>
      <c r="CF119" s="365">
        <f>C119</f>
        <v/>
      </c>
      <c r="CG119" s="365" t="n">
        <v>1326503.9</v>
      </c>
      <c r="CH119" s="13">
        <f>CG120</f>
        <v/>
      </c>
      <c r="CI119" s="13">
        <f>CG119-CH119</f>
        <v/>
      </c>
      <c r="CJ119" s="193">
        <f>CI119/CH119</f>
        <v/>
      </c>
      <c r="CK119" s="182" t="n"/>
      <c r="CL119" s="366" t="n"/>
      <c r="CM119" s="364" t="n"/>
      <c r="CN119" s="365">
        <f>C119</f>
        <v/>
      </c>
      <c r="CO119" s="365" t="n">
        <v>573746.48</v>
      </c>
      <c r="CP119" s="365">
        <f>CO120</f>
        <v/>
      </c>
      <c r="CQ119" s="13">
        <f>CO119-CP119</f>
        <v/>
      </c>
      <c r="CR119" s="193">
        <f>CQ119/CP119</f>
        <v/>
      </c>
      <c r="CS119" s="366" t="n"/>
      <c r="CT119" s="366" t="n"/>
      <c r="CU119" s="364" t="n"/>
      <c r="CV119" s="365">
        <f>C119</f>
        <v/>
      </c>
      <c r="CW119" s="365" t="n">
        <v>590490.4</v>
      </c>
      <c r="CX119" s="365">
        <f>CW120</f>
        <v/>
      </c>
      <c r="CY119" s="388">
        <f>CW119-CX119</f>
        <v/>
      </c>
      <c r="CZ119" s="389">
        <f>CY119/CX119</f>
        <v/>
      </c>
      <c r="DA119" s="182" t="n"/>
      <c r="DB119" s="182" t="n"/>
      <c r="DC119" s="256" t="n"/>
      <c r="DD119" s="365">
        <f>C119</f>
        <v/>
      </c>
      <c r="DE119" s="365" t="n">
        <v>2079317.9986</v>
      </c>
      <c r="DF119" s="13">
        <f>DE120</f>
        <v/>
      </c>
      <c r="DG119" s="390">
        <f>DE119-DF119</f>
        <v/>
      </c>
      <c r="DH119" s="391">
        <f>DG119/DF119</f>
        <v/>
      </c>
      <c r="DI119" s="182" t="n"/>
      <c r="DJ119" s="182" t="n"/>
      <c r="DK119" s="364" t="n"/>
      <c r="DL119" s="365">
        <f>C119</f>
        <v/>
      </c>
      <c r="DM119" s="365" t="n">
        <v>898700.36</v>
      </c>
      <c r="DN119" s="365">
        <f>DM120</f>
        <v/>
      </c>
      <c r="DO119" s="390">
        <f>DM119-DN119</f>
        <v/>
      </c>
      <c r="DP119" s="391">
        <f>DO119/DN119</f>
        <v/>
      </c>
      <c r="DQ119" s="182" t="n"/>
      <c r="DR119" s="182" t="n"/>
      <c r="DS119" s="364" t="n"/>
      <c r="DT119" s="365">
        <f>C119</f>
        <v/>
      </c>
      <c r="DU119" s="365" t="n">
        <v>1305989.48</v>
      </c>
      <c r="DV119" s="365">
        <f>DU120</f>
        <v/>
      </c>
      <c r="DW119" s="390">
        <f>DU119-DV119</f>
        <v/>
      </c>
      <c r="DX119" s="391">
        <f>DW119/DV119</f>
        <v/>
      </c>
      <c r="DY119" s="182" t="n"/>
      <c r="DZ119" s="182" t="n"/>
      <c r="EA119" s="364" t="n"/>
      <c r="EB119" s="365">
        <f>C119</f>
        <v/>
      </c>
      <c r="EC119" s="365" t="n">
        <v>3370466.82</v>
      </c>
      <c r="ED119" s="365">
        <f>EC120</f>
        <v/>
      </c>
      <c r="EE119" s="390">
        <f>EC119-ED119</f>
        <v/>
      </c>
      <c r="EF119" s="391">
        <f>EE119/ED119</f>
        <v/>
      </c>
      <c r="EG119" s="182" t="n"/>
      <c r="EH119" s="182" t="n"/>
      <c r="EI119" s="364" t="n"/>
      <c r="EJ119" s="365">
        <f>C119</f>
        <v/>
      </c>
      <c r="EK119" s="365" t="n">
        <v>1229722.9669</v>
      </c>
      <c r="EL119" s="365">
        <f>EK120</f>
        <v/>
      </c>
      <c r="EM119" s="390">
        <f>EK119-EL119</f>
        <v/>
      </c>
      <c r="EN119" s="391">
        <f>EM119/EL119</f>
        <v/>
      </c>
      <c r="EO119" s="182" t="n"/>
      <c r="EP119" s="182" t="n"/>
      <c r="EQ119" s="317" t="n"/>
      <c r="ER119" s="318">
        <f>C119</f>
        <v/>
      </c>
      <c r="ES119" s="318" t="n">
        <v>406847.02</v>
      </c>
      <c r="ET119" s="318">
        <f>ES120</f>
        <v/>
      </c>
      <c r="EU119" s="318">
        <f>ES119-ET119</f>
        <v/>
      </c>
      <c r="EV119" s="327">
        <f>EU119/ET119</f>
        <v/>
      </c>
      <c r="EW119" s="182" t="n"/>
      <c r="EX119" s="182" t="n"/>
      <c r="EY119" s="364" t="n"/>
      <c r="EZ119" s="365">
        <f>C119</f>
        <v/>
      </c>
      <c r="FA119" s="365" t="n">
        <v>606908</v>
      </c>
      <c r="FB119" s="365">
        <f>FA120</f>
        <v/>
      </c>
      <c r="FC119" s="388">
        <f>FA119-FB119</f>
        <v/>
      </c>
      <c r="FD119" s="389">
        <f>FC119/FB119</f>
        <v/>
      </c>
      <c r="FE119" s="182" t="n"/>
      <c r="FF119" s="182" t="n"/>
      <c r="FG119" s="182" t="n"/>
      <c r="FH119" s="365">
        <f>C119</f>
        <v/>
      </c>
      <c r="FI119" s="694" t="n">
        <v>1176895.3365</v>
      </c>
      <c r="FJ119" s="365">
        <f>FI120</f>
        <v/>
      </c>
      <c r="FK119" s="325">
        <f>FI119-FJ119</f>
        <v/>
      </c>
      <c r="FL119" s="326">
        <f>FK119/FJ119</f>
        <v/>
      </c>
      <c r="FM119" s="366" t="n"/>
      <c r="FN119" s="366" t="n"/>
      <c r="FO119" s="364" t="n"/>
      <c r="FP119" s="365">
        <f>C119</f>
        <v/>
      </c>
      <c r="FQ119" s="365" t="n">
        <v>1696318.73</v>
      </c>
      <c r="FR119" s="365">
        <f>FQ120</f>
        <v/>
      </c>
      <c r="FS119" s="390">
        <f>FQ119-FR119</f>
        <v/>
      </c>
      <c r="FT119" s="391">
        <f>FS119/FR119</f>
        <v/>
      </c>
      <c r="FU119" s="182" t="n"/>
      <c r="FV119" s="182" t="n"/>
      <c r="FW119" s="364" t="n"/>
      <c r="FX119" s="365">
        <f>C119</f>
        <v/>
      </c>
      <c r="FY119" s="365" t="n">
        <v>8234382.05</v>
      </c>
      <c r="FZ119" s="365">
        <f>FY120</f>
        <v/>
      </c>
      <c r="GA119" s="388">
        <f>FY119-FZ119</f>
        <v/>
      </c>
      <c r="GB119" s="389">
        <f>GA119/FZ119</f>
        <v/>
      </c>
      <c r="GC119" s="182" t="n"/>
      <c r="GD119" s="182" t="n"/>
      <c r="GE119" s="364" t="n"/>
      <c r="GF119" s="365">
        <f>C119</f>
        <v/>
      </c>
      <c r="GG119" s="365" t="n">
        <v>4871969.49</v>
      </c>
      <c r="GH119" s="365">
        <f>GG120</f>
        <v/>
      </c>
      <c r="GI119" s="388">
        <f>GG119-GH119</f>
        <v/>
      </c>
      <c r="GJ119" s="389">
        <f>GI119/GH119</f>
        <v/>
      </c>
      <c r="GK119" s="182" t="n"/>
      <c r="GL119" s="182" t="n"/>
      <c r="GM119" s="364" t="n"/>
      <c r="GN119" s="365">
        <f>C119</f>
        <v/>
      </c>
      <c r="GO119" s="365" t="n">
        <v>1877518.1217</v>
      </c>
      <c r="GP119" s="365">
        <f>GO120</f>
        <v/>
      </c>
      <c r="GQ119" s="390">
        <f>GO119-GP119</f>
        <v/>
      </c>
      <c r="GR119" s="391">
        <f>GQ119/GP119</f>
        <v/>
      </c>
      <c r="GS119" s="182" t="n"/>
      <c r="GT119" s="182" t="n"/>
      <c r="GU119" s="364" t="n"/>
      <c r="GV119" s="365">
        <f>C119</f>
        <v/>
      </c>
      <c r="GW119" s="365" t="n">
        <v>794549.4</v>
      </c>
      <c r="GX119" s="365">
        <f>GW120</f>
        <v/>
      </c>
      <c r="GY119" s="388">
        <f>GW119-GX119</f>
        <v/>
      </c>
      <c r="GZ119" s="389">
        <f>GY119/GX119</f>
        <v/>
      </c>
      <c r="HA119" s="182" t="n"/>
      <c r="HB119" s="182" t="n"/>
      <c r="HC119" s="364" t="n"/>
      <c r="HD119" s="365">
        <f>C119</f>
        <v/>
      </c>
      <c r="HE119" s="365" t="n">
        <v>1198464.6746</v>
      </c>
      <c r="HF119" s="365">
        <f>HE120</f>
        <v/>
      </c>
      <c r="HG119" s="388">
        <f>HE119-HF119</f>
        <v/>
      </c>
      <c r="HH119" s="389">
        <f>HG119/HF119</f>
        <v/>
      </c>
      <c r="HI119" s="366" t="n"/>
      <c r="HJ119" s="182" t="n"/>
      <c r="HK119" s="364" t="n"/>
      <c r="HL119" s="365">
        <f>C119</f>
        <v/>
      </c>
      <c r="HM119" s="365" t="n">
        <v>126704.25</v>
      </c>
      <c r="HN119" s="365">
        <f>HM120</f>
        <v/>
      </c>
      <c r="HO119" s="388">
        <f>HM119-HN119</f>
        <v/>
      </c>
      <c r="HP119" s="389">
        <f>HO119/HN119</f>
        <v/>
      </c>
      <c r="HQ119" s="182" t="n"/>
      <c r="HR119" s="182" t="n"/>
      <c r="HS119" s="364" t="n"/>
      <c r="HT119" s="365">
        <f>C119</f>
        <v/>
      </c>
      <c r="HU119" s="365" t="n">
        <v>177568.8265</v>
      </c>
      <c r="HV119" s="365">
        <f>HU120</f>
        <v/>
      </c>
      <c r="HW119" s="388">
        <f>HU119-HV119</f>
        <v/>
      </c>
      <c r="HX119" s="389">
        <f>HW119/HV119</f>
        <v/>
      </c>
      <c r="HY119" s="182" t="n"/>
      <c r="HZ119" s="182" t="n"/>
      <c r="IA119" s="364" t="n"/>
      <c r="IB119" s="365">
        <f>C119</f>
        <v/>
      </c>
      <c r="IC119" s="365" t="n">
        <v>340309.79</v>
      </c>
      <c r="ID119" s="365">
        <f>IC120</f>
        <v/>
      </c>
      <c r="IE119" s="365">
        <f>IC119-ID119</f>
        <v/>
      </c>
      <c r="IF119" s="366">
        <f>IE119/ID119</f>
        <v/>
      </c>
      <c r="IG119" s="366" t="n"/>
      <c r="IH119" s="182" t="n"/>
      <c r="II119" s="364" t="n"/>
      <c r="IJ119" s="365">
        <f>C119</f>
        <v/>
      </c>
      <c r="IK119" s="365" t="n">
        <v>718796.29</v>
      </c>
      <c r="IL119" s="365">
        <f>IK120</f>
        <v/>
      </c>
      <c r="IM119" s="388">
        <f>IK119-IL119</f>
        <v/>
      </c>
      <c r="IN119" s="389">
        <f>IM119/IL119</f>
        <v/>
      </c>
      <c r="IO119" s="182" t="n"/>
      <c r="IP119" s="182" t="n"/>
      <c r="IQ119" s="364" t="n"/>
      <c r="IR119" s="365">
        <f>C119</f>
        <v/>
      </c>
      <c r="IS119" s="365" t="n">
        <v>146689</v>
      </c>
      <c r="IT119" s="365">
        <f>IS120</f>
        <v/>
      </c>
      <c r="IU119" s="388">
        <f>IS119-IT119</f>
        <v/>
      </c>
      <c r="IV119" s="389">
        <f>IU119/IT119</f>
        <v/>
      </c>
      <c r="IW119" s="182" t="n"/>
      <c r="IX119" s="182" t="n"/>
      <c r="IY119" s="364" t="n"/>
      <c r="IZ119" s="365">
        <f>C119</f>
        <v/>
      </c>
      <c r="JA119" s="365" t="n">
        <v>5213829.15</v>
      </c>
      <c r="JB119" s="365">
        <f>JA120</f>
        <v/>
      </c>
      <c r="JC119" s="388">
        <f>JA119-JB119</f>
        <v/>
      </c>
      <c r="JD119" s="389">
        <f>JC119/JB119</f>
        <v/>
      </c>
      <c r="JE119" s="182" t="n"/>
      <c r="JF119" s="182" t="n"/>
      <c r="JG119" s="364" t="n"/>
      <c r="JH119" s="365">
        <f>C119</f>
        <v/>
      </c>
      <c r="JI119" s="365" t="n">
        <v>1362327.99</v>
      </c>
      <c r="JJ119" s="365">
        <f>JI120</f>
        <v/>
      </c>
      <c r="JK119" s="388">
        <f>JI119-JJ119</f>
        <v/>
      </c>
      <c r="JL119" s="389">
        <f>JK119/JJ119</f>
        <v/>
      </c>
      <c r="JM119" s="182" t="n"/>
      <c r="JN119" s="182" t="n"/>
      <c r="JO119" s="182" t="n"/>
      <c r="JP119" s="365">
        <f>C119</f>
        <v/>
      </c>
      <c r="JQ119" s="365" t="n">
        <v>1060290.4148</v>
      </c>
      <c r="JR119" s="365">
        <f>JQ120</f>
        <v/>
      </c>
      <c r="JS119" s="390">
        <f>JQ119-JR119</f>
        <v/>
      </c>
      <c r="JT119" s="391">
        <f>JS119/JR119</f>
        <v/>
      </c>
      <c r="JU119" s="182" t="n"/>
      <c r="JV119" s="182" t="n"/>
      <c r="JW119" s="383" t="n"/>
      <c r="JX119" s="365">
        <f>C119</f>
        <v/>
      </c>
      <c r="JY119" s="365" t="n">
        <v>1140348.8</v>
      </c>
      <c r="JZ119" s="365">
        <f>JY120</f>
        <v/>
      </c>
      <c r="KA119" s="390">
        <f>JY119-JZ119</f>
        <v/>
      </c>
      <c r="KB119" s="391">
        <f>KA119/JZ119</f>
        <v/>
      </c>
      <c r="KC119" s="182" t="n"/>
      <c r="KD119" s="182" t="n"/>
      <c r="KE119" s="383" t="n"/>
      <c r="KF119" s="365">
        <f>C119</f>
        <v/>
      </c>
      <c r="KG119" s="365" t="n">
        <v>688555.9219</v>
      </c>
      <c r="KH119" s="365">
        <f>KG120</f>
        <v/>
      </c>
      <c r="KI119" s="384">
        <f>KG119-KH119</f>
        <v/>
      </c>
      <c r="KJ119" s="383">
        <f>KI119/KH119</f>
        <v/>
      </c>
      <c r="KK119" s="366" t="n"/>
      <c r="KL119" s="366" t="n"/>
      <c r="KM119" s="364" t="n"/>
      <c r="KN119" s="365">
        <f>C119</f>
        <v/>
      </c>
      <c r="KO119" s="365" t="n">
        <v>8182575.95</v>
      </c>
      <c r="KP119" s="365">
        <f>KO120</f>
        <v/>
      </c>
      <c r="KQ119" s="390">
        <f>KO119-KP119</f>
        <v/>
      </c>
      <c r="KR119" s="391">
        <f>KQ119/KP119</f>
        <v/>
      </c>
      <c r="KS119" s="182" t="n"/>
      <c r="KT119" s="182" t="n"/>
      <c r="KU119" s="364" t="n"/>
      <c r="KV119" s="365">
        <f>C119</f>
        <v/>
      </c>
      <c r="KW119" s="365" t="n">
        <v>1100472.9726</v>
      </c>
      <c r="KX119" s="365">
        <f>KW120</f>
        <v/>
      </c>
      <c r="KY119" s="365">
        <f>KW119-KX119</f>
        <v/>
      </c>
      <c r="KZ119" s="366">
        <f>KY119/KX119</f>
        <v/>
      </c>
      <c r="LA119" s="366" t="n"/>
      <c r="LB119" s="182" t="n"/>
      <c r="LC119" s="364" t="n"/>
      <c r="LD119" s="365">
        <f>C119</f>
        <v/>
      </c>
      <c r="LE119" s="365" t="n">
        <v>428607.7</v>
      </c>
      <c r="LF119" s="365">
        <f>LE120</f>
        <v/>
      </c>
      <c r="LG119" s="388">
        <f>LE119-LF119</f>
        <v/>
      </c>
      <c r="LH119" s="389">
        <f>LG119/LF119</f>
        <v/>
      </c>
      <c r="LI119" s="182" t="n"/>
      <c r="LJ119" s="182" t="n"/>
      <c r="LK119" s="364" t="n"/>
      <c r="LL119" s="365">
        <f>C119</f>
        <v/>
      </c>
      <c r="LM119" s="694" t="n">
        <v>3446035.02</v>
      </c>
      <c r="LN119" s="365">
        <f>LM120</f>
        <v/>
      </c>
      <c r="LO119" s="390">
        <f>LM119-LN119</f>
        <v/>
      </c>
      <c r="LP119" s="391">
        <f>LO119/LN119</f>
        <v/>
      </c>
      <c r="LQ119" s="182" t="n"/>
      <c r="LR119" s="182" t="n"/>
      <c r="LS119" s="364" t="n"/>
      <c r="LT119" s="365">
        <f>C119</f>
        <v/>
      </c>
      <c r="LU119" s="365" t="n">
        <v>2395062.904</v>
      </c>
      <c r="LV119" s="365">
        <f>LU120</f>
        <v/>
      </c>
      <c r="LW119" s="390">
        <f>LU119-LV119</f>
        <v/>
      </c>
      <c r="LX119" s="391">
        <f>LW119/LV119</f>
        <v/>
      </c>
      <c r="LY119" s="182" t="n"/>
      <c r="LZ119" s="182" t="n"/>
      <c r="MA119" s="364" t="n"/>
      <c r="MB119" s="365">
        <f>C119</f>
        <v/>
      </c>
      <c r="MC119" s="365" t="n">
        <v>907217.6899999999</v>
      </c>
      <c r="MD119" s="365">
        <f>MC120</f>
        <v/>
      </c>
      <c r="ME119" s="388">
        <f>MC119-MD119</f>
        <v/>
      </c>
      <c r="MF119" s="389">
        <f>ME119/MD119</f>
        <v/>
      </c>
      <c r="MG119" s="182" t="n"/>
      <c r="MH119" s="182" t="n"/>
      <c r="MI119" s="319" t="n"/>
      <c r="MJ119" s="318" t="n"/>
      <c r="MK119" s="318">
        <f>C119</f>
        <v/>
      </c>
      <c r="ML119" s="318" t="n">
        <v>170985.5354</v>
      </c>
      <c r="MM119" s="13">
        <f>ML120</f>
        <v/>
      </c>
      <c r="MN119" s="318">
        <f>ML119-MM119</f>
        <v/>
      </c>
      <c r="MO119" s="327">
        <f>MN119/MM119</f>
        <v/>
      </c>
      <c r="MP119" s="182" t="n"/>
      <c r="MQ119" s="369" t="n"/>
      <c r="MR119" s="369" t="n"/>
      <c r="MS119" s="366" t="n"/>
      <c r="MT119" s="25">
        <f>C119</f>
        <v/>
      </c>
      <c r="MU119" s="0" t="n">
        <v>156514.8</v>
      </c>
      <c r="MV119" s="0">
        <f>MU120</f>
        <v/>
      </c>
      <c r="MW119" s="0">
        <f>MU119-MV119</f>
        <v/>
      </c>
      <c r="MX119" s="182">
        <f>MW119/MV119</f>
        <v/>
      </c>
      <c r="MY119" s="182" t="n"/>
      <c r="MZ119" s="182" t="n"/>
      <c r="NA119" s="182" t="n"/>
      <c r="NB119" s="182" t="n"/>
      <c r="NC119" s="9">
        <f>C119</f>
        <v/>
      </c>
      <c r="ND119" s="0" t="n">
        <v>41291.48</v>
      </c>
      <c r="NE119" s="0">
        <f>ND120</f>
        <v/>
      </c>
      <c r="NF119" s="0">
        <f>ND119-NE119</f>
        <v/>
      </c>
      <c r="NG119" s="182">
        <f>NF119/NE119</f>
        <v/>
      </c>
      <c r="NH119" s="182" t="n"/>
      <c r="NI119" s="182" t="n"/>
      <c r="NJ119" s="182" t="n"/>
      <c r="NK119" s="182" t="n"/>
      <c r="NL119" s="9" t="n"/>
      <c r="NM119" s="9">
        <f>C119</f>
        <v/>
      </c>
      <c r="NN119" s="0" t="n">
        <v>2766711.08</v>
      </c>
      <c r="NO119" s="0">
        <f>NN120</f>
        <v/>
      </c>
      <c r="NP119" s="0">
        <f>NN119-NO119</f>
        <v/>
      </c>
      <c r="NQ119" s="182">
        <f>NP119/NO119</f>
        <v/>
      </c>
      <c r="NR119" s="182" t="n"/>
      <c r="NS119" s="9" t="n"/>
      <c r="NU119" s="9">
        <f>C119</f>
        <v/>
      </c>
      <c r="NV119" s="364" t="n">
        <v>267676.5</v>
      </c>
      <c r="NW119" s="364">
        <f>NV120</f>
        <v/>
      </c>
      <c r="NX119" s="364">
        <f>NV119-NW119</f>
        <v/>
      </c>
      <c r="NY119" s="366">
        <f>NX119/NW119</f>
        <v/>
      </c>
      <c r="NZ119" s="366" t="n"/>
      <c r="OA119" s="364" t="n"/>
      <c r="OB119" s="364" t="n"/>
      <c r="OC119" s="365">
        <f>C119</f>
        <v/>
      </c>
      <c r="OD119" s="365" t="n">
        <v>15815.97</v>
      </c>
      <c r="OE119" s="365">
        <f>OD120</f>
        <v/>
      </c>
      <c r="OF119" s="388">
        <f>OD119-OE119</f>
        <v/>
      </c>
      <c r="OG119" s="389">
        <f>OF119/OE119</f>
        <v/>
      </c>
      <c r="OH119" s="182" t="n"/>
      <c r="OI119" s="182" t="n"/>
      <c r="OJ119" s="364" t="n"/>
      <c r="OK119" s="365">
        <f>C119</f>
        <v/>
      </c>
      <c r="OL119" s="0" t="n">
        <v>14419.65</v>
      </c>
      <c r="OM119" s="0">
        <f>OL120</f>
        <v/>
      </c>
      <c r="ON119" s="0">
        <f>OL119-OM119</f>
        <v/>
      </c>
      <c r="OO119" s="182">
        <f>ON119/OM119</f>
        <v/>
      </c>
      <c r="OP119" s="182" t="n"/>
      <c r="OQ119" s="182" t="n"/>
      <c r="OT119" s="25">
        <f>OK119</f>
        <v/>
      </c>
      <c r="OU119" s="199" t="n">
        <v>148152.4066</v>
      </c>
      <c r="OV119" s="9">
        <f>OU120</f>
        <v/>
      </c>
      <c r="OW119" s="671">
        <f>OU119-OV119</f>
        <v/>
      </c>
      <c r="OX119" s="182">
        <f>OW119/OV119</f>
        <v/>
      </c>
    </row>
    <row r="120" ht="17" customFormat="1" customHeight="1" s="9">
      <c r="A120" s="631" t="n"/>
      <c r="B120" s="631" t="n"/>
      <c r="C120" s="693" t="inlineStr">
        <is>
          <t>2026//5/26</t>
        </is>
      </c>
      <c r="D120" s="362" t="n">
        <v>2802828.77</v>
      </c>
      <c r="E120" s="362">
        <f>D121</f>
        <v/>
      </c>
      <c r="F120" s="432">
        <f>D120-E120</f>
        <v/>
      </c>
      <c r="G120" s="433">
        <f>F120/E120</f>
        <v/>
      </c>
      <c r="H120" s="19" t="n"/>
      <c r="I120" s="426" t="n"/>
      <c r="J120" s="426" t="n"/>
      <c r="K120" s="362">
        <f>C120</f>
        <v/>
      </c>
      <c r="L120" s="362" t="n">
        <v>2232064.4</v>
      </c>
      <c r="M120" s="362">
        <f>L121</f>
        <v/>
      </c>
      <c r="N120" s="432">
        <f>L120-M120</f>
        <v/>
      </c>
      <c r="O120" s="433">
        <f>N120/M120</f>
        <v/>
      </c>
      <c r="P120" s="19" t="n"/>
      <c r="Q120" s="426" t="n"/>
      <c r="R120" s="427" t="n"/>
      <c r="S120" s="362">
        <f>C120</f>
        <v/>
      </c>
      <c r="T120" s="362" t="n">
        <v>832566.6800000001</v>
      </c>
      <c r="U120" s="362">
        <f>T121</f>
        <v/>
      </c>
      <c r="V120" s="432">
        <f>T120-U120</f>
        <v/>
      </c>
      <c r="W120" s="433">
        <f>V120/U120</f>
        <v/>
      </c>
      <c r="X120" s="19" t="n"/>
      <c r="Y120" s="426" t="n"/>
      <c r="Z120" s="427" t="n"/>
      <c r="AA120" s="362">
        <f>S120</f>
        <v/>
      </c>
      <c r="AB120" s="362" t="n">
        <v>434376.86</v>
      </c>
      <c r="AC120" s="362">
        <f>AB121</f>
        <v/>
      </c>
      <c r="AD120" s="432">
        <f>AB120-AC120</f>
        <v/>
      </c>
      <c r="AE120" s="433">
        <f>AD120/AC120</f>
        <v/>
      </c>
      <c r="AF120" s="19" t="n"/>
      <c r="AG120" s="426" t="n"/>
      <c r="AH120" s="427" t="n"/>
      <c r="AI120" s="362">
        <f>C120</f>
        <v/>
      </c>
      <c r="AJ120" s="362" t="n">
        <v>311321.76</v>
      </c>
      <c r="AK120" s="362">
        <f>AJ121</f>
        <v/>
      </c>
      <c r="AL120" s="432">
        <f>AJ120-AK120</f>
        <v/>
      </c>
      <c r="AM120" s="433">
        <f>AL120/AK120</f>
        <v/>
      </c>
      <c r="AN120" s="19" t="n"/>
      <c r="AO120" s="19" t="n"/>
      <c r="AP120" s="427" t="n"/>
      <c r="AQ120" s="362">
        <f>C120</f>
        <v/>
      </c>
      <c r="AR120" s="697" t="n">
        <v>1094545.4936</v>
      </c>
      <c r="AS120" s="362">
        <f>AR121</f>
        <v/>
      </c>
      <c r="AT120" s="432">
        <f>AR120-AS120</f>
        <v/>
      </c>
      <c r="AU120" s="433">
        <f>AT120/AS120</f>
        <v/>
      </c>
      <c r="AV120" s="19" t="n"/>
      <c r="AW120" s="19" t="n"/>
      <c r="AX120" s="5" t="n"/>
      <c r="AY120" s="5" t="n"/>
      <c r="AZ120" s="5">
        <f>C120</f>
        <v/>
      </c>
      <c r="BA120" s="5" t="n">
        <v>1280451.6676</v>
      </c>
      <c r="BB120" s="5">
        <f>BA121</f>
        <v/>
      </c>
      <c r="BC120" s="5">
        <f>BA120-BB120</f>
        <v/>
      </c>
      <c r="BD120" s="19">
        <f>BC120/BB120</f>
        <v/>
      </c>
      <c r="BE120" s="19" t="n"/>
      <c r="BF120" s="19" t="n"/>
      <c r="BG120" s="647" t="n"/>
      <c r="BH120" s="363">
        <f>C120</f>
        <v/>
      </c>
      <c r="BI120" s="363" t="n">
        <v>1479226.5525</v>
      </c>
      <c r="BJ120" s="363">
        <f>BI121</f>
        <v/>
      </c>
      <c r="BK120" s="395">
        <f>BI120-BJ120</f>
        <v/>
      </c>
      <c r="BL120" s="396">
        <f>BK120/BJ120</f>
        <v/>
      </c>
      <c r="BM120" s="191" t="n"/>
      <c r="BN120" s="182" t="n"/>
      <c r="BO120" s="364" t="n"/>
      <c r="BP120" s="365">
        <f>C120</f>
        <v/>
      </c>
      <c r="BQ120" s="694" t="n">
        <v>1099362.3921</v>
      </c>
      <c r="BR120" s="365">
        <f>BQ121</f>
        <v/>
      </c>
      <c r="BS120" s="388">
        <f>BQ120-BR120</f>
        <v/>
      </c>
      <c r="BT120" s="389">
        <f>BS120/BR120</f>
        <v/>
      </c>
      <c r="BU120" s="182" t="n"/>
      <c r="BV120" s="182" t="n"/>
      <c r="BW120" s="364" t="n"/>
      <c r="BX120" s="365">
        <f>C120</f>
        <v/>
      </c>
      <c r="BY120" s="365" t="n">
        <v>2329310.7019</v>
      </c>
      <c r="BZ120" s="365">
        <f>BY121</f>
        <v/>
      </c>
      <c r="CA120" s="388">
        <f>BY120-BZ120</f>
        <v/>
      </c>
      <c r="CB120" s="389">
        <f>CA120/BZ120</f>
        <v/>
      </c>
      <c r="CC120" s="182" t="n"/>
      <c r="CD120" s="383" t="n"/>
      <c r="CE120" s="364" t="n"/>
      <c r="CF120" s="365">
        <f>C120</f>
        <v/>
      </c>
      <c r="CG120" s="365" t="n">
        <v>1316553.9</v>
      </c>
      <c r="CH120" s="13">
        <f>CG121</f>
        <v/>
      </c>
      <c r="CI120" s="13">
        <f>CG120-CH120</f>
        <v/>
      </c>
      <c r="CJ120" s="193">
        <f>CI120/CH120</f>
        <v/>
      </c>
      <c r="CK120" s="182" t="n"/>
      <c r="CL120" s="366" t="n"/>
      <c r="CM120" s="364" t="n"/>
      <c r="CN120" s="365">
        <f>C120</f>
        <v/>
      </c>
      <c r="CO120" s="365" t="n">
        <v>575846.48</v>
      </c>
      <c r="CP120" s="365">
        <f>CO121</f>
        <v/>
      </c>
      <c r="CQ120" s="13">
        <f>CO120-CP120</f>
        <v/>
      </c>
      <c r="CR120" s="193">
        <f>CQ120/CP120</f>
        <v/>
      </c>
      <c r="CS120" s="366" t="n"/>
      <c r="CT120" s="366" t="n"/>
      <c r="CU120" s="364" t="n"/>
      <c r="CV120" s="365">
        <f>C120</f>
        <v/>
      </c>
      <c r="CW120" s="365" t="n">
        <v>582390.4</v>
      </c>
      <c r="CX120" s="365">
        <f>CW121</f>
        <v/>
      </c>
      <c r="CY120" s="388">
        <f>CW120-CX120</f>
        <v/>
      </c>
      <c r="CZ120" s="389">
        <f>CY120/CX120</f>
        <v/>
      </c>
      <c r="DA120" s="182" t="n"/>
      <c r="DB120" s="182" t="n"/>
      <c r="DC120" s="256" t="n"/>
      <c r="DD120" s="365">
        <f>C120</f>
        <v/>
      </c>
      <c r="DE120" s="365" t="n">
        <v>2157317.9986</v>
      </c>
      <c r="DF120" s="13">
        <f>DE121</f>
        <v/>
      </c>
      <c r="DG120" s="390">
        <f>DE120-DF120</f>
        <v/>
      </c>
      <c r="DH120" s="391">
        <f>DG120/DF120</f>
        <v/>
      </c>
      <c r="DI120" s="182" t="n"/>
      <c r="DJ120" s="182" t="n"/>
      <c r="DK120" s="364" t="n"/>
      <c r="DL120" s="365">
        <f>C120</f>
        <v/>
      </c>
      <c r="DM120" s="365" t="n">
        <v>887100.36</v>
      </c>
      <c r="DN120" s="365">
        <f>DM121</f>
        <v/>
      </c>
      <c r="DO120" s="388">
        <f>DM120-DN120</f>
        <v/>
      </c>
      <c r="DP120" s="389">
        <f>DO120/DN120</f>
        <v/>
      </c>
      <c r="DQ120" s="182" t="n"/>
      <c r="DR120" s="182" t="n"/>
      <c r="DS120" s="364" t="n"/>
      <c r="DT120" s="365">
        <f>C120</f>
        <v/>
      </c>
      <c r="DU120" s="365" t="n">
        <v>1300589.48</v>
      </c>
      <c r="DV120" s="365">
        <f>DU121</f>
        <v/>
      </c>
      <c r="DW120" s="390">
        <f>DU120-DV120</f>
        <v/>
      </c>
      <c r="DX120" s="391">
        <f>DW120/DV120</f>
        <v/>
      </c>
      <c r="DY120" s="182" t="n"/>
      <c r="DZ120" s="182" t="n"/>
      <c r="EA120" s="364" t="n"/>
      <c r="EB120" s="365">
        <f>C120</f>
        <v/>
      </c>
      <c r="EC120" s="365" t="n">
        <v>3360266.82</v>
      </c>
      <c r="ED120" s="365">
        <f>EC121</f>
        <v/>
      </c>
      <c r="EE120" s="390">
        <f>EC120-ED120</f>
        <v/>
      </c>
      <c r="EF120" s="391">
        <f>EE120/ED120</f>
        <v/>
      </c>
      <c r="EG120" s="182" t="n"/>
      <c r="EH120" s="182" t="n"/>
      <c r="EI120" s="364" t="n"/>
      <c r="EJ120" s="365">
        <f>C120</f>
        <v/>
      </c>
      <c r="EK120" s="365" t="n">
        <v>1230722.9669</v>
      </c>
      <c r="EL120" s="365">
        <f>EK121</f>
        <v/>
      </c>
      <c r="EM120" s="390">
        <f>EK120-EL120</f>
        <v/>
      </c>
      <c r="EN120" s="391">
        <f>EM120/EL120</f>
        <v/>
      </c>
      <c r="EO120" s="182" t="n"/>
      <c r="EP120" s="182" t="n"/>
      <c r="EQ120" s="317" t="n"/>
      <c r="ER120" s="318">
        <f>C120</f>
        <v/>
      </c>
      <c r="ES120" s="318" t="n">
        <v>404297.02</v>
      </c>
      <c r="ET120" s="318">
        <f>ES121</f>
        <v/>
      </c>
      <c r="EU120" s="318">
        <f>ES120-ET120</f>
        <v/>
      </c>
      <c r="EV120" s="327">
        <f>EU120/ET120</f>
        <v/>
      </c>
      <c r="EW120" s="182" t="n"/>
      <c r="EX120" s="182" t="n"/>
      <c r="EY120" s="364" t="n"/>
      <c r="EZ120" s="365">
        <f>C120</f>
        <v/>
      </c>
      <c r="FA120" s="365" t="n">
        <v>608908</v>
      </c>
      <c r="FB120" s="365">
        <f>FA121</f>
        <v/>
      </c>
      <c r="FC120" s="388">
        <f>FA120-FB120</f>
        <v/>
      </c>
      <c r="FD120" s="389">
        <f>FC120/FB120</f>
        <v/>
      </c>
      <c r="FE120" s="182" t="n"/>
      <c r="FF120" s="182" t="n"/>
      <c r="FG120" s="182" t="n"/>
      <c r="FH120" s="365">
        <f>C120</f>
        <v/>
      </c>
      <c r="FI120" s="694" t="n">
        <v>1202295.3365</v>
      </c>
      <c r="FJ120" s="365">
        <f>FI121</f>
        <v/>
      </c>
      <c r="FK120" s="325">
        <f>FI120-FJ120</f>
        <v/>
      </c>
      <c r="FL120" s="326">
        <f>FK120/FJ120</f>
        <v/>
      </c>
      <c r="FM120" s="366" t="n"/>
      <c r="FN120" s="366" t="n"/>
      <c r="FO120" s="364" t="n"/>
      <c r="FP120" s="365">
        <f>C120</f>
        <v/>
      </c>
      <c r="FQ120" s="365" t="n">
        <v>1741318.73</v>
      </c>
      <c r="FR120" s="365">
        <f>FQ121</f>
        <v/>
      </c>
      <c r="FS120" s="388">
        <f>FQ120-FR120</f>
        <v/>
      </c>
      <c r="FT120" s="389">
        <f>FS120/FR120</f>
        <v/>
      </c>
      <c r="FU120" s="182" t="n"/>
      <c r="FV120" s="182" t="n"/>
      <c r="FW120" s="364" t="n"/>
      <c r="FX120" s="365">
        <f>C120</f>
        <v/>
      </c>
      <c r="FY120" s="365" t="n">
        <v>8214782.05</v>
      </c>
      <c r="FZ120" s="365">
        <f>FY121</f>
        <v/>
      </c>
      <c r="GA120" s="390">
        <f>FY120-FZ120</f>
        <v/>
      </c>
      <c r="GB120" s="391">
        <f>GA120/FZ120</f>
        <v/>
      </c>
      <c r="GC120" s="182" t="n"/>
      <c r="GD120" s="182" t="n"/>
      <c r="GE120" s="364" t="n"/>
      <c r="GF120" s="365">
        <f>C120</f>
        <v/>
      </c>
      <c r="GG120" s="365" t="n">
        <v>4880569.49</v>
      </c>
      <c r="GH120" s="365">
        <f>GG121</f>
        <v/>
      </c>
      <c r="GI120" s="390">
        <f>GG120-GH120</f>
        <v/>
      </c>
      <c r="GJ120" s="391">
        <f>GI120/GH120</f>
        <v/>
      </c>
      <c r="GK120" s="182" t="n"/>
      <c r="GL120" s="182" t="n"/>
      <c r="GM120" s="364" t="n"/>
      <c r="GN120" s="365">
        <f>C120</f>
        <v/>
      </c>
      <c r="GO120" s="365" t="n">
        <v>1901818.1217</v>
      </c>
      <c r="GP120" s="365">
        <f>GO121</f>
        <v/>
      </c>
      <c r="GQ120" s="388">
        <f>GO120-GP120</f>
        <v/>
      </c>
      <c r="GR120" s="389">
        <f>GQ120/GP120</f>
        <v/>
      </c>
      <c r="GS120" s="182" t="n"/>
      <c r="GT120" s="182" t="n"/>
      <c r="GU120" s="364" t="n"/>
      <c r="GV120" s="365">
        <f>C120</f>
        <v/>
      </c>
      <c r="GW120" s="365" t="n">
        <v>808549.4</v>
      </c>
      <c r="GX120" s="365">
        <f>GW121</f>
        <v/>
      </c>
      <c r="GY120" s="388">
        <f>GW120-GX120</f>
        <v/>
      </c>
      <c r="GZ120" s="389">
        <f>GY120/GX120</f>
        <v/>
      </c>
      <c r="HA120" s="182" t="n"/>
      <c r="HB120" s="182" t="n"/>
      <c r="HC120" s="364" t="n"/>
      <c r="HD120" s="365">
        <f>C120</f>
        <v/>
      </c>
      <c r="HE120" s="365" t="n">
        <v>1210864.6746</v>
      </c>
      <c r="HF120" s="365">
        <f>HE121</f>
        <v/>
      </c>
      <c r="HG120" s="388">
        <f>HE120-HF120</f>
        <v/>
      </c>
      <c r="HH120" s="389">
        <f>HG120/HF120</f>
        <v/>
      </c>
      <c r="HI120" s="366" t="n"/>
      <c r="HJ120" s="182" t="n"/>
      <c r="HK120" s="364" t="n"/>
      <c r="HL120" s="365">
        <f>C120</f>
        <v/>
      </c>
      <c r="HM120" s="365" t="n">
        <v>127004.25</v>
      </c>
      <c r="HN120" s="365">
        <f>HM121</f>
        <v/>
      </c>
      <c r="HO120" s="388">
        <f>HM120-HN120</f>
        <v/>
      </c>
      <c r="HP120" s="389">
        <f>HO120/HN120</f>
        <v/>
      </c>
      <c r="HQ120" s="182" t="n"/>
      <c r="HR120" s="182" t="n"/>
      <c r="HS120" s="364" t="n"/>
      <c r="HT120" s="365">
        <f>C120</f>
        <v/>
      </c>
      <c r="HU120" s="365" t="n">
        <v>185968.8265</v>
      </c>
      <c r="HV120" s="365">
        <f>HU121</f>
        <v/>
      </c>
      <c r="HW120" s="388">
        <f>HU120-HV120</f>
        <v/>
      </c>
      <c r="HX120" s="389">
        <f>HW120/HV120</f>
        <v/>
      </c>
      <c r="HY120" s="182" t="n"/>
      <c r="HZ120" s="182" t="n"/>
      <c r="IA120" s="364" t="n"/>
      <c r="IB120" s="365">
        <f>C120</f>
        <v/>
      </c>
      <c r="IC120" s="365" t="n">
        <v>342859.79</v>
      </c>
      <c r="ID120" s="365">
        <f>IC121</f>
        <v/>
      </c>
      <c r="IE120" s="365">
        <f>IC120-ID120</f>
        <v/>
      </c>
      <c r="IF120" s="366">
        <f>IE120/ID120</f>
        <v/>
      </c>
      <c r="IG120" s="366" t="n"/>
      <c r="IH120" s="182" t="n"/>
      <c r="II120" s="364" t="n"/>
      <c r="IJ120" s="365">
        <f>C120</f>
        <v/>
      </c>
      <c r="IK120" s="365" t="n">
        <v>709756.29</v>
      </c>
      <c r="IL120" s="365">
        <f>IK121</f>
        <v/>
      </c>
      <c r="IM120" s="388">
        <f>IK120-IL120</f>
        <v/>
      </c>
      <c r="IN120" s="389">
        <f>IM120/IL120</f>
        <v/>
      </c>
      <c r="IO120" s="182" t="n"/>
      <c r="IP120" s="182" t="n"/>
      <c r="IQ120" s="364" t="n"/>
      <c r="IR120" s="365">
        <f>C120</f>
        <v/>
      </c>
      <c r="IS120" s="365" t="n">
        <v>141289</v>
      </c>
      <c r="IT120" s="365">
        <f>IS121</f>
        <v/>
      </c>
      <c r="IU120" s="390">
        <f>IS120-IT120</f>
        <v/>
      </c>
      <c r="IV120" s="391">
        <f>IU120/IT120</f>
        <v/>
      </c>
      <c r="IW120" s="182" t="n"/>
      <c r="IX120" s="182" t="n"/>
      <c r="IY120" s="364" t="n"/>
      <c r="IZ120" s="365">
        <f>C120</f>
        <v/>
      </c>
      <c r="JA120" s="365" t="n">
        <v>5175229.15</v>
      </c>
      <c r="JB120" s="365">
        <f>JA121</f>
        <v/>
      </c>
      <c r="JC120" s="388">
        <f>JA120-JB120</f>
        <v/>
      </c>
      <c r="JD120" s="389">
        <f>JC120/JB120</f>
        <v/>
      </c>
      <c r="JE120" s="182" t="n"/>
      <c r="JF120" s="182" t="n"/>
      <c r="JG120" s="364" t="n"/>
      <c r="JH120" s="365">
        <f>C120</f>
        <v/>
      </c>
      <c r="JI120" s="365" t="n">
        <v>1349247.99</v>
      </c>
      <c r="JJ120" s="365">
        <f>JI121</f>
        <v/>
      </c>
      <c r="JK120" s="388">
        <f>JI120-JJ120</f>
        <v/>
      </c>
      <c r="JL120" s="389">
        <f>JK120/JJ120</f>
        <v/>
      </c>
      <c r="JM120" s="182" t="n"/>
      <c r="JN120" s="182" t="n"/>
      <c r="JO120" s="182" t="n"/>
      <c r="JP120" s="365">
        <f>C120</f>
        <v/>
      </c>
      <c r="JQ120" s="365" t="n">
        <v>1056590.4148</v>
      </c>
      <c r="JR120" s="365">
        <f>JQ121</f>
        <v/>
      </c>
      <c r="JS120" s="390">
        <f>JQ120-JR120</f>
        <v/>
      </c>
      <c r="JT120" s="391">
        <f>JS120/JR120</f>
        <v/>
      </c>
      <c r="JU120" s="182" t="n"/>
      <c r="JV120" s="182" t="n"/>
      <c r="JW120" s="383" t="n"/>
      <c r="JX120" s="365">
        <f>C120</f>
        <v/>
      </c>
      <c r="JY120" s="365" t="n">
        <v>1140898.8</v>
      </c>
      <c r="JZ120" s="365">
        <f>JY121</f>
        <v/>
      </c>
      <c r="KA120" s="390">
        <f>JY120-JZ120</f>
        <v/>
      </c>
      <c r="KB120" s="391">
        <f>KA120/JZ120</f>
        <v/>
      </c>
      <c r="KC120" s="182" t="n"/>
      <c r="KD120" s="182" t="n"/>
      <c r="KE120" s="383" t="n"/>
      <c r="KF120" s="365">
        <f>C120</f>
        <v/>
      </c>
      <c r="KG120" s="365" t="n">
        <v>688555.9219</v>
      </c>
      <c r="KH120" s="365">
        <f>KG121</f>
        <v/>
      </c>
      <c r="KI120" s="384">
        <f>KG120-KH120</f>
        <v/>
      </c>
      <c r="KJ120" s="383">
        <f>KI120/KH120</f>
        <v/>
      </c>
      <c r="KK120" s="366" t="n"/>
      <c r="KL120" s="366" t="n"/>
      <c r="KM120" s="364" t="n"/>
      <c r="KN120" s="365">
        <f>C120</f>
        <v/>
      </c>
      <c r="KO120" s="365" t="n">
        <v>8232575.95</v>
      </c>
      <c r="KP120" s="365">
        <f>KO121</f>
        <v/>
      </c>
      <c r="KQ120" s="390">
        <f>KO120-KP120</f>
        <v/>
      </c>
      <c r="KR120" s="391">
        <f>KQ120/KP120</f>
        <v/>
      </c>
      <c r="KS120" s="182" t="n"/>
      <c r="KT120" s="182" t="n"/>
      <c r="KU120" s="364" t="n"/>
      <c r="KV120" s="365">
        <f>C120</f>
        <v/>
      </c>
      <c r="KW120" s="365" t="n">
        <v>1100672.9726</v>
      </c>
      <c r="KX120" s="365">
        <f>KW121</f>
        <v/>
      </c>
      <c r="KY120" s="365">
        <f>KW120-KX120</f>
        <v/>
      </c>
      <c r="KZ120" s="366">
        <f>KY120/KX120</f>
        <v/>
      </c>
      <c r="LA120" s="366" t="n"/>
      <c r="LB120" s="182" t="n"/>
      <c r="LC120" s="364" t="n"/>
      <c r="LD120" s="365">
        <f>C120</f>
        <v/>
      </c>
      <c r="LE120" s="365" t="n">
        <v>433007.7</v>
      </c>
      <c r="LF120" s="365">
        <f>LE121</f>
        <v/>
      </c>
      <c r="LG120" s="388">
        <f>LE120-LF120</f>
        <v/>
      </c>
      <c r="LH120" s="389">
        <f>LG120/LF120</f>
        <v/>
      </c>
      <c r="LI120" s="182" t="n"/>
      <c r="LJ120" s="182" t="n"/>
      <c r="LK120" s="364" t="n"/>
      <c r="LL120" s="365">
        <f>C120</f>
        <v/>
      </c>
      <c r="LM120" s="694" t="n">
        <v>3461875.02</v>
      </c>
      <c r="LN120" s="365">
        <f>LM121</f>
        <v/>
      </c>
      <c r="LO120" s="390">
        <f>LM120-LN120</f>
        <v/>
      </c>
      <c r="LP120" s="391">
        <f>LO120/LN120</f>
        <v/>
      </c>
      <c r="LQ120" s="182" t="n"/>
      <c r="LR120" s="182" t="n"/>
      <c r="LS120" s="364" t="n"/>
      <c r="LT120" s="365">
        <f>C120</f>
        <v/>
      </c>
      <c r="LU120" s="365" t="n">
        <v>2440862.904</v>
      </c>
      <c r="LV120" s="365">
        <f>LU121</f>
        <v/>
      </c>
      <c r="LW120" s="388">
        <f>LU120-LV120</f>
        <v/>
      </c>
      <c r="LX120" s="389">
        <f>LW120/LV120</f>
        <v/>
      </c>
      <c r="LY120" s="182" t="n"/>
      <c r="LZ120" s="182" t="n"/>
      <c r="MA120" s="364" t="n"/>
      <c r="MB120" s="365">
        <f>C120</f>
        <v/>
      </c>
      <c r="MC120" s="365" t="n">
        <v>907467.6899999999</v>
      </c>
      <c r="MD120" s="365">
        <f>MC121</f>
        <v/>
      </c>
      <c r="ME120" s="388">
        <f>MC120-MD120</f>
        <v/>
      </c>
      <c r="MF120" s="389">
        <f>ME120/MD120</f>
        <v/>
      </c>
      <c r="MG120" s="182" t="n"/>
      <c r="MH120" s="182" t="n"/>
      <c r="MI120" s="319" t="n"/>
      <c r="MJ120" s="318" t="n"/>
      <c r="MK120" s="318">
        <f>C120</f>
        <v/>
      </c>
      <c r="ML120" s="318" t="n">
        <v>172665.5354</v>
      </c>
      <c r="MM120" s="13">
        <f>ML121</f>
        <v/>
      </c>
      <c r="MN120" s="318">
        <f>ML120-MM120</f>
        <v/>
      </c>
      <c r="MO120" s="327">
        <f>MN120/MM120</f>
        <v/>
      </c>
      <c r="MP120" s="182" t="n"/>
      <c r="MQ120" s="369" t="n"/>
      <c r="MR120" s="369" t="n"/>
      <c r="MS120" s="366" t="n"/>
      <c r="MT120" s="25">
        <f>C120</f>
        <v/>
      </c>
      <c r="MU120" s="0" t="n">
        <v>160414.8</v>
      </c>
      <c r="MV120" s="0">
        <f>MU121</f>
        <v/>
      </c>
      <c r="MW120" s="0">
        <f>MU120-MV120</f>
        <v/>
      </c>
      <c r="MX120" s="182">
        <f>MW120/MV120</f>
        <v/>
      </c>
      <c r="MY120" s="182" t="n"/>
      <c r="MZ120" s="182" t="n"/>
      <c r="NA120" s="182" t="n"/>
      <c r="NB120" s="182" t="n"/>
      <c r="NC120" s="9">
        <f>C120</f>
        <v/>
      </c>
      <c r="ND120" s="0" t="n">
        <v>41491.48</v>
      </c>
      <c r="NE120" s="0">
        <f>ND121</f>
        <v/>
      </c>
      <c r="NF120" s="0">
        <f>ND120-NE120</f>
        <v/>
      </c>
      <c r="NG120" s="182">
        <f>NF120/NE120</f>
        <v/>
      </c>
      <c r="NH120" s="182" t="n"/>
      <c r="NI120" s="182" t="n"/>
      <c r="NJ120" s="182" t="n"/>
      <c r="NK120" s="182" t="n"/>
      <c r="NL120" s="9" t="n"/>
      <c r="NM120" s="9">
        <f>C120</f>
        <v/>
      </c>
      <c r="NN120" s="0" t="n">
        <v>2738511.08</v>
      </c>
      <c r="NO120" s="0">
        <f>NN121</f>
        <v/>
      </c>
      <c r="NP120" s="0">
        <f>NN120-NO120</f>
        <v/>
      </c>
      <c r="NQ120" s="182">
        <f>NP120/NO120</f>
        <v/>
      </c>
      <c r="NR120" s="182" t="n"/>
      <c r="NS120" s="9" t="n"/>
      <c r="NU120" s="9">
        <f>C120</f>
        <v/>
      </c>
      <c r="NV120" s="364" t="n">
        <v>259226.5</v>
      </c>
      <c r="NW120" s="364">
        <f>NV121</f>
        <v/>
      </c>
      <c r="NX120" s="364">
        <f>NV120-NW120</f>
        <v/>
      </c>
      <c r="NY120" s="366">
        <f>NX120/NW120</f>
        <v/>
      </c>
      <c r="NZ120" s="366" t="n"/>
      <c r="OA120" s="364" t="n"/>
      <c r="OB120" s="364" t="n"/>
      <c r="OC120" s="365">
        <f>C120</f>
        <v/>
      </c>
      <c r="OD120" s="365" t="n">
        <v>15649.97</v>
      </c>
      <c r="OE120" s="365">
        <f>OD121</f>
        <v/>
      </c>
      <c r="OF120" s="388">
        <f>OD120-OE120</f>
        <v/>
      </c>
      <c r="OG120" s="389">
        <f>OF120/OE120</f>
        <v/>
      </c>
      <c r="OH120" s="182" t="n"/>
      <c r="OI120" s="182" t="n"/>
      <c r="OJ120" s="364" t="n"/>
      <c r="OK120" s="365">
        <f>C120</f>
        <v/>
      </c>
      <c r="OL120" s="0" t="n">
        <v>14422.65</v>
      </c>
      <c r="OM120" s="0">
        <f>OL121</f>
        <v/>
      </c>
      <c r="ON120" s="0">
        <f>OL120-OM120</f>
        <v/>
      </c>
      <c r="OO120" s="182">
        <f>ON120/OM120</f>
        <v/>
      </c>
      <c r="OP120" s="182" t="n"/>
      <c r="OQ120" s="182" t="n"/>
      <c r="OT120" s="25">
        <f>OK120</f>
        <v/>
      </c>
      <c r="OU120" s="199" t="n">
        <v>148032.4066</v>
      </c>
      <c r="OV120" s="9">
        <f>OU121</f>
        <v/>
      </c>
      <c r="OW120" s="671">
        <f>OU120-OV120</f>
        <v/>
      </c>
      <c r="OX120" s="182">
        <f>OW120/OV120</f>
        <v/>
      </c>
    </row>
    <row r="121" ht="17" customFormat="1" customHeight="1" s="9">
      <c r="A121" s="631" t="n"/>
      <c r="B121" s="631" t="n"/>
      <c r="C121" s="693" t="inlineStr">
        <is>
          <t>2026//5/25</t>
        </is>
      </c>
      <c r="D121" s="362" t="n">
        <v>2845848.77</v>
      </c>
      <c r="E121" s="362">
        <f>D122</f>
        <v/>
      </c>
      <c r="F121" s="432">
        <f>D121-E121</f>
        <v/>
      </c>
      <c r="G121" s="433">
        <f>F121/E121</f>
        <v/>
      </c>
      <c r="H121" s="19" t="n"/>
      <c r="I121" s="426" t="n"/>
      <c r="J121" s="426" t="n"/>
      <c r="K121" s="362">
        <f>C121</f>
        <v/>
      </c>
      <c r="L121" s="362" t="n">
        <v>2296594.4</v>
      </c>
      <c r="M121" s="362">
        <f>L122</f>
        <v/>
      </c>
      <c r="N121" s="377">
        <f>L121-M121</f>
        <v/>
      </c>
      <c r="O121" s="378">
        <f>N121/M121</f>
        <v/>
      </c>
      <c r="P121" s="19" t="n"/>
      <c r="Q121" s="426" t="n"/>
      <c r="R121" s="427" t="n"/>
      <c r="S121" s="362">
        <f>C121</f>
        <v/>
      </c>
      <c r="T121" s="362" t="n">
        <v>857946.6800000001</v>
      </c>
      <c r="U121" s="362">
        <f>T122</f>
        <v/>
      </c>
      <c r="V121" s="377">
        <f>T121-U121</f>
        <v/>
      </c>
      <c r="W121" s="378">
        <f>V121/U121</f>
        <v/>
      </c>
      <c r="X121" s="19" t="n"/>
      <c r="Y121" s="426" t="n"/>
      <c r="Z121" s="427" t="n"/>
      <c r="AA121" s="362">
        <f>S121</f>
        <v/>
      </c>
      <c r="AB121" s="362" t="n">
        <v>435816.86</v>
      </c>
      <c r="AC121" s="362">
        <f>AB122</f>
        <v/>
      </c>
      <c r="AD121" s="377">
        <f>AB121-AC121</f>
        <v/>
      </c>
      <c r="AE121" s="378">
        <f>AD121/AC121</f>
        <v/>
      </c>
      <c r="AF121" s="19" t="n"/>
      <c r="AG121" s="426" t="n"/>
      <c r="AH121" s="427" t="n"/>
      <c r="AI121" s="362">
        <f>C121</f>
        <v/>
      </c>
      <c r="AJ121" s="362" t="n">
        <v>300921.76</v>
      </c>
      <c r="AK121" s="362">
        <f>AJ122</f>
        <v/>
      </c>
      <c r="AL121" s="432">
        <f>AJ121-AK121</f>
        <v/>
      </c>
      <c r="AM121" s="433">
        <f>AL121/AK121</f>
        <v/>
      </c>
      <c r="AN121" s="19" t="n"/>
      <c r="AO121" s="19" t="n"/>
      <c r="AP121" s="427" t="n"/>
      <c r="AQ121" s="362">
        <f>C121</f>
        <v/>
      </c>
      <c r="AR121" s="697" t="n">
        <v>1112645.4936</v>
      </c>
      <c r="AS121" s="362">
        <f>AR122</f>
        <v/>
      </c>
      <c r="AT121" s="377">
        <f>AR121-AS121</f>
        <v/>
      </c>
      <c r="AU121" s="378">
        <f>AT121/AS121</f>
        <v/>
      </c>
      <c r="AV121" s="19" t="n"/>
      <c r="AW121" s="19" t="n"/>
      <c r="AX121" s="5" t="n"/>
      <c r="AY121" s="5" t="n"/>
      <c r="AZ121" s="5">
        <f>C121</f>
        <v/>
      </c>
      <c r="BA121" s="5" t="n">
        <v>1300251.6676</v>
      </c>
      <c r="BB121" s="5">
        <f>BA122</f>
        <v/>
      </c>
      <c r="BC121" s="5">
        <f>BA121-BB121</f>
        <v/>
      </c>
      <c r="BD121" s="19">
        <f>BC121/BB121</f>
        <v/>
      </c>
      <c r="BE121" s="19" t="n"/>
      <c r="BF121" s="19" t="n"/>
      <c r="BG121" s="647" t="n"/>
      <c r="BH121" s="363">
        <f>C121</f>
        <v/>
      </c>
      <c r="BI121" s="363" t="n">
        <v>1484926.5525</v>
      </c>
      <c r="BJ121" s="363">
        <f>BI122</f>
        <v/>
      </c>
      <c r="BK121" s="395">
        <f>BI121-BJ121</f>
        <v/>
      </c>
      <c r="BL121" s="396">
        <f>BK121/BJ121</f>
        <v/>
      </c>
      <c r="BM121" s="191" t="n"/>
      <c r="BN121" s="182" t="n"/>
      <c r="BO121" s="364" t="n"/>
      <c r="BP121" s="365">
        <f>C121</f>
        <v/>
      </c>
      <c r="BQ121" s="694" t="n">
        <v>1099262.3921</v>
      </c>
      <c r="BR121" s="365">
        <f>BQ122</f>
        <v/>
      </c>
      <c r="BS121" s="390">
        <f>BQ121-BR121</f>
        <v/>
      </c>
      <c r="BT121" s="391">
        <f>BS121/BR121</f>
        <v/>
      </c>
      <c r="BU121" s="182" t="n"/>
      <c r="BV121" s="182" t="n"/>
      <c r="BW121" s="364" t="n"/>
      <c r="BX121" s="365">
        <f>C121</f>
        <v/>
      </c>
      <c r="BY121" s="365" t="n">
        <v>2354360.7019</v>
      </c>
      <c r="BZ121" s="365">
        <f>BY122</f>
        <v/>
      </c>
      <c r="CA121" s="388">
        <f>BY121-BZ121</f>
        <v/>
      </c>
      <c r="CB121" s="389">
        <f>CA121/BZ121</f>
        <v/>
      </c>
      <c r="CC121" s="182" t="n"/>
      <c r="CD121" s="383" t="n"/>
      <c r="CE121" s="364" t="n"/>
      <c r="CF121" s="365">
        <f>C121</f>
        <v/>
      </c>
      <c r="CG121" s="365" t="n">
        <v>1302503.9</v>
      </c>
      <c r="CH121" s="13">
        <f>CG122</f>
        <v/>
      </c>
      <c r="CI121" s="13">
        <f>CG121-CH121</f>
        <v/>
      </c>
      <c r="CJ121" s="193">
        <f>CI121/CH121</f>
        <v/>
      </c>
      <c r="CK121" s="182" t="n"/>
      <c r="CL121" s="366" t="n"/>
      <c r="CM121" s="364" t="n"/>
      <c r="CN121" s="365">
        <f>C121</f>
        <v/>
      </c>
      <c r="CO121" s="365" t="n">
        <v>585146.48</v>
      </c>
      <c r="CP121" s="365">
        <f>CO122</f>
        <v/>
      </c>
      <c r="CQ121" s="13">
        <f>CO121-CP121</f>
        <v/>
      </c>
      <c r="CR121" s="193">
        <f>CQ121/CP121</f>
        <v/>
      </c>
      <c r="CS121" s="366" t="n"/>
      <c r="CT121" s="366" t="n"/>
      <c r="CU121" s="364" t="n"/>
      <c r="CV121" s="365">
        <f>C121</f>
        <v/>
      </c>
      <c r="CW121" s="365" t="n">
        <v>584240.4</v>
      </c>
      <c r="CX121" s="365">
        <f>CW122</f>
        <v/>
      </c>
      <c r="CY121" s="388">
        <f>CW121-CX121</f>
        <v/>
      </c>
      <c r="CZ121" s="389">
        <f>CY121/CX121</f>
        <v/>
      </c>
      <c r="DA121" s="182" t="n"/>
      <c r="DB121" s="182" t="n"/>
      <c r="DC121" s="256" t="n"/>
      <c r="DD121" s="365">
        <f>C121</f>
        <v/>
      </c>
      <c r="DE121" s="365" t="n">
        <v>2049517.9986</v>
      </c>
      <c r="DF121" s="13">
        <f>DE122</f>
        <v/>
      </c>
      <c r="DG121" s="390">
        <f>DE121-DF121</f>
        <v/>
      </c>
      <c r="DH121" s="391">
        <f>DG121/DF121</f>
        <v/>
      </c>
      <c r="DI121" s="182" t="n"/>
      <c r="DJ121" s="182" t="n"/>
      <c r="DK121" s="364" t="n"/>
      <c r="DL121" s="365">
        <f>C121</f>
        <v/>
      </c>
      <c r="DM121" s="365" t="n">
        <v>849500.36</v>
      </c>
      <c r="DN121" s="365">
        <f>DM122</f>
        <v/>
      </c>
      <c r="DO121" s="390">
        <f>DM121-DN121</f>
        <v/>
      </c>
      <c r="DP121" s="391">
        <f>DO121/DN121</f>
        <v/>
      </c>
      <c r="DQ121" s="182" t="n"/>
      <c r="DR121" s="182" t="n"/>
      <c r="DS121" s="364" t="n"/>
      <c r="DT121" s="365">
        <f>C121</f>
        <v/>
      </c>
      <c r="DU121" s="365" t="n">
        <v>1244789.48</v>
      </c>
      <c r="DV121" s="365">
        <f>DU122</f>
        <v/>
      </c>
      <c r="DW121" s="390">
        <f>DU121-DV121</f>
        <v/>
      </c>
      <c r="DX121" s="391">
        <f>DW121/DV121</f>
        <v/>
      </c>
      <c r="DY121" s="182" t="n"/>
      <c r="DZ121" s="182" t="n"/>
      <c r="EA121" s="364" t="n"/>
      <c r="EB121" s="365">
        <f>C121</f>
        <v/>
      </c>
      <c r="EC121" s="365" t="n">
        <v>3323066.82</v>
      </c>
      <c r="ED121" s="365">
        <f>EC122</f>
        <v/>
      </c>
      <c r="EE121" s="390">
        <f>EC121-ED121</f>
        <v/>
      </c>
      <c r="EF121" s="391">
        <f>EE121/ED121</f>
        <v/>
      </c>
      <c r="EG121" s="182" t="n"/>
      <c r="EH121" s="182" t="n"/>
      <c r="EI121" s="364" t="n"/>
      <c r="EJ121" s="365">
        <f>C121</f>
        <v/>
      </c>
      <c r="EK121" s="365" t="n">
        <v>1223522.9669</v>
      </c>
      <c r="EL121" s="365">
        <f>EK122</f>
        <v/>
      </c>
      <c r="EM121" s="390">
        <f>EK121-EL121</f>
        <v/>
      </c>
      <c r="EN121" s="391">
        <f>EM121/EL121</f>
        <v/>
      </c>
      <c r="EO121" s="182" t="n"/>
      <c r="EP121" s="182" t="n"/>
      <c r="EQ121" s="317" t="n"/>
      <c r="ER121" s="318">
        <f>C121</f>
        <v/>
      </c>
      <c r="ES121" s="318" t="n">
        <v>403097.02</v>
      </c>
      <c r="ET121" s="318">
        <f>ES122</f>
        <v/>
      </c>
      <c r="EU121" s="318">
        <f>ES121-ET121</f>
        <v/>
      </c>
      <c r="EV121" s="327">
        <f>EU121/ET121</f>
        <v/>
      </c>
      <c r="EW121" s="182" t="n"/>
      <c r="EX121" s="182" t="n"/>
      <c r="EY121" s="364" t="n"/>
      <c r="EZ121" s="365">
        <f>C121</f>
        <v/>
      </c>
      <c r="FA121" s="365" t="n">
        <v>613808</v>
      </c>
      <c r="FB121" s="365">
        <f>FA122</f>
        <v/>
      </c>
      <c r="FC121" s="390">
        <f>FA121-FB121</f>
        <v/>
      </c>
      <c r="FD121" s="391">
        <f>FC121/FB121</f>
        <v/>
      </c>
      <c r="FE121" s="182" t="n"/>
      <c r="FF121" s="182" t="n"/>
      <c r="FG121" s="182" t="n"/>
      <c r="FH121" s="365">
        <f>C121</f>
        <v/>
      </c>
      <c r="FI121" s="694" t="n">
        <v>1212295.3365</v>
      </c>
      <c r="FJ121" s="365">
        <f>FI122</f>
        <v/>
      </c>
      <c r="FK121" s="325">
        <f>FI121-FJ121</f>
        <v/>
      </c>
      <c r="FL121" s="326">
        <f>FK121/FJ121</f>
        <v/>
      </c>
      <c r="FM121" s="366" t="n"/>
      <c r="FN121" s="366" t="n"/>
      <c r="FO121" s="364" t="n"/>
      <c r="FP121" s="365">
        <f>C121</f>
        <v/>
      </c>
      <c r="FQ121" s="365" t="n">
        <v>1742968.73</v>
      </c>
      <c r="FR121" s="365">
        <f>FQ122</f>
        <v/>
      </c>
      <c r="FS121" s="390">
        <f>FQ121-FR121</f>
        <v/>
      </c>
      <c r="FT121" s="391">
        <f>FS121/FR121</f>
        <v/>
      </c>
      <c r="FU121" s="182" t="n"/>
      <c r="FV121" s="182" t="n"/>
      <c r="FW121" s="364" t="n"/>
      <c r="FX121" s="365">
        <f>C121</f>
        <v/>
      </c>
      <c r="FY121" s="365" t="n">
        <v>8210982.05</v>
      </c>
      <c r="FZ121" s="365">
        <f>FY122</f>
        <v/>
      </c>
      <c r="GA121" s="390">
        <f>FY121-FZ121</f>
        <v/>
      </c>
      <c r="GB121" s="391">
        <f>GA121/FZ121</f>
        <v/>
      </c>
      <c r="GC121" s="182" t="n"/>
      <c r="GD121" s="182" t="n"/>
      <c r="GE121" s="364" t="n"/>
      <c r="GF121" s="365">
        <f>C121</f>
        <v/>
      </c>
      <c r="GG121" s="365" t="n">
        <v>4879169.49</v>
      </c>
      <c r="GH121" s="365">
        <f>GG122</f>
        <v/>
      </c>
      <c r="GI121" s="390">
        <f>GG121-GH121</f>
        <v/>
      </c>
      <c r="GJ121" s="391">
        <f>GI121/GH121</f>
        <v/>
      </c>
      <c r="GK121" s="182" t="n"/>
      <c r="GL121" s="182" t="n"/>
      <c r="GM121" s="364" t="n"/>
      <c r="GN121" s="365">
        <f>C121</f>
        <v/>
      </c>
      <c r="GO121" s="365" t="n">
        <v>1904578.1217</v>
      </c>
      <c r="GP121" s="365">
        <f>GO122</f>
        <v/>
      </c>
      <c r="GQ121" s="388">
        <f>GO121-GP121</f>
        <v/>
      </c>
      <c r="GR121" s="389">
        <f>GQ121/GP121</f>
        <v/>
      </c>
      <c r="GS121" s="182" t="n"/>
      <c r="GT121" s="182" t="n"/>
      <c r="GU121" s="364" t="n"/>
      <c r="GV121" s="365">
        <f>C121</f>
        <v/>
      </c>
      <c r="GW121" s="365" t="n">
        <v>812349.4</v>
      </c>
      <c r="GX121" s="365">
        <f>GW122</f>
        <v/>
      </c>
      <c r="GY121" s="388">
        <f>GW121-GX121</f>
        <v/>
      </c>
      <c r="GZ121" s="389">
        <f>GY121/GX121</f>
        <v/>
      </c>
      <c r="HA121" s="182" t="n"/>
      <c r="HB121" s="182" t="n"/>
      <c r="HC121" s="364" t="n"/>
      <c r="HD121" s="365">
        <f>C121</f>
        <v/>
      </c>
      <c r="HE121" s="365" t="n">
        <v>1221164.6746</v>
      </c>
      <c r="HF121" s="365">
        <f>HE122</f>
        <v/>
      </c>
      <c r="HG121" s="390">
        <f>HE121-HF121</f>
        <v/>
      </c>
      <c r="HH121" s="391">
        <f>HG121/HF121</f>
        <v/>
      </c>
      <c r="HI121" s="366" t="n"/>
      <c r="HJ121" s="182" t="n"/>
      <c r="HK121" s="364" t="n"/>
      <c r="HL121" s="365">
        <f>C121</f>
        <v/>
      </c>
      <c r="HM121" s="365" t="n">
        <v>127404.25</v>
      </c>
      <c r="HN121" s="365">
        <f>HM122</f>
        <v/>
      </c>
      <c r="HO121" s="388">
        <f>HM121-HN121</f>
        <v/>
      </c>
      <c r="HP121" s="389">
        <f>HO121/HN121</f>
        <v/>
      </c>
      <c r="HQ121" s="182" t="n"/>
      <c r="HR121" s="182" t="n"/>
      <c r="HS121" s="364" t="n"/>
      <c r="HT121" s="365">
        <f>C121</f>
        <v/>
      </c>
      <c r="HU121" s="365" t="n">
        <v>186068.8265</v>
      </c>
      <c r="HV121" s="365">
        <f>HU122</f>
        <v/>
      </c>
      <c r="HW121" s="388">
        <f>HU121-HV121</f>
        <v/>
      </c>
      <c r="HX121" s="389">
        <f>HW121/HV121</f>
        <v/>
      </c>
      <c r="HY121" s="182" t="n"/>
      <c r="HZ121" s="182" t="n"/>
      <c r="IA121" s="364" t="n"/>
      <c r="IB121" s="365">
        <f>C121</f>
        <v/>
      </c>
      <c r="IC121" s="365" t="n">
        <v>343409.79</v>
      </c>
      <c r="ID121" s="365">
        <f>IC122</f>
        <v/>
      </c>
      <c r="IE121" s="365">
        <f>IC121-ID121</f>
        <v/>
      </c>
      <c r="IF121" s="366">
        <f>IE121/ID121</f>
        <v/>
      </c>
      <c r="IG121" s="366" t="n"/>
      <c r="IH121" s="182" t="n"/>
      <c r="II121" s="364" t="n"/>
      <c r="IJ121" s="365">
        <f>C121</f>
        <v/>
      </c>
      <c r="IK121" s="365" t="n">
        <v>703516.29</v>
      </c>
      <c r="IL121" s="365">
        <f>IK122</f>
        <v/>
      </c>
      <c r="IM121" s="390">
        <f>IK121-IL121</f>
        <v/>
      </c>
      <c r="IN121" s="391">
        <f>IM121/IL121</f>
        <v/>
      </c>
      <c r="IO121" s="182" t="n"/>
      <c r="IP121" s="182" t="n"/>
      <c r="IQ121" s="364" t="n"/>
      <c r="IR121" s="365">
        <f>C121</f>
        <v/>
      </c>
      <c r="IS121" s="365" t="n">
        <v>141889</v>
      </c>
      <c r="IT121" s="365">
        <f>IS122</f>
        <v/>
      </c>
      <c r="IU121" s="390">
        <f>IS121-IT121</f>
        <v/>
      </c>
      <c r="IV121" s="391">
        <f>IU121/IT121</f>
        <v/>
      </c>
      <c r="IW121" s="182" t="n"/>
      <c r="IX121" s="182" t="n"/>
      <c r="IY121" s="364" t="n"/>
      <c r="IZ121" s="365">
        <f>C121</f>
        <v/>
      </c>
      <c r="JA121" s="365" t="n">
        <v>5227129.15</v>
      </c>
      <c r="JB121" s="365">
        <f>JA122</f>
        <v/>
      </c>
      <c r="JC121" s="390">
        <f>JA121-JB121</f>
        <v/>
      </c>
      <c r="JD121" s="391">
        <f>JC121/JB121</f>
        <v/>
      </c>
      <c r="JE121" s="182" t="n"/>
      <c r="JF121" s="182" t="n"/>
      <c r="JG121" s="364" t="n"/>
      <c r="JH121" s="365">
        <f>C121</f>
        <v/>
      </c>
      <c r="JI121" s="365" t="n">
        <v>1345467.99</v>
      </c>
      <c r="JJ121" s="365">
        <f>JI122</f>
        <v/>
      </c>
      <c r="JK121" s="388">
        <f>JI121-JJ121</f>
        <v/>
      </c>
      <c r="JL121" s="389">
        <f>JK121/JJ121</f>
        <v/>
      </c>
      <c r="JM121" s="182" t="n"/>
      <c r="JN121" s="182" t="n"/>
      <c r="JO121" s="182" t="n"/>
      <c r="JP121" s="365">
        <f>C121</f>
        <v/>
      </c>
      <c r="JQ121" s="365" t="n">
        <v>1047790.4148</v>
      </c>
      <c r="JR121" s="365">
        <f>JQ122</f>
        <v/>
      </c>
      <c r="JS121" s="390">
        <f>JQ121-JR121</f>
        <v/>
      </c>
      <c r="JT121" s="391">
        <f>JS121/JR121</f>
        <v/>
      </c>
      <c r="JU121" s="182" t="n"/>
      <c r="JV121" s="182" t="n"/>
      <c r="JW121" s="383" t="n"/>
      <c r="JX121" s="365">
        <f>C121</f>
        <v/>
      </c>
      <c r="JY121" s="365" t="n">
        <v>1151898.8</v>
      </c>
      <c r="JZ121" s="365">
        <f>JY122</f>
        <v/>
      </c>
      <c r="KA121" s="390">
        <f>JY121-JZ121</f>
        <v/>
      </c>
      <c r="KB121" s="391">
        <f>KA121/JZ121</f>
        <v/>
      </c>
      <c r="KC121" s="182" t="n"/>
      <c r="KD121" s="182" t="n"/>
      <c r="KE121" s="383" t="n"/>
      <c r="KF121" s="365">
        <f>C121</f>
        <v/>
      </c>
      <c r="KG121" s="365" t="n">
        <v>694955.9219</v>
      </c>
      <c r="KH121" s="365">
        <f>KG122</f>
        <v/>
      </c>
      <c r="KI121" s="384">
        <f>KG121-KH121</f>
        <v/>
      </c>
      <c r="KJ121" s="383">
        <f>KI121/KH121</f>
        <v/>
      </c>
      <c r="KK121" s="366" t="n"/>
      <c r="KL121" s="366" t="n"/>
      <c r="KM121" s="364" t="n"/>
      <c r="KN121" s="365">
        <f>C121</f>
        <v/>
      </c>
      <c r="KO121" s="365" t="n">
        <v>8282575.95</v>
      </c>
      <c r="KP121" s="365">
        <f>KO122</f>
        <v/>
      </c>
      <c r="KQ121" s="390">
        <f>KO121-KP121</f>
        <v/>
      </c>
      <c r="KR121" s="391">
        <f>KQ121/KP121</f>
        <v/>
      </c>
      <c r="KS121" s="182" t="n"/>
      <c r="KT121" s="182" t="n"/>
      <c r="KU121" s="364" t="n"/>
      <c r="KV121" s="365">
        <f>C121</f>
        <v/>
      </c>
      <c r="KW121" s="365" t="n">
        <v>1100672.9726</v>
      </c>
      <c r="KX121" s="365">
        <f>KW122</f>
        <v/>
      </c>
      <c r="KY121" s="365">
        <f>KW121-KX121</f>
        <v/>
      </c>
      <c r="KZ121" s="366">
        <f>KY121/KX121</f>
        <v/>
      </c>
      <c r="LA121" s="366" t="n"/>
      <c r="LB121" s="182" t="n"/>
      <c r="LC121" s="364" t="n"/>
      <c r="LD121" s="365">
        <f>C121</f>
        <v/>
      </c>
      <c r="LE121" s="365" t="n">
        <v>441057.7</v>
      </c>
      <c r="LF121" s="365">
        <f>LE122</f>
        <v/>
      </c>
      <c r="LG121" s="388">
        <f>LE121-LF121</f>
        <v/>
      </c>
      <c r="LH121" s="389">
        <f>LG121/LF121</f>
        <v/>
      </c>
      <c r="LI121" s="182" t="n"/>
      <c r="LJ121" s="182" t="n"/>
      <c r="LK121" s="364" t="n"/>
      <c r="LL121" s="365">
        <f>C121</f>
        <v/>
      </c>
      <c r="LM121" s="694" t="n">
        <v>3467275.02</v>
      </c>
      <c r="LN121" s="365">
        <f>LM122</f>
        <v/>
      </c>
      <c r="LO121" s="388">
        <f>LM121-LN121</f>
        <v/>
      </c>
      <c r="LP121" s="389">
        <f>LO121/LN121</f>
        <v/>
      </c>
      <c r="LQ121" s="182" t="n"/>
      <c r="LR121" s="182" t="n"/>
      <c r="LS121" s="364" t="n"/>
      <c r="LT121" s="365">
        <f>C121</f>
        <v/>
      </c>
      <c r="LU121" s="365" t="n">
        <v>2441062.904</v>
      </c>
      <c r="LV121" s="365">
        <f>LU122</f>
        <v/>
      </c>
      <c r="LW121" s="388">
        <f>LU121-LV121</f>
        <v/>
      </c>
      <c r="LX121" s="389">
        <f>LW121/LV121</f>
        <v/>
      </c>
      <c r="LY121" s="182" t="n"/>
      <c r="LZ121" s="182" t="n"/>
      <c r="MA121" s="364" t="n"/>
      <c r="MB121" s="365">
        <f>C121</f>
        <v/>
      </c>
      <c r="MC121" s="365" t="n">
        <v>926817.6899999999</v>
      </c>
      <c r="MD121" s="365">
        <f>MC122</f>
        <v/>
      </c>
      <c r="ME121" s="388">
        <f>MC121-MD121</f>
        <v/>
      </c>
      <c r="MF121" s="389">
        <f>ME121/MD121</f>
        <v/>
      </c>
      <c r="MG121" s="182" t="n"/>
      <c r="MH121" s="182" t="n"/>
      <c r="MI121" s="319" t="n"/>
      <c r="MJ121" s="318" t="n"/>
      <c r="MK121" s="318">
        <f>C121</f>
        <v/>
      </c>
      <c r="ML121" s="318" t="n">
        <v>175545.5354</v>
      </c>
      <c r="MM121" s="13">
        <f>ML122</f>
        <v/>
      </c>
      <c r="MN121" s="318">
        <f>ML121-MM121</f>
        <v/>
      </c>
      <c r="MO121" s="327">
        <f>MN121/MM121</f>
        <v/>
      </c>
      <c r="MP121" s="182" t="n"/>
      <c r="MQ121" s="369" t="n"/>
      <c r="MR121" s="369" t="n"/>
      <c r="MS121" s="366" t="n"/>
      <c r="MT121" s="25">
        <f>C121</f>
        <v/>
      </c>
      <c r="MU121" s="0" t="n">
        <v>162914.8</v>
      </c>
      <c r="MV121" s="0">
        <f>MU122</f>
        <v/>
      </c>
      <c r="MW121" s="0">
        <f>MU121-MV121</f>
        <v/>
      </c>
      <c r="MX121" s="182">
        <f>MW121/MV121</f>
        <v/>
      </c>
      <c r="MY121" s="182" t="n"/>
      <c r="MZ121" s="182" t="n"/>
      <c r="NA121" s="182" t="n"/>
      <c r="NB121" s="182" t="n"/>
      <c r="NC121" s="9">
        <f>C121</f>
        <v/>
      </c>
      <c r="ND121" s="0" t="n">
        <v>41291.48</v>
      </c>
      <c r="NE121" s="0">
        <f>ND122</f>
        <v/>
      </c>
      <c r="NF121" s="0">
        <f>ND121-NE121</f>
        <v/>
      </c>
      <c r="NG121" s="182">
        <f>NF121/NE121</f>
        <v/>
      </c>
      <c r="NH121" s="182" t="n"/>
      <c r="NI121" s="182" t="n"/>
      <c r="NJ121" s="182" t="n"/>
      <c r="NK121" s="182" t="n"/>
      <c r="NL121" s="9" t="n"/>
      <c r="NM121" s="9">
        <f>C121</f>
        <v/>
      </c>
      <c r="NN121" s="0" t="n">
        <v>2736111.08</v>
      </c>
      <c r="NO121" s="0">
        <f>NN122</f>
        <v/>
      </c>
      <c r="NP121" s="0">
        <f>NN121-NO121</f>
        <v/>
      </c>
      <c r="NQ121" s="182">
        <f>NP121/NO121</f>
        <v/>
      </c>
      <c r="NR121" s="182" t="n"/>
      <c r="NS121" s="9" t="n"/>
      <c r="NU121" s="9">
        <f>C121</f>
        <v/>
      </c>
      <c r="NV121" s="364" t="n">
        <v>258176.5</v>
      </c>
      <c r="NW121" s="364">
        <f>NV122</f>
        <v/>
      </c>
      <c r="NX121" s="364">
        <f>NV121-NW121</f>
        <v/>
      </c>
      <c r="NY121" s="366">
        <f>NX121/NW121</f>
        <v/>
      </c>
      <c r="NZ121" s="366" t="n"/>
      <c r="OA121" s="364" t="n"/>
      <c r="OB121" s="364" t="n"/>
      <c r="OC121" s="365">
        <f>C121</f>
        <v/>
      </c>
      <c r="OD121" s="365" t="n">
        <v>15501.97</v>
      </c>
      <c r="OE121" s="365">
        <f>OD122</f>
        <v/>
      </c>
      <c r="OF121" s="390">
        <f>OD121-OE121</f>
        <v/>
      </c>
      <c r="OG121" s="391">
        <f>OF121/OE121</f>
        <v/>
      </c>
      <c r="OH121" s="182" t="n"/>
      <c r="OI121" s="182" t="n"/>
      <c r="OJ121" s="364" t="n"/>
      <c r="OK121" s="365">
        <f>C121</f>
        <v/>
      </c>
      <c r="OL121" s="0" t="n">
        <v>14460.65</v>
      </c>
      <c r="OM121" s="0">
        <f>OL122</f>
        <v/>
      </c>
      <c r="ON121" s="0">
        <f>OL121-OM121</f>
        <v/>
      </c>
      <c r="OO121" s="182">
        <f>ON121/OM121</f>
        <v/>
      </c>
      <c r="OP121" s="182" t="n"/>
      <c r="OQ121" s="182" t="n"/>
      <c r="OT121" s="25">
        <f>OK121</f>
        <v/>
      </c>
      <c r="OU121" s="199" t="n">
        <v>147912.4066</v>
      </c>
      <c r="OV121" s="9">
        <f>OU122</f>
        <v/>
      </c>
      <c r="OW121" s="671">
        <f>OU121-OV121</f>
        <v/>
      </c>
      <c r="OX121" s="182">
        <f>OW121/OV121</f>
        <v/>
      </c>
    </row>
    <row r="122" ht="17" customFormat="1" customHeight="1" s="9">
      <c r="A122" s="631" t="n"/>
      <c r="B122" s="631" t="n"/>
      <c r="C122" s="693" t="inlineStr">
        <is>
          <t>2026//5/22</t>
        </is>
      </c>
      <c r="D122" s="362" t="n">
        <v>2979588.77</v>
      </c>
      <c r="E122" s="362">
        <f>D123</f>
        <v/>
      </c>
      <c r="F122" s="377">
        <f>D122-E122</f>
        <v/>
      </c>
      <c r="G122" s="378">
        <f>F122/E122</f>
        <v/>
      </c>
      <c r="H122" s="19" t="n"/>
      <c r="I122" s="426" t="n"/>
      <c r="J122" s="426" t="n"/>
      <c r="K122" s="362">
        <f>C122</f>
        <v/>
      </c>
      <c r="L122" s="362" t="n">
        <v>2397394.4</v>
      </c>
      <c r="M122" s="362">
        <f>L123</f>
        <v/>
      </c>
      <c r="N122" s="377">
        <f>L122-M122</f>
        <v/>
      </c>
      <c r="O122" s="378">
        <f>N122/M122</f>
        <v/>
      </c>
      <c r="P122" s="19" t="n"/>
      <c r="Q122" s="426" t="n"/>
      <c r="R122" s="427" t="n"/>
      <c r="S122" s="362">
        <f>C122</f>
        <v/>
      </c>
      <c r="T122" s="362" t="n">
        <v>959106.6800000001</v>
      </c>
      <c r="U122" s="362">
        <f>T123</f>
        <v/>
      </c>
      <c r="V122" s="377">
        <f>T122-U122</f>
        <v/>
      </c>
      <c r="W122" s="378">
        <f>V122/U122</f>
        <v/>
      </c>
      <c r="X122" s="19" t="n"/>
      <c r="Y122" s="426" t="n"/>
      <c r="Z122" s="427" t="n"/>
      <c r="AA122" s="362">
        <f>S122</f>
        <v/>
      </c>
      <c r="AB122" s="362" t="n">
        <v>478216.86</v>
      </c>
      <c r="AC122" s="362">
        <f>AB123</f>
        <v/>
      </c>
      <c r="AD122" s="377">
        <f>AB122-AC122</f>
        <v/>
      </c>
      <c r="AE122" s="378">
        <f>AD122/AC122</f>
        <v/>
      </c>
      <c r="AF122" s="19" t="n"/>
      <c r="AG122" s="426" t="n"/>
      <c r="AH122" s="427" t="n"/>
      <c r="AI122" s="362">
        <f>C122</f>
        <v/>
      </c>
      <c r="AJ122" s="362" t="n">
        <v>352321.76</v>
      </c>
      <c r="AK122" s="362">
        <f>AJ123</f>
        <v/>
      </c>
      <c r="AL122" s="377">
        <f>AJ122-AK122</f>
        <v/>
      </c>
      <c r="AM122" s="378">
        <f>AL122/AK122</f>
        <v/>
      </c>
      <c r="AN122" s="19" t="n"/>
      <c r="AO122" s="19" t="n"/>
      <c r="AP122" s="427" t="n"/>
      <c r="AQ122" s="362">
        <f>C122</f>
        <v/>
      </c>
      <c r="AR122" s="697" t="n">
        <v>1141345.4936</v>
      </c>
      <c r="AS122" s="362">
        <f>AR123</f>
        <v/>
      </c>
      <c r="AT122" s="377">
        <f>AR122-AS122</f>
        <v/>
      </c>
      <c r="AU122" s="378">
        <f>AT122/AS122</f>
        <v/>
      </c>
      <c r="AV122" s="19" t="n"/>
      <c r="AW122" s="19" t="n"/>
      <c r="AX122" s="5" t="n"/>
      <c r="AY122" s="5" t="n"/>
      <c r="AZ122" s="5">
        <f>C122</f>
        <v/>
      </c>
      <c r="BA122" s="5" t="n">
        <v>1390881.6676</v>
      </c>
      <c r="BB122" s="5">
        <f>BA123</f>
        <v/>
      </c>
      <c r="BC122" s="5">
        <f>BA122-BB122</f>
        <v/>
      </c>
      <c r="BD122" s="19">
        <f>BC122/BB122</f>
        <v/>
      </c>
      <c r="BE122" s="19" t="n"/>
      <c r="BF122" s="19" t="n"/>
      <c r="BG122" s="647" t="n"/>
      <c r="BH122" s="363">
        <f>C122</f>
        <v/>
      </c>
      <c r="BI122" s="363" t="n">
        <v>1488826.5525</v>
      </c>
      <c r="BJ122" s="363">
        <f>BI123</f>
        <v/>
      </c>
      <c r="BK122" s="395">
        <f>BI122-BJ122</f>
        <v/>
      </c>
      <c r="BL122" s="396">
        <f>BK122/BJ122</f>
        <v/>
      </c>
      <c r="BM122" s="191" t="n"/>
      <c r="BN122" s="182" t="n"/>
      <c r="BO122" s="364" t="n"/>
      <c r="BP122" s="365">
        <f>C122</f>
        <v/>
      </c>
      <c r="BQ122" s="694" t="n">
        <v>1108462.3921</v>
      </c>
      <c r="BR122" s="365">
        <f>BQ123</f>
        <v/>
      </c>
      <c r="BS122" s="390">
        <f>BQ122-BR122</f>
        <v/>
      </c>
      <c r="BT122" s="391">
        <f>BS122/BR122</f>
        <v/>
      </c>
      <c r="BU122" s="182" t="n"/>
      <c r="BV122" s="182" t="n"/>
      <c r="BW122" s="364" t="n"/>
      <c r="BX122" s="365">
        <f>C122</f>
        <v/>
      </c>
      <c r="BY122" s="365" t="n">
        <v>2396510.7019</v>
      </c>
      <c r="BZ122" s="365">
        <f>BY123</f>
        <v/>
      </c>
      <c r="CA122" s="388">
        <f>BY122-BZ122</f>
        <v/>
      </c>
      <c r="CB122" s="389">
        <f>CA122/BZ122</f>
        <v/>
      </c>
      <c r="CC122" s="182" t="n"/>
      <c r="CD122" s="383" t="n"/>
      <c r="CE122" s="364" t="n"/>
      <c r="CF122" s="365">
        <f>C122</f>
        <v/>
      </c>
      <c r="CG122" s="365" t="n">
        <v>1274003.9</v>
      </c>
      <c r="CH122" s="13">
        <f>CG123</f>
        <v/>
      </c>
      <c r="CI122" s="13">
        <f>CG122-CH122</f>
        <v/>
      </c>
      <c r="CJ122" s="193">
        <f>CI122/CH122</f>
        <v/>
      </c>
      <c r="CK122" s="182" t="n"/>
      <c r="CL122" s="366" t="n"/>
      <c r="CM122" s="364" t="n"/>
      <c r="CN122" s="365">
        <f>C122</f>
        <v/>
      </c>
      <c r="CO122" s="365" t="n">
        <v>589046.48</v>
      </c>
      <c r="CP122" s="365">
        <f>CO123</f>
        <v/>
      </c>
      <c r="CQ122" s="13">
        <f>CO122-CP122</f>
        <v/>
      </c>
      <c r="CR122" s="193">
        <f>CQ122/CP122</f>
        <v/>
      </c>
      <c r="CS122" s="366">
        <f>(CO122-CO127)/CO127</f>
        <v/>
      </c>
      <c r="CT122" s="366" t="n"/>
      <c r="CU122" s="364" t="n"/>
      <c r="CV122" s="365">
        <f>C122</f>
        <v/>
      </c>
      <c r="CW122" s="365" t="n">
        <v>584240.4</v>
      </c>
      <c r="CX122" s="365">
        <f>CW123</f>
        <v/>
      </c>
      <c r="CY122" s="388">
        <f>CW122-CX122</f>
        <v/>
      </c>
      <c r="CZ122" s="389">
        <f>CY122/CX122</f>
        <v/>
      </c>
      <c r="DA122" s="182" t="n"/>
      <c r="DB122" s="182" t="n"/>
      <c r="DC122" s="256" t="n"/>
      <c r="DD122" s="365">
        <f>C122</f>
        <v/>
      </c>
      <c r="DE122" s="365" t="n">
        <v>2088117.9986</v>
      </c>
      <c r="DF122" s="13">
        <f>DE123</f>
        <v/>
      </c>
      <c r="DG122" s="390">
        <f>DE122-DF122</f>
        <v/>
      </c>
      <c r="DH122" s="391">
        <f>DG122/DF122</f>
        <v/>
      </c>
      <c r="DI122" s="182" t="n"/>
      <c r="DJ122" s="182" t="n"/>
      <c r="DK122" s="364" t="n"/>
      <c r="DL122" s="365">
        <f>C122</f>
        <v/>
      </c>
      <c r="DM122" s="365" t="n">
        <v>852500.36</v>
      </c>
      <c r="DN122" s="365">
        <f>DM123</f>
        <v/>
      </c>
      <c r="DO122" s="390">
        <f>DM122-DN122</f>
        <v/>
      </c>
      <c r="DP122" s="391">
        <f>DO122/DN122</f>
        <v/>
      </c>
      <c r="DQ122" s="182" t="n"/>
      <c r="DR122" s="182" t="n"/>
      <c r="DS122" s="364" t="n"/>
      <c r="DT122" s="365">
        <f>C122</f>
        <v/>
      </c>
      <c r="DU122" s="365" t="n">
        <v>1264589.48</v>
      </c>
      <c r="DV122" s="365">
        <f>DU123</f>
        <v/>
      </c>
      <c r="DW122" s="388">
        <f>DU122-DV122</f>
        <v/>
      </c>
      <c r="DX122" s="389">
        <f>DW122/DV122</f>
        <v/>
      </c>
      <c r="DY122" s="182" t="n"/>
      <c r="DZ122" s="182" t="n"/>
      <c r="EA122" s="364" t="n"/>
      <c r="EB122" s="365">
        <f>C122</f>
        <v/>
      </c>
      <c r="EC122" s="365" t="n">
        <v>3449066.82</v>
      </c>
      <c r="ED122" s="365">
        <f>EC123</f>
        <v/>
      </c>
      <c r="EE122" s="390">
        <f>EC122-ED122</f>
        <v/>
      </c>
      <c r="EF122" s="391">
        <f>EE122/ED122</f>
        <v/>
      </c>
      <c r="EG122" s="182" t="n"/>
      <c r="EH122" s="182" t="n"/>
      <c r="EI122" s="364" t="n"/>
      <c r="EJ122" s="365">
        <f>C122</f>
        <v/>
      </c>
      <c r="EK122" s="365" t="n">
        <v>1232122.9669</v>
      </c>
      <c r="EL122" s="365">
        <f>EK123</f>
        <v/>
      </c>
      <c r="EM122" s="390">
        <f>EK122-EL122</f>
        <v/>
      </c>
      <c r="EN122" s="391">
        <f>EM122/EL122</f>
        <v/>
      </c>
      <c r="EO122" s="182" t="n"/>
      <c r="EP122" s="182" t="n"/>
      <c r="EQ122" s="317" t="n"/>
      <c r="ER122" s="318">
        <f>C122</f>
        <v/>
      </c>
      <c r="ES122" s="318" t="n">
        <v>405947.02</v>
      </c>
      <c r="ET122" s="318">
        <f>ES123</f>
        <v/>
      </c>
      <c r="EU122" s="318">
        <f>ES122-ET122</f>
        <v/>
      </c>
      <c r="EV122" s="327">
        <f>EU122/ET122</f>
        <v/>
      </c>
      <c r="EW122" s="182" t="n"/>
      <c r="EX122" s="182" t="n"/>
      <c r="EY122" s="364" t="n"/>
      <c r="EZ122" s="365">
        <f>C122</f>
        <v/>
      </c>
      <c r="FA122" s="365" t="n">
        <v>615408</v>
      </c>
      <c r="FB122" s="365">
        <f>FA123</f>
        <v/>
      </c>
      <c r="FC122" s="388">
        <f>FA122-FB122</f>
        <v/>
      </c>
      <c r="FD122" s="389">
        <f>FC122/FB122</f>
        <v/>
      </c>
      <c r="FE122" s="182" t="n"/>
      <c r="FF122" s="182" t="n"/>
      <c r="FG122" s="182" t="n"/>
      <c r="FH122" s="365">
        <f>C122</f>
        <v/>
      </c>
      <c r="FI122" s="694" t="n">
        <v>1218795.3365</v>
      </c>
      <c r="FJ122" s="365">
        <f>FI123</f>
        <v/>
      </c>
      <c r="FK122" s="325">
        <f>FI122-FJ122</f>
        <v/>
      </c>
      <c r="FL122" s="326">
        <f>FK122/FJ122</f>
        <v/>
      </c>
      <c r="FM122" s="366" t="n"/>
      <c r="FN122" s="366" t="n"/>
      <c r="FO122" s="364" t="n"/>
      <c r="FP122" s="365">
        <f>C122</f>
        <v/>
      </c>
      <c r="FQ122" s="365" t="n">
        <v>1706218.73</v>
      </c>
      <c r="FR122" s="365">
        <f>FQ123</f>
        <v/>
      </c>
      <c r="FS122" s="390">
        <f>FQ122-FR122</f>
        <v/>
      </c>
      <c r="FT122" s="391">
        <f>FS122/FR122</f>
        <v/>
      </c>
      <c r="FU122" s="182" t="n"/>
      <c r="FV122" s="182" t="n"/>
      <c r="FW122" s="364" t="n"/>
      <c r="FX122" s="365">
        <f>C122</f>
        <v/>
      </c>
      <c r="FY122" s="365" t="n">
        <v>8213282.05</v>
      </c>
      <c r="FZ122" s="365">
        <f>FY123</f>
        <v/>
      </c>
      <c r="GA122" s="390">
        <f>FY122-FZ122</f>
        <v/>
      </c>
      <c r="GB122" s="391">
        <f>GA122/FZ122</f>
        <v/>
      </c>
      <c r="GC122" s="182" t="n"/>
      <c r="GD122" s="182" t="n"/>
      <c r="GE122" s="364" t="n"/>
      <c r="GF122" s="365">
        <f>C122</f>
        <v/>
      </c>
      <c r="GG122" s="365" t="n">
        <v>4793569.49</v>
      </c>
      <c r="GH122" s="365">
        <f>GG123</f>
        <v/>
      </c>
      <c r="GI122" s="390">
        <f>GG122-GH122</f>
        <v/>
      </c>
      <c r="GJ122" s="391">
        <f>GI122/GH122</f>
        <v/>
      </c>
      <c r="GK122" s="182" t="n"/>
      <c r="GL122" s="182" t="n"/>
      <c r="GM122" s="364" t="n"/>
      <c r="GN122" s="365">
        <f>C122</f>
        <v/>
      </c>
      <c r="GO122" s="365" t="n">
        <v>1915798.1217</v>
      </c>
      <c r="GP122" s="365">
        <f>GO123</f>
        <v/>
      </c>
      <c r="GQ122" s="390">
        <f>GO122-GP122</f>
        <v/>
      </c>
      <c r="GR122" s="391">
        <f>GQ122/GP122</f>
        <v/>
      </c>
      <c r="GS122" s="182" t="n"/>
      <c r="GT122" s="182" t="n"/>
      <c r="GU122" s="364" t="n"/>
      <c r="GV122" s="365">
        <f>C122</f>
        <v/>
      </c>
      <c r="GW122" s="365" t="n">
        <v>816349.4</v>
      </c>
      <c r="GX122" s="365">
        <f>GW123</f>
        <v/>
      </c>
      <c r="GY122" s="390">
        <f>GW122-GX122</f>
        <v/>
      </c>
      <c r="GZ122" s="391">
        <f>GY122/GX122</f>
        <v/>
      </c>
      <c r="HA122" s="182" t="n"/>
      <c r="HB122" s="182" t="n"/>
      <c r="HC122" s="364" t="n"/>
      <c r="HD122" s="365">
        <f>C122</f>
        <v/>
      </c>
      <c r="HE122" s="365" t="n">
        <v>1219564.6746</v>
      </c>
      <c r="HF122" s="365">
        <f>HE123</f>
        <v/>
      </c>
      <c r="HG122" s="388">
        <f>HE122-HF122</f>
        <v/>
      </c>
      <c r="HH122" s="389">
        <f>HG122/HF122</f>
        <v/>
      </c>
      <c r="HI122" s="366" t="n"/>
      <c r="HJ122" s="182" t="n"/>
      <c r="HK122" s="364" t="n"/>
      <c r="HL122" s="365">
        <f>C122</f>
        <v/>
      </c>
      <c r="HM122" s="365" t="n">
        <v>128304.25</v>
      </c>
      <c r="HN122" s="365">
        <f>HM123</f>
        <v/>
      </c>
      <c r="HO122" s="388">
        <f>HM122-HN122</f>
        <v/>
      </c>
      <c r="HP122" s="389">
        <f>HO122/HN122</f>
        <v/>
      </c>
      <c r="HQ122" s="182" t="n"/>
      <c r="HR122" s="182" t="n"/>
      <c r="HS122" s="364" t="n"/>
      <c r="HT122" s="365">
        <f>C122</f>
        <v/>
      </c>
      <c r="HU122" s="365" t="n">
        <v>187368.8265</v>
      </c>
      <c r="HV122" s="365">
        <f>HU123</f>
        <v/>
      </c>
      <c r="HW122" s="388">
        <f>HU122-HV122</f>
        <v/>
      </c>
      <c r="HX122" s="389">
        <f>HW122/HV122</f>
        <v/>
      </c>
      <c r="HY122" s="182" t="n"/>
      <c r="HZ122" s="182" t="n"/>
      <c r="IA122" s="364" t="n"/>
      <c r="IB122" s="365">
        <f>C122</f>
        <v/>
      </c>
      <c r="IC122" s="365" t="n">
        <v>355609.79</v>
      </c>
      <c r="ID122" s="365">
        <f>IC123</f>
        <v/>
      </c>
      <c r="IE122" s="365">
        <f>IC122-ID122</f>
        <v/>
      </c>
      <c r="IF122" s="366">
        <f>IE122/ID122</f>
        <v/>
      </c>
      <c r="IG122" s="366" t="n"/>
      <c r="IH122" s="182" t="n"/>
      <c r="II122" s="364" t="n"/>
      <c r="IJ122" s="365">
        <f>C122</f>
        <v/>
      </c>
      <c r="IK122" s="365" t="n">
        <v>702796.29</v>
      </c>
      <c r="IL122" s="365">
        <f>IK123</f>
        <v/>
      </c>
      <c r="IM122" s="388">
        <f>IK122-IL122</f>
        <v/>
      </c>
      <c r="IN122" s="389">
        <f>IM122/IL122</f>
        <v/>
      </c>
      <c r="IO122" s="182" t="n"/>
      <c r="IP122" s="182" t="n"/>
      <c r="IQ122" s="364" t="n"/>
      <c r="IR122" s="365">
        <f>C122</f>
        <v/>
      </c>
      <c r="IS122" s="365" t="n">
        <v>136189</v>
      </c>
      <c r="IT122" s="365">
        <f>IS123</f>
        <v/>
      </c>
      <c r="IU122" s="384">
        <f>IS122-IT122</f>
        <v/>
      </c>
      <c r="IV122" s="383">
        <f>IU122/IT122</f>
        <v/>
      </c>
      <c r="IW122" s="182" t="n"/>
      <c r="IX122" s="182" t="n"/>
      <c r="IY122" s="364" t="n"/>
      <c r="IZ122" s="365">
        <f>C122</f>
        <v/>
      </c>
      <c r="JA122" s="365" t="n">
        <v>5233229.15</v>
      </c>
      <c r="JB122" s="365">
        <f>JA123</f>
        <v/>
      </c>
      <c r="JC122" s="390">
        <f>JA122-JB122</f>
        <v/>
      </c>
      <c r="JD122" s="391">
        <f>JC122/JB122</f>
        <v/>
      </c>
      <c r="JE122" s="182" t="n"/>
      <c r="JF122" s="182" t="n"/>
      <c r="JG122" s="364" t="n"/>
      <c r="JH122" s="365">
        <f>C122</f>
        <v/>
      </c>
      <c r="JI122" s="365" t="n">
        <v>1345707.99</v>
      </c>
      <c r="JJ122" s="365">
        <f>JI123</f>
        <v/>
      </c>
      <c r="JK122" s="388">
        <f>JI122-JJ122</f>
        <v/>
      </c>
      <c r="JL122" s="389">
        <f>JK122/JJ122</f>
        <v/>
      </c>
      <c r="JM122" s="182" t="n"/>
      <c r="JN122" s="182" t="n"/>
      <c r="JO122" s="182" t="n"/>
      <c r="JP122" s="365">
        <f>C122</f>
        <v/>
      </c>
      <c r="JQ122" s="365" t="n">
        <v>1049790.4148</v>
      </c>
      <c r="JR122" s="365">
        <f>JQ123</f>
        <v/>
      </c>
      <c r="JS122" s="390">
        <f>JQ122-JR122</f>
        <v/>
      </c>
      <c r="JT122" s="391">
        <f>JS122/JR122</f>
        <v/>
      </c>
      <c r="JU122" s="182" t="n"/>
      <c r="JV122" s="182" t="n"/>
      <c r="JW122" s="383" t="n"/>
      <c r="JX122" s="365">
        <f>C122</f>
        <v/>
      </c>
      <c r="JY122" s="365" t="n">
        <v>1151898.8</v>
      </c>
      <c r="JZ122" s="365">
        <f>JY123</f>
        <v/>
      </c>
      <c r="KA122" s="390">
        <f>JY122-JZ122</f>
        <v/>
      </c>
      <c r="KB122" s="391">
        <f>KA122/JZ122</f>
        <v/>
      </c>
      <c r="KC122" s="182" t="n"/>
      <c r="KD122" s="182" t="n"/>
      <c r="KE122" s="383" t="n"/>
      <c r="KF122" s="365">
        <f>C122</f>
        <v/>
      </c>
      <c r="KG122" s="365" t="n">
        <v>694955.9219</v>
      </c>
      <c r="KH122" s="365">
        <f>KG123</f>
        <v/>
      </c>
      <c r="KI122" s="384">
        <f>KG122-KH122</f>
        <v/>
      </c>
      <c r="KJ122" s="383">
        <f>KI122/KH122</f>
        <v/>
      </c>
      <c r="KK122" s="366" t="n"/>
      <c r="KL122" s="366" t="n"/>
      <c r="KM122" s="364" t="n"/>
      <c r="KN122" s="365">
        <f>C122</f>
        <v/>
      </c>
      <c r="KO122" s="365" t="n">
        <v>8282575.95</v>
      </c>
      <c r="KP122" s="365">
        <f>KO123</f>
        <v/>
      </c>
      <c r="KQ122" s="390">
        <f>KO122-KP122</f>
        <v/>
      </c>
      <c r="KR122" s="391">
        <f>KQ122/KP122</f>
        <v/>
      </c>
      <c r="KS122" s="182" t="n"/>
      <c r="KT122" s="182" t="n"/>
      <c r="KU122" s="364" t="n"/>
      <c r="KV122" s="365">
        <f>C122</f>
        <v/>
      </c>
      <c r="KW122" s="365" t="n">
        <v>1100672.9726</v>
      </c>
      <c r="KX122" s="365">
        <f>KW123</f>
        <v/>
      </c>
      <c r="KY122" s="365">
        <f>KW122-KX122</f>
        <v/>
      </c>
      <c r="KZ122" s="366">
        <f>KY122/KX122</f>
        <v/>
      </c>
      <c r="LA122" s="366" t="n"/>
      <c r="LB122" s="182" t="n"/>
      <c r="LC122" s="364" t="n"/>
      <c r="LD122" s="365">
        <f>C122</f>
        <v/>
      </c>
      <c r="LE122" s="365" t="n">
        <v>445507.7</v>
      </c>
      <c r="LF122" s="365">
        <f>LE123</f>
        <v/>
      </c>
      <c r="LG122" s="388">
        <f>LE122-LF122</f>
        <v/>
      </c>
      <c r="LH122" s="389">
        <f>LG122/LF122</f>
        <v/>
      </c>
      <c r="LI122" s="182" t="n"/>
      <c r="LJ122" s="182" t="n"/>
      <c r="LK122" s="364" t="n"/>
      <c r="LL122" s="365">
        <f>C122</f>
        <v/>
      </c>
      <c r="LM122" s="694" t="n">
        <v>3511195.02</v>
      </c>
      <c r="LN122" s="365">
        <f>LM123</f>
        <v/>
      </c>
      <c r="LO122" s="390">
        <f>LM122-LN122</f>
        <v/>
      </c>
      <c r="LP122" s="391">
        <f>LO122/LN122</f>
        <v/>
      </c>
      <c r="LQ122" s="182" t="n"/>
      <c r="LR122" s="182" t="n"/>
      <c r="LS122" s="364" t="n"/>
      <c r="LT122" s="365">
        <f>C122</f>
        <v/>
      </c>
      <c r="LU122" s="365" t="n">
        <v>2462862.904</v>
      </c>
      <c r="LV122" s="365">
        <f>LU123</f>
        <v/>
      </c>
      <c r="LW122" s="390">
        <f>LU122-LV122</f>
        <v/>
      </c>
      <c r="LX122" s="391">
        <f>LW122/LV122</f>
        <v/>
      </c>
      <c r="LY122" s="182" t="n"/>
      <c r="LZ122" s="182" t="n"/>
      <c r="MA122" s="364" t="n"/>
      <c r="MB122" s="365">
        <f>C122</f>
        <v/>
      </c>
      <c r="MC122" s="365" t="n">
        <v>922667.6899999999</v>
      </c>
      <c r="MD122" s="365">
        <f>MC123</f>
        <v/>
      </c>
      <c r="ME122" s="388">
        <f>MC122-MD122</f>
        <v/>
      </c>
      <c r="MF122" s="389">
        <f>ME122/MD122</f>
        <v/>
      </c>
      <c r="MG122" s="182" t="n"/>
      <c r="MH122" s="182" t="n"/>
      <c r="MI122" s="319" t="n"/>
      <c r="MJ122" s="318" t="n"/>
      <c r="MK122" s="318">
        <f>C122</f>
        <v/>
      </c>
      <c r="ML122" s="318" t="n">
        <v>175905.5354</v>
      </c>
      <c r="MM122" s="13">
        <f>ML123</f>
        <v/>
      </c>
      <c r="MN122" s="318">
        <f>ML122-MM122</f>
        <v/>
      </c>
      <c r="MO122" s="327">
        <f>MN122/MM122</f>
        <v/>
      </c>
      <c r="MP122" s="182" t="n"/>
      <c r="MQ122" s="369" t="n"/>
      <c r="MR122" s="369" t="n"/>
      <c r="MS122" s="366" t="n"/>
      <c r="MT122" s="25">
        <f>C122</f>
        <v/>
      </c>
      <c r="MU122" s="0" t="n">
        <v>168714.8</v>
      </c>
      <c r="MV122" s="0">
        <f>MU123</f>
        <v/>
      </c>
      <c r="MW122" s="0">
        <f>MU122-MV122</f>
        <v/>
      </c>
      <c r="MX122" s="182">
        <f>MW122/MV122</f>
        <v/>
      </c>
      <c r="MY122" s="182" t="n"/>
      <c r="MZ122" s="182" t="n"/>
      <c r="NA122" s="182" t="n"/>
      <c r="NB122" s="182" t="n"/>
      <c r="NC122" s="9">
        <f>C122</f>
        <v/>
      </c>
      <c r="ND122" s="0" t="n">
        <v>41291.48</v>
      </c>
      <c r="NE122" s="0">
        <f>ND123</f>
        <v/>
      </c>
      <c r="NF122" s="0">
        <f>ND122-NE122</f>
        <v/>
      </c>
      <c r="NG122" s="182">
        <f>NF122/NE122</f>
        <v/>
      </c>
      <c r="NH122" s="182" t="n"/>
      <c r="NI122" s="182" t="n"/>
      <c r="NJ122" s="182" t="n"/>
      <c r="NK122" s="182" t="n"/>
      <c r="NL122" s="9" t="n"/>
      <c r="NM122" s="9">
        <f>C122</f>
        <v/>
      </c>
      <c r="NN122" s="0" t="n">
        <v>2727911.08</v>
      </c>
      <c r="NO122" s="0">
        <f>NN123</f>
        <v/>
      </c>
      <c r="NP122" s="0">
        <f>NN122-NO122</f>
        <v/>
      </c>
      <c r="NQ122" s="182">
        <f>NP122/NO122</f>
        <v/>
      </c>
      <c r="NR122" s="182" t="n"/>
      <c r="NS122" s="9" t="n"/>
      <c r="NU122" s="9">
        <f>C122</f>
        <v/>
      </c>
      <c r="NV122" s="364" t="n">
        <v>258476.5</v>
      </c>
      <c r="NW122" s="364">
        <f>NV123</f>
        <v/>
      </c>
      <c r="NX122" s="364">
        <f>NV122-NW122</f>
        <v/>
      </c>
      <c r="NY122" s="366">
        <f>NX122/NW122</f>
        <v/>
      </c>
      <c r="NZ122" s="366" t="n"/>
      <c r="OA122" s="364" t="n"/>
      <c r="OB122" s="364" t="n"/>
      <c r="OC122" s="365">
        <f>C122</f>
        <v/>
      </c>
      <c r="OD122" s="365" t="n">
        <v>15324.97</v>
      </c>
      <c r="OE122" s="365">
        <f>OD123</f>
        <v/>
      </c>
      <c r="OF122" s="388">
        <f>OD122-OE122</f>
        <v/>
      </c>
      <c r="OG122" s="389">
        <f>OF122/OE122</f>
        <v/>
      </c>
      <c r="OH122" s="182" t="n"/>
      <c r="OI122" s="182" t="n"/>
      <c r="OJ122" s="364" t="n"/>
      <c r="OK122" s="365">
        <f>C122</f>
        <v/>
      </c>
      <c r="OL122" s="0" t="n">
        <v>14463.65</v>
      </c>
      <c r="OM122" s="0">
        <f>OL123</f>
        <v/>
      </c>
      <c r="ON122" s="0">
        <f>OL122-OM122</f>
        <v/>
      </c>
      <c r="OO122" s="182">
        <f>ON122/OM122</f>
        <v/>
      </c>
      <c r="OP122" s="182" t="n"/>
      <c r="OQ122" s="182" t="n"/>
      <c r="OT122" s="25">
        <f>OK122</f>
        <v/>
      </c>
      <c r="OU122" s="199" t="n">
        <v>147792.4066</v>
      </c>
      <c r="OV122" s="9">
        <f>OU123</f>
        <v/>
      </c>
      <c r="OW122" s="671">
        <f>OU122-OV122</f>
        <v/>
      </c>
      <c r="OX122" s="182">
        <f>OW122/OV122</f>
        <v/>
      </c>
    </row>
    <row r="123" ht="17" customFormat="1" customHeight="1" s="9">
      <c r="A123" s="631" t="n"/>
      <c r="B123" s="631" t="n"/>
      <c r="C123" s="693" t="inlineStr">
        <is>
          <t>2026//5/21</t>
        </is>
      </c>
      <c r="D123" s="362" t="n">
        <v>3049428.77</v>
      </c>
      <c r="E123" s="362">
        <f>D124</f>
        <v/>
      </c>
      <c r="F123" s="377">
        <f>D123-E123</f>
        <v/>
      </c>
      <c r="G123" s="378">
        <f>F123/E123</f>
        <v/>
      </c>
      <c r="H123" s="19" t="n"/>
      <c r="I123" s="426" t="n"/>
      <c r="J123" s="426" t="n"/>
      <c r="K123" s="362">
        <f>C123</f>
        <v/>
      </c>
      <c r="L123" s="362" t="n">
        <v>2444644.4</v>
      </c>
      <c r="M123" s="362">
        <f>L124</f>
        <v/>
      </c>
      <c r="N123" s="377">
        <f>L123-M123</f>
        <v/>
      </c>
      <c r="O123" s="378">
        <f>N123/M123</f>
        <v/>
      </c>
      <c r="P123" s="19" t="n"/>
      <c r="Q123" s="426" t="n"/>
      <c r="R123" s="427" t="n"/>
      <c r="S123" s="362">
        <f>C123</f>
        <v/>
      </c>
      <c r="T123" s="362" t="n">
        <v>979626.6800000001</v>
      </c>
      <c r="U123" s="362">
        <f>T124</f>
        <v/>
      </c>
      <c r="V123" s="377">
        <f>T123-U123</f>
        <v/>
      </c>
      <c r="W123" s="378">
        <f>V123/U123</f>
        <v/>
      </c>
      <c r="X123" s="19" t="n"/>
      <c r="Y123" s="426" t="n"/>
      <c r="Z123" s="427" t="n"/>
      <c r="AA123" s="362">
        <f>S123</f>
        <v/>
      </c>
      <c r="AB123" s="362" t="n">
        <v>450536.86</v>
      </c>
      <c r="AC123" s="362">
        <f>AB124</f>
        <v/>
      </c>
      <c r="AD123" s="432">
        <f>AB123-AC123</f>
        <v/>
      </c>
      <c r="AE123" s="433">
        <f>AD123/AC123</f>
        <v/>
      </c>
      <c r="AF123" s="19" t="n"/>
      <c r="AG123" s="426" t="n"/>
      <c r="AH123" s="427" t="n"/>
      <c r="AI123" s="362">
        <f>C123</f>
        <v/>
      </c>
      <c r="AJ123" s="362" t="n">
        <v>341521.76</v>
      </c>
      <c r="AK123" s="362">
        <f>AJ124</f>
        <v/>
      </c>
      <c r="AL123" s="377">
        <f>AJ123-AK123</f>
        <v/>
      </c>
      <c r="AM123" s="378">
        <f>AL123/AK123</f>
        <v/>
      </c>
      <c r="AN123" s="19" t="n"/>
      <c r="AO123" s="19" t="n"/>
      <c r="AP123" s="427" t="n"/>
      <c r="AQ123" s="362">
        <f>C123</f>
        <v/>
      </c>
      <c r="AR123" s="697" t="n">
        <v>1176045.4936</v>
      </c>
      <c r="AS123" s="362">
        <f>AR124</f>
        <v/>
      </c>
      <c r="AT123" s="377">
        <f>AR123-AS123</f>
        <v/>
      </c>
      <c r="AU123" s="378">
        <f>AT123/AS123</f>
        <v/>
      </c>
      <c r="AV123" s="19" t="n"/>
      <c r="AW123" s="19" t="n"/>
      <c r="AX123" s="5" t="n"/>
      <c r="AY123" s="5" t="n"/>
      <c r="AZ123" s="5">
        <f>C123</f>
        <v/>
      </c>
      <c r="BA123" s="5" t="n">
        <v>1408791.6676</v>
      </c>
      <c r="BB123" s="5">
        <f>BA124</f>
        <v/>
      </c>
      <c r="BC123" s="5">
        <f>BA123-BB123</f>
        <v/>
      </c>
      <c r="BD123" s="19">
        <f>BC123/BB123</f>
        <v/>
      </c>
      <c r="BE123" s="19" t="n"/>
      <c r="BF123" s="19" t="n"/>
      <c r="BG123" s="647" t="n"/>
      <c r="BH123" s="363">
        <f>C123</f>
        <v/>
      </c>
      <c r="BI123" s="363" t="n">
        <v>1503026.5525</v>
      </c>
      <c r="BJ123" s="363">
        <f>BI124</f>
        <v/>
      </c>
      <c r="BK123" s="395">
        <f>BI123-BJ123</f>
        <v/>
      </c>
      <c r="BL123" s="396">
        <f>BK123/BJ123</f>
        <v/>
      </c>
      <c r="BM123" s="191" t="n"/>
      <c r="BN123" s="182" t="n"/>
      <c r="BO123" s="364" t="n"/>
      <c r="BP123" s="365">
        <f>C123</f>
        <v/>
      </c>
      <c r="BQ123" s="694" t="n">
        <v>1108562.3921</v>
      </c>
      <c r="BR123" s="365">
        <f>BQ124</f>
        <v/>
      </c>
      <c r="BS123" s="390">
        <f>BQ123-BR123</f>
        <v/>
      </c>
      <c r="BT123" s="391">
        <f>BS123/BR123</f>
        <v/>
      </c>
      <c r="BU123" s="182" t="n"/>
      <c r="BV123" s="182" t="n"/>
      <c r="BW123" s="364" t="n"/>
      <c r="BX123" s="365">
        <f>C123</f>
        <v/>
      </c>
      <c r="BY123" s="365" t="n">
        <v>2427510.7019</v>
      </c>
      <c r="BZ123" s="365">
        <f>BY124</f>
        <v/>
      </c>
      <c r="CA123" s="388">
        <f>BY123-BZ123</f>
        <v/>
      </c>
      <c r="CB123" s="389">
        <f>CA123/BZ123</f>
        <v/>
      </c>
      <c r="CC123" s="182" t="n"/>
      <c r="CD123" s="383" t="n"/>
      <c r="CE123" s="364" t="n"/>
      <c r="CF123" s="365">
        <f>C123</f>
        <v/>
      </c>
      <c r="CG123" s="365" t="n">
        <v>1276153.9</v>
      </c>
      <c r="CH123" s="13">
        <f>CG124</f>
        <v/>
      </c>
      <c r="CI123" s="13">
        <f>CG123-CH123</f>
        <v/>
      </c>
      <c r="CJ123" s="193">
        <f>CI123/CH123</f>
        <v/>
      </c>
      <c r="CK123" s="182" t="n"/>
      <c r="CL123" s="366" t="n"/>
      <c r="CM123" s="364" t="n"/>
      <c r="CN123" s="365">
        <f>C123</f>
        <v/>
      </c>
      <c r="CO123" s="365" t="n">
        <v>588546.48</v>
      </c>
      <c r="CP123" s="365">
        <f>CO124</f>
        <v/>
      </c>
      <c r="CQ123" s="13">
        <f>CO123-CP123</f>
        <v/>
      </c>
      <c r="CR123" s="193">
        <f>CQ123/CP123</f>
        <v/>
      </c>
      <c r="CS123" s="366" t="n"/>
      <c r="CT123" s="366" t="n"/>
      <c r="CU123" s="364" t="n"/>
      <c r="CV123" s="365">
        <f>C123</f>
        <v/>
      </c>
      <c r="CW123" s="365" t="n">
        <v>584240.4</v>
      </c>
      <c r="CX123" s="365">
        <f>CW124</f>
        <v/>
      </c>
      <c r="CY123" s="388">
        <f>CW123-CX123</f>
        <v/>
      </c>
      <c r="CZ123" s="389">
        <f>CY123/CX123</f>
        <v/>
      </c>
      <c r="DA123" s="182" t="n"/>
      <c r="DB123" s="182" t="n"/>
      <c r="DC123" s="256" t="n"/>
      <c r="DD123" s="365">
        <f>C123</f>
        <v/>
      </c>
      <c r="DE123" s="365" t="n">
        <v>2116917.9986</v>
      </c>
      <c r="DF123" s="13">
        <f>DE124</f>
        <v/>
      </c>
      <c r="DG123" s="390">
        <f>DE123-DF123</f>
        <v/>
      </c>
      <c r="DH123" s="391">
        <f>DG123/DF123</f>
        <v/>
      </c>
      <c r="DI123" s="182" t="n"/>
      <c r="DJ123" s="182" t="n"/>
      <c r="DK123" s="364" t="n"/>
      <c r="DL123" s="365">
        <f>C123</f>
        <v/>
      </c>
      <c r="DM123" s="365" t="n">
        <v>865700.36</v>
      </c>
      <c r="DN123" s="365">
        <f>DM124</f>
        <v/>
      </c>
      <c r="DO123" s="388">
        <f>DM123-DN123</f>
        <v/>
      </c>
      <c r="DP123" s="389">
        <f>DO123/DN123</f>
        <v/>
      </c>
      <c r="DQ123" s="182" t="n"/>
      <c r="DR123" s="182" t="n"/>
      <c r="DS123" s="364" t="n"/>
      <c r="DT123" s="365">
        <f>C123</f>
        <v/>
      </c>
      <c r="DU123" s="365" t="n">
        <v>1275389.48</v>
      </c>
      <c r="DV123" s="365">
        <f>DU124</f>
        <v/>
      </c>
      <c r="DW123" s="388">
        <f>DU123-DV123</f>
        <v/>
      </c>
      <c r="DX123" s="389">
        <f>DW123/DV123</f>
        <v/>
      </c>
      <c r="DY123" s="182" t="n"/>
      <c r="DZ123" s="182" t="n"/>
      <c r="EA123" s="364" t="n"/>
      <c r="EB123" s="365">
        <f>C123</f>
        <v/>
      </c>
      <c r="EC123" s="365" t="n">
        <v>3489866.82</v>
      </c>
      <c r="ED123" s="365">
        <f>EC124</f>
        <v/>
      </c>
      <c r="EE123" s="390">
        <f>EC123-ED123</f>
        <v/>
      </c>
      <c r="EF123" s="391">
        <f>EE123/ED123</f>
        <v/>
      </c>
      <c r="EG123" s="182" t="n"/>
      <c r="EH123" s="182" t="n"/>
      <c r="EI123" s="364" t="n"/>
      <c r="EJ123" s="365">
        <f>C123</f>
        <v/>
      </c>
      <c r="EK123" s="365" t="n">
        <v>1239322.9669</v>
      </c>
      <c r="EL123" s="365">
        <f>EK124</f>
        <v/>
      </c>
      <c r="EM123" s="388">
        <f>EK123-EL123</f>
        <v/>
      </c>
      <c r="EN123" s="389">
        <f>EM123/EL123</f>
        <v/>
      </c>
      <c r="EO123" s="182" t="n"/>
      <c r="EP123" s="182" t="n"/>
      <c r="EQ123" s="317" t="n"/>
      <c r="ER123" s="318">
        <f>C123</f>
        <v/>
      </c>
      <c r="ES123" s="318" t="n">
        <v>406097.02</v>
      </c>
      <c r="ET123" s="318">
        <f>ES124</f>
        <v/>
      </c>
      <c r="EU123" s="318">
        <f>ES123-ET123</f>
        <v/>
      </c>
      <c r="EV123" s="327">
        <f>EU123/ET123</f>
        <v/>
      </c>
      <c r="EW123" s="182" t="n"/>
      <c r="EX123" s="182" t="n"/>
      <c r="EY123" s="364" t="n"/>
      <c r="EZ123" s="365">
        <f>C123</f>
        <v/>
      </c>
      <c r="FA123" s="365" t="n">
        <v>630508</v>
      </c>
      <c r="FB123" s="365">
        <f>FA124</f>
        <v/>
      </c>
      <c r="FC123" s="388">
        <f>FA123-FB123</f>
        <v/>
      </c>
      <c r="FD123" s="389">
        <f>FC123/FB123</f>
        <v/>
      </c>
      <c r="FE123" s="182" t="n"/>
      <c r="FF123" s="182" t="n"/>
      <c r="FG123" s="182" t="n"/>
      <c r="FH123" s="365">
        <f>C123</f>
        <v/>
      </c>
      <c r="FI123" s="694" t="n">
        <v>1232895.3365</v>
      </c>
      <c r="FJ123" s="365">
        <f>FI124</f>
        <v/>
      </c>
      <c r="FK123" s="325">
        <f>FI123-FJ123</f>
        <v/>
      </c>
      <c r="FL123" s="326">
        <f>FK123/FJ123</f>
        <v/>
      </c>
      <c r="FM123" s="366" t="n"/>
      <c r="FN123" s="366" t="n"/>
      <c r="FO123" s="364" t="n"/>
      <c r="FP123" s="365">
        <f>C123</f>
        <v/>
      </c>
      <c r="FQ123" s="365" t="n">
        <v>1691518.73</v>
      </c>
      <c r="FR123" s="365">
        <f>FQ124</f>
        <v/>
      </c>
      <c r="FS123" s="388">
        <f>FQ123-FR123</f>
        <v/>
      </c>
      <c r="FT123" s="389">
        <f>FS123/FR123</f>
        <v/>
      </c>
      <c r="FU123" s="182" t="n"/>
      <c r="FV123" s="182" t="n"/>
      <c r="FW123" s="364" t="n"/>
      <c r="FX123" s="365">
        <f>C123</f>
        <v/>
      </c>
      <c r="FY123" s="365" t="n">
        <v>8155682.05</v>
      </c>
      <c r="FZ123" s="365">
        <f>FY124</f>
        <v/>
      </c>
      <c r="GA123" s="388">
        <f>FY123-FZ123</f>
        <v/>
      </c>
      <c r="GB123" s="389">
        <f>GA123/FZ123</f>
        <v/>
      </c>
      <c r="GC123" s="182" t="n"/>
      <c r="GD123" s="182" t="n"/>
      <c r="GE123" s="364" t="n"/>
      <c r="GF123" s="365">
        <f>C123</f>
        <v/>
      </c>
      <c r="GG123" s="365" t="n">
        <v>4758369.49</v>
      </c>
      <c r="GH123" s="365">
        <f>GG124</f>
        <v/>
      </c>
      <c r="GI123" s="390">
        <f>GG123-GH123</f>
        <v/>
      </c>
      <c r="GJ123" s="391">
        <f>GI123/GH123</f>
        <v/>
      </c>
      <c r="GK123" s="182" t="n"/>
      <c r="GL123" s="182" t="n"/>
      <c r="GM123" s="364" t="n"/>
      <c r="GN123" s="365">
        <f>C123</f>
        <v/>
      </c>
      <c r="GO123" s="365" t="n">
        <v>1896598.1217</v>
      </c>
      <c r="GP123" s="365">
        <f>GO124</f>
        <v/>
      </c>
      <c r="GQ123" s="390">
        <f>GO123-GP123</f>
        <v/>
      </c>
      <c r="GR123" s="391">
        <f>GQ123/GP123</f>
        <v/>
      </c>
      <c r="GS123" s="182" t="n"/>
      <c r="GT123" s="182" t="n"/>
      <c r="GU123" s="364" t="n"/>
      <c r="GV123" s="365">
        <f>C123</f>
        <v/>
      </c>
      <c r="GW123" s="365" t="n">
        <v>823749.4</v>
      </c>
      <c r="GX123" s="365">
        <f>GW124</f>
        <v/>
      </c>
      <c r="GY123" s="390">
        <f>GW123-GX123</f>
        <v/>
      </c>
      <c r="GZ123" s="391">
        <f>GY123/GX123</f>
        <v/>
      </c>
      <c r="HA123" s="182" t="n"/>
      <c r="HB123" s="182" t="n"/>
      <c r="HC123" s="364" t="n"/>
      <c r="HD123" s="365">
        <f>C123</f>
        <v/>
      </c>
      <c r="HE123" s="365" t="n">
        <v>1223464.6746</v>
      </c>
      <c r="HF123" s="365">
        <f>HE124</f>
        <v/>
      </c>
      <c r="HG123" s="388">
        <f>HE123-HF123</f>
        <v/>
      </c>
      <c r="HH123" s="389">
        <f>HG123/HF123</f>
        <v/>
      </c>
      <c r="HI123" s="366" t="n"/>
      <c r="HJ123" s="182" t="n"/>
      <c r="HK123" s="364" t="n"/>
      <c r="HL123" s="365">
        <f>C123</f>
        <v/>
      </c>
      <c r="HM123" s="365" t="n">
        <v>129704.25</v>
      </c>
      <c r="HN123" s="365">
        <f>HM124</f>
        <v/>
      </c>
      <c r="HO123" s="390">
        <f>HM123-HN123</f>
        <v/>
      </c>
      <c r="HP123" s="391">
        <f>HO123/HN123</f>
        <v/>
      </c>
      <c r="HQ123" s="182" t="n"/>
      <c r="HR123" s="182" t="n"/>
      <c r="HS123" s="364" t="n"/>
      <c r="HT123" s="365">
        <f>C123</f>
        <v/>
      </c>
      <c r="HU123" s="365" t="n">
        <v>193568.8265</v>
      </c>
      <c r="HV123" s="365">
        <f>HU124</f>
        <v/>
      </c>
      <c r="HW123" s="388">
        <f>HU123-HV123</f>
        <v/>
      </c>
      <c r="HX123" s="389">
        <f>HW123/HV123</f>
        <v/>
      </c>
      <c r="HY123" s="182" t="n"/>
      <c r="HZ123" s="182" t="n"/>
      <c r="IA123" s="364" t="n"/>
      <c r="IB123" s="365">
        <f>C123</f>
        <v/>
      </c>
      <c r="IC123" s="185" t="n">
        <v>361409.79</v>
      </c>
      <c r="ID123" s="185">
        <f>IC124</f>
        <v/>
      </c>
      <c r="IE123" s="323">
        <f>IC123-ID123</f>
        <v/>
      </c>
      <c r="IF123" s="324">
        <f>IE123/ID123</f>
        <v/>
      </c>
      <c r="IG123" s="366" t="n"/>
      <c r="IH123" s="182" t="n"/>
      <c r="II123" s="364" t="n"/>
      <c r="IJ123" s="365">
        <f>C123</f>
        <v/>
      </c>
      <c r="IK123" s="365" t="n">
        <v>701516.29</v>
      </c>
      <c r="IL123" s="365">
        <f>IK124</f>
        <v/>
      </c>
      <c r="IM123" s="388">
        <f>IK123-IL123</f>
        <v/>
      </c>
      <c r="IN123" s="389">
        <f>IM123/IL123</f>
        <v/>
      </c>
      <c r="IO123" s="182" t="n"/>
      <c r="IP123" s="182" t="n"/>
      <c r="IQ123" s="364" t="n"/>
      <c r="IR123" s="365">
        <f>C123</f>
        <v/>
      </c>
      <c r="IS123" s="365" t="n">
        <v>139389</v>
      </c>
      <c r="IT123" s="365">
        <f>IS124</f>
        <v/>
      </c>
      <c r="IU123" s="388">
        <f>IS123-IT123</f>
        <v/>
      </c>
      <c r="IV123" s="389">
        <f>IU123/IT123</f>
        <v/>
      </c>
      <c r="IW123" s="182" t="n"/>
      <c r="IX123" s="182" t="n"/>
      <c r="IY123" s="364" t="n"/>
      <c r="IZ123" s="365">
        <f>C123</f>
        <v/>
      </c>
      <c r="JA123" s="365" t="n">
        <v>5149229.15</v>
      </c>
      <c r="JB123" s="365">
        <f>JA124</f>
        <v/>
      </c>
      <c r="JC123" s="388">
        <f>JA123-JB123</f>
        <v/>
      </c>
      <c r="JD123" s="389">
        <f>JC123/JB123</f>
        <v/>
      </c>
      <c r="JE123" s="182" t="n"/>
      <c r="JF123" s="182" t="n"/>
      <c r="JG123" s="364" t="n"/>
      <c r="JH123" s="365">
        <f>C123</f>
        <v/>
      </c>
      <c r="JI123" s="365" t="n">
        <v>1343787.99</v>
      </c>
      <c r="JJ123" s="365">
        <f>JI124</f>
        <v/>
      </c>
      <c r="JK123" s="388">
        <f>JI123-JJ123</f>
        <v/>
      </c>
      <c r="JL123" s="389">
        <f>JK123/JJ123</f>
        <v/>
      </c>
      <c r="JM123" s="182" t="n"/>
      <c r="JN123" s="182" t="n"/>
      <c r="JO123" s="182" t="n"/>
      <c r="JP123" s="365">
        <f>C123</f>
        <v/>
      </c>
      <c r="JQ123" s="365" t="n">
        <v>1053990.4148</v>
      </c>
      <c r="JR123" s="365">
        <f>JQ124</f>
        <v/>
      </c>
      <c r="JS123" s="390">
        <f>JQ123-JR123</f>
        <v/>
      </c>
      <c r="JT123" s="391">
        <f>JS123/JR123</f>
        <v/>
      </c>
      <c r="JU123" s="182" t="n"/>
      <c r="JV123" s="182" t="n"/>
      <c r="JW123" s="383" t="n"/>
      <c r="JX123" s="365">
        <f>C123</f>
        <v/>
      </c>
      <c r="JY123" s="365" t="n">
        <v>1152498.8</v>
      </c>
      <c r="JZ123" s="365">
        <f>JY124</f>
        <v/>
      </c>
      <c r="KA123" s="390">
        <f>JY123-JZ123</f>
        <v/>
      </c>
      <c r="KB123" s="391">
        <f>KA123/JZ123</f>
        <v/>
      </c>
      <c r="KC123" s="182" t="n"/>
      <c r="KD123" s="182" t="n"/>
      <c r="KE123" s="383" t="n"/>
      <c r="KF123" s="365">
        <f>C123</f>
        <v/>
      </c>
      <c r="KG123" s="365" t="n">
        <v>696955.9219</v>
      </c>
      <c r="KH123" s="365">
        <f>KG124</f>
        <v/>
      </c>
      <c r="KI123" s="384">
        <f>KG123-KH123</f>
        <v/>
      </c>
      <c r="KJ123" s="383">
        <f>KI123/KH123</f>
        <v/>
      </c>
      <c r="KK123" s="366" t="n"/>
      <c r="KL123" s="366" t="n"/>
      <c r="KM123" s="364" t="n"/>
      <c r="KN123" s="365">
        <f>C123</f>
        <v/>
      </c>
      <c r="KO123" s="365" t="n">
        <v>8328775.95</v>
      </c>
      <c r="KP123" s="365">
        <f>KO124</f>
        <v/>
      </c>
      <c r="KQ123" s="390">
        <f>KO123-KP123</f>
        <v/>
      </c>
      <c r="KR123" s="391">
        <f>KQ123/KP123</f>
        <v/>
      </c>
      <c r="KS123" s="182" t="n"/>
      <c r="KT123" s="182" t="n"/>
      <c r="KU123" s="364" t="n"/>
      <c r="KV123" s="365">
        <f>C123</f>
        <v/>
      </c>
      <c r="KW123" s="365" t="n">
        <v>1100672.9726</v>
      </c>
      <c r="KX123" s="365">
        <f>KW124</f>
        <v/>
      </c>
      <c r="KY123" s="365">
        <f>KW123-KX123</f>
        <v/>
      </c>
      <c r="KZ123" s="366">
        <f>KY123/KX123</f>
        <v/>
      </c>
      <c r="LA123" s="366" t="n"/>
      <c r="LB123" s="182" t="n"/>
      <c r="LC123" s="364" t="n"/>
      <c r="LD123" s="365">
        <f>C123</f>
        <v/>
      </c>
      <c r="LE123" s="365" t="n">
        <v>446707.7</v>
      </c>
      <c r="LF123" s="365">
        <f>LE124</f>
        <v/>
      </c>
      <c r="LG123" s="388">
        <f>LE123-LF123</f>
        <v/>
      </c>
      <c r="LH123" s="389">
        <f>LG123/LF123</f>
        <v/>
      </c>
      <c r="LI123" s="182" t="n"/>
      <c r="LJ123" s="182" t="n"/>
      <c r="LK123" s="364" t="n"/>
      <c r="LL123" s="365">
        <f>C123</f>
        <v/>
      </c>
      <c r="LM123" s="694" t="n">
        <v>3472495.02</v>
      </c>
      <c r="LN123" s="365">
        <f>LM124</f>
        <v/>
      </c>
      <c r="LO123" s="388">
        <f>LM123-LN123</f>
        <v/>
      </c>
      <c r="LP123" s="389">
        <f>LO123/LN123</f>
        <v/>
      </c>
      <c r="LQ123" s="182" t="n"/>
      <c r="LR123" s="182" t="n"/>
      <c r="LS123" s="364" t="n"/>
      <c r="LT123" s="365">
        <f>C123</f>
        <v/>
      </c>
      <c r="LU123" s="365" t="n">
        <v>2455062.904</v>
      </c>
      <c r="LV123" s="365">
        <f>LU124</f>
        <v/>
      </c>
      <c r="LW123" s="390">
        <f>LU123-LV123</f>
        <v/>
      </c>
      <c r="LX123" s="391">
        <f>LW123/LV123</f>
        <v/>
      </c>
      <c r="LY123" s="182" t="n"/>
      <c r="LZ123" s="182" t="n"/>
      <c r="MA123" s="364" t="n"/>
      <c r="MB123" s="365">
        <f>C123</f>
        <v/>
      </c>
      <c r="MC123" s="365" t="n">
        <v>928617.6899999999</v>
      </c>
      <c r="MD123" s="365">
        <f>MC124</f>
        <v/>
      </c>
      <c r="ME123" s="390">
        <f>MC123-MD123</f>
        <v/>
      </c>
      <c r="MF123" s="391">
        <f>ME123/MD123</f>
        <v/>
      </c>
      <c r="MG123" s="182" t="n"/>
      <c r="MH123" s="182" t="n"/>
      <c r="MI123" s="319" t="n"/>
      <c r="MJ123" s="318" t="n"/>
      <c r="MK123" s="318">
        <f>C123</f>
        <v/>
      </c>
      <c r="ML123" s="318" t="n">
        <v>184905.5354</v>
      </c>
      <c r="MM123" s="13">
        <f>ML124</f>
        <v/>
      </c>
      <c r="MN123" s="318">
        <f>ML123-MM123</f>
        <v/>
      </c>
      <c r="MO123" s="327">
        <f>MN123/MM123</f>
        <v/>
      </c>
      <c r="MP123" s="182" t="n"/>
      <c r="MQ123" s="369" t="n"/>
      <c r="MR123" s="369" t="n"/>
      <c r="MS123" s="366" t="n"/>
      <c r="MT123" s="25">
        <f>C123</f>
        <v/>
      </c>
      <c r="MU123" s="0" t="n">
        <v>170714.8</v>
      </c>
      <c r="MV123" s="0">
        <f>MU124</f>
        <v/>
      </c>
      <c r="MW123" s="0">
        <f>MU123-MV123</f>
        <v/>
      </c>
      <c r="MX123" s="182">
        <f>MW123/MV123</f>
        <v/>
      </c>
      <c r="MY123" s="182" t="n"/>
      <c r="MZ123" s="182" t="n"/>
      <c r="NA123" s="182" t="n"/>
      <c r="NB123" s="182" t="n"/>
      <c r="NC123" s="9">
        <f>C123</f>
        <v/>
      </c>
      <c r="ND123" s="0" t="n">
        <v>40891.48</v>
      </c>
      <c r="NE123" s="0">
        <f>ND124</f>
        <v/>
      </c>
      <c r="NF123" s="0">
        <f>ND123-NE123</f>
        <v/>
      </c>
      <c r="NG123" s="182">
        <f>NF123/NE123</f>
        <v/>
      </c>
      <c r="NH123" s="182" t="n"/>
      <c r="NI123" s="182" t="n"/>
      <c r="NJ123" s="182" t="n"/>
      <c r="NK123" s="182" t="n"/>
      <c r="NL123" s="9" t="n"/>
      <c r="NM123" s="9">
        <f>C123</f>
        <v/>
      </c>
      <c r="NN123" s="0" t="n">
        <v>2678811.08</v>
      </c>
      <c r="NO123" s="0">
        <f>NN124</f>
        <v/>
      </c>
      <c r="NP123" s="0">
        <f>NN123-NO123</f>
        <v/>
      </c>
      <c r="NQ123" s="182">
        <f>NP123/NO123</f>
        <v/>
      </c>
      <c r="NR123" s="182" t="n"/>
      <c r="NS123" s="9" t="n"/>
      <c r="NU123" s="9">
        <f>C123</f>
        <v/>
      </c>
      <c r="NV123" s="364" t="n">
        <v>258426.5</v>
      </c>
      <c r="NW123" s="364">
        <f>NV124</f>
        <v/>
      </c>
      <c r="NX123" s="364">
        <f>NV123-NW123</f>
        <v/>
      </c>
      <c r="NY123" s="366">
        <f>NX123/NW123</f>
        <v/>
      </c>
      <c r="NZ123" s="366" t="n"/>
      <c r="OA123" s="364" t="n"/>
      <c r="OB123" s="364" t="n"/>
      <c r="OC123" s="365">
        <f>C123</f>
        <v/>
      </c>
      <c r="OD123" s="365" t="n">
        <v>15240.97</v>
      </c>
      <c r="OE123" s="365">
        <f>OD124</f>
        <v/>
      </c>
      <c r="OF123" s="390">
        <f>OD123-OE123</f>
        <v/>
      </c>
      <c r="OG123" s="391">
        <f>OF123/OE123</f>
        <v/>
      </c>
      <c r="OH123" s="182" t="n"/>
      <c r="OI123" s="182" t="n"/>
      <c r="OJ123" s="364" t="n"/>
      <c r="OK123" s="365">
        <f>C123</f>
        <v/>
      </c>
      <c r="OL123" s="185" t="n">
        <v>14474.65</v>
      </c>
      <c r="OM123" s="9">
        <f>OL124</f>
        <v/>
      </c>
      <c r="ON123" s="325">
        <f>OL123-OM123</f>
        <v/>
      </c>
      <c r="OO123" s="326">
        <f>ON123/OM123</f>
        <v/>
      </c>
      <c r="OP123" s="182" t="n"/>
      <c r="OQ123" s="182" t="n"/>
      <c r="OT123" s="25">
        <f>OK123</f>
        <v/>
      </c>
      <c r="OU123" s="199" t="n">
        <v>147672.4066</v>
      </c>
      <c r="OV123" s="9">
        <f>OU124</f>
        <v/>
      </c>
      <c r="OW123" s="671">
        <f>OU123-OV123</f>
        <v/>
      </c>
      <c r="OX123" s="182">
        <f>OW123/OV123</f>
        <v/>
      </c>
    </row>
    <row r="124" ht="17" customFormat="1" customHeight="1" s="12">
      <c r="A124" s="631" t="n"/>
      <c r="B124" s="631" t="n"/>
      <c r="C124" s="693" t="inlineStr">
        <is>
          <t>2026//5/20</t>
        </is>
      </c>
      <c r="D124" s="362" t="n">
        <v>3102708.77</v>
      </c>
      <c r="E124" s="362">
        <f>D125</f>
        <v/>
      </c>
      <c r="F124" s="377">
        <f>D124-E124</f>
        <v/>
      </c>
      <c r="G124" s="378">
        <f>F124/E124</f>
        <v/>
      </c>
      <c r="H124" s="19" t="n"/>
      <c r="I124" s="426" t="n"/>
      <c r="J124" s="426" t="n"/>
      <c r="K124" s="362">
        <f>C124</f>
        <v/>
      </c>
      <c r="L124" s="362" t="n">
        <v>2492704.4</v>
      </c>
      <c r="M124" s="362">
        <f>L125</f>
        <v/>
      </c>
      <c r="N124" s="432">
        <f>L124-M124</f>
        <v/>
      </c>
      <c r="O124" s="433">
        <f>N124/M124</f>
        <v/>
      </c>
      <c r="P124" s="19" t="n"/>
      <c r="Q124" s="426" t="n"/>
      <c r="R124" s="427" t="n"/>
      <c r="S124" s="362">
        <f>C124</f>
        <v/>
      </c>
      <c r="T124" s="362" t="n">
        <v>1005186.68</v>
      </c>
      <c r="U124" s="362">
        <f>T125</f>
        <v/>
      </c>
      <c r="V124" s="432">
        <f>T124-U124</f>
        <v/>
      </c>
      <c r="W124" s="433">
        <f>V124/U124</f>
        <v/>
      </c>
      <c r="X124" s="19" t="n"/>
      <c r="Y124" s="426" t="n"/>
      <c r="Z124" s="427" t="n"/>
      <c r="AA124" s="362">
        <f>S124</f>
        <v/>
      </c>
      <c r="AB124" s="362" t="n">
        <v>439496.86</v>
      </c>
      <c r="AC124" s="362">
        <f>AB125</f>
        <v/>
      </c>
      <c r="AD124" s="432">
        <f>AB124-AC124</f>
        <v/>
      </c>
      <c r="AE124" s="433">
        <f>AD124/AC124</f>
        <v/>
      </c>
      <c r="AF124" s="19" t="n"/>
      <c r="AG124" s="426" t="n"/>
      <c r="AH124" s="427" t="n"/>
      <c r="AI124" s="362">
        <f>C124</f>
        <v/>
      </c>
      <c r="AJ124" s="362" t="n">
        <v>304121.76</v>
      </c>
      <c r="AK124" s="362">
        <f>AJ125</f>
        <v/>
      </c>
      <c r="AL124" s="377">
        <f>AJ124-AK124</f>
        <v/>
      </c>
      <c r="AM124" s="378">
        <f>AL124/AK124</f>
        <v/>
      </c>
      <c r="AN124" s="19" t="n"/>
      <c r="AO124" s="19" t="n"/>
      <c r="AP124" s="427" t="n"/>
      <c r="AQ124" s="362">
        <f>C124</f>
        <v/>
      </c>
      <c r="AR124" s="697" t="n">
        <v>1195845.4936</v>
      </c>
      <c r="AS124" s="362">
        <f>AR125</f>
        <v/>
      </c>
      <c r="AT124" s="432">
        <f>AR124-AS124</f>
        <v/>
      </c>
      <c r="AU124" s="433">
        <f>AT124/AS124</f>
        <v/>
      </c>
      <c r="AV124" s="19" t="n"/>
      <c r="AW124" s="19" t="n"/>
      <c r="AX124" s="5" t="n"/>
      <c r="AY124" s="5" t="n"/>
      <c r="AZ124" s="5">
        <f>C124</f>
        <v/>
      </c>
      <c r="BA124" s="5" t="n">
        <v>1454061.6676</v>
      </c>
      <c r="BB124" s="5">
        <f>BA125</f>
        <v/>
      </c>
      <c r="BC124" s="5">
        <f>BA124-BB124</f>
        <v/>
      </c>
      <c r="BD124" s="19">
        <f>BC124/BB124</f>
        <v/>
      </c>
      <c r="BE124" s="19" t="n"/>
      <c r="BF124" s="19" t="n"/>
      <c r="BG124" s="682" t="n"/>
      <c r="BH124" s="342">
        <f>C124</f>
        <v/>
      </c>
      <c r="BI124" s="342" t="n">
        <v>1524526.5525</v>
      </c>
      <c r="BJ124" s="342">
        <f>BI125</f>
        <v/>
      </c>
      <c r="BK124" s="480">
        <f>BI124-BJ124</f>
        <v/>
      </c>
      <c r="BL124" s="481">
        <f>BK124/BJ124</f>
        <v/>
      </c>
      <c r="BM124" s="281" t="n"/>
      <c r="BN124" s="282" t="n"/>
      <c r="BO124" s="346" t="n"/>
      <c r="BP124" s="347">
        <f>C124</f>
        <v/>
      </c>
      <c r="BQ124" s="692" t="n">
        <v>1111762.3921</v>
      </c>
      <c r="BR124" s="347">
        <f>BQ125</f>
        <v/>
      </c>
      <c r="BS124" s="482">
        <f>BQ124-BR124</f>
        <v/>
      </c>
      <c r="BT124" s="483">
        <f>BS124/BR124</f>
        <v/>
      </c>
      <c r="BU124" s="282" t="n"/>
      <c r="BV124" s="282" t="n"/>
      <c r="BW124" s="346" t="n"/>
      <c r="BX124" s="347">
        <f>C124</f>
        <v/>
      </c>
      <c r="BY124" s="347" t="n">
        <v>2452860.7019</v>
      </c>
      <c r="BZ124" s="347">
        <f>BY125</f>
        <v/>
      </c>
      <c r="CA124" s="349">
        <f>BY124-BZ124</f>
        <v/>
      </c>
      <c r="CB124" s="350">
        <f>CA124/BZ124</f>
        <v/>
      </c>
      <c r="CC124" s="282" t="n"/>
      <c r="CD124" s="354" t="n"/>
      <c r="CE124" s="346" t="n"/>
      <c r="CF124" s="347">
        <f>C124</f>
        <v/>
      </c>
      <c r="CG124" s="347" t="n">
        <v>1274903.9</v>
      </c>
      <c r="CH124" s="284">
        <f>CG125</f>
        <v/>
      </c>
      <c r="CI124" s="284">
        <f>CG124-CH124</f>
        <v/>
      </c>
      <c r="CJ124" s="285">
        <f>CI124/CH124</f>
        <v/>
      </c>
      <c r="CK124" s="282" t="n"/>
      <c r="CL124" s="354" t="n"/>
      <c r="CM124" s="346" t="n"/>
      <c r="CN124" s="347">
        <f>C124</f>
        <v/>
      </c>
      <c r="CO124" s="347" t="n">
        <v>590846.48</v>
      </c>
      <c r="CP124" s="347">
        <f>CO125</f>
        <v/>
      </c>
      <c r="CQ124" s="284">
        <f>CO124-CP124</f>
        <v/>
      </c>
      <c r="CR124" s="285">
        <f>CQ124/CP124</f>
        <v/>
      </c>
      <c r="CS124" s="354" t="n"/>
      <c r="CT124" s="354" t="n"/>
      <c r="CU124" s="346" t="n"/>
      <c r="CV124" s="347">
        <f>C124</f>
        <v/>
      </c>
      <c r="CW124" s="347" t="n">
        <v>587990.4</v>
      </c>
      <c r="CX124" s="347">
        <f>CW125</f>
        <v/>
      </c>
      <c r="CY124" s="349">
        <f>CW124-CX124</f>
        <v/>
      </c>
      <c r="CZ124" s="350">
        <f>CY124/CX124</f>
        <v/>
      </c>
      <c r="DA124" s="282" t="n"/>
      <c r="DB124" s="282" t="n"/>
      <c r="DC124" s="256" t="n"/>
      <c r="DD124" s="347">
        <f>C124</f>
        <v/>
      </c>
      <c r="DE124" s="347" t="n">
        <v>2145117.9986</v>
      </c>
      <c r="DF124" s="13">
        <f>DE125</f>
        <v/>
      </c>
      <c r="DG124" s="482">
        <f>DE124-DF124</f>
        <v/>
      </c>
      <c r="DH124" s="483">
        <f>DG124/DF124</f>
        <v/>
      </c>
      <c r="DI124" s="282" t="n"/>
      <c r="DJ124" s="282" t="n"/>
      <c r="DK124" s="346" t="n"/>
      <c r="DL124" s="347">
        <f>C124</f>
        <v/>
      </c>
      <c r="DM124" s="347" t="n">
        <v>865100.36</v>
      </c>
      <c r="DN124" s="347">
        <f>DM125</f>
        <v/>
      </c>
      <c r="DO124" s="482">
        <f>DM124-DN124</f>
        <v/>
      </c>
      <c r="DP124" s="483">
        <f>DO124/DN124</f>
        <v/>
      </c>
      <c r="DQ124" s="282" t="n"/>
      <c r="DR124" s="282" t="n"/>
      <c r="DS124" s="346" t="n"/>
      <c r="DT124" s="347">
        <f>C124</f>
        <v/>
      </c>
      <c r="DU124" s="347" t="n">
        <v>1288589.48</v>
      </c>
      <c r="DV124" s="347">
        <f>DU125</f>
        <v/>
      </c>
      <c r="DW124" s="482">
        <f>DU124-DV124</f>
        <v/>
      </c>
      <c r="DX124" s="483">
        <f>DW124/DV124</f>
        <v/>
      </c>
      <c r="DY124" s="282" t="n"/>
      <c r="DZ124" s="282" t="n"/>
      <c r="EA124" s="346" t="n"/>
      <c r="EB124" s="347">
        <f>C124</f>
        <v/>
      </c>
      <c r="EC124" s="347" t="n">
        <v>3514466.82</v>
      </c>
      <c r="ED124" s="347">
        <f>EC125</f>
        <v/>
      </c>
      <c r="EE124" s="482">
        <f>EC124-ED124</f>
        <v/>
      </c>
      <c r="EF124" s="483">
        <f>EE124/ED124</f>
        <v/>
      </c>
      <c r="EG124" s="282" t="n"/>
      <c r="EH124" s="282" t="n"/>
      <c r="EI124" s="346" t="n"/>
      <c r="EJ124" s="347">
        <f>C124</f>
        <v/>
      </c>
      <c r="EK124" s="347" t="n">
        <v>1242922.9669</v>
      </c>
      <c r="EL124" s="347">
        <f>EK125</f>
        <v/>
      </c>
      <c r="EM124" s="482">
        <f>EK124-EL124</f>
        <v/>
      </c>
      <c r="EN124" s="483">
        <f>EM124/EL124</f>
        <v/>
      </c>
      <c r="EO124" s="282" t="n"/>
      <c r="EP124" s="282" t="n"/>
      <c r="EQ124" s="355" t="n"/>
      <c r="ER124" s="356">
        <f>C124</f>
        <v/>
      </c>
      <c r="ES124" s="356" t="n">
        <v>404597.02</v>
      </c>
      <c r="ET124" s="356">
        <f>ES125</f>
        <v/>
      </c>
      <c r="EU124" s="356">
        <f>ES124-ET124</f>
        <v/>
      </c>
      <c r="EV124" s="357">
        <f>EU124/ET124</f>
        <v/>
      </c>
      <c r="EW124" s="282" t="n"/>
      <c r="EX124" s="282" t="n"/>
      <c r="EY124" s="346" t="n"/>
      <c r="EZ124" s="347">
        <f>C124</f>
        <v/>
      </c>
      <c r="FA124" s="347" t="n">
        <v>632208</v>
      </c>
      <c r="FB124" s="347">
        <f>FA125</f>
        <v/>
      </c>
      <c r="FC124" s="482">
        <f>FA124-FB124</f>
        <v/>
      </c>
      <c r="FD124" s="483">
        <f>FC124/FB124</f>
        <v/>
      </c>
      <c r="FE124" s="282" t="n"/>
      <c r="FF124" s="282" t="n"/>
      <c r="FG124" s="282" t="n"/>
      <c r="FH124" s="347">
        <f>C124</f>
        <v/>
      </c>
      <c r="FI124" s="692" t="n">
        <v>1223695.3365</v>
      </c>
      <c r="FJ124" s="347">
        <f>FI125</f>
        <v/>
      </c>
      <c r="FK124" s="349">
        <f>FI124-FJ124</f>
        <v/>
      </c>
      <c r="FL124" s="350">
        <f>FK124/FJ124</f>
        <v/>
      </c>
      <c r="FM124" s="350" t="n"/>
      <c r="FN124" s="354" t="n"/>
      <c r="FO124" s="346" t="n"/>
      <c r="FP124" s="347">
        <f>C124</f>
        <v/>
      </c>
      <c r="FQ124" s="347" t="n">
        <v>1699018.73</v>
      </c>
      <c r="FR124" s="347">
        <f>FQ125</f>
        <v/>
      </c>
      <c r="FS124" s="482">
        <f>FQ124-FR124</f>
        <v/>
      </c>
      <c r="FT124" s="483">
        <f>FS124/FR124</f>
        <v/>
      </c>
      <c r="FU124" s="282" t="n"/>
      <c r="FV124" s="282" t="n"/>
      <c r="FW124" s="346" t="n"/>
      <c r="FX124" s="347">
        <f>C124</f>
        <v/>
      </c>
      <c r="FY124" s="347" t="n">
        <v>8230382.05</v>
      </c>
      <c r="FZ124" s="347">
        <f>FY125</f>
        <v/>
      </c>
      <c r="GA124" s="482">
        <f>FY124-FZ124</f>
        <v/>
      </c>
      <c r="GB124" s="483">
        <f>GA124/FZ124</f>
        <v/>
      </c>
      <c r="GC124" s="282" t="n"/>
      <c r="GD124" s="282" t="n"/>
      <c r="GE124" s="346" t="n"/>
      <c r="GF124" s="347">
        <f>C124</f>
        <v/>
      </c>
      <c r="GG124" s="347" t="n">
        <v>4815069.49</v>
      </c>
      <c r="GH124" s="347">
        <f>GG125</f>
        <v/>
      </c>
      <c r="GI124" s="349">
        <f>GG124-GH124</f>
        <v/>
      </c>
      <c r="GJ124" s="350">
        <f>GI124/GH124</f>
        <v/>
      </c>
      <c r="GK124" s="282" t="n"/>
      <c r="GL124" s="282" t="n"/>
      <c r="GM124" s="346" t="n"/>
      <c r="GN124" s="347">
        <f>C124</f>
        <v/>
      </c>
      <c r="GO124" s="347" t="n">
        <v>1882138.1217</v>
      </c>
      <c r="GP124" s="347">
        <f>GO125</f>
        <v/>
      </c>
      <c r="GQ124" s="482">
        <f>GO124-GP124</f>
        <v/>
      </c>
      <c r="GR124" s="483">
        <f>GQ124/GP124</f>
        <v/>
      </c>
      <c r="GS124" s="282" t="n"/>
      <c r="GT124" s="282" t="n"/>
      <c r="GU124" s="346" t="n"/>
      <c r="GV124" s="347">
        <f>C124</f>
        <v/>
      </c>
      <c r="GW124" s="347" t="n">
        <v>837549.4</v>
      </c>
      <c r="GX124" s="347">
        <f>GW125</f>
        <v/>
      </c>
      <c r="GY124" s="482">
        <f>GW124-GX124</f>
        <v/>
      </c>
      <c r="GZ124" s="483">
        <f>GY124/GX124</f>
        <v/>
      </c>
      <c r="HA124" s="282" t="n"/>
      <c r="HB124" s="282" t="n"/>
      <c r="HC124" s="346" t="n"/>
      <c r="HD124" s="347">
        <f>C124</f>
        <v/>
      </c>
      <c r="HE124" s="347" t="n">
        <v>1228264.6746</v>
      </c>
      <c r="HF124" s="347">
        <f>HE125</f>
        <v/>
      </c>
      <c r="HG124" s="482">
        <f>HE124-HF124</f>
        <v/>
      </c>
      <c r="HH124" s="483">
        <f>HG124/HF124</f>
        <v/>
      </c>
      <c r="HI124" s="354" t="n"/>
      <c r="HJ124" s="282" t="n"/>
      <c r="HK124" s="346" t="n"/>
      <c r="HL124" s="347">
        <f>C124</f>
        <v/>
      </c>
      <c r="HM124" s="347" t="n">
        <v>130204.25</v>
      </c>
      <c r="HN124" s="347">
        <f>HM125</f>
        <v/>
      </c>
      <c r="HO124" s="482">
        <f>HM124-HN124</f>
        <v/>
      </c>
      <c r="HP124" s="483">
        <f>HO124/HN124</f>
        <v/>
      </c>
      <c r="HQ124" s="282" t="n"/>
      <c r="HR124" s="282" t="n"/>
      <c r="HS124" s="346" t="n"/>
      <c r="HT124" s="347">
        <f>C124</f>
        <v/>
      </c>
      <c r="HU124" s="347" t="n">
        <v>194168.8265</v>
      </c>
      <c r="HV124" s="347">
        <f>HU125</f>
        <v/>
      </c>
      <c r="HW124" s="482">
        <f>HU124-HV124</f>
        <v/>
      </c>
      <c r="HX124" s="483">
        <f>HW124/HV124</f>
        <v/>
      </c>
      <c r="HY124" s="282" t="n"/>
      <c r="HZ124" s="282" t="n"/>
      <c r="IA124" s="346" t="n"/>
      <c r="IB124" s="347">
        <f>C124</f>
        <v/>
      </c>
      <c r="IC124" s="288" t="n">
        <v>362759.79</v>
      </c>
      <c r="ID124" s="347">
        <f>IC125</f>
        <v/>
      </c>
      <c r="IE124" s="347">
        <f>IC124-ID124</f>
        <v/>
      </c>
      <c r="IF124" s="354">
        <f>IE124/ID124</f>
        <v/>
      </c>
      <c r="IG124" s="353" t="n"/>
      <c r="IH124" s="282" t="n"/>
      <c r="II124" s="346" t="n"/>
      <c r="IJ124" s="347">
        <f>C124</f>
        <v/>
      </c>
      <c r="IK124" s="347" t="n">
        <v>693676.29</v>
      </c>
      <c r="IL124" s="347">
        <f>IK125</f>
        <v/>
      </c>
      <c r="IM124" s="482">
        <f>IK124-IL124</f>
        <v/>
      </c>
      <c r="IN124" s="483">
        <f>IM124/IL124</f>
        <v/>
      </c>
      <c r="IO124" s="282" t="n"/>
      <c r="IP124" s="282" t="n"/>
      <c r="IQ124" s="346" t="n"/>
      <c r="IR124" s="347">
        <f>C124</f>
        <v/>
      </c>
      <c r="IS124" s="347" t="n">
        <v>140589</v>
      </c>
      <c r="IT124" s="347">
        <f>IS125</f>
        <v/>
      </c>
      <c r="IU124" s="482">
        <f>IS124-IT124</f>
        <v/>
      </c>
      <c r="IV124" s="483">
        <f>IU124/IT124</f>
        <v/>
      </c>
      <c r="IW124" s="282" t="n"/>
      <c r="IX124" s="282" t="n"/>
      <c r="IY124" s="346" t="n"/>
      <c r="IZ124" s="347">
        <f>C124</f>
        <v/>
      </c>
      <c r="JA124" s="347" t="n">
        <v>5223429.15</v>
      </c>
      <c r="JB124" s="347">
        <f>JA125</f>
        <v/>
      </c>
      <c r="JC124" s="482">
        <f>JA124-JB124</f>
        <v/>
      </c>
      <c r="JD124" s="483">
        <f>JC124/JB124</f>
        <v/>
      </c>
      <c r="JE124" s="282" t="n"/>
      <c r="JF124" s="282" t="n"/>
      <c r="JG124" s="346" t="n"/>
      <c r="JH124" s="347">
        <f>C124</f>
        <v/>
      </c>
      <c r="JI124" s="347" t="n">
        <v>1331547.99</v>
      </c>
      <c r="JJ124" s="347">
        <f>JI125</f>
        <v/>
      </c>
      <c r="JK124" s="482">
        <f>JI124-JJ124</f>
        <v/>
      </c>
      <c r="JL124" s="483">
        <f>JK124/JJ124</f>
        <v/>
      </c>
      <c r="JM124" s="282" t="n"/>
      <c r="JN124" s="282" t="n"/>
      <c r="JO124" s="282" t="n"/>
      <c r="JP124" s="347">
        <f>C124</f>
        <v/>
      </c>
      <c r="JQ124" s="347" t="n">
        <v>1014190.4148</v>
      </c>
      <c r="JR124" s="347">
        <f>JQ125</f>
        <v/>
      </c>
      <c r="JS124" s="482">
        <f>JQ124-JR124</f>
        <v/>
      </c>
      <c r="JT124" s="483">
        <f>JS124/JR124</f>
        <v/>
      </c>
      <c r="JU124" s="282" t="n"/>
      <c r="JV124" s="282" t="n"/>
      <c r="JW124" s="354" t="n"/>
      <c r="JX124" s="347">
        <f>C124</f>
        <v/>
      </c>
      <c r="JY124" s="347" t="n">
        <v>1183648.8</v>
      </c>
      <c r="JZ124" s="347">
        <f>JY125</f>
        <v/>
      </c>
      <c r="KA124" s="349">
        <f>JY124-JZ124</f>
        <v/>
      </c>
      <c r="KB124" s="350">
        <f>KA124/JZ124</f>
        <v/>
      </c>
      <c r="KC124" s="282" t="n"/>
      <c r="KD124" s="282" t="n"/>
      <c r="KE124" s="354" t="n"/>
      <c r="KF124" s="347">
        <f>C124</f>
        <v/>
      </c>
      <c r="KG124" s="347" t="n">
        <v>697555.9219</v>
      </c>
      <c r="KH124" s="347">
        <f>KG125</f>
        <v/>
      </c>
      <c r="KI124" s="347">
        <f>KG124-KH124</f>
        <v/>
      </c>
      <c r="KJ124" s="354">
        <f>KI124/KH124</f>
        <v/>
      </c>
      <c r="KK124" s="354" t="n"/>
      <c r="KL124" s="354" t="n"/>
      <c r="KM124" s="346" t="n"/>
      <c r="KN124" s="347">
        <f>C124</f>
        <v/>
      </c>
      <c r="KO124" s="347" t="n">
        <v>8328775.95</v>
      </c>
      <c r="KP124" s="347">
        <f>KO125</f>
        <v/>
      </c>
      <c r="KQ124" s="349">
        <f>KO124-KP124</f>
        <v/>
      </c>
      <c r="KR124" s="350">
        <f>KQ124/KP124</f>
        <v/>
      </c>
      <c r="KS124" s="282" t="n"/>
      <c r="KT124" s="282" t="n"/>
      <c r="KU124" s="346" t="n"/>
      <c r="KV124" s="347">
        <f>C124</f>
        <v/>
      </c>
      <c r="KW124" s="347" t="n">
        <v>1101672.9726</v>
      </c>
      <c r="KX124" s="347">
        <f>KW125</f>
        <v/>
      </c>
      <c r="KY124" s="347">
        <f>KW124-KX124</f>
        <v/>
      </c>
      <c r="KZ124" s="354">
        <f>KY124/KX124</f>
        <v/>
      </c>
      <c r="LA124" s="354" t="n"/>
      <c r="LB124" s="282" t="n"/>
      <c r="LC124" s="346" t="n"/>
      <c r="LD124" s="347">
        <f>C124</f>
        <v/>
      </c>
      <c r="LE124" s="347" t="n">
        <v>451157.7</v>
      </c>
      <c r="LF124" s="347">
        <f>LE125</f>
        <v/>
      </c>
      <c r="LG124" s="482">
        <f>LE124-LF124</f>
        <v/>
      </c>
      <c r="LH124" s="483">
        <f>LG124/LF124</f>
        <v/>
      </c>
      <c r="LI124" s="282" t="n"/>
      <c r="LJ124" s="282" t="n"/>
      <c r="LK124" s="346" t="n"/>
      <c r="LL124" s="347">
        <f>C124</f>
        <v/>
      </c>
      <c r="LM124" s="692" t="n">
        <v>3484195.02</v>
      </c>
      <c r="LN124" s="347">
        <f>LM125</f>
        <v/>
      </c>
      <c r="LO124" s="349">
        <f>LM124-LN124</f>
        <v/>
      </c>
      <c r="LP124" s="350">
        <f>LO124/LN124</f>
        <v/>
      </c>
      <c r="LQ124" s="282" t="n"/>
      <c r="LR124" s="282" t="n"/>
      <c r="LS124" s="346" t="n"/>
      <c r="LT124" s="347">
        <f>C124</f>
        <v/>
      </c>
      <c r="LU124" s="347" t="n">
        <v>2454262.904</v>
      </c>
      <c r="LV124" s="347">
        <f>LU125</f>
        <v/>
      </c>
      <c r="LW124" s="482">
        <f>LU124-LV124</f>
        <v/>
      </c>
      <c r="LX124" s="483">
        <f>LW124/LV124</f>
        <v/>
      </c>
      <c r="LY124" s="282" t="n"/>
      <c r="LZ124" s="282" t="n"/>
      <c r="MA124" s="346" t="n"/>
      <c r="MB124" s="347">
        <f>C124</f>
        <v/>
      </c>
      <c r="MC124" s="347" t="n">
        <v>931967.6899999999</v>
      </c>
      <c r="MD124" s="347">
        <f>MC125</f>
        <v/>
      </c>
      <c r="ME124" s="349">
        <f>MC124-MD124</f>
        <v/>
      </c>
      <c r="MF124" s="350">
        <f>ME124/MD124</f>
        <v/>
      </c>
      <c r="MG124" s="282" t="n"/>
      <c r="MH124" s="282" t="n"/>
      <c r="MI124" s="359" t="n"/>
      <c r="MJ124" s="356" t="n"/>
      <c r="MK124" s="356">
        <f>C124</f>
        <v/>
      </c>
      <c r="ML124" s="356" t="n">
        <v>186825.5354</v>
      </c>
      <c r="MM124" s="284">
        <f>ML125</f>
        <v/>
      </c>
      <c r="MN124" s="356">
        <f>ML124-MM124</f>
        <v/>
      </c>
      <c r="MO124" s="357">
        <f>MN124/MM124</f>
        <v/>
      </c>
      <c r="MP124" s="282" t="n"/>
      <c r="MQ124" s="360" t="n"/>
      <c r="MR124" s="360" t="n"/>
      <c r="MS124" s="354" t="n"/>
      <c r="MT124" s="484">
        <f>C124</f>
        <v/>
      </c>
      <c r="MU124" s="0" t="n">
        <v>174314.8</v>
      </c>
      <c r="MV124" s="0">
        <f>MU125</f>
        <v/>
      </c>
      <c r="MW124" s="0">
        <f>MU124-MV124</f>
        <v/>
      </c>
      <c r="MX124" s="282">
        <f>MW124/MV124</f>
        <v/>
      </c>
      <c r="MY124" s="282" t="n"/>
      <c r="MZ124" s="282" t="n"/>
      <c r="NA124" s="282" t="n"/>
      <c r="NB124" s="282" t="n"/>
      <c r="NC124" s="12">
        <f>C124</f>
        <v/>
      </c>
      <c r="ND124" s="0" t="n">
        <v>40491.48</v>
      </c>
      <c r="NE124" s="0">
        <f>ND125</f>
        <v/>
      </c>
      <c r="NF124" s="0">
        <f>ND124-NE124</f>
        <v/>
      </c>
      <c r="NG124" s="282">
        <f>NF124/NE124</f>
        <v/>
      </c>
      <c r="NH124" s="282" t="n"/>
      <c r="NI124" s="282" t="n"/>
      <c r="NJ124" s="282" t="n"/>
      <c r="NK124" s="282" t="n"/>
      <c r="NL124" s="9" t="n"/>
      <c r="NM124" s="9">
        <f>C124</f>
        <v/>
      </c>
      <c r="NN124" s="9" t="n">
        <v>2673011.08</v>
      </c>
      <c r="NO124" s="9">
        <f>NN125</f>
        <v/>
      </c>
      <c r="NP124" s="9">
        <f>NN124-NO124</f>
        <v/>
      </c>
      <c r="NQ124" s="182">
        <f>NP124/NO124</f>
        <v/>
      </c>
      <c r="NR124" s="182" t="n"/>
      <c r="NS124" s="9" t="n"/>
      <c r="NT124" s="9" t="n"/>
      <c r="NU124" s="9">
        <f>C124</f>
        <v/>
      </c>
      <c r="NV124" s="364" t="n">
        <v>257376.5</v>
      </c>
      <c r="NW124" s="364">
        <f>NV125</f>
        <v/>
      </c>
      <c r="NX124" s="364">
        <f>NV124-NW124</f>
        <v/>
      </c>
      <c r="NY124" s="366">
        <f>NX124/NW124</f>
        <v/>
      </c>
      <c r="NZ124" s="354" t="n"/>
      <c r="OA124" s="346" t="n"/>
      <c r="OB124" s="346" t="n"/>
      <c r="OC124" s="347">
        <f>C124</f>
        <v/>
      </c>
      <c r="OD124" s="347" t="n">
        <v>15376.97</v>
      </c>
      <c r="OE124" s="347">
        <f>OD125</f>
        <v/>
      </c>
      <c r="OF124" s="482">
        <f>OD124-OE124</f>
        <v/>
      </c>
      <c r="OG124" s="483">
        <f>OF124/OE124</f>
        <v/>
      </c>
      <c r="OH124" s="282" t="n"/>
      <c r="OI124" s="282" t="n"/>
      <c r="OJ124" s="346" t="n"/>
      <c r="OK124" s="347">
        <f>C124</f>
        <v/>
      </c>
      <c r="OL124" s="288" t="n">
        <v>14464.65</v>
      </c>
      <c r="OM124" s="12">
        <f>OL125</f>
        <v/>
      </c>
      <c r="ON124" s="0">
        <f>OL124-OM124</f>
        <v/>
      </c>
      <c r="OO124" s="282">
        <f>ON124/OM124</f>
        <v/>
      </c>
      <c r="OP124" s="282" t="n"/>
      <c r="OQ124" s="282" t="n"/>
      <c r="OT124" s="484">
        <f>OK124</f>
        <v/>
      </c>
      <c r="OU124" s="199" t="n">
        <v>147552.4066</v>
      </c>
      <c r="OV124" s="9">
        <f>OU125</f>
        <v/>
      </c>
      <c r="OW124" s="671">
        <f>OU124-OV124</f>
        <v/>
      </c>
      <c r="OX124" s="182">
        <f>OW124/OV124</f>
        <v/>
      </c>
    </row>
    <row r="125" ht="17" customFormat="1" customHeight="1" s="9">
      <c r="A125" s="631" t="n"/>
      <c r="B125" s="631" t="n"/>
      <c r="C125" s="693" t="inlineStr">
        <is>
          <t>2026//5/19</t>
        </is>
      </c>
      <c r="D125" s="362" t="n">
        <v>3166248.77</v>
      </c>
      <c r="E125" s="362">
        <f>D126</f>
        <v/>
      </c>
      <c r="F125" s="377">
        <f>D125-E125</f>
        <v/>
      </c>
      <c r="G125" s="378">
        <f>F125/E125</f>
        <v/>
      </c>
      <c r="H125" s="19" t="n"/>
      <c r="I125" s="426" t="n"/>
      <c r="J125" s="426" t="n"/>
      <c r="K125" s="362">
        <f>C125</f>
        <v/>
      </c>
      <c r="L125" s="362" t="n">
        <v>2518534.4</v>
      </c>
      <c r="M125" s="362">
        <f>L126</f>
        <v/>
      </c>
      <c r="N125" s="377">
        <f>L125-M125</f>
        <v/>
      </c>
      <c r="O125" s="378">
        <f>N125/M125</f>
        <v/>
      </c>
      <c r="P125" s="19" t="n"/>
      <c r="Q125" s="426" t="n"/>
      <c r="R125" s="427" t="n"/>
      <c r="S125" s="362">
        <f>C125</f>
        <v/>
      </c>
      <c r="T125" s="362" t="n">
        <v>1101486.68</v>
      </c>
      <c r="U125" s="362">
        <f>T126</f>
        <v/>
      </c>
      <c r="V125" s="432">
        <f>T125-U125</f>
        <v/>
      </c>
      <c r="W125" s="433">
        <f>V125/U125</f>
        <v/>
      </c>
      <c r="X125" s="19" t="n"/>
      <c r="Y125" s="426" t="n"/>
      <c r="Z125" s="427" t="n"/>
      <c r="AA125" s="362">
        <f>S125</f>
        <v/>
      </c>
      <c r="AB125" s="362" t="n">
        <v>471296.86</v>
      </c>
      <c r="AC125" s="362">
        <f>AB126</f>
        <v/>
      </c>
      <c r="AD125" s="377">
        <f>AB125-AC125</f>
        <v/>
      </c>
      <c r="AE125" s="378">
        <f>AD125/AC125</f>
        <v/>
      </c>
      <c r="AF125" s="19" t="n"/>
      <c r="AG125" s="426" t="n"/>
      <c r="AH125" s="427" t="n"/>
      <c r="AI125" s="362">
        <f>C125</f>
        <v/>
      </c>
      <c r="AJ125" s="362" t="n">
        <v>337521.76</v>
      </c>
      <c r="AK125" s="362">
        <f>AJ126</f>
        <v/>
      </c>
      <c r="AL125" s="377">
        <f>AJ125-AK125</f>
        <v/>
      </c>
      <c r="AM125" s="378">
        <f>AL125/AK125</f>
        <v/>
      </c>
      <c r="AN125" s="19" t="n"/>
      <c r="AO125" s="19" t="n"/>
      <c r="AP125" s="427" t="n"/>
      <c r="AQ125" s="362">
        <f>C125</f>
        <v/>
      </c>
      <c r="AR125" s="697" t="n">
        <v>1200745.4936</v>
      </c>
      <c r="AS125" s="362">
        <f>AR126</f>
        <v/>
      </c>
      <c r="AT125" s="377">
        <f>AR125-AS125</f>
        <v/>
      </c>
      <c r="AU125" s="378">
        <f>AT125/AS125</f>
        <v/>
      </c>
      <c r="AV125" s="19" t="n"/>
      <c r="AW125" s="19" t="n"/>
      <c r="AX125" s="5" t="n"/>
      <c r="AY125" s="5" t="n"/>
      <c r="AZ125" s="5">
        <f>C125</f>
        <v/>
      </c>
      <c r="BA125" s="5" t="n">
        <v>1490061.6676</v>
      </c>
      <c r="BB125" s="5">
        <f>BA126</f>
        <v/>
      </c>
      <c r="BC125" s="5">
        <f>BA125-BB125</f>
        <v/>
      </c>
      <c r="BD125" s="19">
        <f>BC125/BB125</f>
        <v/>
      </c>
      <c r="BE125" s="19" t="n"/>
      <c r="BF125" s="19" t="n"/>
      <c r="BG125" s="647" t="n"/>
      <c r="BH125" s="363">
        <f>C125</f>
        <v/>
      </c>
      <c r="BI125" s="363" t="n">
        <v>1521626.5525</v>
      </c>
      <c r="BJ125" s="363">
        <f>BI126</f>
        <v/>
      </c>
      <c r="BK125" s="395">
        <f>BI125-BJ125</f>
        <v/>
      </c>
      <c r="BL125" s="396">
        <f>BK125/BJ125</f>
        <v/>
      </c>
      <c r="BM125" s="191" t="n"/>
      <c r="BN125" s="182" t="n"/>
      <c r="BO125" s="364" t="n"/>
      <c r="BP125" s="365">
        <f>C125</f>
        <v/>
      </c>
      <c r="BQ125" s="694" t="n">
        <v>1102962.3921</v>
      </c>
      <c r="BR125" s="365">
        <f>BQ126</f>
        <v/>
      </c>
      <c r="BS125" s="390">
        <f>BQ125-BR125</f>
        <v/>
      </c>
      <c r="BT125" s="391">
        <f>BS125/BR125</f>
        <v/>
      </c>
      <c r="BU125" s="182" t="n"/>
      <c r="BV125" s="182" t="n"/>
      <c r="BW125" s="364" t="n"/>
      <c r="BX125" s="365">
        <f>C125</f>
        <v/>
      </c>
      <c r="BY125" s="365" t="n">
        <v>2517060.7019</v>
      </c>
      <c r="BZ125" s="365">
        <f>BY126</f>
        <v/>
      </c>
      <c r="CA125" s="390">
        <f>BY125-BZ125</f>
        <v/>
      </c>
      <c r="CB125" s="391">
        <f>CA125/BZ125</f>
        <v/>
      </c>
      <c r="CC125" s="182" t="n"/>
      <c r="CD125" s="383" t="n"/>
      <c r="CE125" s="364" t="n"/>
      <c r="CF125" s="365">
        <f>C125</f>
        <v/>
      </c>
      <c r="CG125" s="365" t="n">
        <v>1279453.9</v>
      </c>
      <c r="CH125" s="13">
        <f>CG126</f>
        <v/>
      </c>
      <c r="CI125" s="13">
        <f>CG125-CH125</f>
        <v/>
      </c>
      <c r="CJ125" s="193">
        <f>CI125/CH125</f>
        <v/>
      </c>
      <c r="CK125" s="182" t="n"/>
      <c r="CL125" s="366" t="n"/>
      <c r="CM125" s="364" t="n"/>
      <c r="CN125" s="365">
        <f>C125</f>
        <v/>
      </c>
      <c r="CO125" s="365" t="n">
        <v>595946.48</v>
      </c>
      <c r="CP125" s="365">
        <f>CO126</f>
        <v/>
      </c>
      <c r="CQ125" s="13">
        <f>CO125-CP125</f>
        <v/>
      </c>
      <c r="CR125" s="193">
        <f>CQ125/CP125</f>
        <v/>
      </c>
      <c r="CS125" s="366" t="n"/>
      <c r="CT125" s="366" t="n"/>
      <c r="CU125" s="364" t="n"/>
      <c r="CV125" s="365">
        <f>C125</f>
        <v/>
      </c>
      <c r="CW125" s="365" t="n">
        <v>587690.4</v>
      </c>
      <c r="CX125" s="365">
        <f>CW126</f>
        <v/>
      </c>
      <c r="CY125" s="388">
        <f>CW125-CX125</f>
        <v/>
      </c>
      <c r="CZ125" s="389">
        <f>CY125/CX125</f>
        <v/>
      </c>
      <c r="DA125" s="182" t="n"/>
      <c r="DB125" s="182" t="n"/>
      <c r="DC125" s="256" t="n"/>
      <c r="DD125" s="365">
        <f>C125</f>
        <v/>
      </c>
      <c r="DE125" s="365" t="n">
        <v>2083117.9986</v>
      </c>
      <c r="DF125" s="13">
        <f>DE126</f>
        <v/>
      </c>
      <c r="DG125" s="388">
        <f>DE125-DF125</f>
        <v/>
      </c>
      <c r="DH125" s="389">
        <f>DG125/DF125</f>
        <v/>
      </c>
      <c r="DI125" s="182" t="n"/>
      <c r="DJ125" s="182" t="n"/>
      <c r="DK125" s="364" t="n"/>
      <c r="DL125" s="365">
        <f>C125</f>
        <v/>
      </c>
      <c r="DM125" s="365" t="n">
        <v>877900.36</v>
      </c>
      <c r="DN125" s="365">
        <f>DM126</f>
        <v/>
      </c>
      <c r="DO125" s="388">
        <f>DM125-DN125</f>
        <v/>
      </c>
      <c r="DP125" s="389">
        <f>DO125/DN125</f>
        <v/>
      </c>
      <c r="DQ125" s="182" t="n"/>
      <c r="DR125" s="182" t="n"/>
      <c r="DS125" s="364" t="n"/>
      <c r="DT125" s="365">
        <f>C125</f>
        <v/>
      </c>
      <c r="DU125" s="365" t="n">
        <v>1304789.48</v>
      </c>
      <c r="DV125" s="365">
        <f>DU126</f>
        <v/>
      </c>
      <c r="DW125" s="388">
        <f>DU125-DV125</f>
        <v/>
      </c>
      <c r="DX125" s="389">
        <f>DW125/DV125</f>
        <v/>
      </c>
      <c r="DY125" s="182" t="n"/>
      <c r="DZ125" s="182" t="n"/>
      <c r="EA125" s="364" t="n"/>
      <c r="EB125" s="365">
        <f>C125</f>
        <v/>
      </c>
      <c r="EC125" s="365" t="n">
        <v>3588866.82</v>
      </c>
      <c r="ED125" s="365">
        <f>EC126</f>
        <v/>
      </c>
      <c r="EE125" s="388">
        <f>EC125-ED125</f>
        <v/>
      </c>
      <c r="EF125" s="389">
        <f>EE125/ED125</f>
        <v/>
      </c>
      <c r="EG125" s="182" t="n"/>
      <c r="EH125" s="182" t="n"/>
      <c r="EI125" s="364" t="n"/>
      <c r="EJ125" s="365">
        <f>C125</f>
        <v/>
      </c>
      <c r="EK125" s="365" t="n">
        <v>1242322.9669</v>
      </c>
      <c r="EL125" s="365">
        <f>EK126</f>
        <v/>
      </c>
      <c r="EM125" s="388">
        <f>EK125-EL125</f>
        <v/>
      </c>
      <c r="EN125" s="389">
        <f>EM125/EL125</f>
        <v/>
      </c>
      <c r="EO125" s="182" t="n"/>
      <c r="EP125" s="182" t="n"/>
      <c r="EQ125" s="317" t="n"/>
      <c r="ER125" s="318">
        <f>C125</f>
        <v/>
      </c>
      <c r="ES125" s="318" t="n">
        <v>402647.02</v>
      </c>
      <c r="ET125" s="318">
        <f>ES126</f>
        <v/>
      </c>
      <c r="EU125" s="318">
        <f>ES125-ET125</f>
        <v/>
      </c>
      <c r="EV125" s="327">
        <f>EU125/ET125</f>
        <v/>
      </c>
      <c r="EW125" s="182" t="n"/>
      <c r="EX125" s="182" t="n"/>
      <c r="EY125" s="364" t="n"/>
      <c r="EZ125" s="365">
        <f>C125</f>
        <v/>
      </c>
      <c r="FA125" s="365" t="n">
        <v>636908</v>
      </c>
      <c r="FB125" s="365">
        <f>FA126</f>
        <v/>
      </c>
      <c r="FC125" s="388">
        <f>FA125-FB125</f>
        <v/>
      </c>
      <c r="FD125" s="389">
        <f>FC125/FB125</f>
        <v/>
      </c>
      <c r="FE125" s="182" t="n"/>
      <c r="FF125" s="182" t="n"/>
      <c r="FG125" s="182" t="n"/>
      <c r="FH125" s="365">
        <f>C125</f>
        <v/>
      </c>
      <c r="FI125" s="694" t="n">
        <v>1225895.3365</v>
      </c>
      <c r="FJ125" s="365">
        <f>FI126</f>
        <v/>
      </c>
      <c r="FK125" s="323">
        <f>FI125-FJ125</f>
        <v/>
      </c>
      <c r="FL125" s="324">
        <f>FK125/FJ125</f>
        <v/>
      </c>
      <c r="FM125" s="366" t="n"/>
      <c r="FN125" s="366" t="n"/>
      <c r="FO125" s="364" t="n"/>
      <c r="FP125" s="365">
        <f>C125</f>
        <v/>
      </c>
      <c r="FQ125" s="365" t="n">
        <v>1728418.73</v>
      </c>
      <c r="FR125" s="365">
        <f>FQ126</f>
        <v/>
      </c>
      <c r="FS125" s="390">
        <f>FQ125-FR125</f>
        <v/>
      </c>
      <c r="FT125" s="391">
        <f>FS125/FR125</f>
        <v/>
      </c>
      <c r="FU125" s="182" t="n"/>
      <c r="FV125" s="182" t="n"/>
      <c r="FW125" s="364" t="n"/>
      <c r="FX125" s="365">
        <f>C125</f>
        <v/>
      </c>
      <c r="FY125" s="365" t="n">
        <v>8219782.05</v>
      </c>
      <c r="FZ125" s="365">
        <f>FY126</f>
        <v/>
      </c>
      <c r="GA125" s="390">
        <f>FY125-FZ125</f>
        <v/>
      </c>
      <c r="GB125" s="391">
        <f>GA125/FZ125</f>
        <v/>
      </c>
      <c r="GC125" s="182" t="n"/>
      <c r="GD125" s="182" t="n"/>
      <c r="GE125" s="364" t="n"/>
      <c r="GF125" s="365">
        <f>C125</f>
        <v/>
      </c>
      <c r="GG125" s="365" t="n">
        <v>4784069.49</v>
      </c>
      <c r="GH125" s="365">
        <f>GG126</f>
        <v/>
      </c>
      <c r="GI125" s="388">
        <f>GG125-GH125</f>
        <v/>
      </c>
      <c r="GJ125" s="389">
        <f>GI125/GH125</f>
        <v/>
      </c>
      <c r="GK125" s="182" t="n"/>
      <c r="GL125" s="182" t="n"/>
      <c r="GM125" s="364" t="n"/>
      <c r="GN125" s="365">
        <f>C125</f>
        <v/>
      </c>
      <c r="GO125" s="365" t="n">
        <v>1883998.1217</v>
      </c>
      <c r="GP125" s="365">
        <f>GO126</f>
        <v/>
      </c>
      <c r="GQ125" s="390">
        <f>GO125-GP125</f>
        <v/>
      </c>
      <c r="GR125" s="391">
        <f>GQ125/GP125</f>
        <v/>
      </c>
      <c r="GS125" s="182" t="n"/>
      <c r="GT125" s="182" t="n"/>
      <c r="GU125" s="364" t="n"/>
      <c r="GV125" s="365">
        <f>C125</f>
        <v/>
      </c>
      <c r="GW125" s="365" t="n">
        <v>847349.4</v>
      </c>
      <c r="GX125" s="365">
        <f>GW126</f>
        <v/>
      </c>
      <c r="GY125" s="388">
        <f>GW125-GX125</f>
        <v/>
      </c>
      <c r="GZ125" s="389">
        <f>GY125/GX125</f>
        <v/>
      </c>
      <c r="HA125" s="182" t="n"/>
      <c r="HB125" s="182" t="n"/>
      <c r="HC125" s="364" t="n"/>
      <c r="HD125" s="365">
        <f>C125</f>
        <v/>
      </c>
      <c r="HE125" s="365" t="n">
        <v>1264864.6746</v>
      </c>
      <c r="HF125" s="365">
        <f>HE126</f>
        <v/>
      </c>
      <c r="HG125" s="390">
        <f>HE125-HF125</f>
        <v/>
      </c>
      <c r="HH125" s="391">
        <f>HG125/HF125</f>
        <v/>
      </c>
      <c r="HI125" s="366" t="n"/>
      <c r="HJ125" s="182" t="n"/>
      <c r="HK125" s="364" t="n"/>
      <c r="HL125" s="365">
        <f>C125</f>
        <v/>
      </c>
      <c r="HM125" s="365" t="n">
        <v>135554.25</v>
      </c>
      <c r="HN125" s="365">
        <f>HM126</f>
        <v/>
      </c>
      <c r="HO125" s="388">
        <f>HM125-HN125</f>
        <v/>
      </c>
      <c r="HP125" s="389">
        <f>HO125/HN125</f>
        <v/>
      </c>
      <c r="HQ125" s="182" t="n"/>
      <c r="HR125" s="182" t="n"/>
      <c r="HS125" s="364" t="n"/>
      <c r="HT125" s="365">
        <f>C125</f>
        <v/>
      </c>
      <c r="HU125" s="365" t="n">
        <v>194768.8265</v>
      </c>
      <c r="HV125" s="365">
        <f>HU126</f>
        <v/>
      </c>
      <c r="HW125" s="388">
        <f>HU125-HV125</f>
        <v/>
      </c>
      <c r="HX125" s="389">
        <f>HW125/HV125</f>
        <v/>
      </c>
      <c r="HY125" s="182" t="n"/>
      <c r="HZ125" s="182" t="n"/>
      <c r="IA125" s="364" t="n"/>
      <c r="IB125" s="365">
        <f>C125</f>
        <v/>
      </c>
      <c r="IC125" s="365" t="n">
        <v>365059.79</v>
      </c>
      <c r="ID125" s="365">
        <f>IC126</f>
        <v/>
      </c>
      <c r="IE125" s="365">
        <f>IC125-ID125</f>
        <v/>
      </c>
      <c r="IF125" s="366">
        <f>IE125/ID125</f>
        <v/>
      </c>
      <c r="IG125" s="366" t="n"/>
      <c r="IH125" s="182" t="n"/>
      <c r="II125" s="364" t="n"/>
      <c r="IJ125" s="365">
        <f>C125</f>
        <v/>
      </c>
      <c r="IK125" s="365" t="n">
        <v>635116.29</v>
      </c>
      <c r="IL125" s="365">
        <f>IK126</f>
        <v/>
      </c>
      <c r="IM125" s="390">
        <f>IK125-IL125</f>
        <v/>
      </c>
      <c r="IN125" s="391">
        <f>IM125/IL125</f>
        <v/>
      </c>
      <c r="IO125" s="182" t="n"/>
      <c r="IP125" s="182" t="n"/>
      <c r="IQ125" s="364" t="n"/>
      <c r="IR125" s="365">
        <f>C125</f>
        <v/>
      </c>
      <c r="IS125" s="365" t="n">
        <v>140589</v>
      </c>
      <c r="IT125" s="365">
        <f>IS126</f>
        <v/>
      </c>
      <c r="IU125" s="388">
        <f>IS125-IT125</f>
        <v/>
      </c>
      <c r="IV125" s="389">
        <f>IU125/IT125</f>
        <v/>
      </c>
      <c r="IW125" s="182" t="n"/>
      <c r="IX125" s="182" t="n"/>
      <c r="IY125" s="364" t="n"/>
      <c r="IZ125" s="365">
        <f>C125</f>
        <v/>
      </c>
      <c r="JA125" s="365" t="n">
        <v>5233129.15</v>
      </c>
      <c r="JB125" s="365">
        <f>JA126</f>
        <v/>
      </c>
      <c r="JC125" s="388">
        <f>JA125-JB125</f>
        <v/>
      </c>
      <c r="JD125" s="389">
        <f>JC125/JB125</f>
        <v/>
      </c>
      <c r="JE125" s="182" t="n"/>
      <c r="JF125" s="182" t="n"/>
      <c r="JG125" s="364" t="n"/>
      <c r="JH125" s="365">
        <f>C125</f>
        <v/>
      </c>
      <c r="JI125" s="365" t="n">
        <v>1322247.99</v>
      </c>
      <c r="JJ125" s="365">
        <f>JI126</f>
        <v/>
      </c>
      <c r="JK125" s="388">
        <f>JI125-JJ125</f>
        <v/>
      </c>
      <c r="JL125" s="389">
        <f>JK125/JJ125</f>
        <v/>
      </c>
      <c r="JM125" s="182" t="n"/>
      <c r="JN125" s="182" t="n"/>
      <c r="JO125" s="182" t="n"/>
      <c r="JP125" s="365">
        <f>C125</f>
        <v/>
      </c>
      <c r="JQ125" s="365" t="n">
        <v>1021090.4148</v>
      </c>
      <c r="JR125" s="365">
        <f>JQ126</f>
        <v/>
      </c>
      <c r="JS125" s="388">
        <f>JQ125-JR125</f>
        <v/>
      </c>
      <c r="JT125" s="389">
        <f>JS125/JR125</f>
        <v/>
      </c>
      <c r="JU125" s="182" t="n"/>
      <c r="JV125" s="182" t="n"/>
      <c r="JW125" s="383" t="n"/>
      <c r="JX125" s="365">
        <f>C125</f>
        <v/>
      </c>
      <c r="JY125" s="365" t="n">
        <v>1183698.8</v>
      </c>
      <c r="JZ125" s="365">
        <f>JY126</f>
        <v/>
      </c>
      <c r="KA125" s="390">
        <f>JY125-JZ125</f>
        <v/>
      </c>
      <c r="KB125" s="391">
        <f>KA125/JZ125</f>
        <v/>
      </c>
      <c r="KC125" s="182" t="n"/>
      <c r="KD125" s="182" t="n"/>
      <c r="KE125" s="383" t="n"/>
      <c r="KF125" s="365">
        <f>C125</f>
        <v/>
      </c>
      <c r="KG125" s="365" t="n">
        <v>703555.9219</v>
      </c>
      <c r="KH125" s="365">
        <f>KG126</f>
        <v/>
      </c>
      <c r="KI125" s="384">
        <f>KG125-KH125</f>
        <v/>
      </c>
      <c r="KJ125" s="383">
        <f>KI125/KH125</f>
        <v/>
      </c>
      <c r="KK125" s="366" t="n"/>
      <c r="KL125" s="366" t="n"/>
      <c r="KM125" s="364" t="n"/>
      <c r="KN125" s="365">
        <f>C125</f>
        <v/>
      </c>
      <c r="KO125" s="365" t="n">
        <v>8328775.95</v>
      </c>
      <c r="KP125" s="365">
        <f>KO126</f>
        <v/>
      </c>
      <c r="KQ125" s="390">
        <f>KO125-KP125</f>
        <v/>
      </c>
      <c r="KR125" s="391">
        <f>KQ125/KP125</f>
        <v/>
      </c>
      <c r="KS125" s="182" t="n"/>
      <c r="KT125" s="182" t="n"/>
      <c r="KU125" s="364" t="n"/>
      <c r="KV125" s="365">
        <f>C125</f>
        <v/>
      </c>
      <c r="KW125" s="365" t="n">
        <v>1095772.9726</v>
      </c>
      <c r="KX125" s="365">
        <f>KW126</f>
        <v/>
      </c>
      <c r="KY125" s="365">
        <f>KW125-KX125</f>
        <v/>
      </c>
      <c r="KZ125" s="366">
        <f>KY125/KX125</f>
        <v/>
      </c>
      <c r="LA125" s="366" t="n"/>
      <c r="LB125" s="182" t="n"/>
      <c r="LC125" s="364" t="n"/>
      <c r="LD125" s="365">
        <f>C125</f>
        <v/>
      </c>
      <c r="LE125" s="365" t="n">
        <v>453857.7</v>
      </c>
      <c r="LF125" s="365">
        <f>LE126</f>
        <v/>
      </c>
      <c r="LG125" s="388">
        <f>LE125-LF125</f>
        <v/>
      </c>
      <c r="LH125" s="389">
        <f>LG125/LF125</f>
        <v/>
      </c>
      <c r="LI125" s="182" t="n"/>
      <c r="LJ125" s="182" t="n"/>
      <c r="LK125" s="364" t="n"/>
      <c r="LL125" s="365">
        <f>C125</f>
        <v/>
      </c>
      <c r="LM125" s="694" t="n">
        <v>3508495.02</v>
      </c>
      <c r="LN125" s="365">
        <f>LM126</f>
        <v/>
      </c>
      <c r="LO125" s="390">
        <f>LM125-LN125</f>
        <v/>
      </c>
      <c r="LP125" s="391">
        <f>LO125/LN125</f>
        <v/>
      </c>
      <c r="LQ125" s="182" t="n"/>
      <c r="LR125" s="182" t="n"/>
      <c r="LS125" s="364" t="n"/>
      <c r="LT125" s="365">
        <f>C125</f>
        <v/>
      </c>
      <c r="LU125" s="365" t="n">
        <v>2457262.904</v>
      </c>
      <c r="LV125" s="365">
        <f>LU126</f>
        <v/>
      </c>
      <c r="LW125" s="390">
        <f>LU125-LV125</f>
        <v/>
      </c>
      <c r="LX125" s="391">
        <f>LW125/LV125</f>
        <v/>
      </c>
      <c r="LY125" s="182" t="n"/>
      <c r="LZ125" s="182" t="n"/>
      <c r="MA125" s="364" t="n"/>
      <c r="MB125" s="365">
        <f>C125</f>
        <v/>
      </c>
      <c r="MC125" s="365" t="n">
        <v>934117.6899999999</v>
      </c>
      <c r="MD125" s="365">
        <f>MC126</f>
        <v/>
      </c>
      <c r="ME125" s="390">
        <f>MC125-MD125</f>
        <v/>
      </c>
      <c r="MF125" s="391">
        <f>ME125/MD125</f>
        <v/>
      </c>
      <c r="MG125" s="182" t="n"/>
      <c r="MH125" s="182" t="n"/>
      <c r="MI125" s="319" t="n"/>
      <c r="MJ125" s="318" t="n"/>
      <c r="MK125" s="318">
        <f>C125</f>
        <v/>
      </c>
      <c r="ML125" s="318" t="n">
        <v>186465.5354</v>
      </c>
      <c r="MM125" s="13">
        <f>ML126</f>
        <v/>
      </c>
      <c r="MN125" s="318">
        <f>ML125-MM125</f>
        <v/>
      </c>
      <c r="MO125" s="327">
        <f>MN125/MM125</f>
        <v/>
      </c>
      <c r="MP125" s="182" t="n"/>
      <c r="MQ125" s="369" t="n"/>
      <c r="MR125" s="369" t="n"/>
      <c r="MS125" s="366" t="n"/>
      <c r="MT125" s="25">
        <f>C125</f>
        <v/>
      </c>
      <c r="MU125" s="0" t="n">
        <v>176814.8</v>
      </c>
      <c r="MV125" s="0">
        <f>MU126</f>
        <v/>
      </c>
      <c r="MW125" s="0">
        <f>MU125-MV125</f>
        <v/>
      </c>
      <c r="MX125" s="182">
        <f>MW125/MV125</f>
        <v/>
      </c>
      <c r="MY125" s="182" t="n"/>
      <c r="MZ125" s="182" t="n"/>
      <c r="NA125" s="182" t="n"/>
      <c r="NB125" s="182" t="n"/>
      <c r="NC125" s="9">
        <f>C125</f>
        <v/>
      </c>
      <c r="ND125" s="0" t="n">
        <v>40691.48</v>
      </c>
      <c r="NE125" s="0">
        <f>ND126</f>
        <v/>
      </c>
      <c r="NF125" s="0">
        <f>ND125-NE125</f>
        <v/>
      </c>
      <c r="NG125" s="182">
        <f>NF125/NE125</f>
        <v/>
      </c>
      <c r="NH125" s="182" t="n"/>
      <c r="NI125" s="182" t="n"/>
      <c r="NJ125" s="182" t="n"/>
      <c r="NK125" s="182" t="n"/>
      <c r="NL125" s="9" t="n"/>
      <c r="NM125" s="9">
        <f>C125</f>
        <v/>
      </c>
      <c r="NN125" s="0" t="n">
        <v>2667411.08</v>
      </c>
      <c r="NO125" s="0">
        <f>NN126</f>
        <v/>
      </c>
      <c r="NP125" s="0">
        <f>NN125-NO125</f>
        <v/>
      </c>
      <c r="NQ125" s="182">
        <f>NP125/NO125</f>
        <v/>
      </c>
      <c r="NR125" s="182" t="n"/>
      <c r="NS125" s="9" t="n"/>
      <c r="NU125" s="9">
        <f>C125</f>
        <v/>
      </c>
      <c r="NV125" s="364" t="n">
        <v>257476.5</v>
      </c>
      <c r="NW125" s="364">
        <f>NV126</f>
        <v/>
      </c>
      <c r="NX125" s="364">
        <f>NV125-NW125</f>
        <v/>
      </c>
      <c r="NY125" s="366">
        <f>NX125/NW125</f>
        <v/>
      </c>
      <c r="NZ125" s="366" t="n"/>
      <c r="OA125" s="364" t="n"/>
      <c r="OB125" s="364" t="n"/>
      <c r="OC125" s="365">
        <f>C125</f>
        <v/>
      </c>
      <c r="OD125" s="365" t="n">
        <v>15253.97</v>
      </c>
      <c r="OE125" s="365">
        <f>OD126</f>
        <v/>
      </c>
      <c r="OF125" s="388">
        <f>OD125-OE125</f>
        <v/>
      </c>
      <c r="OG125" s="389">
        <f>OF125/OE125</f>
        <v/>
      </c>
      <c r="OH125" s="182" t="n"/>
      <c r="OI125" s="182" t="n"/>
      <c r="OJ125" s="364" t="n"/>
      <c r="OK125" s="365">
        <f>C125</f>
        <v/>
      </c>
      <c r="OL125" s="185" t="n">
        <v>14273.65</v>
      </c>
      <c r="OM125" s="9">
        <f>OL126</f>
        <v/>
      </c>
      <c r="ON125" s="9">
        <f>OL125-OM125</f>
        <v/>
      </c>
      <c r="OO125" s="182">
        <f>ON125/OM125</f>
        <v/>
      </c>
      <c r="OP125" s="182" t="n"/>
      <c r="OQ125" s="182" t="n"/>
      <c r="OT125" s="25">
        <f>OK125</f>
        <v/>
      </c>
      <c r="OU125" s="199" t="n">
        <v>147432.4066</v>
      </c>
      <c r="OV125" s="9">
        <f>OU126</f>
        <v/>
      </c>
      <c r="OW125" s="671">
        <f>OU125-OV125</f>
        <v/>
      </c>
      <c r="OX125" s="182">
        <f>OW125/OV125</f>
        <v/>
      </c>
    </row>
    <row r="126" ht="17" customFormat="1" customHeight="1" s="9">
      <c r="A126" s="631" t="n"/>
      <c r="B126" s="631" t="n"/>
      <c r="C126" s="693" t="inlineStr">
        <is>
          <t>2026//5/18</t>
        </is>
      </c>
      <c r="D126" s="362" t="n">
        <v>3218268.77</v>
      </c>
      <c r="E126" s="362">
        <f>D127</f>
        <v/>
      </c>
      <c r="F126" s="377">
        <f>D126-E126</f>
        <v/>
      </c>
      <c r="G126" s="378">
        <f>F126/E126</f>
        <v/>
      </c>
      <c r="H126" s="19" t="n"/>
      <c r="I126" s="426" t="n"/>
      <c r="J126" s="426" t="n"/>
      <c r="K126" s="362">
        <f>C126</f>
        <v/>
      </c>
      <c r="L126" s="362" t="n">
        <v>2558314.4</v>
      </c>
      <c r="M126" s="362">
        <f>L127</f>
        <v/>
      </c>
      <c r="N126" s="377">
        <f>L126-M126</f>
        <v/>
      </c>
      <c r="O126" s="378">
        <f>N126/M126</f>
        <v/>
      </c>
      <c r="P126" s="19" t="n"/>
      <c r="Q126" s="426" t="n"/>
      <c r="R126" s="427" t="n"/>
      <c r="S126" s="362">
        <f>C126</f>
        <v/>
      </c>
      <c r="T126" s="362" t="n">
        <v>1223436.68</v>
      </c>
      <c r="U126" s="362">
        <f>T127</f>
        <v/>
      </c>
      <c r="V126" s="377">
        <f>T126-U126</f>
        <v/>
      </c>
      <c r="W126" s="378">
        <f>V126/U126</f>
        <v/>
      </c>
      <c r="X126" s="19" t="n"/>
      <c r="Y126" s="426" t="n"/>
      <c r="Z126" s="427" t="n"/>
      <c r="AA126" s="362">
        <f>S126</f>
        <v/>
      </c>
      <c r="AB126" s="362" t="n">
        <v>512816.86</v>
      </c>
      <c r="AC126" s="362">
        <f>AB127</f>
        <v/>
      </c>
      <c r="AD126" s="377">
        <f>AB126-AC126</f>
        <v/>
      </c>
      <c r="AE126" s="378">
        <f>AD126/AC126</f>
        <v/>
      </c>
      <c r="AF126" s="19" t="n"/>
      <c r="AG126" s="426" t="n"/>
      <c r="AH126" s="427" t="n"/>
      <c r="AI126" s="362">
        <f>C126</f>
        <v/>
      </c>
      <c r="AJ126" s="362" t="n">
        <v>337521.76</v>
      </c>
      <c r="AK126" s="362">
        <f>AJ127</f>
        <v/>
      </c>
      <c r="AL126" s="377">
        <f>AJ126-AK126</f>
        <v/>
      </c>
      <c r="AM126" s="378">
        <f>AL126/AK126</f>
        <v/>
      </c>
      <c r="AN126" s="19" t="n"/>
      <c r="AO126" s="19" t="n"/>
      <c r="AP126" s="427" t="n"/>
      <c r="AQ126" s="362">
        <f>C126</f>
        <v/>
      </c>
      <c r="AR126" s="697" t="n">
        <v>1180945.4936</v>
      </c>
      <c r="AS126" s="362">
        <f>AR127</f>
        <v/>
      </c>
      <c r="AT126" s="377">
        <f>AR126-AS126</f>
        <v/>
      </c>
      <c r="AU126" s="378">
        <f>AT126/AS126</f>
        <v/>
      </c>
      <c r="AV126" s="19" t="n"/>
      <c r="AW126" s="19" t="n"/>
      <c r="AX126" s="5" t="n"/>
      <c r="AY126" s="5" t="n"/>
      <c r="AZ126" s="5">
        <f>C126</f>
        <v/>
      </c>
      <c r="BA126" s="5" t="n">
        <v>1523361.6676</v>
      </c>
      <c r="BB126" s="5">
        <f>BA127</f>
        <v/>
      </c>
      <c r="BC126" s="5">
        <f>BA126-BB126</f>
        <v/>
      </c>
      <c r="BD126" s="19">
        <f>BC126/BB126</f>
        <v/>
      </c>
      <c r="BE126" s="19" t="n"/>
      <c r="BF126" s="19" t="n"/>
      <c r="BG126" s="647" t="n"/>
      <c r="BH126" s="363">
        <f>C126</f>
        <v/>
      </c>
      <c r="BI126" s="363" t="n">
        <v>1506126.5525</v>
      </c>
      <c r="BJ126" s="363">
        <f>BI127</f>
        <v/>
      </c>
      <c r="BK126" s="435">
        <f>BI126-BJ126</f>
        <v/>
      </c>
      <c r="BL126" s="436">
        <f>BK126/BJ126</f>
        <v/>
      </c>
      <c r="BM126" s="191" t="n"/>
      <c r="BN126" s="182" t="n"/>
      <c r="BO126" s="364" t="n"/>
      <c r="BP126" s="365">
        <f>C126</f>
        <v/>
      </c>
      <c r="BQ126" s="694" t="n">
        <v>1101362.3921</v>
      </c>
      <c r="BR126" s="365">
        <f>BQ127</f>
        <v/>
      </c>
      <c r="BS126" s="390">
        <f>BQ126-BR126</f>
        <v/>
      </c>
      <c r="BT126" s="391">
        <f>BS126/BR126</f>
        <v/>
      </c>
      <c r="BU126" s="182" t="n"/>
      <c r="BV126" s="182" t="n"/>
      <c r="BW126" s="364" t="n"/>
      <c r="BX126" s="365">
        <f>C126</f>
        <v/>
      </c>
      <c r="BY126" s="365" t="n">
        <v>2549260.7019</v>
      </c>
      <c r="BZ126" s="365">
        <f>BY127</f>
        <v/>
      </c>
      <c r="CA126" s="388">
        <f>BY126-BZ126</f>
        <v/>
      </c>
      <c r="CB126" s="389">
        <f>CA126/BZ126</f>
        <v/>
      </c>
      <c r="CC126" s="182" t="n"/>
      <c r="CD126" s="383" t="n"/>
      <c r="CE126" s="364" t="n"/>
      <c r="CF126" s="365">
        <f>C126</f>
        <v/>
      </c>
      <c r="CG126" s="365" t="n">
        <v>1287453.9</v>
      </c>
      <c r="CH126" s="13">
        <f>CG127</f>
        <v/>
      </c>
      <c r="CI126" s="13">
        <f>CG126-CH126</f>
        <v/>
      </c>
      <c r="CJ126" s="193">
        <f>CI126/CH126</f>
        <v/>
      </c>
      <c r="CK126" s="182" t="n"/>
      <c r="CL126" s="366" t="n"/>
      <c r="CM126" s="364" t="n"/>
      <c r="CN126" s="365">
        <f>C126</f>
        <v/>
      </c>
      <c r="CO126" s="365" t="n">
        <v>600146.48</v>
      </c>
      <c r="CP126" s="365">
        <f>CO127</f>
        <v/>
      </c>
      <c r="CQ126" s="13">
        <f>CO126-CP126</f>
        <v/>
      </c>
      <c r="CR126" s="193">
        <f>CQ126/CP126</f>
        <v/>
      </c>
      <c r="CS126" s="366" t="n"/>
      <c r="CT126" s="366" t="n"/>
      <c r="CU126" s="364" t="n"/>
      <c r="CV126" s="365">
        <f>C126</f>
        <v/>
      </c>
      <c r="CW126" s="365" t="n">
        <v>578990.4</v>
      </c>
      <c r="CX126" s="365">
        <f>CW127</f>
        <v/>
      </c>
      <c r="CY126" s="388">
        <f>CW126-CX126</f>
        <v/>
      </c>
      <c r="CZ126" s="389">
        <f>CY126/CX126</f>
        <v/>
      </c>
      <c r="DA126" s="182" t="n"/>
      <c r="DB126" s="182" t="n"/>
      <c r="DC126" s="256" t="n"/>
      <c r="DD126" s="365">
        <f>C126</f>
        <v/>
      </c>
      <c r="DE126" s="365" t="n">
        <v>2027917.9986</v>
      </c>
      <c r="DF126" s="13">
        <f>DE127</f>
        <v/>
      </c>
      <c r="DG126" s="388">
        <f>DE126-DF126</f>
        <v/>
      </c>
      <c r="DH126" s="389">
        <f>DG126/DF126</f>
        <v/>
      </c>
      <c r="DI126" s="182" t="n"/>
      <c r="DJ126" s="182" t="n"/>
      <c r="DK126" s="364" t="n"/>
      <c r="DL126" s="365">
        <f>C126</f>
        <v/>
      </c>
      <c r="DM126" s="365" t="n">
        <v>904700.36</v>
      </c>
      <c r="DN126" s="365">
        <f>DM127</f>
        <v/>
      </c>
      <c r="DO126" s="388">
        <f>DM126-DN126</f>
        <v/>
      </c>
      <c r="DP126" s="389">
        <f>DO126/DN126</f>
        <v/>
      </c>
      <c r="DQ126" s="182" t="n"/>
      <c r="DR126" s="182" t="n"/>
      <c r="DS126" s="364" t="n"/>
      <c r="DT126" s="365">
        <f>C126</f>
        <v/>
      </c>
      <c r="DU126" s="365" t="n">
        <v>1317689.48</v>
      </c>
      <c r="DV126" s="365">
        <f>DU127</f>
        <v/>
      </c>
      <c r="DW126" s="388">
        <f>DU126-DV126</f>
        <v/>
      </c>
      <c r="DX126" s="389">
        <f>DW126/DV126</f>
        <v/>
      </c>
      <c r="DY126" s="182" t="n"/>
      <c r="DZ126" s="182" t="n"/>
      <c r="EA126" s="364" t="n"/>
      <c r="EB126" s="365">
        <f>C126</f>
        <v/>
      </c>
      <c r="EC126" s="365" t="n">
        <v>3629066.82</v>
      </c>
      <c r="ED126" s="365">
        <f>EC127</f>
        <v/>
      </c>
      <c r="EE126" s="388">
        <f>EC126-ED126</f>
        <v/>
      </c>
      <c r="EF126" s="389">
        <f>EE126/ED126</f>
        <v/>
      </c>
      <c r="EG126" s="182" t="n"/>
      <c r="EH126" s="182" t="n"/>
      <c r="EI126" s="364" t="n"/>
      <c r="EJ126" s="365">
        <f>C126</f>
        <v/>
      </c>
      <c r="EK126" s="365" t="n">
        <v>1243122.9669</v>
      </c>
      <c r="EL126" s="365">
        <f>EK127</f>
        <v/>
      </c>
      <c r="EM126" s="388">
        <f>EK126-EL126</f>
        <v/>
      </c>
      <c r="EN126" s="389">
        <f>EM126/EL126</f>
        <v/>
      </c>
      <c r="EO126" s="182" t="n"/>
      <c r="EP126" s="182" t="n"/>
      <c r="EQ126" s="317" t="n"/>
      <c r="ER126" s="318">
        <f>C126</f>
        <v/>
      </c>
      <c r="ES126" s="318" t="n">
        <v>404147.02</v>
      </c>
      <c r="ET126" s="318">
        <f>ES127</f>
        <v/>
      </c>
      <c r="EU126" s="318">
        <f>ES126-ET126</f>
        <v/>
      </c>
      <c r="EV126" s="327">
        <f>EU126/ET126</f>
        <v/>
      </c>
      <c r="EW126" s="182" t="n"/>
      <c r="EX126" s="182" t="n"/>
      <c r="EY126" s="364" t="n"/>
      <c r="EZ126" s="365">
        <f>C126</f>
        <v/>
      </c>
      <c r="FA126" s="365" t="n">
        <v>637808</v>
      </c>
      <c r="FB126" s="365">
        <f>FA127</f>
        <v/>
      </c>
      <c r="FC126" s="390">
        <f>FA126-FB126</f>
        <v/>
      </c>
      <c r="FD126" s="391">
        <f>FC126/FB126</f>
        <v/>
      </c>
      <c r="FE126" s="182" t="n"/>
      <c r="FF126" s="182" t="n"/>
      <c r="FG126" s="182" t="n"/>
      <c r="FH126" s="365">
        <f>C126</f>
        <v/>
      </c>
      <c r="FI126" s="694" t="n">
        <v>1222795.3365</v>
      </c>
      <c r="FJ126" s="365">
        <f>FI127</f>
        <v/>
      </c>
      <c r="FK126" s="325">
        <f>FI126-FJ126</f>
        <v/>
      </c>
      <c r="FL126" s="326">
        <f>FK126/FJ126</f>
        <v/>
      </c>
      <c r="FM126" s="366" t="n"/>
      <c r="FN126" s="366" t="n"/>
      <c r="FO126" s="364" t="n"/>
      <c r="FP126" s="365">
        <f>C126</f>
        <v/>
      </c>
      <c r="FQ126" s="365" t="n">
        <v>1720318.73</v>
      </c>
      <c r="FR126" s="365">
        <f>FQ127</f>
        <v/>
      </c>
      <c r="FS126" s="390">
        <f>FQ126-FR126</f>
        <v/>
      </c>
      <c r="FT126" s="391">
        <f>FS126/FR126</f>
        <v/>
      </c>
      <c r="FU126" s="182" t="n"/>
      <c r="FV126" s="182" t="n"/>
      <c r="FW126" s="364" t="n"/>
      <c r="FX126" s="365">
        <f>C126</f>
        <v/>
      </c>
      <c r="FY126" s="365" t="n">
        <v>8194882.05</v>
      </c>
      <c r="FZ126" s="365">
        <f>FY127</f>
        <v/>
      </c>
      <c r="GA126" s="388">
        <f>FY126-FZ126</f>
        <v/>
      </c>
      <c r="GB126" s="389">
        <f>GA126/FZ126</f>
        <v/>
      </c>
      <c r="GC126" s="182" t="n"/>
      <c r="GD126" s="182" t="n"/>
      <c r="GE126" s="364" t="n"/>
      <c r="GF126" s="365">
        <f>C126</f>
        <v/>
      </c>
      <c r="GG126" s="365" t="n">
        <v>4740569.49</v>
      </c>
      <c r="GH126" s="365">
        <f>GG127</f>
        <v/>
      </c>
      <c r="GI126" s="388">
        <f>GG126-GH126</f>
        <v/>
      </c>
      <c r="GJ126" s="389">
        <f>GI126/GH126</f>
        <v/>
      </c>
      <c r="GK126" s="182" t="n"/>
      <c r="GL126" s="182" t="n"/>
      <c r="GM126" s="364" t="n"/>
      <c r="GN126" s="365">
        <f>C126</f>
        <v/>
      </c>
      <c r="GO126" s="365" t="n">
        <v>1888018.1217</v>
      </c>
      <c r="GP126" s="365">
        <f>GO127</f>
        <v/>
      </c>
      <c r="GQ126" s="388">
        <f>GO126-GP126</f>
        <v/>
      </c>
      <c r="GR126" s="389">
        <f>GQ126/GP126</f>
        <v/>
      </c>
      <c r="GS126" s="182" t="n"/>
      <c r="GT126" s="182" t="n"/>
      <c r="GU126" s="364" t="n"/>
      <c r="GV126" s="365">
        <f>C126</f>
        <v/>
      </c>
      <c r="GW126" s="365" t="n">
        <v>848349.4</v>
      </c>
      <c r="GX126" s="365">
        <f>GW127</f>
        <v/>
      </c>
      <c r="GY126" s="390">
        <f>GW126-GX126</f>
        <v/>
      </c>
      <c r="GZ126" s="391">
        <f>GY126/GX126</f>
        <v/>
      </c>
      <c r="HA126" s="182" t="n"/>
      <c r="HB126" s="182" t="n"/>
      <c r="HC126" s="364" t="n"/>
      <c r="HD126" s="365">
        <f>C126</f>
        <v/>
      </c>
      <c r="HE126" s="365" t="n">
        <v>1276564.6746</v>
      </c>
      <c r="HF126" s="365">
        <f>HE127</f>
        <v/>
      </c>
      <c r="HG126" s="390">
        <f>HE126-HF126</f>
        <v/>
      </c>
      <c r="HH126" s="391">
        <f>HG126/HF126</f>
        <v/>
      </c>
      <c r="HI126" s="366" t="n"/>
      <c r="HJ126" s="182" t="n"/>
      <c r="HK126" s="364" t="n"/>
      <c r="HL126" s="365">
        <f>C126</f>
        <v/>
      </c>
      <c r="HM126" s="365" t="n">
        <v>137254.25</v>
      </c>
      <c r="HN126" s="365">
        <f>HM127</f>
        <v/>
      </c>
      <c r="HO126" s="388">
        <f>HM126-HN126</f>
        <v/>
      </c>
      <c r="HP126" s="389">
        <f>HO126/HN126</f>
        <v/>
      </c>
      <c r="HQ126" s="182" t="n"/>
      <c r="HR126" s="182" t="n"/>
      <c r="HS126" s="364" t="n"/>
      <c r="HT126" s="365">
        <f>C126</f>
        <v/>
      </c>
      <c r="HU126" s="365" t="n">
        <v>200568.8265</v>
      </c>
      <c r="HV126" s="365">
        <f>HU127</f>
        <v/>
      </c>
      <c r="HW126" s="388">
        <f>HU126-HV126</f>
        <v/>
      </c>
      <c r="HX126" s="389">
        <f>HW126/HV126</f>
        <v/>
      </c>
      <c r="HY126" s="182" t="n"/>
      <c r="HZ126" s="182" t="n"/>
      <c r="IA126" s="364" t="n"/>
      <c r="IB126" s="365">
        <f>C126</f>
        <v/>
      </c>
      <c r="IC126" s="365" t="n">
        <v>365534.79</v>
      </c>
      <c r="ID126" s="365">
        <f>IC127</f>
        <v/>
      </c>
      <c r="IE126" s="365">
        <f>IC126-ID126</f>
        <v/>
      </c>
      <c r="IF126" s="366">
        <f>IE126/ID126</f>
        <v/>
      </c>
      <c r="IG126" s="366" t="n"/>
      <c r="IH126" s="182" t="n"/>
      <c r="II126" s="364" t="n"/>
      <c r="IJ126" s="365">
        <f>C126</f>
        <v/>
      </c>
      <c r="IK126" s="365" t="n">
        <v>626076.29</v>
      </c>
      <c r="IL126" s="365">
        <f>IK127</f>
        <v/>
      </c>
      <c r="IM126" s="388">
        <f>IK126-IL126</f>
        <v/>
      </c>
      <c r="IN126" s="389">
        <f>IM126/IL126</f>
        <v/>
      </c>
      <c r="IO126" s="182" t="n"/>
      <c r="IP126" s="182" t="n"/>
      <c r="IQ126" s="364" t="n"/>
      <c r="IR126" s="365">
        <f>C126</f>
        <v/>
      </c>
      <c r="IS126" s="365" t="n">
        <v>136889</v>
      </c>
      <c r="IT126" s="365">
        <f>IS127</f>
        <v/>
      </c>
      <c r="IU126" s="388">
        <f>IS126-IT126</f>
        <v/>
      </c>
      <c r="IV126" s="389">
        <f>IU126/IT126</f>
        <v/>
      </c>
      <c r="IW126" s="182" t="n"/>
      <c r="IX126" s="182" t="n"/>
      <c r="IY126" s="364" t="n"/>
      <c r="IZ126" s="365">
        <f>C126</f>
        <v/>
      </c>
      <c r="JA126" s="365" t="n">
        <v>5231829.15</v>
      </c>
      <c r="JB126" s="365">
        <f>JA127</f>
        <v/>
      </c>
      <c r="JC126" s="390">
        <f>JA126-JB126</f>
        <v/>
      </c>
      <c r="JD126" s="391">
        <f>JC126/JB126</f>
        <v/>
      </c>
      <c r="JE126" s="182" t="n"/>
      <c r="JF126" s="182" t="n"/>
      <c r="JG126" s="364" t="n"/>
      <c r="JH126" s="365">
        <f>C126</f>
        <v/>
      </c>
      <c r="JI126" s="365" t="n">
        <v>1324347.99</v>
      </c>
      <c r="JJ126" s="365">
        <f>JI127</f>
        <v/>
      </c>
      <c r="JK126" s="390">
        <f>JI126-JJ126</f>
        <v/>
      </c>
      <c r="JL126" s="391">
        <f>JK126/JJ126</f>
        <v/>
      </c>
      <c r="JM126" s="182" t="n"/>
      <c r="JN126" s="182" t="n"/>
      <c r="JO126" s="182" t="n"/>
      <c r="JP126" s="365">
        <f>C126</f>
        <v/>
      </c>
      <c r="JQ126" s="365" t="n">
        <v>1031590.4148</v>
      </c>
      <c r="JR126" s="365">
        <f>JQ127</f>
        <v/>
      </c>
      <c r="JS126" s="388">
        <f>JQ126-JR126</f>
        <v/>
      </c>
      <c r="JT126" s="389">
        <f>JS126/JR126</f>
        <v/>
      </c>
      <c r="JU126" s="182" t="n"/>
      <c r="JV126" s="182" t="n"/>
      <c r="JW126" s="383" t="n"/>
      <c r="JX126" s="365">
        <f>C126</f>
        <v/>
      </c>
      <c r="JY126" s="365" t="n">
        <v>1184248.8</v>
      </c>
      <c r="JZ126" s="365">
        <f>JY127</f>
        <v/>
      </c>
      <c r="KA126" s="390">
        <f>JY126-JZ126</f>
        <v/>
      </c>
      <c r="KB126" s="391">
        <f>KA126/JZ126</f>
        <v/>
      </c>
      <c r="KC126" s="182" t="n"/>
      <c r="KD126" s="182" t="n"/>
      <c r="KE126" s="383" t="n"/>
      <c r="KF126" s="365">
        <f>C126</f>
        <v/>
      </c>
      <c r="KG126" s="365" t="n">
        <v>703555.9219</v>
      </c>
      <c r="KH126" s="365">
        <f>KG127</f>
        <v/>
      </c>
      <c r="KI126" s="388">
        <f>KG126-KH126</f>
        <v/>
      </c>
      <c r="KJ126" s="389">
        <f>KI126/KH126</f>
        <v/>
      </c>
      <c r="KK126" s="366" t="n"/>
      <c r="KL126" s="366" t="n"/>
      <c r="KM126" s="364" t="n"/>
      <c r="KN126" s="365">
        <f>C126</f>
        <v/>
      </c>
      <c r="KO126" s="365" t="n">
        <v>8328775.95</v>
      </c>
      <c r="KP126" s="365">
        <f>KO127</f>
        <v/>
      </c>
      <c r="KQ126" s="390">
        <f>KO126-KP126</f>
        <v/>
      </c>
      <c r="KR126" s="391">
        <f>KQ126/KP126</f>
        <v/>
      </c>
      <c r="KS126" s="182" t="n"/>
      <c r="KT126" s="182" t="n"/>
      <c r="KU126" s="364" t="n"/>
      <c r="KV126" s="365">
        <f>C126</f>
        <v/>
      </c>
      <c r="KW126" s="365" t="n">
        <v>1087872.9726</v>
      </c>
      <c r="KX126" s="365">
        <f>KW127</f>
        <v/>
      </c>
      <c r="KY126" s="365">
        <f>KW126-KX126</f>
        <v/>
      </c>
      <c r="KZ126" s="366">
        <f>KY126/KX126</f>
        <v/>
      </c>
      <c r="LA126" s="366" t="n"/>
      <c r="LB126" s="182" t="n"/>
      <c r="LC126" s="364" t="n"/>
      <c r="LD126" s="365">
        <f>C126</f>
        <v/>
      </c>
      <c r="LE126" s="365" t="n">
        <v>466107.7</v>
      </c>
      <c r="LF126" s="365">
        <f>LE127</f>
        <v/>
      </c>
      <c r="LG126" s="388">
        <f>LE126-LF126</f>
        <v/>
      </c>
      <c r="LH126" s="389">
        <f>LG126/LF126</f>
        <v/>
      </c>
      <c r="LI126" s="182" t="n"/>
      <c r="LJ126" s="182" t="n"/>
      <c r="LK126" s="364" t="n"/>
      <c r="LL126" s="365">
        <f>C126</f>
        <v/>
      </c>
      <c r="LM126" s="694" t="n">
        <v>3530635.02</v>
      </c>
      <c r="LN126" s="365">
        <f>LM127</f>
        <v/>
      </c>
      <c r="LO126" s="390">
        <f>LM126-LN126</f>
        <v/>
      </c>
      <c r="LP126" s="391">
        <f>LO126/LN126</f>
        <v/>
      </c>
      <c r="LQ126" s="182" t="n"/>
      <c r="LR126" s="182" t="n"/>
      <c r="LS126" s="364" t="n"/>
      <c r="LT126" s="365">
        <f>C126</f>
        <v/>
      </c>
      <c r="LU126" s="365" t="n">
        <v>2453062.904</v>
      </c>
      <c r="LV126" s="365">
        <f>LU127</f>
        <v/>
      </c>
      <c r="LW126" s="390">
        <f>LU126-LV126</f>
        <v/>
      </c>
      <c r="LX126" s="391">
        <f>LW126/LV126</f>
        <v/>
      </c>
      <c r="LY126" s="182" t="n"/>
      <c r="LZ126" s="182" t="n"/>
      <c r="MA126" s="364" t="n"/>
      <c r="MB126" s="365">
        <f>C126</f>
        <v/>
      </c>
      <c r="MC126" s="365" t="n">
        <v>922617.6899999999</v>
      </c>
      <c r="MD126" s="365">
        <f>MC127</f>
        <v/>
      </c>
      <c r="ME126" s="388">
        <f>MC126-MD126</f>
        <v/>
      </c>
      <c r="MF126" s="389">
        <f>ME126/MD126</f>
        <v/>
      </c>
      <c r="MG126" s="182" t="n"/>
      <c r="MH126" s="182" t="n"/>
      <c r="MI126" s="319" t="n"/>
      <c r="MJ126" s="318" t="n"/>
      <c r="MK126" s="318">
        <f>C126</f>
        <v/>
      </c>
      <c r="ML126" s="318" t="n">
        <v>184305.5354</v>
      </c>
      <c r="MM126" s="13">
        <f>ML127</f>
        <v/>
      </c>
      <c r="MN126" s="318">
        <f>ML126-MM126</f>
        <v/>
      </c>
      <c r="MO126" s="327">
        <f>MN126/MM126</f>
        <v/>
      </c>
      <c r="MP126" s="182" t="n"/>
      <c r="MQ126" s="369" t="n"/>
      <c r="MR126" s="369" t="n"/>
      <c r="MS126" s="366" t="n"/>
      <c r="MT126" s="25">
        <f>C126</f>
        <v/>
      </c>
      <c r="MU126" s="0" t="n">
        <v>178414.8</v>
      </c>
      <c r="MV126" s="0">
        <f>MU127</f>
        <v/>
      </c>
      <c r="MW126" s="0">
        <f>MU126-MV126</f>
        <v/>
      </c>
      <c r="MX126" s="182">
        <f>MW126/MV126</f>
        <v/>
      </c>
      <c r="MY126" s="182" t="n"/>
      <c r="MZ126" s="182" t="n"/>
      <c r="NA126" s="182" t="n"/>
      <c r="NB126" s="182" t="n"/>
      <c r="NC126" s="9">
        <f>C126</f>
        <v/>
      </c>
      <c r="ND126" s="0" t="n">
        <v>40891.48</v>
      </c>
      <c r="NE126" s="0">
        <f>ND127</f>
        <v/>
      </c>
      <c r="NF126" s="0">
        <f>ND126-NE126</f>
        <v/>
      </c>
      <c r="NG126" s="182">
        <f>NF126/NE126</f>
        <v/>
      </c>
      <c r="NH126" s="182" t="n"/>
      <c r="NI126" s="182" t="n"/>
      <c r="NJ126" s="182" t="n"/>
      <c r="NK126" s="182" t="n"/>
      <c r="NL126" s="9" t="n"/>
      <c r="NM126" s="9">
        <f>C126</f>
        <v/>
      </c>
      <c r="NN126" s="0" t="n">
        <v>2676211.08</v>
      </c>
      <c r="NO126" s="0">
        <f>NN127</f>
        <v/>
      </c>
      <c r="NP126" s="0">
        <f>NN126-NO126</f>
        <v/>
      </c>
      <c r="NQ126" s="182">
        <f>NP126/NO126</f>
        <v/>
      </c>
      <c r="NR126" s="182" t="n"/>
      <c r="NS126" s="9" t="n"/>
      <c r="NU126" s="9">
        <f>C126</f>
        <v/>
      </c>
      <c r="NV126" s="364" t="n">
        <v>259376.5</v>
      </c>
      <c r="NW126" s="364">
        <f>NV127</f>
        <v/>
      </c>
      <c r="NX126" s="364">
        <f>NV126-NW126</f>
        <v/>
      </c>
      <c r="NY126" s="366">
        <f>NX126/NW126</f>
        <v/>
      </c>
      <c r="NZ126" s="366" t="n"/>
      <c r="OA126" s="364" t="n"/>
      <c r="OB126" s="364" t="n"/>
      <c r="OC126" s="365">
        <f>C126</f>
        <v/>
      </c>
      <c r="OD126" s="365" t="n">
        <v>15223.97</v>
      </c>
      <c r="OE126" s="365">
        <f>OD127</f>
        <v/>
      </c>
      <c r="OF126" s="388">
        <f>OD126-OE126</f>
        <v/>
      </c>
      <c r="OG126" s="389">
        <f>OF126/OE126</f>
        <v/>
      </c>
      <c r="OH126" s="182" t="n"/>
      <c r="OI126" s="182" t="n"/>
      <c r="OJ126" s="364" t="n"/>
      <c r="OK126" s="365">
        <f>C126</f>
        <v/>
      </c>
      <c r="OL126" s="185" t="n">
        <v>13838.65</v>
      </c>
      <c r="OM126" s="9">
        <f>OL127</f>
        <v/>
      </c>
      <c r="ON126" s="9">
        <f>OL126-OM126</f>
        <v/>
      </c>
      <c r="OO126" s="182">
        <f>ON126/OM126</f>
        <v/>
      </c>
      <c r="OP126" s="182" t="n"/>
      <c r="OQ126" s="182" t="n"/>
      <c r="OT126" s="25">
        <f>OK126</f>
        <v/>
      </c>
      <c r="OU126" s="199" t="n">
        <v>147312.4066</v>
      </c>
      <c r="OV126" s="9">
        <f>OU127</f>
        <v/>
      </c>
      <c r="OW126" s="671">
        <f>OU126-OV126</f>
        <v/>
      </c>
      <c r="OX126" s="182">
        <f>OW126/OV126</f>
        <v/>
      </c>
    </row>
    <row r="127" ht="17" customFormat="1" customHeight="1" s="9">
      <c r="A127" s="631" t="n"/>
      <c r="B127" s="631" t="n"/>
      <c r="C127" s="693" t="inlineStr">
        <is>
          <t>2026//5/15</t>
        </is>
      </c>
      <c r="D127" s="362" t="n">
        <v>3216288.77</v>
      </c>
      <c r="E127" s="362">
        <f>D128</f>
        <v/>
      </c>
      <c r="F127" s="377">
        <f>D127-E127</f>
        <v/>
      </c>
      <c r="G127" s="378">
        <f>F127/E127</f>
        <v/>
      </c>
      <c r="H127" s="19" t="n"/>
      <c r="I127" s="426" t="n"/>
      <c r="J127" s="426" t="n"/>
      <c r="K127" s="362">
        <f>C127</f>
        <v/>
      </c>
      <c r="L127" s="362" t="n">
        <v>2571904.4</v>
      </c>
      <c r="M127" s="362">
        <f>L128</f>
        <v/>
      </c>
      <c r="N127" s="377">
        <f>L127-M127</f>
        <v/>
      </c>
      <c r="O127" s="378">
        <f>N127/M127</f>
        <v/>
      </c>
      <c r="P127" s="19" t="n"/>
      <c r="Q127" s="426" t="n"/>
      <c r="R127" s="427" t="n"/>
      <c r="S127" s="362">
        <f>C127</f>
        <v/>
      </c>
      <c r="T127" s="362" t="n">
        <v>1190946.68</v>
      </c>
      <c r="U127" s="362">
        <f>T128</f>
        <v/>
      </c>
      <c r="V127" s="377">
        <f>T127-U127</f>
        <v/>
      </c>
      <c r="W127" s="378">
        <f>V127/U127</f>
        <v/>
      </c>
      <c r="X127" s="19" t="n"/>
      <c r="Y127" s="426" t="n"/>
      <c r="Z127" s="427" t="n"/>
      <c r="AA127" s="362">
        <f>S127</f>
        <v/>
      </c>
      <c r="AB127" s="362" t="n">
        <v>523536.86</v>
      </c>
      <c r="AC127" s="362">
        <f>AB128</f>
        <v/>
      </c>
      <c r="AD127" s="377">
        <f>AB127-AC127</f>
        <v/>
      </c>
      <c r="AE127" s="378">
        <f>AD127/AC127</f>
        <v/>
      </c>
      <c r="AF127" s="19" t="n"/>
      <c r="AG127" s="426" t="n"/>
      <c r="AH127" s="427" t="n"/>
      <c r="AI127" s="362">
        <f>C127</f>
        <v/>
      </c>
      <c r="AJ127" s="362" t="n">
        <v>346321.76</v>
      </c>
      <c r="AK127" s="362">
        <f>AJ128</f>
        <v/>
      </c>
      <c r="AL127" s="377">
        <f>AJ127-AK127</f>
        <v/>
      </c>
      <c r="AM127" s="378">
        <f>AL127/AK127</f>
        <v/>
      </c>
      <c r="AN127" s="19" t="n"/>
      <c r="AO127" s="19" t="n"/>
      <c r="AP127" s="427" t="n"/>
      <c r="AQ127" s="362">
        <f>C127</f>
        <v/>
      </c>
      <c r="AR127" s="697" t="n">
        <v>1199345.4936</v>
      </c>
      <c r="AS127" s="362">
        <f>AR128</f>
        <v/>
      </c>
      <c r="AT127" s="377">
        <f>AR127-AS127</f>
        <v/>
      </c>
      <c r="AU127" s="378">
        <f>AT127/AS127</f>
        <v/>
      </c>
      <c r="AV127" s="19" t="n"/>
      <c r="AW127" s="19" t="n"/>
      <c r="AX127" s="5" t="n"/>
      <c r="AY127" s="5" t="n"/>
      <c r="AZ127" s="5">
        <f>C127</f>
        <v/>
      </c>
      <c r="BA127" s="5" t="n">
        <v>1525881.6676</v>
      </c>
      <c r="BB127" s="5">
        <f>BA128</f>
        <v/>
      </c>
      <c r="BC127" s="5">
        <f>BA127-BB127</f>
        <v/>
      </c>
      <c r="BD127" s="19">
        <f>BC127/BB127</f>
        <v/>
      </c>
      <c r="BE127" s="19" t="n"/>
      <c r="BF127" s="19" t="n"/>
      <c r="BG127" s="647" t="n"/>
      <c r="BH127" s="363">
        <f>C127</f>
        <v/>
      </c>
      <c r="BI127" s="363" t="n">
        <v>1520826.5525</v>
      </c>
      <c r="BJ127" s="363">
        <f>BI128</f>
        <v/>
      </c>
      <c r="BK127" s="435">
        <f>BI127-BJ127</f>
        <v/>
      </c>
      <c r="BL127" s="436">
        <f>BK127/BJ127</f>
        <v/>
      </c>
      <c r="BM127" s="191" t="n"/>
      <c r="BN127" s="182" t="n"/>
      <c r="BO127" s="364" t="n"/>
      <c r="BP127" s="365">
        <f>C127</f>
        <v/>
      </c>
      <c r="BQ127" s="694" t="n">
        <v>1116062.3921</v>
      </c>
      <c r="BR127" s="365">
        <f>BQ128</f>
        <v/>
      </c>
      <c r="BS127" s="388">
        <f>BQ127-BR127</f>
        <v/>
      </c>
      <c r="BT127" s="389">
        <f>BS127/BR127</f>
        <v/>
      </c>
      <c r="BU127" s="182" t="n"/>
      <c r="BV127" s="182" t="n"/>
      <c r="BW127" s="364" t="n"/>
      <c r="BX127" s="365">
        <f>C127</f>
        <v/>
      </c>
      <c r="BY127" s="365" t="n">
        <v>2674260.7019</v>
      </c>
      <c r="BZ127" s="365">
        <f>BY128</f>
        <v/>
      </c>
      <c r="CA127" s="388">
        <f>BY127-BZ127</f>
        <v/>
      </c>
      <c r="CB127" s="389">
        <f>CA127/BZ127</f>
        <v/>
      </c>
      <c r="CC127" s="182" t="n"/>
      <c r="CD127" s="383" t="n"/>
      <c r="CE127" s="364" t="n"/>
      <c r="CF127" s="365">
        <f>C127</f>
        <v/>
      </c>
      <c r="CG127" s="365" t="n">
        <v>1302403.9</v>
      </c>
      <c r="CH127" s="13">
        <f>CG128</f>
        <v/>
      </c>
      <c r="CI127" s="13">
        <f>CG127-CH127</f>
        <v/>
      </c>
      <c r="CJ127" s="193">
        <f>CI127/CH127</f>
        <v/>
      </c>
      <c r="CK127" s="182" t="n"/>
      <c r="CL127" s="366" t="n"/>
      <c r="CM127" s="364" t="n"/>
      <c r="CN127" s="365">
        <f>C127</f>
        <v/>
      </c>
      <c r="CO127" s="365" t="n">
        <v>597546.48</v>
      </c>
      <c r="CP127" s="365">
        <f>CO128</f>
        <v/>
      </c>
      <c r="CQ127" s="13">
        <f>CO127-CP127</f>
        <v/>
      </c>
      <c r="CR127" s="193">
        <f>CQ127/CP127</f>
        <v/>
      </c>
      <c r="CS127" s="366">
        <f>(CO127-CO132)/CO132</f>
        <v/>
      </c>
      <c r="CT127" s="366" t="n"/>
      <c r="CU127" s="364" t="n"/>
      <c r="CV127" s="365">
        <f>C127</f>
        <v/>
      </c>
      <c r="CW127" s="365" t="n">
        <v>575290.4</v>
      </c>
      <c r="CX127" s="365">
        <f>CW128</f>
        <v/>
      </c>
      <c r="CY127" s="388">
        <f>CW127-CX127</f>
        <v/>
      </c>
      <c r="CZ127" s="389">
        <f>CY127/CX127</f>
        <v/>
      </c>
      <c r="DA127" s="182" t="n"/>
      <c r="DB127" s="182" t="n"/>
      <c r="DC127" s="256" t="n"/>
      <c r="DD127" s="365">
        <f>C127</f>
        <v/>
      </c>
      <c r="DE127" s="365" t="n">
        <v>1975517.9986</v>
      </c>
      <c r="DF127" s="13">
        <f>DE128</f>
        <v/>
      </c>
      <c r="DG127" s="388">
        <f>DE127-DF127</f>
        <v/>
      </c>
      <c r="DH127" s="389">
        <f>DG127/DF127</f>
        <v/>
      </c>
      <c r="DI127" s="182" t="n"/>
      <c r="DJ127" s="182" t="n"/>
      <c r="DK127" s="364" t="n"/>
      <c r="DL127" s="365">
        <f>C127</f>
        <v/>
      </c>
      <c r="DM127" s="365" t="n">
        <v>930500.36</v>
      </c>
      <c r="DN127" s="365">
        <f>DM128</f>
        <v/>
      </c>
      <c r="DO127" s="388">
        <f>DM127-DN127</f>
        <v/>
      </c>
      <c r="DP127" s="389">
        <f>DO127/DN127</f>
        <v/>
      </c>
      <c r="DQ127" s="182" t="n"/>
      <c r="DR127" s="182" t="n"/>
      <c r="DS127" s="364" t="n"/>
      <c r="DT127" s="365">
        <f>C127</f>
        <v/>
      </c>
      <c r="DU127" s="365" t="n">
        <v>1354289.48</v>
      </c>
      <c r="DV127" s="365">
        <f>DU128</f>
        <v/>
      </c>
      <c r="DW127" s="388">
        <f>DU127-DV127</f>
        <v/>
      </c>
      <c r="DX127" s="389">
        <f>DW127/DV127</f>
        <v/>
      </c>
      <c r="DY127" s="182" t="n"/>
      <c r="DZ127" s="182" t="n"/>
      <c r="EA127" s="364" t="n"/>
      <c r="EB127" s="365">
        <f>C127</f>
        <v/>
      </c>
      <c r="EC127" s="365" t="n">
        <v>3725966.82</v>
      </c>
      <c r="ED127" s="365">
        <f>EC128</f>
        <v/>
      </c>
      <c r="EE127" s="388">
        <f>EC127-ED127</f>
        <v/>
      </c>
      <c r="EF127" s="389">
        <f>EE127/ED127</f>
        <v/>
      </c>
      <c r="EG127" s="182" t="n"/>
      <c r="EH127" s="182" t="n"/>
      <c r="EI127" s="364" t="n"/>
      <c r="EJ127" s="365">
        <f>C127</f>
        <v/>
      </c>
      <c r="EK127" s="365" t="n">
        <v>1252522.9669</v>
      </c>
      <c r="EL127" s="365">
        <f>EK128</f>
        <v/>
      </c>
      <c r="EM127" s="390">
        <f>EK127-EL127</f>
        <v/>
      </c>
      <c r="EN127" s="391">
        <f>EM127/EL127</f>
        <v/>
      </c>
      <c r="EO127" s="182" t="n"/>
      <c r="EP127" s="182" t="n"/>
      <c r="EQ127" s="182" t="n"/>
      <c r="ER127" s="9">
        <f>C127</f>
        <v/>
      </c>
      <c r="ES127" s="318" t="n">
        <v>407147.02</v>
      </c>
      <c r="ET127" s="318">
        <f>ES128</f>
        <v/>
      </c>
      <c r="EU127" s="318">
        <f>ES127-ET127</f>
        <v/>
      </c>
      <c r="EV127" s="327">
        <f>EU127/ET127</f>
        <v/>
      </c>
      <c r="EW127" s="182" t="n"/>
      <c r="EX127" s="182" t="n"/>
      <c r="EY127" s="364" t="n"/>
      <c r="EZ127" s="365">
        <f>C127</f>
        <v/>
      </c>
      <c r="FA127" s="365" t="n">
        <v>644408</v>
      </c>
      <c r="FB127" s="365">
        <f>FA128</f>
        <v/>
      </c>
      <c r="FC127" s="388">
        <f>FA127-FB127</f>
        <v/>
      </c>
      <c r="FD127" s="389">
        <f>FC127/FB127</f>
        <v/>
      </c>
      <c r="FE127" s="182" t="n"/>
      <c r="FF127" s="182" t="n"/>
      <c r="FG127" s="182" t="n"/>
      <c r="FH127" s="365">
        <f>C127</f>
        <v/>
      </c>
      <c r="FI127" s="694" t="n">
        <v>1240995.3365</v>
      </c>
      <c r="FJ127" s="365">
        <f>FI128</f>
        <v/>
      </c>
      <c r="FK127" s="325">
        <f>FI127-FJ127</f>
        <v/>
      </c>
      <c r="FL127" s="326">
        <f>FK127/FJ127</f>
        <v/>
      </c>
      <c r="FM127" s="366" t="n"/>
      <c r="FN127" s="366" t="n"/>
      <c r="FO127" s="364" t="n"/>
      <c r="FP127" s="365">
        <f>C127</f>
        <v/>
      </c>
      <c r="FQ127" s="365" t="n">
        <v>1718668.73</v>
      </c>
      <c r="FR127" s="365">
        <f>FQ128</f>
        <v/>
      </c>
      <c r="FS127" s="390">
        <f>FQ127-FR127</f>
        <v/>
      </c>
      <c r="FT127" s="391">
        <f>FS127/FR127</f>
        <v/>
      </c>
      <c r="FU127" s="182" t="n"/>
      <c r="FV127" s="182" t="n"/>
      <c r="FW127" s="364" t="n"/>
      <c r="FX127" s="365">
        <f>C127</f>
        <v/>
      </c>
      <c r="FY127" s="365" t="n">
        <v>8171482.05</v>
      </c>
      <c r="FZ127" s="365">
        <f>FY128</f>
        <v/>
      </c>
      <c r="GA127" s="388">
        <f>FY127-FZ127</f>
        <v/>
      </c>
      <c r="GB127" s="389">
        <f>GA127/FZ127</f>
        <v/>
      </c>
      <c r="GC127" s="182" t="n"/>
      <c r="GD127" s="182" t="n"/>
      <c r="GE127" s="364" t="n"/>
      <c r="GF127" s="365">
        <f>C127</f>
        <v/>
      </c>
      <c r="GG127" s="365" t="n">
        <v>4667669.49</v>
      </c>
      <c r="GH127" s="365">
        <f>GG128</f>
        <v/>
      </c>
      <c r="GI127" s="390">
        <f>GG127-GH127</f>
        <v/>
      </c>
      <c r="GJ127" s="391">
        <f>GI127/GH127</f>
        <v/>
      </c>
      <c r="GK127" s="182" t="n"/>
      <c r="GL127" s="182" t="n"/>
      <c r="GM127" s="364" t="n"/>
      <c r="GN127" s="365">
        <f>C127</f>
        <v/>
      </c>
      <c r="GO127" s="365" t="n">
        <v>1881718.1217</v>
      </c>
      <c r="GP127" s="365">
        <f>GO128</f>
        <v/>
      </c>
      <c r="GQ127" s="388">
        <f>GO127-GP127</f>
        <v/>
      </c>
      <c r="GR127" s="389">
        <f>GQ127/GP127</f>
        <v/>
      </c>
      <c r="GS127" s="182" t="n"/>
      <c r="GT127" s="182" t="n"/>
      <c r="GU127" s="364" t="n"/>
      <c r="GV127" s="365">
        <f>C127</f>
        <v/>
      </c>
      <c r="GW127" s="365" t="n">
        <v>853149.4</v>
      </c>
      <c r="GX127" s="365">
        <f>GW128</f>
        <v/>
      </c>
      <c r="GY127" s="388">
        <f>GW127-GX127</f>
        <v/>
      </c>
      <c r="GZ127" s="389">
        <f>GY127/GX127</f>
        <v/>
      </c>
      <c r="HA127" s="182" t="n"/>
      <c r="HB127" s="182" t="n"/>
      <c r="HC127" s="364" t="n"/>
      <c r="HD127" s="365">
        <f>C127</f>
        <v/>
      </c>
      <c r="HE127" s="365" t="n">
        <v>1286364.6746</v>
      </c>
      <c r="HF127" s="365">
        <f>HE128</f>
        <v/>
      </c>
      <c r="HG127" s="388">
        <f>HE127-HF127</f>
        <v/>
      </c>
      <c r="HH127" s="389">
        <f>HG127/HF127</f>
        <v/>
      </c>
      <c r="HI127" s="366" t="n"/>
      <c r="HJ127" s="182" t="n"/>
      <c r="HK127" s="364" t="n"/>
      <c r="HL127" s="365">
        <f>C127</f>
        <v/>
      </c>
      <c r="HM127" s="365" t="n">
        <v>137504.25</v>
      </c>
      <c r="HN127" s="365">
        <f>HM128</f>
        <v/>
      </c>
      <c r="HO127" s="388">
        <f>HM127-HN127</f>
        <v/>
      </c>
      <c r="HP127" s="389">
        <f>HO127/HN127</f>
        <v/>
      </c>
      <c r="HQ127" s="182" t="n"/>
      <c r="HR127" s="182" t="n"/>
      <c r="HS127" s="364" t="n"/>
      <c r="HT127" s="365">
        <f>C127</f>
        <v/>
      </c>
      <c r="HU127" s="365" t="n">
        <v>207968.8265</v>
      </c>
      <c r="HV127" s="365">
        <f>HU128</f>
        <v/>
      </c>
      <c r="HW127" s="388">
        <f>HU127-HV127</f>
        <v/>
      </c>
      <c r="HX127" s="389">
        <f>HW127/HV127</f>
        <v/>
      </c>
      <c r="HY127" s="182" t="n"/>
      <c r="HZ127" s="182" t="n"/>
      <c r="IA127" s="364" t="n"/>
      <c r="IB127" s="365">
        <f>C127</f>
        <v/>
      </c>
      <c r="IC127" s="365" t="n">
        <v>366684.79</v>
      </c>
      <c r="ID127" s="9">
        <f>IC128</f>
        <v/>
      </c>
      <c r="IE127" s="365">
        <f>IC127-ID127</f>
        <v/>
      </c>
      <c r="IF127" s="366">
        <f>IE127/ID127</f>
        <v/>
      </c>
      <c r="IG127" s="366" t="n"/>
      <c r="IH127" s="182" t="n"/>
      <c r="II127" s="364" t="n"/>
      <c r="IJ127" s="365">
        <f>C127</f>
        <v/>
      </c>
      <c r="IK127" s="365" t="n">
        <v>624236.29</v>
      </c>
      <c r="IL127" s="365">
        <f>IK128</f>
        <v/>
      </c>
      <c r="IM127" s="390">
        <f>IK127-IL127</f>
        <v/>
      </c>
      <c r="IN127" s="391">
        <f>IM127/IL127</f>
        <v/>
      </c>
      <c r="IO127" s="182" t="n"/>
      <c r="IP127" s="182" t="n"/>
      <c r="IQ127" s="364" t="n"/>
      <c r="IR127" s="365">
        <f>C127</f>
        <v/>
      </c>
      <c r="IS127" s="365" t="n">
        <v>138089</v>
      </c>
      <c r="IT127" s="365">
        <f>IS128</f>
        <v/>
      </c>
      <c r="IU127" s="390">
        <f>IS127-IT127</f>
        <v/>
      </c>
      <c r="IV127" s="391">
        <f>IU127/IT127</f>
        <v/>
      </c>
      <c r="IW127" s="182" t="n"/>
      <c r="IX127" s="182" t="n"/>
      <c r="IY127" s="364" t="n"/>
      <c r="IZ127" s="365">
        <f>C127</f>
        <v/>
      </c>
      <c r="JA127" s="365" t="n">
        <v>5246329.15</v>
      </c>
      <c r="JB127" s="365">
        <f>JA128</f>
        <v/>
      </c>
      <c r="JC127" s="388">
        <f>JA127-JB127</f>
        <v/>
      </c>
      <c r="JD127" s="389">
        <f>JC127/JB127</f>
        <v/>
      </c>
      <c r="JE127" s="182" t="n"/>
      <c r="JF127" s="182" t="n"/>
      <c r="JG127" s="364" t="n"/>
      <c r="JH127" s="365">
        <f>C127</f>
        <v/>
      </c>
      <c r="JI127" s="365" t="n">
        <v>1336047.99</v>
      </c>
      <c r="JJ127" s="365">
        <f>JI128</f>
        <v/>
      </c>
      <c r="JK127" s="390">
        <f>JI127-JJ127</f>
        <v/>
      </c>
      <c r="JL127" s="391">
        <f>JK127/JJ127</f>
        <v/>
      </c>
      <c r="JM127" s="182" t="n"/>
      <c r="JN127" s="182" t="n"/>
      <c r="JO127" s="182" t="n"/>
      <c r="JP127" s="365">
        <f>C127</f>
        <v/>
      </c>
      <c r="JQ127" s="365" t="n">
        <v>1031590.4148</v>
      </c>
      <c r="JR127" s="365">
        <f>JQ128</f>
        <v/>
      </c>
      <c r="JS127" s="388">
        <f>JQ127-JR127</f>
        <v/>
      </c>
      <c r="JT127" s="389">
        <f>JS127/JR127</f>
        <v/>
      </c>
      <c r="JU127" s="182" t="n"/>
      <c r="JV127" s="182" t="n"/>
      <c r="JW127" s="383" t="n"/>
      <c r="JX127" s="365">
        <f>C127</f>
        <v/>
      </c>
      <c r="JY127" s="365" t="n">
        <v>1185748.8</v>
      </c>
      <c r="JZ127" s="365">
        <f>JY128</f>
        <v/>
      </c>
      <c r="KA127" s="390">
        <f>JY127-JZ127</f>
        <v/>
      </c>
      <c r="KB127" s="391">
        <f>KA127/JZ127</f>
        <v/>
      </c>
      <c r="KC127" s="182" t="n"/>
      <c r="KD127" s="182" t="n"/>
      <c r="KE127" s="383" t="n"/>
      <c r="KF127" s="365">
        <f>C127</f>
        <v/>
      </c>
      <c r="KG127" s="365" t="n">
        <v>705555.9219</v>
      </c>
      <c r="KH127" s="365">
        <f>KG128</f>
        <v/>
      </c>
      <c r="KI127" s="388">
        <f>KG127-KH127</f>
        <v/>
      </c>
      <c r="KJ127" s="389">
        <f>KI127/KH127</f>
        <v/>
      </c>
      <c r="KK127" s="366" t="n"/>
      <c r="KL127" s="366" t="n"/>
      <c r="KM127" s="364" t="n"/>
      <c r="KN127" s="365">
        <f>C127</f>
        <v/>
      </c>
      <c r="KO127" s="365" t="n">
        <v>8328775.95</v>
      </c>
      <c r="KP127" s="365">
        <f>KO128</f>
        <v/>
      </c>
      <c r="KQ127" s="390">
        <f>KO127-KP127</f>
        <v/>
      </c>
      <c r="KR127" s="391">
        <f>KQ127/KP127</f>
        <v/>
      </c>
      <c r="KS127" s="182" t="n"/>
      <c r="KT127" s="182" t="n"/>
      <c r="KU127" s="364" t="n"/>
      <c r="KV127" s="365">
        <f>C127</f>
        <v/>
      </c>
      <c r="KW127" s="365" t="n">
        <v>1087372.9726</v>
      </c>
      <c r="KX127" s="365">
        <f>KW128</f>
        <v/>
      </c>
      <c r="KY127" s="323">
        <f>KW127-KX127</f>
        <v/>
      </c>
      <c r="KZ127" s="324">
        <f>KY127/KX127</f>
        <v/>
      </c>
      <c r="LA127" s="366" t="n"/>
      <c r="LB127" s="182" t="n"/>
      <c r="LC127" s="364" t="n"/>
      <c r="LD127" s="365">
        <f>C127</f>
        <v/>
      </c>
      <c r="LE127" s="365" t="n">
        <v>473107.7</v>
      </c>
      <c r="LF127" s="365">
        <f>LE128</f>
        <v/>
      </c>
      <c r="LG127" s="388">
        <f>LE127-LF127</f>
        <v/>
      </c>
      <c r="LH127" s="389">
        <f>LG127/LF127</f>
        <v/>
      </c>
      <c r="LI127" s="182" t="n"/>
      <c r="LJ127" s="182" t="n"/>
      <c r="LK127" s="364" t="n"/>
      <c r="LL127" s="365">
        <f>C127</f>
        <v/>
      </c>
      <c r="LM127" s="694" t="n">
        <v>3557815.02</v>
      </c>
      <c r="LN127" s="365">
        <f>LM128</f>
        <v/>
      </c>
      <c r="LO127" s="390">
        <f>LM127-LN127</f>
        <v/>
      </c>
      <c r="LP127" s="391">
        <f>LO127/LN127</f>
        <v/>
      </c>
      <c r="LQ127" s="182" t="n"/>
      <c r="LR127" s="182" t="n"/>
      <c r="LS127" s="364" t="n"/>
      <c r="LT127" s="365">
        <f>C127</f>
        <v/>
      </c>
      <c r="LU127" s="365" t="n">
        <v>2452662.904</v>
      </c>
      <c r="LV127" s="365">
        <f>LU128</f>
        <v/>
      </c>
      <c r="LW127" s="388">
        <f>LU127-LV127</f>
        <v/>
      </c>
      <c r="LX127" s="389">
        <f>LW127/LV127</f>
        <v/>
      </c>
      <c r="LY127" s="182" t="n"/>
      <c r="LZ127" s="182" t="n"/>
      <c r="MA127" s="364" t="n"/>
      <c r="MB127" s="365">
        <f>C127</f>
        <v/>
      </c>
      <c r="MC127" s="365" t="n">
        <v>870567.6899999999</v>
      </c>
      <c r="MD127" s="365">
        <f>MC128</f>
        <v/>
      </c>
      <c r="ME127" s="388">
        <f>MC127-MD127</f>
        <v/>
      </c>
      <c r="MF127" s="389">
        <f>ME127/MD127</f>
        <v/>
      </c>
      <c r="MG127" s="182" t="n"/>
      <c r="MH127" s="182" t="n"/>
      <c r="MI127" s="364" t="n"/>
      <c r="MJ127" s="364" t="n"/>
      <c r="MK127" s="365">
        <f>C127</f>
        <v/>
      </c>
      <c r="ML127" s="318" t="n">
        <v>189825.5354</v>
      </c>
      <c r="MM127" s="187">
        <f>ML128</f>
        <v/>
      </c>
      <c r="MN127" s="318">
        <f>ML127-MM127</f>
        <v/>
      </c>
      <c r="MO127" s="327">
        <f>MN127/MM127</f>
        <v/>
      </c>
      <c r="MP127" s="182" t="n"/>
      <c r="MQ127" s="366" t="n"/>
      <c r="MR127" s="366" t="n"/>
      <c r="MS127" s="366" t="n"/>
      <c r="MT127" s="25">
        <f>C127</f>
        <v/>
      </c>
      <c r="MU127" s="0" t="n">
        <v>177914.8</v>
      </c>
      <c r="MV127" s="0">
        <f>MU128</f>
        <v/>
      </c>
      <c r="MW127" s="0">
        <f>MU127-MV127</f>
        <v/>
      </c>
      <c r="MX127" s="182">
        <f>MW127/MV127</f>
        <v/>
      </c>
      <c r="MY127" s="182" t="n"/>
      <c r="MZ127" s="182" t="n"/>
      <c r="NA127" s="182" t="n"/>
      <c r="NB127" s="182" t="n"/>
      <c r="NC127" s="9">
        <f>C127</f>
        <v/>
      </c>
      <c r="ND127" s="0" t="n">
        <v>41291.48</v>
      </c>
      <c r="NE127" s="0">
        <f>ND128</f>
        <v/>
      </c>
      <c r="NF127" s="0">
        <f>ND127-NE127</f>
        <v/>
      </c>
      <c r="NG127" s="182">
        <f>NF127/NE127</f>
        <v/>
      </c>
      <c r="NH127" s="182" t="n"/>
      <c r="NI127" s="182" t="n"/>
      <c r="NJ127" s="182" t="n"/>
      <c r="NK127" s="182" t="n"/>
      <c r="NL127" s="9" t="n"/>
      <c r="NM127" s="9">
        <f>C127</f>
        <v/>
      </c>
      <c r="NN127" s="0" t="n">
        <v>2665711.08</v>
      </c>
      <c r="NO127" s="0">
        <f>NN128</f>
        <v/>
      </c>
      <c r="NP127" s="0">
        <f>NN127-NO127</f>
        <v/>
      </c>
      <c r="NQ127" s="182">
        <f>NP127/NO127</f>
        <v/>
      </c>
      <c r="NR127" s="182" t="n"/>
      <c r="NS127" s="9" t="n"/>
      <c r="NU127" s="9">
        <f>C127</f>
        <v/>
      </c>
      <c r="NV127" s="364" t="n">
        <v>259526.5</v>
      </c>
      <c r="NW127" s="364">
        <f>NV128</f>
        <v/>
      </c>
      <c r="NX127" s="364">
        <f>NV127-NW127</f>
        <v/>
      </c>
      <c r="NY127" s="366">
        <f>NX127/NW127</f>
        <v/>
      </c>
      <c r="NZ127" s="366" t="n"/>
      <c r="OA127" s="364" t="n"/>
      <c r="OB127" s="364" t="n"/>
      <c r="OC127" s="365">
        <f>C127</f>
        <v/>
      </c>
      <c r="OD127" s="365" t="n">
        <v>14988.97</v>
      </c>
      <c r="OE127" s="365">
        <f>OD128</f>
        <v/>
      </c>
      <c r="OF127" s="390">
        <f>OD127-OE127</f>
        <v/>
      </c>
      <c r="OG127" s="391">
        <f>OF127/OE127</f>
        <v/>
      </c>
      <c r="OH127" s="182" t="n"/>
      <c r="OI127" s="182" t="n"/>
      <c r="OJ127" s="364" t="n"/>
      <c r="OK127" s="365">
        <f>C127</f>
        <v/>
      </c>
      <c r="OL127" s="24" t="n">
        <v>13754.65</v>
      </c>
      <c r="OM127" s="24">
        <f>OL128</f>
        <v/>
      </c>
      <c r="ON127" s="24">
        <f>OL127-OM127</f>
        <v/>
      </c>
      <c r="OO127" s="182">
        <f>ON127/OM127</f>
        <v/>
      </c>
      <c r="OP127" s="182" t="n"/>
      <c r="OQ127" s="182" t="n"/>
      <c r="OT127" s="25">
        <f>OK127</f>
        <v/>
      </c>
      <c r="OU127" s="199" t="n">
        <v>147192.4066</v>
      </c>
      <c r="OV127" s="9">
        <f>OU128</f>
        <v/>
      </c>
      <c r="OW127" s="671">
        <f>OU127-OV127</f>
        <v/>
      </c>
      <c r="OX127" s="182">
        <f>OW127/OV127</f>
        <v/>
      </c>
    </row>
    <row r="128" ht="17" customFormat="1" customHeight="1" s="9">
      <c r="A128" s="631" t="n"/>
      <c r="B128" s="631" t="n"/>
      <c r="C128" s="693" t="inlineStr">
        <is>
          <t>2026//5/14</t>
        </is>
      </c>
      <c r="D128" s="362" t="n">
        <v>3209178.77</v>
      </c>
      <c r="E128" s="362">
        <f>D129</f>
        <v/>
      </c>
      <c r="F128" s="432">
        <f>D128-E128</f>
        <v/>
      </c>
      <c r="G128" s="433">
        <f>F128/E128</f>
        <v/>
      </c>
      <c r="H128" s="19" t="n"/>
      <c r="I128" s="426" t="n"/>
      <c r="J128" s="426" t="n"/>
      <c r="K128" s="362">
        <f>C128</f>
        <v/>
      </c>
      <c r="L128" s="362" t="n">
        <v>2581084.4</v>
      </c>
      <c r="M128" s="362">
        <f>L129</f>
        <v/>
      </c>
      <c r="N128" s="432">
        <f>L128-M128</f>
        <v/>
      </c>
      <c r="O128" s="433">
        <f>N128/M128</f>
        <v/>
      </c>
      <c r="P128" s="19" t="n"/>
      <c r="Q128" s="426" t="n"/>
      <c r="R128" s="427" t="n"/>
      <c r="S128" s="362">
        <f>C128</f>
        <v/>
      </c>
      <c r="T128" s="362" t="n">
        <v>1171686.68</v>
      </c>
      <c r="U128" s="362">
        <f>T129</f>
        <v/>
      </c>
      <c r="V128" s="432">
        <f>T128-U128</f>
        <v/>
      </c>
      <c r="W128" s="433">
        <f>V128/U128</f>
        <v/>
      </c>
      <c r="X128" s="19" t="n"/>
      <c r="Y128" s="426" t="n"/>
      <c r="Z128" s="427" t="n"/>
      <c r="AA128" s="362">
        <f>S128</f>
        <v/>
      </c>
      <c r="AB128" s="362" t="n">
        <v>503096.86</v>
      </c>
      <c r="AC128" s="362">
        <f>AB129</f>
        <v/>
      </c>
      <c r="AD128" s="432">
        <f>AB128-AC128</f>
        <v/>
      </c>
      <c r="AE128" s="433">
        <f>AD128/AC128</f>
        <v/>
      </c>
      <c r="AF128" s="19" t="n"/>
      <c r="AG128" s="426" t="n"/>
      <c r="AH128" s="427" t="n"/>
      <c r="AI128" s="362">
        <f>C128</f>
        <v/>
      </c>
      <c r="AJ128" s="362" t="n">
        <v>332321.76</v>
      </c>
      <c r="AK128" s="362">
        <f>AJ129</f>
        <v/>
      </c>
      <c r="AL128" s="432">
        <f>AJ128-AK128</f>
        <v/>
      </c>
      <c r="AM128" s="433">
        <f>AL128/AK128</f>
        <v/>
      </c>
      <c r="AN128" s="19" t="n"/>
      <c r="AO128" s="19" t="n"/>
      <c r="AP128" s="427" t="n"/>
      <c r="AQ128" s="362">
        <f>C128</f>
        <v/>
      </c>
      <c r="AR128" s="697" t="n">
        <v>1215645.4936</v>
      </c>
      <c r="AS128" s="362">
        <f>AR129</f>
        <v/>
      </c>
      <c r="AT128" s="432">
        <f>AR128-AS128</f>
        <v/>
      </c>
      <c r="AU128" s="433">
        <f>AT128/AS128</f>
        <v/>
      </c>
      <c r="AV128" s="19" t="n"/>
      <c r="AW128" s="19" t="n"/>
      <c r="AX128" s="5" t="n"/>
      <c r="AY128" s="5" t="n"/>
      <c r="AZ128" s="5">
        <f>C128</f>
        <v/>
      </c>
      <c r="BA128" s="5" t="n">
        <v>1530471.6676</v>
      </c>
      <c r="BB128" s="5">
        <f>BA129</f>
        <v/>
      </c>
      <c r="BC128" s="5">
        <f>BA128-BB128</f>
        <v/>
      </c>
      <c r="BD128" s="19">
        <f>BC128/BB128</f>
        <v/>
      </c>
      <c r="BE128" s="19" t="n"/>
      <c r="BF128" s="19" t="n"/>
      <c r="BG128" s="647" t="n"/>
      <c r="BH128" s="363">
        <f>C128</f>
        <v/>
      </c>
      <c r="BI128" s="363" t="n">
        <v>1553426.5525</v>
      </c>
      <c r="BJ128" s="363">
        <f>BI129</f>
        <v/>
      </c>
      <c r="BK128" s="435">
        <f>BI128-BJ128</f>
        <v/>
      </c>
      <c r="BL128" s="436">
        <f>BK128/BJ128</f>
        <v/>
      </c>
      <c r="BM128" s="191" t="n"/>
      <c r="BN128" s="182" t="n"/>
      <c r="BO128" s="364" t="n"/>
      <c r="BP128" s="365">
        <f>C128</f>
        <v/>
      </c>
      <c r="BQ128" s="694" t="n">
        <v>1108962.3921</v>
      </c>
      <c r="BR128" s="365">
        <f>BQ129</f>
        <v/>
      </c>
      <c r="BS128" s="390">
        <f>BQ128-BR128</f>
        <v/>
      </c>
      <c r="BT128" s="391">
        <f>BS128/BR128</f>
        <v/>
      </c>
      <c r="BU128" s="182" t="n"/>
      <c r="BV128" s="182" t="n"/>
      <c r="BW128" s="364" t="n"/>
      <c r="BX128" s="365">
        <f>C128</f>
        <v/>
      </c>
      <c r="BY128" s="365" t="n">
        <v>2756110.7019</v>
      </c>
      <c r="BZ128" s="365">
        <f>BY129</f>
        <v/>
      </c>
      <c r="CA128" s="388">
        <f>BY128-BZ128</f>
        <v/>
      </c>
      <c r="CB128" s="389">
        <f>CA128/BZ128</f>
        <v/>
      </c>
      <c r="CC128" s="182" t="n"/>
      <c r="CD128" s="383" t="n"/>
      <c r="CE128" s="364" t="n"/>
      <c r="CF128" s="365">
        <f>C128</f>
        <v/>
      </c>
      <c r="CG128" s="365" t="n">
        <v>1316703.9</v>
      </c>
      <c r="CH128" s="13">
        <f>CG129</f>
        <v/>
      </c>
      <c r="CI128" s="13">
        <f>CG128-CH128</f>
        <v/>
      </c>
      <c r="CJ128" s="193">
        <f>CI128/CH128</f>
        <v/>
      </c>
      <c r="CK128" s="182" t="n"/>
      <c r="CL128" s="366" t="n"/>
      <c r="CM128" s="364" t="n"/>
      <c r="CN128" s="365">
        <f>C128</f>
        <v/>
      </c>
      <c r="CO128" s="365" t="n">
        <v>599946.48</v>
      </c>
      <c r="CP128" s="365">
        <f>CO129</f>
        <v/>
      </c>
      <c r="CQ128" s="13">
        <f>CO128-CP128</f>
        <v/>
      </c>
      <c r="CR128" s="193">
        <f>CQ128/CP128</f>
        <v/>
      </c>
      <c r="CS128" s="366" t="n"/>
      <c r="CT128" s="366" t="n"/>
      <c r="CU128" s="364" t="n"/>
      <c r="CV128" s="365">
        <f>C128</f>
        <v/>
      </c>
      <c r="CW128" s="365" t="n">
        <v>579390.4</v>
      </c>
      <c r="CX128" s="365">
        <f>CW129</f>
        <v/>
      </c>
      <c r="CY128" s="390">
        <f>CW128-CX128</f>
        <v/>
      </c>
      <c r="CZ128" s="391">
        <f>CY128/CX128</f>
        <v/>
      </c>
      <c r="DA128" s="182" t="n"/>
      <c r="DB128" s="182" t="n"/>
      <c r="DC128" s="256" t="n"/>
      <c r="DD128" s="365">
        <f>C128</f>
        <v/>
      </c>
      <c r="DE128" s="365" t="n">
        <v>1966517.9986</v>
      </c>
      <c r="DF128" s="13">
        <f>DE129</f>
        <v/>
      </c>
      <c r="DG128" s="388">
        <f>DE128-DF128</f>
        <v/>
      </c>
      <c r="DH128" s="389">
        <f>DG128/DF128</f>
        <v/>
      </c>
      <c r="DI128" s="182" t="n"/>
      <c r="DJ128" s="182" t="n"/>
      <c r="DK128" s="364" t="n"/>
      <c r="DL128" s="365">
        <f>C128</f>
        <v/>
      </c>
      <c r="DM128" s="365" t="n">
        <v>973300.36</v>
      </c>
      <c r="DN128" s="365">
        <f>DM129</f>
        <v/>
      </c>
      <c r="DO128" s="388">
        <f>DM128-DN128</f>
        <v/>
      </c>
      <c r="DP128" s="389">
        <f>DO128/DN128</f>
        <v/>
      </c>
      <c r="DQ128" s="182" t="n"/>
      <c r="DR128" s="182" t="n"/>
      <c r="DS128" s="364" t="n"/>
      <c r="DT128" s="365">
        <f>C128</f>
        <v/>
      </c>
      <c r="DU128" s="365" t="n">
        <v>1359989.48</v>
      </c>
      <c r="DV128" s="365">
        <f>DU129</f>
        <v/>
      </c>
      <c r="DW128" s="388">
        <f>DU128-DV128</f>
        <v/>
      </c>
      <c r="DX128" s="389">
        <f>DW128/DV128</f>
        <v/>
      </c>
      <c r="DY128" s="182" t="n"/>
      <c r="DZ128" s="182" t="n"/>
      <c r="EA128" s="364" t="n"/>
      <c r="EB128" s="365">
        <f>C128</f>
        <v/>
      </c>
      <c r="EC128" s="365" t="n">
        <v>3783866.82</v>
      </c>
      <c r="ED128" s="365">
        <f>EC129</f>
        <v/>
      </c>
      <c r="EE128" s="390">
        <f>EC128-ED128</f>
        <v/>
      </c>
      <c r="EF128" s="391">
        <f>EE128/ED128</f>
        <v/>
      </c>
      <c r="EG128" s="182" t="n"/>
      <c r="EH128" s="182" t="n"/>
      <c r="EI128" s="364" t="n"/>
      <c r="EJ128" s="365">
        <f>C128</f>
        <v/>
      </c>
      <c r="EK128" s="365" t="n">
        <v>1240922.9669</v>
      </c>
      <c r="EL128" s="365">
        <f>EK129</f>
        <v/>
      </c>
      <c r="EM128" s="390">
        <f>EK128-EL128</f>
        <v/>
      </c>
      <c r="EN128" s="391">
        <f>EM128/EL128</f>
        <v/>
      </c>
      <c r="EO128" s="182" t="n"/>
      <c r="EP128" s="182" t="n"/>
      <c r="EQ128" s="182" t="n"/>
      <c r="ER128" s="9">
        <f>C128</f>
        <v/>
      </c>
      <c r="ES128" s="182" t="n">
        <v>406547.02</v>
      </c>
      <c r="ET128" s="182">
        <f>ES129</f>
        <v/>
      </c>
      <c r="EU128" s="182">
        <f>ES128-ET128</f>
        <v/>
      </c>
      <c r="EV128" s="182">
        <f>EU128/ET128</f>
        <v/>
      </c>
      <c r="EW128" s="182" t="n"/>
      <c r="EX128" s="182" t="n"/>
      <c r="EY128" s="364" t="n"/>
      <c r="EZ128" s="365">
        <f>C128</f>
        <v/>
      </c>
      <c r="FA128" s="365" t="n">
        <v>655508</v>
      </c>
      <c r="FB128" s="365">
        <f>FA129</f>
        <v/>
      </c>
      <c r="FC128" s="388">
        <f>FA128-FB128</f>
        <v/>
      </c>
      <c r="FD128" s="389">
        <f>FC128/FB128</f>
        <v/>
      </c>
      <c r="FE128" s="182" t="n"/>
      <c r="FF128" s="182" t="n"/>
      <c r="FG128" s="182" t="n"/>
      <c r="FH128" s="365">
        <f>C128</f>
        <v/>
      </c>
      <c r="FI128" s="694" t="n">
        <v>1289995.3365</v>
      </c>
      <c r="FJ128" s="365">
        <f>FI129</f>
        <v/>
      </c>
      <c r="FK128" s="323">
        <f>FI128-FJ128</f>
        <v/>
      </c>
      <c r="FL128" s="324">
        <f>FK128/FJ128</f>
        <v/>
      </c>
      <c r="FM128" s="366" t="n"/>
      <c r="FN128" s="366" t="n"/>
      <c r="FO128" s="364" t="n"/>
      <c r="FP128" s="365">
        <f>C128</f>
        <v/>
      </c>
      <c r="FQ128" s="365" t="n">
        <v>1765168.73</v>
      </c>
      <c r="FR128" s="365">
        <f>FQ129</f>
        <v/>
      </c>
      <c r="FS128" s="390">
        <f>FQ128-FR128</f>
        <v/>
      </c>
      <c r="FT128" s="391">
        <f>FS128/FR128</f>
        <v/>
      </c>
      <c r="FU128" s="182" t="n"/>
      <c r="FV128" s="182" t="n"/>
      <c r="FW128" s="364" t="n"/>
      <c r="FX128" s="365">
        <f>C128</f>
        <v/>
      </c>
      <c r="FY128" s="365" t="n">
        <v>8166982.05</v>
      </c>
      <c r="FZ128" s="365">
        <f>FY129</f>
        <v/>
      </c>
      <c r="GA128" s="388">
        <f>FY128-FZ128</f>
        <v/>
      </c>
      <c r="GB128" s="389">
        <f>GA128/FZ128</f>
        <v/>
      </c>
      <c r="GC128" s="182" t="n"/>
      <c r="GD128" s="182" t="n"/>
      <c r="GE128" s="364" t="n"/>
      <c r="GF128" s="365">
        <f>C128</f>
        <v/>
      </c>
      <c r="GG128" s="365" t="n">
        <v>4658269.49</v>
      </c>
      <c r="GH128" s="365">
        <f>GG129</f>
        <v/>
      </c>
      <c r="GI128" s="388">
        <f>GG128-GH128</f>
        <v/>
      </c>
      <c r="GJ128" s="389">
        <f>GI128/GH128</f>
        <v/>
      </c>
      <c r="GK128" s="182" t="n"/>
      <c r="GL128" s="182" t="n"/>
      <c r="GM128" s="364" t="n"/>
      <c r="GN128" s="365">
        <f>C128</f>
        <v/>
      </c>
      <c r="GO128" s="365" t="n">
        <v>1905538.1217</v>
      </c>
      <c r="GP128" s="365">
        <f>GO129</f>
        <v/>
      </c>
      <c r="GQ128" s="388">
        <f>GO128-GP128</f>
        <v/>
      </c>
      <c r="GR128" s="389">
        <f>GQ128/GP128</f>
        <v/>
      </c>
      <c r="GS128" s="182" t="n"/>
      <c r="GT128" s="182" t="n"/>
      <c r="GU128" s="364" t="n"/>
      <c r="GV128" s="365">
        <f>C128</f>
        <v/>
      </c>
      <c r="GW128" s="365" t="n">
        <v>888349.4</v>
      </c>
      <c r="GX128" s="365">
        <f>GW129</f>
        <v/>
      </c>
      <c r="GY128" s="388">
        <f>GW128-GX128</f>
        <v/>
      </c>
      <c r="GZ128" s="389">
        <f>GY128/GX128</f>
        <v/>
      </c>
      <c r="HA128" s="182" t="n"/>
      <c r="HB128" s="182" t="n"/>
      <c r="HC128" s="364" t="n"/>
      <c r="HD128" s="365">
        <f>C128</f>
        <v/>
      </c>
      <c r="HE128" s="365" t="n">
        <v>1318264.6746</v>
      </c>
      <c r="HF128" s="365">
        <f>HE129</f>
        <v/>
      </c>
      <c r="HG128" s="390">
        <f>HE128-HF128</f>
        <v/>
      </c>
      <c r="HH128" s="391">
        <f>HG128/HF128</f>
        <v/>
      </c>
      <c r="HI128" s="366" t="n"/>
      <c r="HJ128" s="182" t="n"/>
      <c r="HK128" s="364" t="n"/>
      <c r="HL128" s="365">
        <f>C128</f>
        <v/>
      </c>
      <c r="HM128" s="365" t="n">
        <v>138104.25</v>
      </c>
      <c r="HN128" s="365">
        <f>HM129</f>
        <v/>
      </c>
      <c r="HO128" s="388">
        <f>HM128-HN128</f>
        <v/>
      </c>
      <c r="HP128" s="389">
        <f>HO128/HN128</f>
        <v/>
      </c>
      <c r="HQ128" s="182" t="n"/>
      <c r="HR128" s="182" t="n"/>
      <c r="HS128" s="364" t="n"/>
      <c r="HT128" s="365">
        <f>C128</f>
        <v/>
      </c>
      <c r="HU128" s="365" t="n">
        <v>211668.8265</v>
      </c>
      <c r="HV128" s="365">
        <f>HU129</f>
        <v/>
      </c>
      <c r="HW128" s="388">
        <f>HU128-HV128</f>
        <v/>
      </c>
      <c r="HX128" s="389">
        <f>HW128/HV128</f>
        <v/>
      </c>
      <c r="HY128" s="182" t="n"/>
      <c r="HZ128" s="182" t="n"/>
      <c r="IA128" s="364" t="n"/>
      <c r="IB128" s="365">
        <f>C128</f>
        <v/>
      </c>
      <c r="IC128" s="0" t="n">
        <v>374809.79</v>
      </c>
      <c r="ID128" s="0">
        <f>IC129</f>
        <v/>
      </c>
      <c r="IE128" s="365">
        <f>IC128-ID128</f>
        <v/>
      </c>
      <c r="IF128" s="366">
        <f>IE128/ID128</f>
        <v/>
      </c>
      <c r="IG128" s="182" t="n"/>
      <c r="IH128" s="182" t="n"/>
      <c r="II128" s="364" t="n"/>
      <c r="IJ128" s="365">
        <f>C128</f>
        <v/>
      </c>
      <c r="IK128" s="365" t="n">
        <v>625356.29</v>
      </c>
      <c r="IL128" s="365">
        <f>IK129</f>
        <v/>
      </c>
      <c r="IM128" s="390">
        <f>IK128-IL128</f>
        <v/>
      </c>
      <c r="IN128" s="391">
        <f>IM128/IL128</f>
        <v/>
      </c>
      <c r="IO128" s="182" t="n"/>
      <c r="IP128" s="182" t="n"/>
      <c r="IQ128" s="364" t="n"/>
      <c r="IR128" s="365">
        <f>C128</f>
        <v/>
      </c>
      <c r="IS128" s="365" t="n">
        <v>141889</v>
      </c>
      <c r="IT128" s="365">
        <f>IS129</f>
        <v/>
      </c>
      <c r="IU128" s="390">
        <f>IS128-IT128</f>
        <v/>
      </c>
      <c r="IV128" s="391">
        <f>IU128/IT128</f>
        <v/>
      </c>
      <c r="IW128" s="182" t="n"/>
      <c r="IX128" s="182" t="n"/>
      <c r="IY128" s="364" t="n"/>
      <c r="IZ128" s="365">
        <f>C128</f>
        <v/>
      </c>
      <c r="JA128" s="365" t="n">
        <v>5229229.15</v>
      </c>
      <c r="JB128" s="365">
        <f>JA129</f>
        <v/>
      </c>
      <c r="JC128" s="388">
        <f>JA128-JB128</f>
        <v/>
      </c>
      <c r="JD128" s="389">
        <f>JC128/JB128</f>
        <v/>
      </c>
      <c r="JE128" s="182" t="n"/>
      <c r="JF128" s="182" t="n"/>
      <c r="JG128" s="364" t="n"/>
      <c r="JH128" s="365">
        <f>C128</f>
        <v/>
      </c>
      <c r="JI128" s="365" t="n">
        <v>1334787.99</v>
      </c>
      <c r="JJ128" s="365">
        <f>JI129</f>
        <v/>
      </c>
      <c r="JK128" s="388">
        <f>JI128-JJ128</f>
        <v/>
      </c>
      <c r="JL128" s="389">
        <f>JK128/JJ128</f>
        <v/>
      </c>
      <c r="JM128" s="182" t="n"/>
      <c r="JN128" s="182" t="n"/>
      <c r="JO128" s="182" t="n"/>
      <c r="JP128" s="365">
        <f>C128</f>
        <v/>
      </c>
      <c r="JQ128" s="365" t="n">
        <v>1042990.4148</v>
      </c>
      <c r="JR128" s="365">
        <f>JQ129</f>
        <v/>
      </c>
      <c r="JS128" s="388">
        <f>JQ128-JR128</f>
        <v/>
      </c>
      <c r="JT128" s="389">
        <f>JS128/JR128</f>
        <v/>
      </c>
      <c r="JU128" s="182" t="n"/>
      <c r="JV128" s="182" t="n"/>
      <c r="JW128" s="383" t="n"/>
      <c r="JX128" s="365">
        <f>C128</f>
        <v/>
      </c>
      <c r="JY128" s="365" t="n">
        <v>1185898.8</v>
      </c>
      <c r="JZ128" s="365">
        <f>JY129</f>
        <v/>
      </c>
      <c r="KA128" s="390">
        <f>JY128-JZ128</f>
        <v/>
      </c>
      <c r="KB128" s="391">
        <f>KA128/JZ128</f>
        <v/>
      </c>
      <c r="KC128" s="182" t="n"/>
      <c r="KD128" s="182" t="n"/>
      <c r="KE128" s="383" t="n"/>
      <c r="KF128" s="365">
        <f>C128</f>
        <v/>
      </c>
      <c r="KG128" s="365" t="n">
        <v>709955.9219</v>
      </c>
      <c r="KH128" s="365">
        <f>KG129</f>
        <v/>
      </c>
      <c r="KI128" s="384">
        <f>KG128-KH128</f>
        <v/>
      </c>
      <c r="KJ128" s="383">
        <f>KI128/KH128</f>
        <v/>
      </c>
      <c r="KK128" s="366" t="n"/>
      <c r="KL128" s="366" t="n"/>
      <c r="KM128" s="364" t="n"/>
      <c r="KN128" s="365">
        <f>C128</f>
        <v/>
      </c>
      <c r="KO128" s="365" t="n">
        <v>8328775.95</v>
      </c>
      <c r="KP128" s="365">
        <f>KO129</f>
        <v/>
      </c>
      <c r="KQ128" s="390">
        <f>KO128-KP128</f>
        <v/>
      </c>
      <c r="KR128" s="391">
        <f>KQ128/KP128</f>
        <v/>
      </c>
      <c r="KS128" s="182" t="n"/>
      <c r="KT128" s="182" t="n"/>
      <c r="KU128" s="364" t="n"/>
      <c r="KV128" s="365">
        <f>C128</f>
        <v/>
      </c>
      <c r="KW128" s="365" t="n">
        <v>1066972.9726</v>
      </c>
      <c r="KX128" s="365">
        <f>KW129</f>
        <v/>
      </c>
      <c r="KY128" s="323">
        <f>KW128-KX128</f>
        <v/>
      </c>
      <c r="KZ128" s="324">
        <f>KY128/KX128</f>
        <v/>
      </c>
      <c r="LA128" s="366" t="n"/>
      <c r="LB128" s="182" t="n"/>
      <c r="LC128" s="364" t="n"/>
      <c r="LD128" s="365">
        <f>C128</f>
        <v/>
      </c>
      <c r="LE128" s="365" t="n">
        <v>484957.7</v>
      </c>
      <c r="LF128" s="365">
        <f>LE129</f>
        <v/>
      </c>
      <c r="LG128" s="388">
        <f>LE128-LF128</f>
        <v/>
      </c>
      <c r="LH128" s="389">
        <f>LG128/LF128</f>
        <v/>
      </c>
      <c r="LI128" s="182" t="n"/>
      <c r="LJ128" s="182" t="n"/>
      <c r="LK128" s="364" t="n"/>
      <c r="LL128" s="365">
        <f>C128</f>
        <v/>
      </c>
      <c r="LM128" s="694" t="n">
        <v>3512275.02</v>
      </c>
      <c r="LN128" s="365">
        <f>LM129</f>
        <v/>
      </c>
      <c r="LO128" s="390">
        <f>LM128-LN128</f>
        <v/>
      </c>
      <c r="LP128" s="391">
        <f>LO128/LN128</f>
        <v/>
      </c>
      <c r="LQ128" s="182" t="n"/>
      <c r="LR128" s="182" t="n"/>
      <c r="LS128" s="364" t="n"/>
      <c r="LT128" s="365">
        <f>C128</f>
        <v/>
      </c>
      <c r="LU128" s="365" t="n">
        <v>2454062.904</v>
      </c>
      <c r="LV128" s="365">
        <f>LU129</f>
        <v/>
      </c>
      <c r="LW128" s="384">
        <f>LU128-LV128</f>
        <v/>
      </c>
      <c r="LX128" s="383">
        <f>LW128/LV128</f>
        <v/>
      </c>
      <c r="LY128" s="182" t="n"/>
      <c r="LZ128" s="182" t="n"/>
      <c r="MA128" s="364" t="n"/>
      <c r="MB128" s="365">
        <f>C128</f>
        <v/>
      </c>
      <c r="MC128" s="365" t="n">
        <v>841417.6899999999</v>
      </c>
      <c r="MD128" s="365">
        <f>MC129</f>
        <v/>
      </c>
      <c r="ME128" s="388">
        <f>MC128-MD128</f>
        <v/>
      </c>
      <c r="MF128" s="389">
        <f>ME128/MD128</f>
        <v/>
      </c>
      <c r="MG128" s="182" t="n"/>
      <c r="MH128" s="182" t="n"/>
      <c r="MI128" s="364" t="n"/>
      <c r="MJ128" s="364" t="n"/>
      <c r="MK128" s="365">
        <f>C128</f>
        <v/>
      </c>
      <c r="ML128" s="364" t="n">
        <v>196065.5354</v>
      </c>
      <c r="MM128" s="187">
        <f>ML129</f>
        <v/>
      </c>
      <c r="MN128" s="364">
        <f>ML128-MM128</f>
        <v/>
      </c>
      <c r="MO128" s="366">
        <f>MN128/MM128</f>
        <v/>
      </c>
      <c r="MP128" s="366" t="n"/>
      <c r="MQ128" s="366" t="n"/>
      <c r="MR128" s="366" t="n"/>
      <c r="MS128" s="366" t="n"/>
      <c r="MT128" s="25">
        <f>C128</f>
        <v/>
      </c>
      <c r="MU128" s="0" t="n">
        <v>178414.8</v>
      </c>
      <c r="MV128" s="0">
        <f>MU129</f>
        <v/>
      </c>
      <c r="MW128" s="0">
        <f>MU128-MV128</f>
        <v/>
      </c>
      <c r="MX128" s="182">
        <f>MW128/MV128</f>
        <v/>
      </c>
      <c r="MY128" s="182" t="n"/>
      <c r="MZ128" s="182" t="n"/>
      <c r="NA128" s="182" t="n"/>
      <c r="NB128" s="182" t="n"/>
      <c r="NC128" s="9">
        <f>C128</f>
        <v/>
      </c>
      <c r="ND128" s="0" t="n">
        <v>41291.48</v>
      </c>
      <c r="NE128" s="0">
        <f>ND129</f>
        <v/>
      </c>
      <c r="NF128" s="0">
        <f>ND128-NE128</f>
        <v/>
      </c>
      <c r="NG128" s="182">
        <f>NF128/NE128</f>
        <v/>
      </c>
      <c r="NH128" s="182" t="n"/>
      <c r="NI128" s="182" t="n"/>
      <c r="NJ128" s="182" t="n"/>
      <c r="NK128" s="182" t="n"/>
      <c r="NL128" s="9" t="n"/>
      <c r="NM128" s="9">
        <f>C128</f>
        <v/>
      </c>
      <c r="NN128" s="0" t="n">
        <v>2641311.08</v>
      </c>
      <c r="NO128" s="0">
        <f>NN129</f>
        <v/>
      </c>
      <c r="NP128" s="0">
        <f>NN128-NO128</f>
        <v/>
      </c>
      <c r="NQ128" s="182">
        <f>NP128/NO128</f>
        <v/>
      </c>
      <c r="NR128" s="182" t="n"/>
      <c r="NS128" s="9" t="n"/>
      <c r="NU128" s="9">
        <f>C128</f>
        <v/>
      </c>
      <c r="NV128" s="364" t="n">
        <v>259026.5</v>
      </c>
      <c r="NW128" s="364">
        <f>NV129</f>
        <v/>
      </c>
      <c r="NX128" s="364">
        <f>NV128-NW128</f>
        <v/>
      </c>
      <c r="NY128" s="366">
        <f>NX128/NW128</f>
        <v/>
      </c>
      <c r="NZ128" s="366" t="n"/>
      <c r="OA128" s="364" t="n"/>
      <c r="OB128" s="364" t="n"/>
      <c r="OC128" s="365">
        <f>C128</f>
        <v/>
      </c>
      <c r="OD128" s="365" t="n">
        <v>15009.97</v>
      </c>
      <c r="OE128" s="365">
        <f>OD129</f>
        <v/>
      </c>
      <c r="OF128" s="390">
        <f>OD128-OE128</f>
        <v/>
      </c>
      <c r="OG128" s="391">
        <f>OF128/OE128</f>
        <v/>
      </c>
      <c r="OH128" s="182" t="n"/>
      <c r="OI128" s="182" t="n"/>
      <c r="OJ128" s="364" t="n"/>
      <c r="OK128" s="365">
        <f>C128</f>
        <v/>
      </c>
      <c r="OL128" s="24" t="n">
        <v>13754.65</v>
      </c>
      <c r="OM128" s="0">
        <f>OL129</f>
        <v/>
      </c>
      <c r="ON128" s="24">
        <f>OL128-OM128</f>
        <v/>
      </c>
      <c r="OO128" s="182">
        <f>ON128/OM128</f>
        <v/>
      </c>
      <c r="OP128" s="182" t="n"/>
      <c r="OQ128" s="182" t="n"/>
      <c r="OT128" s="25">
        <f>OK128</f>
        <v/>
      </c>
      <c r="OU128" s="199" t="n">
        <v>147072.4066</v>
      </c>
      <c r="OV128" s="9">
        <f>OU129</f>
        <v/>
      </c>
      <c r="OW128" s="671">
        <f>OU128-OV128</f>
        <v/>
      </c>
      <c r="OX128" s="182">
        <f>OW128/OV128</f>
        <v/>
      </c>
    </row>
    <row r="129" ht="17" customFormat="1" customHeight="1" s="9">
      <c r="A129" s="631" t="n"/>
      <c r="B129" s="631" t="n"/>
      <c r="C129" s="693" t="inlineStr">
        <is>
          <t>2026//5/13</t>
        </is>
      </c>
      <c r="D129" s="362" t="n">
        <v>3272718.77</v>
      </c>
      <c r="E129" s="362">
        <f>D130</f>
        <v/>
      </c>
      <c r="F129" s="432">
        <f>D129-E129</f>
        <v/>
      </c>
      <c r="G129" s="433">
        <f>F129/E129</f>
        <v/>
      </c>
      <c r="H129" s="19" t="n"/>
      <c r="I129" s="426" t="n"/>
      <c r="J129" s="426" t="n"/>
      <c r="K129" s="362">
        <f>C129</f>
        <v/>
      </c>
      <c r="L129" s="362" t="n">
        <v>2626714.4</v>
      </c>
      <c r="M129" s="362">
        <f>L130</f>
        <v/>
      </c>
      <c r="N129" s="432">
        <f>L129-M129</f>
        <v/>
      </c>
      <c r="O129" s="479">
        <f>N129/M129</f>
        <v/>
      </c>
      <c r="P129" s="19" t="n"/>
      <c r="Q129" s="426" t="n"/>
      <c r="R129" s="427" t="n"/>
      <c r="S129" s="362">
        <f>C129</f>
        <v/>
      </c>
      <c r="T129" s="362" t="n">
        <v>1211556.68</v>
      </c>
      <c r="U129" s="362">
        <f>T130</f>
        <v/>
      </c>
      <c r="V129" s="432">
        <f>T129-U129</f>
        <v/>
      </c>
      <c r="W129" s="433">
        <f>V129/U129</f>
        <v/>
      </c>
      <c r="X129" s="19" t="n"/>
      <c r="Y129" s="426" t="n"/>
      <c r="Z129" s="427" t="n"/>
      <c r="AA129" s="362">
        <f>S129</f>
        <v/>
      </c>
      <c r="AB129" s="362" t="n">
        <v>529376.86</v>
      </c>
      <c r="AC129" s="362">
        <f>AB130</f>
        <v/>
      </c>
      <c r="AD129" s="432">
        <f>AB129-AC129</f>
        <v/>
      </c>
      <c r="AE129" s="433">
        <f>AD129/AC129</f>
        <v/>
      </c>
      <c r="AF129" s="19" t="n"/>
      <c r="AG129" s="426" t="n"/>
      <c r="AH129" s="427" t="n"/>
      <c r="AI129" s="362">
        <f>C129</f>
        <v/>
      </c>
      <c r="AJ129" s="362" t="n">
        <v>359721.76</v>
      </c>
      <c r="AK129" s="362">
        <f>AJ130</f>
        <v/>
      </c>
      <c r="AL129" s="432">
        <f>AJ129-AK129</f>
        <v/>
      </c>
      <c r="AM129" s="433">
        <f>AL129/AK129</f>
        <v/>
      </c>
      <c r="AN129" s="19" t="n"/>
      <c r="AO129" s="19" t="n"/>
      <c r="AP129" s="427" t="n"/>
      <c r="AQ129" s="362">
        <f>C129</f>
        <v/>
      </c>
      <c r="AR129" s="697" t="n">
        <v>1205245.4936</v>
      </c>
      <c r="AS129" s="362">
        <f>AR130</f>
        <v/>
      </c>
      <c r="AT129" s="432">
        <f>AR129-AS129</f>
        <v/>
      </c>
      <c r="AU129" s="433">
        <f>AT129/AS129</f>
        <v/>
      </c>
      <c r="AV129" s="19" t="n"/>
      <c r="AW129" s="19" t="n"/>
      <c r="AX129" s="5" t="n"/>
      <c r="AY129" s="5" t="n"/>
      <c r="AZ129" s="5">
        <f>C129</f>
        <v/>
      </c>
      <c r="BA129" s="5" t="n">
        <v>1559451.6676</v>
      </c>
      <c r="BB129" s="5">
        <f>BA130</f>
        <v/>
      </c>
      <c r="BC129" s="5">
        <f>BA129-BB129</f>
        <v/>
      </c>
      <c r="BD129" s="19">
        <f>BC129/BB129</f>
        <v/>
      </c>
      <c r="BE129" s="19" t="n"/>
      <c r="BF129" s="19" t="n"/>
      <c r="BG129" s="647" t="n"/>
      <c r="BH129" s="363">
        <f>C129</f>
        <v/>
      </c>
      <c r="BI129" s="363" t="n">
        <v>1549726.5525</v>
      </c>
      <c r="BJ129" s="363">
        <f>BI130</f>
        <v/>
      </c>
      <c r="BK129" s="395">
        <f>BI129-BJ129</f>
        <v/>
      </c>
      <c r="BL129" s="396">
        <f>BK129/BJ129</f>
        <v/>
      </c>
      <c r="BM129" s="191" t="n"/>
      <c r="BN129" s="182" t="n"/>
      <c r="BO129" s="364" t="n"/>
      <c r="BP129" s="365">
        <f>C129</f>
        <v/>
      </c>
      <c r="BQ129" s="694" t="n">
        <v>1098462.3921</v>
      </c>
      <c r="BR129" s="365">
        <f>BQ130</f>
        <v/>
      </c>
      <c r="BS129" s="390">
        <f>BQ129-BR129</f>
        <v/>
      </c>
      <c r="BT129" s="391">
        <f>BS129/BR129</f>
        <v/>
      </c>
      <c r="BU129" s="182" t="n"/>
      <c r="BV129" s="182" t="n"/>
      <c r="BW129" s="364" t="n"/>
      <c r="BX129" s="365">
        <f>C129</f>
        <v/>
      </c>
      <c r="BY129" s="365" t="n">
        <v>2846360.7019</v>
      </c>
      <c r="BZ129" s="365">
        <f>BY130</f>
        <v/>
      </c>
      <c r="CA129" s="390">
        <f>BY129-BZ129</f>
        <v/>
      </c>
      <c r="CB129" s="391">
        <f>CA129/BZ129</f>
        <v/>
      </c>
      <c r="CC129" s="182" t="n"/>
      <c r="CD129" s="383" t="n"/>
      <c r="CE129" s="364" t="n"/>
      <c r="CF129" s="365">
        <f>C129</f>
        <v/>
      </c>
      <c r="CG129" s="365" t="n">
        <v>1330253.9</v>
      </c>
      <c r="CH129" s="13">
        <f>CG130</f>
        <v/>
      </c>
      <c r="CI129" s="13">
        <f>CG129-CH129</f>
        <v/>
      </c>
      <c r="CJ129" s="193">
        <f>CI129/CH129</f>
        <v/>
      </c>
      <c r="CK129" s="182" t="n"/>
      <c r="CL129" s="366" t="n"/>
      <c r="CM129" s="364" t="n"/>
      <c r="CN129" s="365">
        <f>C129</f>
        <v/>
      </c>
      <c r="CO129" s="365" t="n">
        <v>606146.48</v>
      </c>
      <c r="CP129" s="365">
        <f>CO130</f>
        <v/>
      </c>
      <c r="CQ129" s="13">
        <f>CO129-CP129</f>
        <v/>
      </c>
      <c r="CR129" s="193">
        <f>CQ129/CP129</f>
        <v/>
      </c>
      <c r="CS129" s="366" t="n"/>
      <c r="CT129" s="366" t="n"/>
      <c r="CU129" s="364" t="n"/>
      <c r="CV129" s="365">
        <f>C129</f>
        <v/>
      </c>
      <c r="CW129" s="365" t="n">
        <v>578490.4</v>
      </c>
      <c r="CX129" s="365">
        <f>CW130</f>
        <v/>
      </c>
      <c r="CY129" s="390">
        <f>CW129-CX129</f>
        <v/>
      </c>
      <c r="CZ129" s="391">
        <f>CY129/CX129</f>
        <v/>
      </c>
      <c r="DA129" s="182" t="n"/>
      <c r="DB129" s="182" t="n"/>
      <c r="DC129" s="256" t="n"/>
      <c r="DD129" s="365">
        <f>C129</f>
        <v/>
      </c>
      <c r="DE129" s="365" t="n">
        <v>1975317.9986</v>
      </c>
      <c r="DF129" s="13">
        <f>DE130</f>
        <v/>
      </c>
      <c r="DG129" s="390">
        <f>DE129-DF129</f>
        <v/>
      </c>
      <c r="DH129" s="391">
        <f>DG129/DF129</f>
        <v/>
      </c>
      <c r="DI129" s="182" t="n"/>
      <c r="DJ129" s="182" t="n"/>
      <c r="DK129" s="364" t="n"/>
      <c r="DL129" s="365">
        <f>C129</f>
        <v/>
      </c>
      <c r="DM129" s="365" t="n">
        <v>978500.36</v>
      </c>
      <c r="DN129" s="365">
        <f>DM130</f>
        <v/>
      </c>
      <c r="DO129" s="390">
        <f>DM129-DN129</f>
        <v/>
      </c>
      <c r="DP129" s="391">
        <f>DO129/DN129</f>
        <v/>
      </c>
      <c r="DQ129" s="182" t="n"/>
      <c r="DR129" s="182" t="n"/>
      <c r="DS129" s="364" t="n"/>
      <c r="DT129" s="365">
        <f>C129</f>
        <v/>
      </c>
      <c r="DU129" s="365" t="n">
        <v>1368389.48</v>
      </c>
      <c r="DV129" s="365">
        <f>DU130</f>
        <v/>
      </c>
      <c r="DW129" s="390">
        <f>DU129-DV129</f>
        <v/>
      </c>
      <c r="DX129" s="391">
        <f>DW129/DV129</f>
        <v/>
      </c>
      <c r="DY129" s="182" t="n"/>
      <c r="DZ129" s="182" t="n"/>
      <c r="EA129" s="364" t="n"/>
      <c r="EB129" s="365">
        <f>C129</f>
        <v/>
      </c>
      <c r="EC129" s="365" t="n">
        <v>3820766.82</v>
      </c>
      <c r="ED129" s="365">
        <f>EC130</f>
        <v/>
      </c>
      <c r="EE129" s="390">
        <f>EC129-ED129</f>
        <v/>
      </c>
      <c r="EF129" s="391">
        <f>EE129/ED129</f>
        <v/>
      </c>
      <c r="EG129" s="182" t="n"/>
      <c r="EH129" s="182" t="n"/>
      <c r="EI129" s="364" t="n"/>
      <c r="EJ129" s="365">
        <f>C129</f>
        <v/>
      </c>
      <c r="EK129" s="365" t="n">
        <v>1232322.9669</v>
      </c>
      <c r="EL129" s="365">
        <f>EK130</f>
        <v/>
      </c>
      <c r="EM129" s="390">
        <f>EK129-EL129</f>
        <v/>
      </c>
      <c r="EN129" s="391">
        <f>EM129/EL129</f>
        <v/>
      </c>
      <c r="EO129" s="182" t="n"/>
      <c r="EP129" s="182" t="n"/>
      <c r="EQ129" s="182" t="n"/>
      <c r="ER129" s="9">
        <f>C129</f>
        <v/>
      </c>
      <c r="ES129" s="182" t="n">
        <v>407597.02</v>
      </c>
      <c r="ET129" s="182">
        <f>ES130</f>
        <v/>
      </c>
      <c r="EU129" s="182">
        <f>ES129-ET129</f>
        <v/>
      </c>
      <c r="EV129" s="182">
        <f>EU129/ET129</f>
        <v/>
      </c>
      <c r="EW129" s="182" t="n"/>
      <c r="EX129" s="182" t="n"/>
      <c r="EY129" s="364" t="n"/>
      <c r="EZ129" s="365">
        <f>C129</f>
        <v/>
      </c>
      <c r="FA129" s="365" t="n">
        <v>666008</v>
      </c>
      <c r="FB129" s="365">
        <f>FA130</f>
        <v/>
      </c>
      <c r="FC129" s="388">
        <f>FA129-FB129</f>
        <v/>
      </c>
      <c r="FD129" s="389">
        <f>FC129/FB129</f>
        <v/>
      </c>
      <c r="FE129" s="182" t="n"/>
      <c r="FF129" s="182" t="n"/>
      <c r="FG129" s="182" t="n"/>
      <c r="FH129" s="384">
        <f>C129</f>
        <v/>
      </c>
      <c r="FI129" s="694" t="n">
        <v>1324995.3365</v>
      </c>
      <c r="FJ129" s="365">
        <f>FI130</f>
        <v/>
      </c>
      <c r="FK129" s="325">
        <f>FI129-FJ129</f>
        <v/>
      </c>
      <c r="FL129" s="326">
        <f>FK129/FJ129</f>
        <v/>
      </c>
      <c r="FM129" s="366" t="n"/>
      <c r="FN129" s="366" t="n"/>
      <c r="FO129" s="364" t="n"/>
      <c r="FP129" s="365">
        <f>C129</f>
        <v/>
      </c>
      <c r="FQ129" s="365" t="n">
        <v>1807618.73</v>
      </c>
      <c r="FR129" s="365">
        <f>FQ130</f>
        <v/>
      </c>
      <c r="FS129" s="390">
        <f>FQ129-FR129</f>
        <v/>
      </c>
      <c r="FT129" s="391">
        <f>FS129/FR129</f>
        <v/>
      </c>
      <c r="FU129" s="182" t="n"/>
      <c r="FV129" s="182" t="n"/>
      <c r="FW129" s="364" t="n"/>
      <c r="FX129" s="365">
        <f>C129</f>
        <v/>
      </c>
      <c r="FY129" s="365" t="n">
        <v>8100182.05</v>
      </c>
      <c r="FZ129" s="365">
        <f>FY130</f>
        <v/>
      </c>
      <c r="GA129" s="390">
        <f>FY129-FZ129</f>
        <v/>
      </c>
      <c r="GB129" s="391">
        <f>GA129/FZ129</f>
        <v/>
      </c>
      <c r="GC129" s="182" t="n"/>
      <c r="GD129" s="182" t="n"/>
      <c r="GE129" s="364" t="n"/>
      <c r="GF129" s="365">
        <f>C129</f>
        <v/>
      </c>
      <c r="GG129" s="365" t="n">
        <v>4623369.49</v>
      </c>
      <c r="GH129" s="365">
        <f>GG130</f>
        <v/>
      </c>
      <c r="GI129" s="390">
        <f>GG129-GH129</f>
        <v/>
      </c>
      <c r="GJ129" s="391">
        <f>GI129/GH129</f>
        <v/>
      </c>
      <c r="GK129" s="182" t="n"/>
      <c r="GL129" s="182" t="n"/>
      <c r="GM129" s="364" t="n"/>
      <c r="GN129" s="365">
        <f>C129</f>
        <v/>
      </c>
      <c r="GO129" s="365" t="n">
        <v>1908238.1217</v>
      </c>
      <c r="GP129" s="365">
        <f>GO130</f>
        <v/>
      </c>
      <c r="GQ129" s="388">
        <f>GO129-GP129</f>
        <v/>
      </c>
      <c r="GR129" s="389">
        <f>GQ129/GP129</f>
        <v/>
      </c>
      <c r="GS129" s="182" t="n"/>
      <c r="GT129" s="182" t="n"/>
      <c r="GU129" s="364" t="n"/>
      <c r="GV129" s="365">
        <f>C129</f>
        <v/>
      </c>
      <c r="GW129" s="365" t="n">
        <v>908949.4</v>
      </c>
      <c r="GX129" s="365">
        <f>GW130</f>
        <v/>
      </c>
      <c r="GY129" s="388">
        <f>GW129-GX129</f>
        <v/>
      </c>
      <c r="GZ129" s="389">
        <f>GY129/GX129</f>
        <v/>
      </c>
      <c r="HA129" s="182" t="n"/>
      <c r="HB129" s="182" t="n"/>
      <c r="HC129" s="364" t="n"/>
      <c r="HD129" s="365">
        <f>C129</f>
        <v/>
      </c>
      <c r="HE129" s="365" t="n">
        <v>1345864.6746</v>
      </c>
      <c r="HF129" s="365">
        <f>HE130</f>
        <v/>
      </c>
      <c r="HG129" s="390">
        <f>HE129-HF129</f>
        <v/>
      </c>
      <c r="HH129" s="391">
        <f>HG129/HF129</f>
        <v/>
      </c>
      <c r="HI129" s="366" t="n"/>
      <c r="HJ129" s="182" t="n"/>
      <c r="HK129" s="364" t="n"/>
      <c r="HL129" s="365">
        <f>C129</f>
        <v/>
      </c>
      <c r="HM129" s="365" t="n">
        <v>142154.25</v>
      </c>
      <c r="HN129" s="365">
        <f>HM130</f>
        <v/>
      </c>
      <c r="HO129" s="390">
        <f>HM129-HN129</f>
        <v/>
      </c>
      <c r="HP129" s="391">
        <f>HO129/HN129</f>
        <v/>
      </c>
      <c r="HQ129" s="182" t="n"/>
      <c r="HR129" s="182" t="n"/>
      <c r="HS129" s="364" t="n"/>
      <c r="HT129" s="365">
        <f>C129</f>
        <v/>
      </c>
      <c r="HU129" s="365" t="n">
        <v>211868.8265</v>
      </c>
      <c r="HV129" s="365">
        <f>HU130</f>
        <v/>
      </c>
      <c r="HW129" s="390">
        <f>HU129-HV129</f>
        <v/>
      </c>
      <c r="HX129" s="391">
        <f>HW129/HV129</f>
        <v/>
      </c>
      <c r="HY129" s="182" t="n"/>
      <c r="HZ129" s="182" t="n"/>
      <c r="IA129" s="364" t="n"/>
      <c r="IB129" s="365">
        <f>C129</f>
        <v/>
      </c>
      <c r="IC129" s="0" t="n">
        <v>378409.79</v>
      </c>
      <c r="ID129" s="0">
        <f>IC130</f>
        <v/>
      </c>
      <c r="IE129" s="365">
        <f>IC129-ID129</f>
        <v/>
      </c>
      <c r="IF129" s="366">
        <f>IE129/ID129</f>
        <v/>
      </c>
      <c r="IG129" s="182" t="n"/>
      <c r="IH129" s="182" t="n"/>
      <c r="II129" s="364" t="n"/>
      <c r="IJ129" s="365">
        <f>C129</f>
        <v/>
      </c>
      <c r="IK129" s="365" t="n">
        <v>642076.29</v>
      </c>
      <c r="IL129" s="365">
        <f>IK130</f>
        <v/>
      </c>
      <c r="IM129" s="390">
        <f>IK129-IL129</f>
        <v/>
      </c>
      <c r="IN129" s="391">
        <f>IM129/IL129</f>
        <v/>
      </c>
      <c r="IO129" s="182" t="n"/>
      <c r="IP129" s="182" t="n"/>
      <c r="IQ129" s="364" t="n"/>
      <c r="IR129" s="365">
        <f>C129</f>
        <v/>
      </c>
      <c r="IS129" s="365" t="n">
        <v>139189</v>
      </c>
      <c r="IT129" s="365">
        <f>IS130</f>
        <v/>
      </c>
      <c r="IU129" s="390">
        <f>IS129-IT129</f>
        <v/>
      </c>
      <c r="IV129" s="391">
        <f>IU129/IT129</f>
        <v/>
      </c>
      <c r="IW129" s="182" t="n"/>
      <c r="IX129" s="182" t="n"/>
      <c r="IY129" s="364" t="n"/>
      <c r="IZ129" s="365">
        <f>C129</f>
        <v/>
      </c>
      <c r="JA129" s="365" t="n">
        <v>5218229.15</v>
      </c>
      <c r="JB129" s="365">
        <f>JA130</f>
        <v/>
      </c>
      <c r="JC129" s="390">
        <f>JA129-JB129</f>
        <v/>
      </c>
      <c r="JD129" s="391">
        <f>JC129/JB129</f>
        <v/>
      </c>
      <c r="JE129" s="182" t="n"/>
      <c r="JF129" s="182" t="n"/>
      <c r="JG129" s="364" t="n"/>
      <c r="JH129" s="365">
        <f>C129</f>
        <v/>
      </c>
      <c r="JI129" s="365" t="n">
        <v>1332207.99</v>
      </c>
      <c r="JJ129" s="365">
        <f>JI130</f>
        <v/>
      </c>
      <c r="JK129" s="388">
        <f>JI129-JJ129</f>
        <v/>
      </c>
      <c r="JL129" s="389">
        <f>JK129/JJ129</f>
        <v/>
      </c>
      <c r="JM129" s="182" t="n"/>
      <c r="JN129" s="182" t="n"/>
      <c r="JO129" s="182" t="n"/>
      <c r="JP129" s="365">
        <f>C129</f>
        <v/>
      </c>
      <c r="JQ129" s="365" t="n">
        <v>1045390.4148</v>
      </c>
      <c r="JR129" s="365">
        <f>JQ130</f>
        <v/>
      </c>
      <c r="JS129" s="388">
        <f>JQ129-JR129</f>
        <v/>
      </c>
      <c r="JT129" s="389">
        <f>JS129/JR129</f>
        <v/>
      </c>
      <c r="JU129" s="182" t="n"/>
      <c r="JV129" s="182" t="n"/>
      <c r="JW129" s="383" t="n"/>
      <c r="JX129" s="365">
        <f>C129</f>
        <v/>
      </c>
      <c r="JY129" s="365" t="n">
        <v>1186298.8</v>
      </c>
      <c r="JZ129" s="365">
        <f>JY130</f>
        <v/>
      </c>
      <c r="KA129" s="388">
        <f>JY129-JZ129</f>
        <v/>
      </c>
      <c r="KB129" s="389">
        <f>KA129/JZ129</f>
        <v/>
      </c>
      <c r="KC129" s="182" t="n"/>
      <c r="KD129" s="182" t="n"/>
      <c r="KE129" s="383" t="n"/>
      <c r="KF129" s="365">
        <f>C129</f>
        <v/>
      </c>
      <c r="KG129" s="365" t="n">
        <v>715755.9219</v>
      </c>
      <c r="KH129" s="365">
        <f>KG130</f>
        <v/>
      </c>
      <c r="KI129" s="388">
        <f>KG129-KH129</f>
        <v/>
      </c>
      <c r="KJ129" s="389">
        <f>KI129/KH129</f>
        <v/>
      </c>
      <c r="KK129" s="366" t="n"/>
      <c r="KL129" s="366" t="n"/>
      <c r="KM129" s="364" t="n"/>
      <c r="KN129" s="365">
        <f>C129</f>
        <v/>
      </c>
      <c r="KO129" s="365" t="n">
        <v>8328775.95</v>
      </c>
      <c r="KP129" s="365">
        <f>KO130</f>
        <v/>
      </c>
      <c r="KQ129" s="390">
        <f>KO129-KP129</f>
        <v/>
      </c>
      <c r="KR129" s="391">
        <f>KQ129/KP129</f>
        <v/>
      </c>
      <c r="KS129" s="182" t="n"/>
      <c r="KT129" s="182" t="n"/>
      <c r="KU129" s="364" t="n"/>
      <c r="KV129" s="365">
        <f>C129</f>
        <v/>
      </c>
      <c r="KW129" s="365" t="n">
        <v>1047772.9726</v>
      </c>
      <c r="KX129" s="365">
        <f>KW130</f>
        <v/>
      </c>
      <c r="KY129" s="325">
        <f>KW129-KX129</f>
        <v/>
      </c>
      <c r="KZ129" s="326">
        <f>KY129/KX129</f>
        <v/>
      </c>
      <c r="LA129" s="366" t="n"/>
      <c r="LB129" s="182" t="n"/>
      <c r="LC129" s="364" t="n"/>
      <c r="LD129" s="365">
        <f>C129</f>
        <v/>
      </c>
      <c r="LE129" s="365" t="n">
        <v>491607.7</v>
      </c>
      <c r="LF129" s="365">
        <f>LE130</f>
        <v/>
      </c>
      <c r="LG129" s="390">
        <f>LE129-LF129</f>
        <v/>
      </c>
      <c r="LH129" s="391">
        <f>LG129/LF129</f>
        <v/>
      </c>
      <c r="LI129" s="182" t="n"/>
      <c r="LJ129" s="182" t="n"/>
      <c r="LK129" s="364" t="n"/>
      <c r="LL129" s="365">
        <f>C129</f>
        <v/>
      </c>
      <c r="LM129" s="694" t="n">
        <v>3547015.02</v>
      </c>
      <c r="LN129" s="365">
        <f>LM130</f>
        <v/>
      </c>
      <c r="LO129" s="390">
        <f>LM129-LN129</f>
        <v/>
      </c>
      <c r="LP129" s="391">
        <f>LO129/LN129</f>
        <v/>
      </c>
      <c r="LQ129" s="182" t="n"/>
      <c r="LR129" s="182" t="n"/>
      <c r="LS129" s="364" t="n"/>
      <c r="LT129" s="365">
        <f>C129</f>
        <v/>
      </c>
      <c r="LU129" s="365" t="n">
        <v>2462862.904</v>
      </c>
      <c r="LV129" s="365">
        <f>LU130</f>
        <v/>
      </c>
      <c r="LW129" s="388">
        <f>LU129-LV129</f>
        <v/>
      </c>
      <c r="LX129" s="389">
        <f>LW129/LV129</f>
        <v/>
      </c>
      <c r="LY129" s="182" t="n"/>
      <c r="LZ129" s="182" t="n"/>
      <c r="MA129" s="364" t="n"/>
      <c r="MB129" s="365">
        <f>C129</f>
        <v/>
      </c>
      <c r="MC129" s="365" t="n">
        <v>854167.6899999999</v>
      </c>
      <c r="MD129" s="365">
        <f>MC130</f>
        <v/>
      </c>
      <c r="ME129" s="388">
        <f>MC129-MD129</f>
        <v/>
      </c>
      <c r="MF129" s="389">
        <f>ME129/MD129</f>
        <v/>
      </c>
      <c r="MG129" s="182" t="n"/>
      <c r="MH129" s="182" t="n"/>
      <c r="MI129" s="364" t="n"/>
      <c r="MJ129" s="364" t="n"/>
      <c r="MK129" s="365">
        <f>C129</f>
        <v/>
      </c>
      <c r="ML129" s="364" t="n">
        <v>199545.5354</v>
      </c>
      <c r="MM129" s="187">
        <f>ML130</f>
        <v/>
      </c>
      <c r="MN129" s="364">
        <f>ML129-MM129</f>
        <v/>
      </c>
      <c r="MO129" s="366">
        <f>MN129/MM129</f>
        <v/>
      </c>
      <c r="MP129" s="366" t="n"/>
      <c r="MQ129" s="366" t="n"/>
      <c r="MR129" s="366" t="n"/>
      <c r="MS129" s="366" t="n"/>
      <c r="MT129" s="25">
        <f>C129</f>
        <v/>
      </c>
      <c r="MU129" s="0" t="n">
        <v>179414.8</v>
      </c>
      <c r="MV129" s="0">
        <f>MU130</f>
        <v/>
      </c>
      <c r="MW129" s="0">
        <f>MU129-MV129</f>
        <v/>
      </c>
      <c r="MX129" s="182">
        <f>MW129/MV129</f>
        <v/>
      </c>
      <c r="MY129" s="182" t="n"/>
      <c r="MZ129" s="182" t="n"/>
      <c r="NA129" s="182" t="n"/>
      <c r="NB129" s="182" t="n"/>
      <c r="NC129" s="9">
        <f>C129</f>
        <v/>
      </c>
      <c r="ND129" s="0" t="n">
        <v>41691.48</v>
      </c>
      <c r="NE129" s="0">
        <f>ND130</f>
        <v/>
      </c>
      <c r="NF129" s="0">
        <f>ND129-NE129</f>
        <v/>
      </c>
      <c r="NG129" s="182">
        <f>NF129/NE129</f>
        <v/>
      </c>
      <c r="NH129" s="182" t="n"/>
      <c r="NI129" s="182" t="n"/>
      <c r="NJ129" s="182" t="n"/>
      <c r="NK129" s="182" t="n"/>
      <c r="NL129" s="9" t="n"/>
      <c r="NM129" s="9">
        <f>C129</f>
        <v/>
      </c>
      <c r="NN129" s="0" t="n">
        <v>2636511.08</v>
      </c>
      <c r="NO129" s="0">
        <f>NN130</f>
        <v/>
      </c>
      <c r="NP129" s="0">
        <f>NN129-NO129</f>
        <v/>
      </c>
      <c r="NQ129" s="182">
        <f>NP129/NO129</f>
        <v/>
      </c>
      <c r="NR129" s="182" t="n"/>
      <c r="NS129" s="9" t="n"/>
      <c r="NU129" s="9">
        <f>C129</f>
        <v/>
      </c>
      <c r="NV129" s="364" t="n">
        <v>259226.5</v>
      </c>
      <c r="NW129" s="364">
        <f>NV130</f>
        <v/>
      </c>
      <c r="NX129" s="364">
        <f>NV129-NW129</f>
        <v/>
      </c>
      <c r="NY129" s="366">
        <f>NX129/NW129</f>
        <v/>
      </c>
      <c r="NZ129" s="366" t="n"/>
      <c r="OA129" s="364" t="n"/>
      <c r="OB129" s="364" t="n"/>
      <c r="OC129" s="365">
        <f>C129</f>
        <v/>
      </c>
      <c r="OD129" s="365" t="n">
        <v>14925.97</v>
      </c>
      <c r="OE129" s="365">
        <f>OD130</f>
        <v/>
      </c>
      <c r="OF129" s="388">
        <f>OD129-OE129</f>
        <v/>
      </c>
      <c r="OG129" s="389">
        <f>OF129/OE129</f>
        <v/>
      </c>
      <c r="OH129" s="182" t="n"/>
      <c r="OI129" s="182" t="n"/>
      <c r="OJ129" s="364" t="n"/>
      <c r="OK129" s="365">
        <f>C129</f>
        <v/>
      </c>
      <c r="OL129" s="0" t="n">
        <v>13755.65</v>
      </c>
      <c r="OM129" s="0">
        <f>OL130</f>
        <v/>
      </c>
      <c r="ON129" s="0">
        <f>OL129-OM129</f>
        <v/>
      </c>
      <c r="OO129" s="182">
        <f>ON129/OM129</f>
        <v/>
      </c>
      <c r="OP129" s="182" t="n"/>
      <c r="OQ129" s="182" t="n"/>
      <c r="OT129" s="25">
        <f>OK129</f>
        <v/>
      </c>
      <c r="OU129" s="199" t="n">
        <v>146952.4066</v>
      </c>
      <c r="OV129" s="9">
        <f>OU130</f>
        <v/>
      </c>
      <c r="OW129" s="671">
        <f>OU129-OV129</f>
        <v/>
      </c>
      <c r="OX129" s="182">
        <f>OW129/OV129</f>
        <v/>
      </c>
    </row>
    <row r="130" ht="17" customFormat="1" customHeight="1" s="9">
      <c r="A130" s="631" t="n"/>
      <c r="B130" s="631" t="n"/>
      <c r="C130" s="693" t="inlineStr">
        <is>
          <t>2026//5/12</t>
        </is>
      </c>
      <c r="D130" s="362" t="n">
        <v>3337158.77</v>
      </c>
      <c r="E130" s="362">
        <f>D131</f>
        <v/>
      </c>
      <c r="F130" s="377">
        <f>D130-E130</f>
        <v/>
      </c>
      <c r="G130" s="378">
        <f>F130/E130</f>
        <v/>
      </c>
      <c r="H130" s="19" t="n"/>
      <c r="I130" s="426" t="n"/>
      <c r="J130" s="426" t="n"/>
      <c r="K130" s="362">
        <f>C130</f>
        <v/>
      </c>
      <c r="L130" s="362" t="n">
        <v>2677384.4</v>
      </c>
      <c r="M130" s="362">
        <f>L131</f>
        <v/>
      </c>
      <c r="N130" s="377">
        <f>L130-M130</f>
        <v/>
      </c>
      <c r="O130" s="378">
        <f>N130/M130</f>
        <v/>
      </c>
      <c r="P130" s="19" t="n"/>
      <c r="Q130" s="426" t="n"/>
      <c r="R130" s="427" t="n"/>
      <c r="S130" s="362">
        <f>C130</f>
        <v/>
      </c>
      <c r="T130" s="362" t="n">
        <v>1242426.68</v>
      </c>
      <c r="U130" s="362">
        <f>T131</f>
        <v/>
      </c>
      <c r="V130" s="432">
        <f>T130-U130</f>
        <v/>
      </c>
      <c r="W130" s="433">
        <f>V130/U130</f>
        <v/>
      </c>
      <c r="X130" s="19" t="n"/>
      <c r="Y130" s="426" t="n"/>
      <c r="Z130" s="427" t="n"/>
      <c r="AA130" s="362">
        <f>S130</f>
        <v/>
      </c>
      <c r="AB130" s="362" t="n">
        <v>537296.86</v>
      </c>
      <c r="AC130" s="362">
        <f>AB131</f>
        <v/>
      </c>
      <c r="AD130" s="432">
        <f>AB130-AC130</f>
        <v/>
      </c>
      <c r="AE130" s="433">
        <f>AD130/AC130</f>
        <v/>
      </c>
      <c r="AF130" s="19" t="n"/>
      <c r="AG130" s="426" t="n"/>
      <c r="AH130" s="427" t="n"/>
      <c r="AI130" s="362">
        <f>C130</f>
        <v/>
      </c>
      <c r="AJ130" s="362" t="n">
        <v>347521.76</v>
      </c>
      <c r="AK130" s="362">
        <f>AJ131</f>
        <v/>
      </c>
      <c r="AL130" s="432">
        <f>AJ130-AK130</f>
        <v/>
      </c>
      <c r="AM130" s="433">
        <f>AL130/AK130</f>
        <v/>
      </c>
      <c r="AN130" s="19" t="n"/>
      <c r="AO130" s="19" t="n"/>
      <c r="AP130" s="427" t="n"/>
      <c r="AQ130" s="362">
        <f>C130</f>
        <v/>
      </c>
      <c r="AR130" s="697" t="n">
        <v>1197145.4936</v>
      </c>
      <c r="AS130" s="362">
        <f>AR131</f>
        <v/>
      </c>
      <c r="AT130" s="432">
        <f>AR130-AS130</f>
        <v/>
      </c>
      <c r="AU130" s="433">
        <f>AT130/AS130</f>
        <v/>
      </c>
      <c r="AV130" s="19" t="n"/>
      <c r="AW130" s="19" t="n"/>
      <c r="AX130" s="5" t="n"/>
      <c r="AY130" s="5" t="n"/>
      <c r="AZ130" s="5">
        <f>C130</f>
        <v/>
      </c>
      <c r="BA130" s="5" t="n">
        <v>1595811.6676</v>
      </c>
      <c r="BB130" s="5">
        <f>BA131</f>
        <v/>
      </c>
      <c r="BC130" s="5">
        <f>BA130-BB130</f>
        <v/>
      </c>
      <c r="BD130" s="19">
        <f>BC130/BB130</f>
        <v/>
      </c>
      <c r="BE130" s="19" t="n"/>
      <c r="BF130" s="19" t="n"/>
      <c r="BG130" s="647" t="n"/>
      <c r="BH130" s="363">
        <f>C130</f>
        <v/>
      </c>
      <c r="BI130" s="363" t="n">
        <v>1545726.5525</v>
      </c>
      <c r="BJ130" s="363">
        <f>BI131</f>
        <v/>
      </c>
      <c r="BK130" s="395">
        <f>BI130-BJ130</f>
        <v/>
      </c>
      <c r="BL130" s="396">
        <f>BK130/BJ130</f>
        <v/>
      </c>
      <c r="BM130" s="191" t="n"/>
      <c r="BN130" s="182" t="n"/>
      <c r="BO130" s="364" t="n"/>
      <c r="BP130" s="365">
        <f>C130</f>
        <v/>
      </c>
      <c r="BQ130" s="694" t="n">
        <v>1135662.3921</v>
      </c>
      <c r="BR130" s="365">
        <f>BQ131</f>
        <v/>
      </c>
      <c r="BS130" s="390">
        <f>BQ130-BR130</f>
        <v/>
      </c>
      <c r="BT130" s="391">
        <f>BS130/BR130</f>
        <v/>
      </c>
      <c r="BU130" s="182" t="n"/>
      <c r="BV130" s="182" t="n"/>
      <c r="BW130" s="364" t="n"/>
      <c r="BX130" s="365">
        <f>C130</f>
        <v/>
      </c>
      <c r="BY130" s="365" t="n">
        <v>2872760.7019</v>
      </c>
      <c r="BZ130" s="365">
        <f>BY131</f>
        <v/>
      </c>
      <c r="CA130" s="388">
        <f>BY130-BZ130</f>
        <v/>
      </c>
      <c r="CB130" s="389">
        <f>CA130/BZ130</f>
        <v/>
      </c>
      <c r="CC130" s="182" t="n"/>
      <c r="CD130" s="383" t="n"/>
      <c r="CE130" s="364" t="n"/>
      <c r="CF130" s="365">
        <f>C130</f>
        <v/>
      </c>
      <c r="CG130" s="365" t="n">
        <v>1339603.9</v>
      </c>
      <c r="CH130" s="13">
        <f>CG131</f>
        <v/>
      </c>
      <c r="CI130" s="13">
        <f>CG130-CH130</f>
        <v/>
      </c>
      <c r="CJ130" s="193">
        <f>CI130/CH130</f>
        <v/>
      </c>
      <c r="CK130" s="182" t="n"/>
      <c r="CL130" s="366" t="n"/>
      <c r="CM130" s="364" t="n"/>
      <c r="CN130" s="365">
        <f>C130</f>
        <v/>
      </c>
      <c r="CO130" s="365" t="n">
        <v>611046.48</v>
      </c>
      <c r="CP130" s="365">
        <f>CO131</f>
        <v/>
      </c>
      <c r="CQ130" s="13">
        <f>CO130-CP130</f>
        <v/>
      </c>
      <c r="CR130" s="193">
        <f>CQ130/CP130</f>
        <v/>
      </c>
      <c r="CS130" s="366" t="n"/>
      <c r="CT130" s="366" t="n"/>
      <c r="CU130" s="364" t="n"/>
      <c r="CV130" s="365">
        <f>C130</f>
        <v/>
      </c>
      <c r="CW130" s="365" t="n">
        <v>574940.4</v>
      </c>
      <c r="CX130" s="365">
        <f>CW131</f>
        <v/>
      </c>
      <c r="CY130" s="390">
        <f>CW130-CX130</f>
        <v/>
      </c>
      <c r="CZ130" s="391">
        <f>CY130/CX130</f>
        <v/>
      </c>
      <c r="DA130" s="182" t="n"/>
      <c r="DB130" s="182" t="n"/>
      <c r="DC130" s="256" t="n"/>
      <c r="DD130" s="365">
        <f>C130</f>
        <v/>
      </c>
      <c r="DE130" s="365" t="n">
        <v>1963317.9986</v>
      </c>
      <c r="DF130" s="13">
        <f>DE131</f>
        <v/>
      </c>
      <c r="DG130" s="390">
        <f>DE130-DF130</f>
        <v/>
      </c>
      <c r="DH130" s="391">
        <f>DG130/DF130</f>
        <v/>
      </c>
      <c r="DI130" s="182" t="n"/>
      <c r="DJ130" s="182" t="n"/>
      <c r="DK130" s="364" t="n"/>
      <c r="DL130" s="365">
        <f>C130</f>
        <v/>
      </c>
      <c r="DM130" s="365" t="n">
        <v>986900.36</v>
      </c>
      <c r="DN130" s="365">
        <f>DM131</f>
        <v/>
      </c>
      <c r="DO130" s="390">
        <f>DM130-DN130</f>
        <v/>
      </c>
      <c r="DP130" s="391">
        <f>DO130/DN130</f>
        <v/>
      </c>
      <c r="DQ130" s="182" t="n"/>
      <c r="DR130" s="182" t="n"/>
      <c r="DS130" s="364" t="n"/>
      <c r="DT130" s="365">
        <f>C130</f>
        <v/>
      </c>
      <c r="DU130" s="365" t="n">
        <v>1362689.48</v>
      </c>
      <c r="DV130" s="365">
        <f>DU131</f>
        <v/>
      </c>
      <c r="DW130" s="390">
        <f>DU130-DV130</f>
        <v/>
      </c>
      <c r="DX130" s="391">
        <f>DW130/DV130</f>
        <v/>
      </c>
      <c r="DY130" s="182" t="n"/>
      <c r="DZ130" s="182" t="n"/>
      <c r="EA130" s="364" t="n"/>
      <c r="EB130" s="365">
        <f>C130</f>
        <v/>
      </c>
      <c r="EC130" s="365" t="n">
        <v>3847466.82</v>
      </c>
      <c r="ED130" s="365">
        <f>EC131</f>
        <v/>
      </c>
      <c r="EE130" s="390">
        <f>EC130-ED130</f>
        <v/>
      </c>
      <c r="EF130" s="391">
        <f>EE130/ED130</f>
        <v/>
      </c>
      <c r="EG130" s="182" t="n"/>
      <c r="EH130" s="182" t="n"/>
      <c r="EI130" s="364" t="n"/>
      <c r="EJ130" s="365">
        <f>C130</f>
        <v/>
      </c>
      <c r="EK130" s="365" t="n">
        <v>1245122.9669</v>
      </c>
      <c r="EL130" s="365">
        <f>EK131</f>
        <v/>
      </c>
      <c r="EM130" s="390">
        <f>EK130-EL130</f>
        <v/>
      </c>
      <c r="EN130" s="391">
        <f>EM130/EL130</f>
        <v/>
      </c>
      <c r="EO130" s="182" t="n"/>
      <c r="EP130" s="182" t="n"/>
      <c r="EQ130" s="182" t="n"/>
      <c r="ER130" s="9">
        <f>C130</f>
        <v/>
      </c>
      <c r="ES130" s="182" t="n">
        <v>411347.02</v>
      </c>
      <c r="ET130" s="182">
        <f>ES131</f>
        <v/>
      </c>
      <c r="EU130" s="182">
        <f>ES130-ET130</f>
        <v/>
      </c>
      <c r="EV130" s="182">
        <f>EU130/ET130</f>
        <v/>
      </c>
      <c r="EW130" s="182" t="n"/>
      <c r="EX130" s="182" t="n"/>
      <c r="EY130" s="364" t="n"/>
      <c r="EZ130" s="365">
        <f>C130</f>
        <v/>
      </c>
      <c r="FA130" s="365" t="n">
        <v>685308</v>
      </c>
      <c r="FB130" s="365">
        <f>FA131</f>
        <v/>
      </c>
      <c r="FC130" s="388">
        <f>FA130-FB130</f>
        <v/>
      </c>
      <c r="FD130" s="389">
        <f>FC130/FB130</f>
        <v/>
      </c>
      <c r="FE130" s="182" t="n"/>
      <c r="FF130" s="182" t="n"/>
      <c r="FG130" s="182" t="n"/>
      <c r="FH130" s="384">
        <f>C130</f>
        <v/>
      </c>
      <c r="FI130" s="707" t="n">
        <v>1321295.3365</v>
      </c>
      <c r="FJ130" s="365">
        <f>FI131</f>
        <v/>
      </c>
      <c r="FK130" s="365">
        <f>FI130-FJ130</f>
        <v/>
      </c>
      <c r="FL130" s="366">
        <f>FK130/FJ130</f>
        <v/>
      </c>
      <c r="FM130" s="366" t="n"/>
      <c r="FN130" s="366" t="n"/>
      <c r="FO130" s="364" t="n"/>
      <c r="FP130" s="365">
        <f>C130</f>
        <v/>
      </c>
      <c r="FQ130" s="365" t="n">
        <v>1836418.73</v>
      </c>
      <c r="FR130" s="365">
        <f>FQ131</f>
        <v/>
      </c>
      <c r="FS130" s="390">
        <f>FQ130-FR130</f>
        <v/>
      </c>
      <c r="FT130" s="391">
        <f>FS130/FR130</f>
        <v/>
      </c>
      <c r="FU130" s="182" t="n"/>
      <c r="FV130" s="182" t="n"/>
      <c r="FW130" s="364" t="n"/>
      <c r="FX130" s="365">
        <f>C130</f>
        <v/>
      </c>
      <c r="FY130" s="365" t="n">
        <v>8076282.05</v>
      </c>
      <c r="FZ130" s="365">
        <f>FY131</f>
        <v/>
      </c>
      <c r="GA130" s="390">
        <f>FY130-FZ130</f>
        <v/>
      </c>
      <c r="GB130" s="391">
        <f>GA130/FZ130</f>
        <v/>
      </c>
      <c r="GC130" s="182" t="n"/>
      <c r="GD130" s="182" t="n"/>
      <c r="GE130" s="364" t="n"/>
      <c r="GF130" s="365">
        <f>C130</f>
        <v/>
      </c>
      <c r="GG130" s="365" t="n">
        <v>4636969.49</v>
      </c>
      <c r="GH130" s="365">
        <f>GG131</f>
        <v/>
      </c>
      <c r="GI130" s="390">
        <f>GG130-GH130</f>
        <v/>
      </c>
      <c r="GJ130" s="391">
        <f>GI130/GH130</f>
        <v/>
      </c>
      <c r="GK130" s="182" t="n"/>
      <c r="GL130" s="182" t="n"/>
      <c r="GM130" s="364" t="n"/>
      <c r="GN130" s="365">
        <f>C130</f>
        <v/>
      </c>
      <c r="GO130" s="365" t="n">
        <v>1890838.1217</v>
      </c>
      <c r="GP130" s="365">
        <f>GO131</f>
        <v/>
      </c>
      <c r="GQ130" s="388">
        <f>GO130-GP130</f>
        <v/>
      </c>
      <c r="GR130" s="389">
        <f>GQ130/GP130</f>
        <v/>
      </c>
      <c r="GS130" s="182" t="n"/>
      <c r="GT130" s="182" t="n"/>
      <c r="GU130" s="364" t="n"/>
      <c r="GV130" s="365">
        <f>C130</f>
        <v/>
      </c>
      <c r="GW130" s="365" t="n">
        <v>892749.4</v>
      </c>
      <c r="GX130" s="365">
        <f>GW131</f>
        <v/>
      </c>
      <c r="GY130" s="388">
        <f>GW130-GX130</f>
        <v/>
      </c>
      <c r="GZ130" s="389">
        <f>GY130/GX130</f>
        <v/>
      </c>
      <c r="HA130" s="182" t="n"/>
      <c r="HB130" s="182" t="n"/>
      <c r="HC130" s="364" t="n"/>
      <c r="HD130" s="365">
        <f>C130</f>
        <v/>
      </c>
      <c r="HE130" s="365" t="n">
        <v>1359264.6746</v>
      </c>
      <c r="HF130" s="365">
        <f>HE131</f>
        <v/>
      </c>
      <c r="HG130" s="388">
        <f>HE130-HF130</f>
        <v/>
      </c>
      <c r="HH130" s="389">
        <f>HG130/HF130</f>
        <v/>
      </c>
      <c r="HI130" s="366" t="n"/>
      <c r="HJ130" s="182" t="n"/>
      <c r="HK130" s="364" t="n"/>
      <c r="HL130" s="365">
        <f>C130</f>
        <v/>
      </c>
      <c r="HM130" s="365" t="n">
        <v>142304.25</v>
      </c>
      <c r="HN130" s="365">
        <f>HM131</f>
        <v/>
      </c>
      <c r="HO130" s="388">
        <f>HM130-HN130</f>
        <v/>
      </c>
      <c r="HP130" s="389">
        <f>HO130/HN130</f>
        <v/>
      </c>
      <c r="HQ130" s="182" t="n"/>
      <c r="HR130" s="182" t="n"/>
      <c r="HS130" s="364" t="n"/>
      <c r="HT130" s="365">
        <f>C130</f>
        <v/>
      </c>
      <c r="HU130" s="365" t="n">
        <v>209568.8265</v>
      </c>
      <c r="HV130" s="365">
        <f>HU131</f>
        <v/>
      </c>
      <c r="HW130" s="388">
        <f>HU130-HV130</f>
        <v/>
      </c>
      <c r="HX130" s="389">
        <f>HW130/HV130</f>
        <v/>
      </c>
      <c r="HY130" s="182" t="n"/>
      <c r="HZ130" s="182" t="n"/>
      <c r="IA130" s="364" t="n"/>
      <c r="IB130" s="365">
        <f>C130</f>
        <v/>
      </c>
      <c r="IC130" s="0" t="n">
        <v>381409.79</v>
      </c>
      <c r="ID130" s="0">
        <f>IC131</f>
        <v/>
      </c>
      <c r="IE130" s="365">
        <f>IC130-ID130</f>
        <v/>
      </c>
      <c r="IF130" s="366">
        <f>IE130/ID130</f>
        <v/>
      </c>
      <c r="IG130" s="182" t="n"/>
      <c r="IH130" s="182" t="n"/>
      <c r="II130" s="364" t="n"/>
      <c r="IJ130" s="365">
        <f>C130</f>
        <v/>
      </c>
      <c r="IK130" s="365" t="n">
        <v>636556.29</v>
      </c>
      <c r="IL130" s="365">
        <f>IK131</f>
        <v/>
      </c>
      <c r="IM130" s="390">
        <f>IK130-IL130</f>
        <v/>
      </c>
      <c r="IN130" s="391">
        <f>IM130/IL130</f>
        <v/>
      </c>
      <c r="IO130" s="182" t="n"/>
      <c r="IP130" s="182" t="n"/>
      <c r="IQ130" s="364" t="n"/>
      <c r="IR130" s="365">
        <f>C130</f>
        <v/>
      </c>
      <c r="IS130" s="365" t="n">
        <v>138989</v>
      </c>
      <c r="IT130" s="365">
        <f>IS131</f>
        <v/>
      </c>
      <c r="IU130" s="388">
        <f>IS130-IT130</f>
        <v/>
      </c>
      <c r="IV130" s="389">
        <f>IU130/IT130</f>
        <v/>
      </c>
      <c r="IW130" s="182" t="n"/>
      <c r="IX130" s="182" t="n"/>
      <c r="IY130" s="364" t="n"/>
      <c r="IZ130" s="365">
        <f>C130</f>
        <v/>
      </c>
      <c r="JA130" s="365" t="n">
        <v>5161429.15</v>
      </c>
      <c r="JB130" s="365">
        <f>JA131</f>
        <v/>
      </c>
      <c r="JC130" s="388">
        <f>JA130-JB130</f>
        <v/>
      </c>
      <c r="JD130" s="389">
        <f>JC130/JB130</f>
        <v/>
      </c>
      <c r="JE130" s="182" t="n"/>
      <c r="JF130" s="182" t="n"/>
      <c r="JG130" s="364" t="n"/>
      <c r="JH130" s="365">
        <f>C130</f>
        <v/>
      </c>
      <c r="JI130" s="365" t="n">
        <v>1301847.99</v>
      </c>
      <c r="JJ130" s="365">
        <f>JI131</f>
        <v/>
      </c>
      <c r="JK130" s="388">
        <f>JI130-JJ130</f>
        <v/>
      </c>
      <c r="JL130" s="389">
        <f>JK130/JJ130</f>
        <v/>
      </c>
      <c r="JM130" s="182" t="n"/>
      <c r="JN130" s="182" t="n"/>
      <c r="JO130" s="182" t="n"/>
      <c r="JP130" s="365">
        <f>C130</f>
        <v/>
      </c>
      <c r="JQ130" s="365" t="n">
        <v>1053890.4148</v>
      </c>
      <c r="JR130" s="365">
        <f>JQ131</f>
        <v/>
      </c>
      <c r="JS130" s="388">
        <f>JQ130-JR130</f>
        <v/>
      </c>
      <c r="JT130" s="389">
        <f>JS130/JR130</f>
        <v/>
      </c>
      <c r="JU130" s="182" t="n"/>
      <c r="JV130" s="182" t="n"/>
      <c r="JW130" s="383" t="n"/>
      <c r="JX130" s="365">
        <f>C130</f>
        <v/>
      </c>
      <c r="JY130" s="365" t="n">
        <v>1173248.8</v>
      </c>
      <c r="JZ130" s="365">
        <f>JY131</f>
        <v/>
      </c>
      <c r="KA130" s="390">
        <f>JY130-JZ130</f>
        <v/>
      </c>
      <c r="KB130" s="391">
        <f>KA130/JZ130</f>
        <v/>
      </c>
      <c r="KC130" s="182" t="n"/>
      <c r="KD130" s="182" t="n"/>
      <c r="KE130" s="383" t="n"/>
      <c r="KF130" s="365">
        <f>C130</f>
        <v/>
      </c>
      <c r="KG130" s="365" t="n">
        <v>717755.9219</v>
      </c>
      <c r="KH130" s="365">
        <f>KG131</f>
        <v/>
      </c>
      <c r="KI130" s="388">
        <f>KG130-KH130</f>
        <v/>
      </c>
      <c r="KJ130" s="389">
        <f>KI130/KH130</f>
        <v/>
      </c>
      <c r="KK130" s="366" t="n"/>
      <c r="KL130" s="366" t="n"/>
      <c r="KM130" s="364" t="n"/>
      <c r="KN130" s="365">
        <f>C130</f>
        <v/>
      </c>
      <c r="KO130" s="365" t="n">
        <v>8328775.95</v>
      </c>
      <c r="KP130" s="365">
        <f>KO131</f>
        <v/>
      </c>
      <c r="KQ130" s="390">
        <f>KO130-KP130</f>
        <v/>
      </c>
      <c r="KR130" s="391">
        <f>KQ130/KP130</f>
        <v/>
      </c>
      <c r="KS130" s="182" t="n"/>
      <c r="KT130" s="182" t="n"/>
      <c r="KU130" s="364" t="n"/>
      <c r="KV130" s="365">
        <f>C130</f>
        <v/>
      </c>
      <c r="KW130" s="365" t="n">
        <v>1047772.9726</v>
      </c>
      <c r="KX130" s="365">
        <f>KW131</f>
        <v/>
      </c>
      <c r="KY130" s="365">
        <f>KW130-KX130</f>
        <v/>
      </c>
      <c r="KZ130" s="366">
        <f>KY130/KX130</f>
        <v/>
      </c>
      <c r="LA130" s="366" t="n"/>
      <c r="LB130" s="182" t="n"/>
      <c r="LC130" s="364" t="n"/>
      <c r="LD130" s="365">
        <f>C130</f>
        <v/>
      </c>
      <c r="LE130" s="365" t="n">
        <v>481107.7</v>
      </c>
      <c r="LF130" s="365">
        <f>LE131</f>
        <v/>
      </c>
      <c r="LG130" s="388">
        <f>LE130-LF130</f>
        <v/>
      </c>
      <c r="LH130" s="389">
        <f>LG130/LF130</f>
        <v/>
      </c>
      <c r="LI130" s="182" t="n"/>
      <c r="LJ130" s="182" t="n"/>
      <c r="LK130" s="364" t="n"/>
      <c r="LL130" s="365">
        <f>C130</f>
        <v/>
      </c>
      <c r="LM130" s="694" t="n">
        <v>3559795.02</v>
      </c>
      <c r="LN130" s="365">
        <f>LM131</f>
        <v/>
      </c>
      <c r="LO130" s="390">
        <f>LM130-LN130</f>
        <v/>
      </c>
      <c r="LP130" s="391">
        <f>LO130/LN130</f>
        <v/>
      </c>
      <c r="LQ130" s="182" t="n"/>
      <c r="LR130" s="182" t="n"/>
      <c r="LS130" s="364" t="n"/>
      <c r="LT130" s="365">
        <f>C130</f>
        <v/>
      </c>
      <c r="LU130" s="365" t="n">
        <v>2456262.904</v>
      </c>
      <c r="LV130" s="365">
        <f>LU131</f>
        <v/>
      </c>
      <c r="LW130" s="388">
        <f>LU130-LV130</f>
        <v/>
      </c>
      <c r="LX130" s="389">
        <f>LW130/LV130</f>
        <v/>
      </c>
      <c r="LY130" s="182" t="n"/>
      <c r="LZ130" s="182" t="n"/>
      <c r="MA130" s="364" t="n"/>
      <c r="MB130" s="365">
        <f>C130</f>
        <v/>
      </c>
      <c r="MC130" s="365" t="n">
        <v>872217.6899999999</v>
      </c>
      <c r="MD130" s="365">
        <f>MC131</f>
        <v/>
      </c>
      <c r="ME130" s="388">
        <f>MC130-MD130</f>
        <v/>
      </c>
      <c r="MF130" s="389">
        <f>ME130/MD130</f>
        <v/>
      </c>
      <c r="MG130" s="182" t="n"/>
      <c r="MH130" s="182" t="n"/>
      <c r="MI130" s="364" t="n"/>
      <c r="MJ130" s="364" t="n"/>
      <c r="MK130" s="365">
        <f>C130</f>
        <v/>
      </c>
      <c r="ML130" s="364" t="n">
        <v>207945.5354</v>
      </c>
      <c r="MM130" s="187">
        <f>ML131</f>
        <v/>
      </c>
      <c r="MN130" s="364">
        <f>ML130-MM130</f>
        <v/>
      </c>
      <c r="MO130" s="366">
        <f>MN130/MM130</f>
        <v/>
      </c>
      <c r="MP130" s="366" t="n"/>
      <c r="MQ130" s="366" t="n"/>
      <c r="MR130" s="366" t="n"/>
      <c r="MS130" s="366" t="n"/>
      <c r="MT130" s="25">
        <f>C130</f>
        <v/>
      </c>
      <c r="MU130" s="0" t="n">
        <v>180914.8</v>
      </c>
      <c r="MV130" s="0">
        <f>MU131</f>
        <v/>
      </c>
      <c r="MW130" s="0">
        <f>MU130-MV130</f>
        <v/>
      </c>
      <c r="MX130" s="182">
        <f>MW130/MV130</f>
        <v/>
      </c>
      <c r="MY130" s="182" t="n"/>
      <c r="MZ130" s="182" t="n"/>
      <c r="NA130" s="182" t="n"/>
      <c r="NB130" s="182" t="n"/>
      <c r="NC130" s="9">
        <f>C130</f>
        <v/>
      </c>
      <c r="ND130" s="0" t="n">
        <v>42091.48</v>
      </c>
      <c r="NE130" s="0">
        <f>ND131</f>
        <v/>
      </c>
      <c r="NF130" s="0">
        <f>ND130-NE130</f>
        <v/>
      </c>
      <c r="NG130" s="182">
        <f>NF130/NE130</f>
        <v/>
      </c>
      <c r="NH130" s="182" t="n"/>
      <c r="NI130" s="182" t="n"/>
      <c r="NJ130" s="182" t="n"/>
      <c r="NK130" s="182" t="n"/>
      <c r="NL130" s="9" t="n"/>
      <c r="NM130" s="9">
        <f>C130</f>
        <v/>
      </c>
      <c r="NN130" s="0" t="n">
        <v>2635211.08</v>
      </c>
      <c r="NO130" s="0">
        <f>NN131</f>
        <v/>
      </c>
      <c r="NP130" s="0">
        <f>NN130-NO130</f>
        <v/>
      </c>
      <c r="NQ130" s="182">
        <f>NP130/NO130</f>
        <v/>
      </c>
      <c r="NR130" s="182" t="n"/>
      <c r="NS130" s="9" t="n"/>
      <c r="NU130" s="9">
        <f>C130</f>
        <v/>
      </c>
      <c r="NV130" s="364" t="n">
        <v>259576.5</v>
      </c>
      <c r="NW130" s="364">
        <f>NV131</f>
        <v/>
      </c>
      <c r="NX130" s="364">
        <f>NV130-NW130</f>
        <v/>
      </c>
      <c r="NY130" s="366">
        <f>NX130/NW130</f>
        <v/>
      </c>
      <c r="NZ130" s="366" t="n"/>
      <c r="OA130" s="364" t="n"/>
      <c r="OB130" s="364" t="n"/>
      <c r="OC130" s="365">
        <f>C130</f>
        <v/>
      </c>
      <c r="OD130" s="365" t="n">
        <v>14653.97</v>
      </c>
      <c r="OE130" s="365">
        <f>OD131</f>
        <v/>
      </c>
      <c r="OF130" s="388">
        <f>OD130-OE130</f>
        <v/>
      </c>
      <c r="OG130" s="389">
        <f>OF130/OE130</f>
        <v/>
      </c>
      <c r="OH130" s="182" t="n"/>
      <c r="OI130" s="182" t="n"/>
      <c r="OJ130" s="364" t="n"/>
      <c r="OK130" s="365">
        <f>C130</f>
        <v/>
      </c>
      <c r="OL130" s="0" t="n">
        <v>13715.65</v>
      </c>
      <c r="OM130" s="0">
        <f>OL131</f>
        <v/>
      </c>
      <c r="ON130" s="0">
        <f>OL130-OM130</f>
        <v/>
      </c>
      <c r="OO130" s="182">
        <f>ON130/OM130</f>
        <v/>
      </c>
      <c r="OP130" s="182" t="n"/>
      <c r="OQ130" s="182" t="n"/>
      <c r="OT130" s="25">
        <f>OK130</f>
        <v/>
      </c>
      <c r="OU130" s="199" t="n">
        <v>146832.4066</v>
      </c>
      <c r="OV130" s="9">
        <f>OU131</f>
        <v/>
      </c>
      <c r="OW130" s="671">
        <f>OU130-OV130</f>
        <v/>
      </c>
      <c r="OX130" s="182">
        <f>OW130/OV130</f>
        <v/>
      </c>
    </row>
    <row r="131" ht="17" customFormat="1" customHeight="1" s="9">
      <c r="A131" s="631" t="n"/>
      <c r="B131" s="631" t="n"/>
      <c r="C131" s="693" t="inlineStr">
        <is>
          <t>2026//5/11</t>
        </is>
      </c>
      <c r="D131" s="362" t="n">
        <v>3394578.77</v>
      </c>
      <c r="E131" s="362">
        <f>D132</f>
        <v/>
      </c>
      <c r="F131" s="377">
        <f>D131-E131</f>
        <v/>
      </c>
      <c r="G131" s="378">
        <f>F131/E131</f>
        <v/>
      </c>
      <c r="H131" s="19" t="n"/>
      <c r="I131" s="426" t="n"/>
      <c r="J131" s="426" t="n"/>
      <c r="K131" s="362">
        <f>C131</f>
        <v/>
      </c>
      <c r="L131" s="362" t="n">
        <v>2743354.4</v>
      </c>
      <c r="M131" s="362">
        <f>L132</f>
        <v/>
      </c>
      <c r="N131" s="377">
        <f>L131-M131</f>
        <v/>
      </c>
      <c r="O131" s="378">
        <f>N131/M131</f>
        <v/>
      </c>
      <c r="P131" s="19" t="n"/>
      <c r="Q131" s="426" t="n"/>
      <c r="R131" s="427" t="n"/>
      <c r="S131" s="362">
        <f>C131</f>
        <v/>
      </c>
      <c r="T131" s="362" t="n">
        <v>1296066.68</v>
      </c>
      <c r="U131" s="362">
        <f>T132</f>
        <v/>
      </c>
      <c r="V131" s="377">
        <f>T131-U131</f>
        <v/>
      </c>
      <c r="W131" s="378">
        <f>V131/U131</f>
        <v/>
      </c>
      <c r="X131" s="19" t="n"/>
      <c r="Y131" s="426" t="n"/>
      <c r="Z131" s="427" t="n"/>
      <c r="AA131" s="362">
        <f>S131</f>
        <v/>
      </c>
      <c r="AB131" s="362" t="n">
        <v>557816.86</v>
      </c>
      <c r="AC131" s="362">
        <f>AB132</f>
        <v/>
      </c>
      <c r="AD131" s="432">
        <f>AB131-AC131</f>
        <v/>
      </c>
      <c r="AE131" s="433">
        <f>AD131/AC131</f>
        <v/>
      </c>
      <c r="AF131" s="19" t="n"/>
      <c r="AG131" s="426" t="n"/>
      <c r="AH131" s="427" t="n"/>
      <c r="AI131" s="362">
        <f>C131</f>
        <v/>
      </c>
      <c r="AJ131" s="362" t="n">
        <v>367521.76</v>
      </c>
      <c r="AK131" s="362">
        <f>AJ132</f>
        <v/>
      </c>
      <c r="AL131" s="432">
        <f>AJ131-AK131</f>
        <v/>
      </c>
      <c r="AM131" s="433">
        <f>AL131/AK131</f>
        <v/>
      </c>
      <c r="AN131" s="19" t="n"/>
      <c r="AO131" s="19" t="n"/>
      <c r="AP131" s="427" t="n"/>
      <c r="AQ131" s="362">
        <f>C131</f>
        <v/>
      </c>
      <c r="AR131" s="697" t="n">
        <v>1206745.4936</v>
      </c>
      <c r="AS131" s="362">
        <f>AR132</f>
        <v/>
      </c>
      <c r="AT131" s="432">
        <f>AR131-AS131</f>
        <v/>
      </c>
      <c r="AU131" s="433">
        <f>AT131/AS131</f>
        <v/>
      </c>
      <c r="AV131" s="19" t="n"/>
      <c r="AW131" s="19" t="n"/>
      <c r="AX131" s="5" t="n"/>
      <c r="AY131" s="5" t="n"/>
      <c r="AZ131" s="5">
        <f>C131</f>
        <v/>
      </c>
      <c r="BA131" s="5" t="n">
        <v>1626771.6676</v>
      </c>
      <c r="BB131" s="5">
        <f>BA132</f>
        <v/>
      </c>
      <c r="BC131" s="5">
        <f>BA131-BB131</f>
        <v/>
      </c>
      <c r="BD131" s="19">
        <f>BC131/BB131</f>
        <v/>
      </c>
      <c r="BE131" s="19" t="n"/>
      <c r="BF131" s="19" t="n"/>
      <c r="BG131" s="647" t="n"/>
      <c r="BH131" s="363">
        <f>C131</f>
        <v/>
      </c>
      <c r="BI131" s="363" t="n">
        <v>1572526.5525</v>
      </c>
      <c r="BJ131" s="363">
        <f>BI132</f>
        <v/>
      </c>
      <c r="BK131" s="395">
        <f>BI131-BJ131</f>
        <v/>
      </c>
      <c r="BL131" s="396">
        <f>BK131/BJ131</f>
        <v/>
      </c>
      <c r="BM131" s="191" t="n"/>
      <c r="BN131" s="182" t="n"/>
      <c r="BO131" s="364" t="n"/>
      <c r="BP131" s="365">
        <f>C131</f>
        <v/>
      </c>
      <c r="BQ131" s="694" t="n">
        <v>1153962.3921</v>
      </c>
      <c r="BR131" s="365">
        <f>BQ132</f>
        <v/>
      </c>
      <c r="BS131" s="390">
        <f>BQ131-BR131</f>
        <v/>
      </c>
      <c r="BT131" s="391">
        <f>BS131/BR131</f>
        <v/>
      </c>
      <c r="BU131" s="182" t="n"/>
      <c r="BV131" s="182" t="n"/>
      <c r="BW131" s="364" t="n"/>
      <c r="BX131" s="365">
        <f>C131</f>
        <v/>
      </c>
      <c r="BY131" s="365" t="n">
        <v>2926210.7019</v>
      </c>
      <c r="BZ131" s="365">
        <f>BY132</f>
        <v/>
      </c>
      <c r="CA131" s="388">
        <f>BY131-BZ131</f>
        <v/>
      </c>
      <c r="CB131" s="389">
        <f>CA131/BZ131</f>
        <v/>
      </c>
      <c r="CC131" s="182" t="n"/>
      <c r="CD131" s="383" t="n"/>
      <c r="CE131" s="486" t="n"/>
      <c r="CF131" s="384">
        <f>C131</f>
        <v/>
      </c>
      <c r="CG131" s="365" t="n">
        <v>1331403.9</v>
      </c>
      <c r="CH131" s="13">
        <f>CG132</f>
        <v/>
      </c>
      <c r="CI131" s="13">
        <f>CG131-CH131</f>
        <v/>
      </c>
      <c r="CJ131" s="193">
        <f>CI131/CH131</f>
        <v/>
      </c>
      <c r="CK131" s="182" t="n"/>
      <c r="CL131" s="366" t="n"/>
      <c r="CM131" s="364" t="n"/>
      <c r="CN131" s="365">
        <f>C131</f>
        <v/>
      </c>
      <c r="CO131" s="365" t="n">
        <v>616246.48</v>
      </c>
      <c r="CP131" s="365">
        <f>CO132</f>
        <v/>
      </c>
      <c r="CQ131" s="13">
        <f>CO131-CP131</f>
        <v/>
      </c>
      <c r="CR131" s="193">
        <f>CQ131/CP131</f>
        <v/>
      </c>
      <c r="CS131" s="366" t="n"/>
      <c r="CT131" s="366" t="n"/>
      <c r="CU131" s="364" t="n"/>
      <c r="CV131" s="365">
        <f>C131</f>
        <v/>
      </c>
      <c r="CW131" s="365" t="n">
        <v>575890.4</v>
      </c>
      <c r="CX131" s="365">
        <f>CW132</f>
        <v/>
      </c>
      <c r="CY131" s="390">
        <f>CW131-CX131</f>
        <v/>
      </c>
      <c r="CZ131" s="391">
        <f>CY131/CX131</f>
        <v/>
      </c>
      <c r="DA131" s="182" t="n"/>
      <c r="DB131" s="182" t="n"/>
      <c r="DC131" s="256" t="n"/>
      <c r="DD131" s="365">
        <f>C131</f>
        <v/>
      </c>
      <c r="DE131" s="365" t="n">
        <v>1994717.9986</v>
      </c>
      <c r="DF131" s="13">
        <f>DE132</f>
        <v/>
      </c>
      <c r="DG131" s="390">
        <f>DE131-DF131</f>
        <v/>
      </c>
      <c r="DH131" s="391">
        <f>DG131/DF131</f>
        <v/>
      </c>
      <c r="DI131" s="182" t="n"/>
      <c r="DJ131" s="182" t="n"/>
      <c r="DK131" s="364" t="n"/>
      <c r="DL131" s="365">
        <f>C131</f>
        <v/>
      </c>
      <c r="DM131" s="365" t="n">
        <v>995500.36</v>
      </c>
      <c r="DN131" s="365">
        <f>DM132</f>
        <v/>
      </c>
      <c r="DO131" s="390">
        <f>DM131-DN131</f>
        <v/>
      </c>
      <c r="DP131" s="391">
        <f>DO131/DN131</f>
        <v/>
      </c>
      <c r="DQ131" s="182" t="n"/>
      <c r="DR131" s="182" t="n"/>
      <c r="DS131" s="364" t="n"/>
      <c r="DT131" s="365">
        <f>C131</f>
        <v/>
      </c>
      <c r="DU131" s="365" t="n">
        <v>1399589.48</v>
      </c>
      <c r="DV131" s="365">
        <f>DU132</f>
        <v/>
      </c>
      <c r="DW131" s="390">
        <f>DU131-DV131</f>
        <v/>
      </c>
      <c r="DX131" s="391">
        <f>DW131/DV131</f>
        <v/>
      </c>
      <c r="DY131" s="182" t="n"/>
      <c r="DZ131" s="182" t="n"/>
      <c r="EA131" s="364" t="n"/>
      <c r="EB131" s="365">
        <f>C131</f>
        <v/>
      </c>
      <c r="EC131" s="365" t="n">
        <v>3899066.82</v>
      </c>
      <c r="ED131" s="365">
        <f>EC132</f>
        <v/>
      </c>
      <c r="EE131" s="390">
        <f>EC131-ED131</f>
        <v/>
      </c>
      <c r="EF131" s="391">
        <f>EE131/ED131</f>
        <v/>
      </c>
      <c r="EG131" s="182" t="n"/>
      <c r="EH131" s="182" t="n"/>
      <c r="EI131" s="364" t="n"/>
      <c r="EJ131" s="365">
        <f>C131</f>
        <v/>
      </c>
      <c r="EK131" s="365" t="n">
        <v>1251922.9669</v>
      </c>
      <c r="EL131" s="365">
        <f>EK132</f>
        <v/>
      </c>
      <c r="EM131" s="390">
        <f>EK131-EL131</f>
        <v/>
      </c>
      <c r="EN131" s="391">
        <f>EM131/EL131</f>
        <v/>
      </c>
      <c r="EO131" s="182" t="n"/>
      <c r="EP131" s="182" t="n"/>
      <c r="EQ131" s="182" t="n"/>
      <c r="ER131" s="9">
        <f>C131</f>
        <v/>
      </c>
      <c r="ES131" s="182" t="n">
        <v>416147.02</v>
      </c>
      <c r="ET131" s="182">
        <f>ES132</f>
        <v/>
      </c>
      <c r="EU131" s="182">
        <f>ES131-ET131</f>
        <v/>
      </c>
      <c r="EV131" s="182">
        <f>EU131/ET131</f>
        <v/>
      </c>
      <c r="EW131" s="182" t="n"/>
      <c r="EX131" s="182" t="n"/>
      <c r="EY131" s="364" t="n"/>
      <c r="EZ131" s="365">
        <f>C131</f>
        <v/>
      </c>
      <c r="FA131" s="365" t="n">
        <v>704308</v>
      </c>
      <c r="FB131" s="365">
        <f>FA132</f>
        <v/>
      </c>
      <c r="FC131" s="390">
        <f>FA131-FB131</f>
        <v/>
      </c>
      <c r="FD131" s="391">
        <f>FC131/FB131</f>
        <v/>
      </c>
      <c r="FE131" s="182" t="n"/>
      <c r="FF131" s="182" t="n"/>
      <c r="FG131" s="182" t="n"/>
      <c r="FH131" s="384">
        <f>C131</f>
        <v/>
      </c>
      <c r="FI131" s="707" t="n">
        <v>1319595.3365</v>
      </c>
      <c r="FJ131" s="365">
        <f>FI132</f>
        <v/>
      </c>
      <c r="FK131" s="325">
        <f>FI131-FJ131</f>
        <v/>
      </c>
      <c r="FL131" s="326">
        <f>FK131/FJ131</f>
        <v/>
      </c>
      <c r="FM131" s="366" t="n"/>
      <c r="FN131" s="366" t="n"/>
      <c r="FO131" s="364" t="n"/>
      <c r="FP131" s="365">
        <f>C131</f>
        <v/>
      </c>
      <c r="FQ131" s="365" t="n">
        <v>1872268.73</v>
      </c>
      <c r="FR131" s="365">
        <f>FQ132</f>
        <v/>
      </c>
      <c r="FS131" s="390">
        <f>FQ131-FR131</f>
        <v/>
      </c>
      <c r="FT131" s="391">
        <f>FS131/FR131</f>
        <v/>
      </c>
      <c r="FU131" s="182" t="n"/>
      <c r="FV131" s="182" t="n"/>
      <c r="FW131" s="364" t="n"/>
      <c r="FX131" s="365">
        <f>C131</f>
        <v/>
      </c>
      <c r="FY131" s="365" t="n">
        <v>8072182.05</v>
      </c>
      <c r="FZ131" s="365">
        <f>FY132</f>
        <v/>
      </c>
      <c r="GA131" s="390">
        <f>FY131-FZ131</f>
        <v/>
      </c>
      <c r="GB131" s="391">
        <f>GA131/FZ131</f>
        <v/>
      </c>
      <c r="GC131" s="182" t="n"/>
      <c r="GD131" s="182" t="n"/>
      <c r="GE131" s="364" t="n"/>
      <c r="GF131" s="365">
        <f>C131</f>
        <v/>
      </c>
      <c r="GG131" s="365" t="n">
        <v>4698169.49</v>
      </c>
      <c r="GH131" s="365">
        <f>GG132</f>
        <v/>
      </c>
      <c r="GI131" s="390">
        <f>GG131-GH131</f>
        <v/>
      </c>
      <c r="GJ131" s="391">
        <f>GI131/GH131</f>
        <v/>
      </c>
      <c r="GK131" s="182" t="n"/>
      <c r="GL131" s="182" t="n"/>
      <c r="GM131" s="364" t="n"/>
      <c r="GN131" s="365">
        <f>C131</f>
        <v/>
      </c>
      <c r="GO131" s="365" t="n">
        <v>1844818.1217</v>
      </c>
      <c r="GP131" s="365">
        <f>GO132</f>
        <v/>
      </c>
      <c r="GQ131" s="388">
        <f>GO131-GP131</f>
        <v/>
      </c>
      <c r="GR131" s="389">
        <f>GQ131/GP131</f>
        <v/>
      </c>
      <c r="GS131" s="182" t="n"/>
      <c r="GT131" s="182" t="n"/>
      <c r="GU131" s="364" t="n"/>
      <c r="GV131" s="365">
        <f>C131</f>
        <v/>
      </c>
      <c r="GW131" s="365" t="n">
        <v>901349.4</v>
      </c>
      <c r="GX131" s="365">
        <f>GW132</f>
        <v/>
      </c>
      <c r="GY131" s="390">
        <f>GW131-GX131</f>
        <v/>
      </c>
      <c r="GZ131" s="391">
        <f>GY131/GX131</f>
        <v/>
      </c>
      <c r="HA131" s="182" t="n"/>
      <c r="HB131" s="182" t="n"/>
      <c r="HC131" s="364" t="n"/>
      <c r="HD131" s="365">
        <f>C131</f>
        <v/>
      </c>
      <c r="HE131" s="365" t="n">
        <v>1346064.6746</v>
      </c>
      <c r="HF131" s="365">
        <f>HE132</f>
        <v/>
      </c>
      <c r="HG131" s="388">
        <f>HE131-HF131</f>
        <v/>
      </c>
      <c r="HH131" s="389">
        <f>HG131/HF131</f>
        <v/>
      </c>
      <c r="HI131" s="366" t="n"/>
      <c r="HJ131" s="182" t="n"/>
      <c r="HK131" s="364" t="n"/>
      <c r="HL131" s="365">
        <f>C131</f>
        <v/>
      </c>
      <c r="HM131" s="365" t="n">
        <v>142654.25</v>
      </c>
      <c r="HN131" s="365">
        <f>HM132</f>
        <v/>
      </c>
      <c r="HO131" s="388">
        <f>HM131-HN131</f>
        <v/>
      </c>
      <c r="HP131" s="389">
        <f>HO131/HN131</f>
        <v/>
      </c>
      <c r="HQ131" s="182" t="n"/>
      <c r="HR131" s="182" t="n"/>
      <c r="HS131" s="364" t="n"/>
      <c r="HT131" s="365">
        <f>C131</f>
        <v/>
      </c>
      <c r="HU131" s="365" t="n">
        <v>203868.8265</v>
      </c>
      <c r="HV131" s="365">
        <f>HU132</f>
        <v/>
      </c>
      <c r="HW131" s="388">
        <f>HU131-HV131</f>
        <v/>
      </c>
      <c r="HX131" s="389">
        <f>HW131/HV131</f>
        <v/>
      </c>
      <c r="HY131" s="182" t="n"/>
      <c r="HZ131" s="182" t="n"/>
      <c r="IA131" s="364" t="n"/>
      <c r="IB131" s="365">
        <f>C131</f>
        <v/>
      </c>
      <c r="IC131" s="0" t="n">
        <v>374259.79</v>
      </c>
      <c r="ID131" s="0">
        <f>IC132</f>
        <v/>
      </c>
      <c r="IE131" s="365">
        <f>IC131-ID131</f>
        <v/>
      </c>
      <c r="IF131" s="366">
        <f>IE131/ID131</f>
        <v/>
      </c>
      <c r="IG131" s="182" t="n"/>
      <c r="IH131" s="182" t="n"/>
      <c r="II131" s="364" t="n"/>
      <c r="IJ131" s="365">
        <f>C131</f>
        <v/>
      </c>
      <c r="IK131" s="365" t="n">
        <v>631996.29</v>
      </c>
      <c r="IL131" s="365">
        <f>IK132</f>
        <v/>
      </c>
      <c r="IM131" s="384">
        <f>IK131-IL131</f>
        <v/>
      </c>
      <c r="IN131" s="383">
        <f>IM131/IL131</f>
        <v/>
      </c>
      <c r="IO131" s="182" t="n"/>
      <c r="IP131" s="182" t="n"/>
      <c r="IQ131" s="364" t="n"/>
      <c r="IR131" s="365">
        <f>C131</f>
        <v/>
      </c>
      <c r="IS131" s="365" t="n">
        <v>141589</v>
      </c>
      <c r="IT131" s="365">
        <f>IS132</f>
        <v/>
      </c>
      <c r="IU131" s="388">
        <f>IS131-IT131</f>
        <v/>
      </c>
      <c r="IV131" s="389">
        <f>IU131/IT131</f>
        <v/>
      </c>
      <c r="IW131" s="182" t="n"/>
      <c r="IX131" s="182" t="n"/>
      <c r="IY131" s="364" t="n"/>
      <c r="IZ131" s="365">
        <f>C131</f>
        <v/>
      </c>
      <c r="JA131" s="365" t="n">
        <v>5111829.15</v>
      </c>
      <c r="JB131" s="365">
        <f>JA132</f>
        <v/>
      </c>
      <c r="JC131" s="388">
        <f>JA131-JB131</f>
        <v/>
      </c>
      <c r="JD131" s="389">
        <f>JC131/JB131</f>
        <v/>
      </c>
      <c r="JE131" s="182" t="n"/>
      <c r="JF131" s="182" t="n"/>
      <c r="JG131" s="364" t="n"/>
      <c r="JH131" s="365">
        <f>C131</f>
        <v/>
      </c>
      <c r="JI131" s="365" t="n">
        <v>1304187.99</v>
      </c>
      <c r="JJ131" s="365">
        <f>JI132</f>
        <v/>
      </c>
      <c r="JK131" s="388">
        <f>JI131-JJ131</f>
        <v/>
      </c>
      <c r="JL131" s="389">
        <f>JK131/JJ131</f>
        <v/>
      </c>
      <c r="JM131" s="182" t="n"/>
      <c r="JN131" s="182" t="n"/>
      <c r="JO131" s="182" t="n"/>
      <c r="JP131" s="365">
        <f>C131</f>
        <v/>
      </c>
      <c r="JQ131" s="365" t="n">
        <v>1056790.4148</v>
      </c>
      <c r="JR131" s="365">
        <f>JQ132</f>
        <v/>
      </c>
      <c r="JS131" s="390">
        <f>JQ131-JR131</f>
        <v/>
      </c>
      <c r="JT131" s="391">
        <f>JS131/JR131</f>
        <v/>
      </c>
      <c r="JU131" s="182" t="n"/>
      <c r="JV131" s="182" t="n"/>
      <c r="JW131" s="383" t="n"/>
      <c r="JX131" s="365">
        <f>C131</f>
        <v/>
      </c>
      <c r="JY131" s="365" t="n">
        <v>1173248.8</v>
      </c>
      <c r="JZ131" s="365">
        <f>JY132</f>
        <v/>
      </c>
      <c r="KA131" s="390">
        <f>JY131-JZ131</f>
        <v/>
      </c>
      <c r="KB131" s="391">
        <f>KA131/JZ131</f>
        <v/>
      </c>
      <c r="KC131" s="182" t="n"/>
      <c r="KD131" s="182" t="n"/>
      <c r="KE131" s="383" t="n"/>
      <c r="KF131" s="365">
        <f>C131</f>
        <v/>
      </c>
      <c r="KG131" s="365" t="n">
        <v>721755.9219</v>
      </c>
      <c r="KH131" s="365">
        <f>KG132</f>
        <v/>
      </c>
      <c r="KI131" s="388">
        <f>KG131-KH131</f>
        <v/>
      </c>
      <c r="KJ131" s="389">
        <f>KI131/KH131</f>
        <v/>
      </c>
      <c r="KK131" s="366" t="n"/>
      <c r="KL131" s="366" t="n"/>
      <c r="KM131" s="364" t="n"/>
      <c r="KN131" s="365">
        <f>C131</f>
        <v/>
      </c>
      <c r="KO131" s="365" t="n">
        <v>8328775.95</v>
      </c>
      <c r="KP131" s="365">
        <f>KO132</f>
        <v/>
      </c>
      <c r="KQ131" s="390">
        <f>KO131-KP131</f>
        <v/>
      </c>
      <c r="KR131" s="391">
        <f>KQ131/KP131</f>
        <v/>
      </c>
      <c r="KS131" s="182" t="n"/>
      <c r="KT131" s="182" t="n"/>
      <c r="KU131" s="364" t="n"/>
      <c r="KV131" s="365">
        <f>C131</f>
        <v/>
      </c>
      <c r="KW131" s="365" t="n">
        <v>1047772.9726</v>
      </c>
      <c r="KX131" s="365">
        <f>KW132</f>
        <v/>
      </c>
      <c r="KY131" s="325">
        <f>KW131-KX131</f>
        <v/>
      </c>
      <c r="KZ131" s="326">
        <f>KY131/KX131</f>
        <v/>
      </c>
      <c r="LA131" s="366" t="n"/>
      <c r="LB131" s="182" t="n"/>
      <c r="LC131" s="364" t="n"/>
      <c r="LD131" s="365">
        <f>C131</f>
        <v/>
      </c>
      <c r="LE131" s="365" t="n">
        <v>478657.7</v>
      </c>
      <c r="LF131" s="365">
        <f>LE132</f>
        <v/>
      </c>
      <c r="LG131" s="388">
        <f>LE131-LF131</f>
        <v/>
      </c>
      <c r="LH131" s="389">
        <f>LG131/LF131</f>
        <v/>
      </c>
      <c r="LI131" s="182" t="n"/>
      <c r="LJ131" s="182" t="n"/>
      <c r="LK131" s="364" t="n"/>
      <c r="LL131" s="365">
        <f>C131</f>
        <v/>
      </c>
      <c r="LM131" s="694" t="n">
        <v>3489415.02</v>
      </c>
      <c r="LN131" s="365">
        <f>LM132</f>
        <v/>
      </c>
      <c r="LO131" s="390">
        <f>LM131-LN131</f>
        <v/>
      </c>
      <c r="LP131" s="391">
        <f>LO131/LN131</f>
        <v/>
      </c>
      <c r="LQ131" s="182" t="n"/>
      <c r="LR131" s="182" t="n"/>
      <c r="LS131" s="364" t="n"/>
      <c r="LT131" s="365">
        <f>C131</f>
        <v/>
      </c>
      <c r="LU131" s="365" t="n">
        <v>2446062.904</v>
      </c>
      <c r="LV131" s="365">
        <f>LU132</f>
        <v/>
      </c>
      <c r="LW131" s="388">
        <f>LU131-LV131</f>
        <v/>
      </c>
      <c r="LX131" s="389">
        <f>LW131/LV131</f>
        <v/>
      </c>
      <c r="LY131" s="182" t="n"/>
      <c r="LZ131" s="182" t="n"/>
      <c r="MA131" s="364" t="n"/>
      <c r="MB131" s="365">
        <f>C131</f>
        <v/>
      </c>
      <c r="MC131" s="365" t="n">
        <v>864117.6899999999</v>
      </c>
      <c r="MD131" s="365">
        <f>MC132</f>
        <v/>
      </c>
      <c r="ME131" s="388">
        <f>MC131-MD131</f>
        <v/>
      </c>
      <c r="MF131" s="389">
        <f>ME131/MD131</f>
        <v/>
      </c>
      <c r="MG131" s="182" t="n"/>
      <c r="MH131" s="182" t="n"/>
      <c r="MI131" s="364" t="n"/>
      <c r="MJ131" s="364" t="n"/>
      <c r="MK131" s="365">
        <f>C131</f>
        <v/>
      </c>
      <c r="ML131" s="364" t="n">
        <v>213705.5354</v>
      </c>
      <c r="MM131" s="187">
        <f>ML132</f>
        <v/>
      </c>
      <c r="MN131" s="364">
        <f>ML131-MM131</f>
        <v/>
      </c>
      <c r="MO131" s="366">
        <f>MN131/MM131</f>
        <v/>
      </c>
      <c r="MP131" s="366" t="n"/>
      <c r="MQ131" s="366" t="n"/>
      <c r="MR131" s="366" t="n"/>
      <c r="MS131" s="366" t="n"/>
      <c r="MT131" s="25">
        <f>C131</f>
        <v/>
      </c>
      <c r="MU131" s="0" t="n">
        <v>181814.8</v>
      </c>
      <c r="MV131" s="0">
        <f>MU132</f>
        <v/>
      </c>
      <c r="MW131" s="0">
        <f>MU131-MV131</f>
        <v/>
      </c>
      <c r="MX131" s="182">
        <f>MW131/MV131</f>
        <v/>
      </c>
      <c r="MY131" s="182" t="n"/>
      <c r="MZ131" s="182" t="n"/>
      <c r="NA131" s="182" t="n"/>
      <c r="NB131" s="182" t="n"/>
      <c r="NC131" s="9">
        <f>C131</f>
        <v/>
      </c>
      <c r="ND131" s="0" t="n">
        <v>42091.48</v>
      </c>
      <c r="NE131" s="0">
        <f>ND132</f>
        <v/>
      </c>
      <c r="NF131" s="0">
        <f>ND131-NE131</f>
        <v/>
      </c>
      <c r="NG131" s="182">
        <f>NF131/NE131</f>
        <v/>
      </c>
      <c r="NH131" s="182" t="n"/>
      <c r="NI131" s="182" t="n"/>
      <c r="NJ131" s="182" t="n"/>
      <c r="NK131" s="182" t="n"/>
      <c r="NL131" s="9" t="n"/>
      <c r="NM131" s="9">
        <f>C131</f>
        <v/>
      </c>
      <c r="NN131" s="0" t="n">
        <v>2629911.08</v>
      </c>
      <c r="NO131" s="0">
        <f>NN132</f>
        <v/>
      </c>
      <c r="NP131" s="0">
        <f>NN131-NO131</f>
        <v/>
      </c>
      <c r="NQ131" s="182">
        <f>NP131/NO131</f>
        <v/>
      </c>
      <c r="NR131" s="182" t="n"/>
      <c r="NS131" s="9" t="n"/>
      <c r="NU131" s="9">
        <f>C131</f>
        <v/>
      </c>
      <c r="NV131" s="364" t="n">
        <v>259826.5</v>
      </c>
      <c r="NW131" s="364">
        <f>NV132</f>
        <v/>
      </c>
      <c r="NX131" s="364">
        <f>NV131-NW131</f>
        <v/>
      </c>
      <c r="NY131" s="366">
        <f>NX131/NW131</f>
        <v/>
      </c>
      <c r="NZ131" s="366" t="n"/>
      <c r="OA131" s="364" t="n"/>
      <c r="OB131" s="364" t="n"/>
      <c r="OC131" s="365">
        <f>C131</f>
        <v/>
      </c>
      <c r="OD131" s="365" t="n">
        <v>14587.97</v>
      </c>
      <c r="OE131" s="365">
        <f>OD132</f>
        <v/>
      </c>
      <c r="OF131" s="388">
        <f>OD131-OE131</f>
        <v/>
      </c>
      <c r="OG131" s="389">
        <f>OF131/OE131</f>
        <v/>
      </c>
      <c r="OH131" s="182" t="n"/>
      <c r="OI131" s="182" t="n"/>
      <c r="OJ131" s="364" t="n"/>
      <c r="OK131" s="365">
        <f>C131</f>
        <v/>
      </c>
      <c r="OL131" s="0" t="n">
        <v>13816.65</v>
      </c>
      <c r="OM131" s="0">
        <f>OL132</f>
        <v/>
      </c>
      <c r="ON131" s="0">
        <f>OL131-OM131</f>
        <v/>
      </c>
      <c r="OO131" s="182">
        <f>ON131/OM131</f>
        <v/>
      </c>
      <c r="OP131" s="182" t="n"/>
      <c r="OQ131" s="182" t="n"/>
      <c r="OT131" s="25">
        <f>OK131</f>
        <v/>
      </c>
      <c r="OU131" s="199" t="n">
        <v>146712.4066</v>
      </c>
      <c r="OV131" s="9">
        <f>OU132</f>
        <v/>
      </c>
      <c r="OW131" s="671">
        <f>OU131-OV131</f>
        <v/>
      </c>
      <c r="OX131" s="182">
        <f>OW131/OV131</f>
        <v/>
      </c>
    </row>
    <row r="132" ht="17" customFormat="1" customHeight="1" s="9">
      <c r="A132" s="631" t="n"/>
      <c r="B132" s="631" t="n"/>
      <c r="C132" s="693" t="inlineStr">
        <is>
          <t>2026//5/8</t>
        </is>
      </c>
      <c r="D132" s="362" t="n">
        <v>3526968.77</v>
      </c>
      <c r="E132" s="362">
        <f>D133</f>
        <v/>
      </c>
      <c r="F132" s="432">
        <f>D132-E132</f>
        <v/>
      </c>
      <c r="G132" s="433">
        <f>F132/E132</f>
        <v/>
      </c>
      <c r="H132" s="19" t="n"/>
      <c r="I132" s="426" t="n"/>
      <c r="J132" s="426" t="n"/>
      <c r="K132" s="362">
        <f>C132</f>
        <v/>
      </c>
      <c r="L132" s="362" t="n">
        <v>2821924.4</v>
      </c>
      <c r="M132" s="362">
        <f>L133</f>
        <v/>
      </c>
      <c r="N132" s="432">
        <f>L132-M132</f>
        <v/>
      </c>
      <c r="O132" s="433">
        <f>N132/M132</f>
        <v/>
      </c>
      <c r="P132" s="19" t="n"/>
      <c r="Q132" s="426" t="n"/>
      <c r="R132" s="427" t="n"/>
      <c r="S132" s="362">
        <f>C132</f>
        <v/>
      </c>
      <c r="T132" s="362" t="n">
        <v>1409646.68</v>
      </c>
      <c r="U132" s="362">
        <f>T133</f>
        <v/>
      </c>
      <c r="V132" s="377">
        <f>T132-U132</f>
        <v/>
      </c>
      <c r="W132" s="378">
        <f>V132/U132</f>
        <v/>
      </c>
      <c r="X132" s="19" t="n"/>
      <c r="Y132" s="426" t="n"/>
      <c r="Z132" s="427" t="n"/>
      <c r="AA132" s="362">
        <f>S132</f>
        <v/>
      </c>
      <c r="AB132" s="362" t="n">
        <v>601416.86</v>
      </c>
      <c r="AC132" s="362">
        <f>AB133</f>
        <v/>
      </c>
      <c r="AD132" s="432">
        <f>AB132-AC132</f>
        <v/>
      </c>
      <c r="AE132" s="433">
        <f>AD132/AC132</f>
        <v/>
      </c>
      <c r="AF132" s="19" t="n"/>
      <c r="AG132" s="426" t="n"/>
      <c r="AH132" s="427" t="n"/>
      <c r="AI132" s="362">
        <f>C132</f>
        <v/>
      </c>
      <c r="AJ132" s="362" t="n">
        <v>424121.76</v>
      </c>
      <c r="AK132" s="362">
        <f>AJ133</f>
        <v/>
      </c>
      <c r="AL132" s="377">
        <f>AJ132-AK132</f>
        <v/>
      </c>
      <c r="AM132" s="378">
        <f>AL132/AK132</f>
        <v/>
      </c>
      <c r="AN132" s="19" t="n"/>
      <c r="AO132" s="19" t="n"/>
      <c r="AP132" s="427" t="n"/>
      <c r="AQ132" s="362">
        <f>C132</f>
        <v/>
      </c>
      <c r="AR132" s="697" t="n">
        <v>1215445.4936</v>
      </c>
      <c r="AS132" s="362">
        <f>AR133</f>
        <v/>
      </c>
      <c r="AT132" s="432">
        <f>AR132-AS132</f>
        <v/>
      </c>
      <c r="AU132" s="433">
        <f>AT132/AS132</f>
        <v/>
      </c>
      <c r="AV132" s="19" t="n"/>
      <c r="AW132" s="19" t="n"/>
      <c r="AX132" s="5" t="n"/>
      <c r="AY132" s="5" t="n"/>
      <c r="AZ132" s="5">
        <f>C132</f>
        <v/>
      </c>
      <c r="BA132" s="5" t="n">
        <v>1688781.6676</v>
      </c>
      <c r="BB132" s="5">
        <f>BA133</f>
        <v/>
      </c>
      <c r="BC132" s="5">
        <f>BA132-BB132</f>
        <v/>
      </c>
      <c r="BD132" s="19">
        <f>BC132/BB132</f>
        <v/>
      </c>
      <c r="BE132" s="19" t="n"/>
      <c r="BF132" s="19" t="n"/>
      <c r="BG132" s="647" t="n"/>
      <c r="BH132" s="363">
        <f>C132</f>
        <v/>
      </c>
      <c r="BI132" s="363" t="n">
        <v>1620226.5525</v>
      </c>
      <c r="BJ132" s="363">
        <f>BI133</f>
        <v/>
      </c>
      <c r="BK132" s="395">
        <f>BI132-BJ132</f>
        <v/>
      </c>
      <c r="BL132" s="396">
        <f>BK132/BJ132</f>
        <v/>
      </c>
      <c r="BM132" s="191" t="n"/>
      <c r="BN132" s="182" t="n"/>
      <c r="BO132" s="364" t="n"/>
      <c r="BP132" s="365">
        <f>C132</f>
        <v/>
      </c>
      <c r="BQ132" s="694" t="n">
        <v>1151962.3921</v>
      </c>
      <c r="BR132" s="365">
        <f>BQ133</f>
        <v/>
      </c>
      <c r="BS132" s="388">
        <f>BQ132-BR132</f>
        <v/>
      </c>
      <c r="BT132" s="389">
        <f>BS132/BR132</f>
        <v/>
      </c>
      <c r="BU132" s="182" t="n"/>
      <c r="BV132" s="182" t="n"/>
      <c r="BW132" s="364" t="n"/>
      <c r="BX132" s="365">
        <f>C132</f>
        <v/>
      </c>
      <c r="BY132" s="365" t="n">
        <v>2986510.7019</v>
      </c>
      <c r="BZ132" s="365">
        <f>BY133</f>
        <v/>
      </c>
      <c r="CA132" s="388">
        <f>BY132-BZ132</f>
        <v/>
      </c>
      <c r="CB132" s="389">
        <f>CA132/BZ132</f>
        <v/>
      </c>
      <c r="CC132" s="182" t="n"/>
      <c r="CD132" s="383" t="n"/>
      <c r="CE132" s="486" t="n"/>
      <c r="CF132" s="384">
        <f>C132</f>
        <v/>
      </c>
      <c r="CG132" s="185" t="n">
        <v>1353303.9</v>
      </c>
      <c r="CH132" s="13">
        <f>CG133</f>
        <v/>
      </c>
      <c r="CI132" s="13">
        <f>CG132-CH132</f>
        <v/>
      </c>
      <c r="CJ132" s="193">
        <f>CI132/CH132</f>
        <v/>
      </c>
      <c r="CK132" s="182" t="n"/>
      <c r="CL132" s="366" t="n"/>
      <c r="CM132" s="364" t="n"/>
      <c r="CN132" s="365">
        <f>C132</f>
        <v/>
      </c>
      <c r="CO132" s="365" t="n">
        <v>620146.48</v>
      </c>
      <c r="CP132" s="365">
        <f>CO133</f>
        <v/>
      </c>
      <c r="CQ132" s="13">
        <f>CO132-CP132</f>
        <v/>
      </c>
      <c r="CR132" s="193">
        <f>CQ132/CP132</f>
        <v/>
      </c>
      <c r="CS132" s="366">
        <f>(CO132-CO135)/CO135</f>
        <v/>
      </c>
      <c r="CT132" s="366" t="n"/>
      <c r="CU132" s="364" t="n"/>
      <c r="CV132" s="365">
        <f>C132</f>
        <v/>
      </c>
      <c r="CW132" s="365" t="n">
        <v>575190.4</v>
      </c>
      <c r="CX132" s="365">
        <f>CW133</f>
        <v/>
      </c>
      <c r="CY132" s="390">
        <f>CW132-CX132</f>
        <v/>
      </c>
      <c r="CZ132" s="391">
        <f>CY132/CX132</f>
        <v/>
      </c>
      <c r="DA132" s="182" t="n"/>
      <c r="DB132" s="182" t="n"/>
      <c r="DC132" s="256" t="n"/>
      <c r="DD132" s="365">
        <f>C132</f>
        <v/>
      </c>
      <c r="DE132" s="365" t="n">
        <v>2102517.9986</v>
      </c>
      <c r="DF132" s="13">
        <f>DE133</f>
        <v/>
      </c>
      <c r="DG132" s="388">
        <f>DE132-DF132</f>
        <v/>
      </c>
      <c r="DH132" s="389">
        <f>DG132/DF132</f>
        <v/>
      </c>
      <c r="DI132" s="182" t="n"/>
      <c r="DJ132" s="182" t="n"/>
      <c r="DK132" s="364" t="n"/>
      <c r="DL132" s="365">
        <f>C132</f>
        <v/>
      </c>
      <c r="DM132" s="365" t="n">
        <v>1033300.36</v>
      </c>
      <c r="DN132" s="365">
        <f>DM133</f>
        <v/>
      </c>
      <c r="DO132" s="388">
        <f>DM132-DN132</f>
        <v/>
      </c>
      <c r="DP132" s="389">
        <f>DO132/DN132</f>
        <v/>
      </c>
      <c r="DQ132" s="182" t="n"/>
      <c r="DR132" s="182" t="n"/>
      <c r="DS132" s="364" t="n"/>
      <c r="DT132" s="365">
        <f>C132</f>
        <v/>
      </c>
      <c r="DU132" s="365" t="n">
        <v>1416089.48</v>
      </c>
      <c r="DV132" s="365">
        <f>DU133</f>
        <v/>
      </c>
      <c r="DW132" s="388">
        <f>DU132-DV132</f>
        <v/>
      </c>
      <c r="DX132" s="389">
        <f>DW132/DV132</f>
        <v/>
      </c>
      <c r="DY132" s="182" t="n"/>
      <c r="DZ132" s="182" t="n"/>
      <c r="EA132" s="364" t="n"/>
      <c r="EB132" s="365">
        <f>C132</f>
        <v/>
      </c>
      <c r="EC132" s="365" t="n">
        <v>4002566.82</v>
      </c>
      <c r="ED132" s="365">
        <f>EC133</f>
        <v/>
      </c>
      <c r="EE132" s="388">
        <f>EC132-ED132</f>
        <v/>
      </c>
      <c r="EF132" s="389">
        <f>EE132/ED132</f>
        <v/>
      </c>
      <c r="EG132" s="182" t="n"/>
      <c r="EH132" s="182" t="n"/>
      <c r="EI132" s="364" t="n"/>
      <c r="EJ132" s="365">
        <f>C132</f>
        <v/>
      </c>
      <c r="EK132" s="365" t="n">
        <v>1279722.9669</v>
      </c>
      <c r="EL132" s="365">
        <f>EK133</f>
        <v/>
      </c>
      <c r="EM132" s="388">
        <f>EK132-EL132</f>
        <v/>
      </c>
      <c r="EN132" s="389">
        <f>EM132/EL132</f>
        <v/>
      </c>
      <c r="EO132" s="182" t="n"/>
      <c r="EP132" s="182" t="n"/>
      <c r="EQ132" s="182" t="n"/>
      <c r="ER132" s="9">
        <f>C132</f>
        <v/>
      </c>
      <c r="ES132" s="182" t="n">
        <v>418697.02</v>
      </c>
      <c r="ET132" s="182">
        <f>ES133</f>
        <v/>
      </c>
      <c r="EU132" s="182">
        <f>ES132-ET132</f>
        <v/>
      </c>
      <c r="EV132" s="182">
        <f>EU132/ET132</f>
        <v/>
      </c>
      <c r="EW132" s="182" t="n"/>
      <c r="EX132" s="182" t="n"/>
      <c r="EY132" s="364" t="n"/>
      <c r="EZ132" s="365">
        <f>C132</f>
        <v/>
      </c>
      <c r="FA132" s="365" t="n">
        <v>705008</v>
      </c>
      <c r="FB132" s="365">
        <f>FA133</f>
        <v/>
      </c>
      <c r="FC132" s="390">
        <f>FA132-FB132</f>
        <v/>
      </c>
      <c r="FD132" s="391">
        <f>FC132/FB132</f>
        <v/>
      </c>
      <c r="FE132" s="182" t="n"/>
      <c r="FF132" s="182" t="n"/>
      <c r="FG132" s="182" t="n"/>
      <c r="FH132" s="384">
        <f>C132</f>
        <v/>
      </c>
      <c r="FI132" s="707" t="n">
        <v>1329195.3365</v>
      </c>
      <c r="FJ132" s="365">
        <f>FI133</f>
        <v/>
      </c>
      <c r="FK132" s="323">
        <f>FI132-FJ132</f>
        <v/>
      </c>
      <c r="FL132" s="324">
        <f>FK132/FJ132</f>
        <v/>
      </c>
      <c r="FM132" s="366" t="n"/>
      <c r="FN132" s="366" t="n"/>
      <c r="FO132" s="364" t="n"/>
      <c r="FP132" s="365">
        <f>C132</f>
        <v/>
      </c>
      <c r="FQ132" s="365" t="n">
        <v>1928518.73</v>
      </c>
      <c r="FR132" s="365">
        <f>FQ133</f>
        <v/>
      </c>
      <c r="FS132" s="390">
        <f>FQ132-FR132</f>
        <v/>
      </c>
      <c r="FT132" s="391">
        <f>FS132/FR132</f>
        <v/>
      </c>
      <c r="FU132" s="182" t="n"/>
      <c r="FV132" s="182" t="n"/>
      <c r="FW132" s="364" t="n"/>
      <c r="FX132" s="365">
        <f>C132</f>
        <v/>
      </c>
      <c r="FY132" s="365" t="n">
        <v>8091582.05</v>
      </c>
      <c r="FZ132" s="365">
        <f>FY133</f>
        <v/>
      </c>
      <c r="GA132" s="390">
        <f>FY132-FZ132</f>
        <v/>
      </c>
      <c r="GB132" s="391">
        <f>GA132/FZ132</f>
        <v/>
      </c>
      <c r="GC132" s="182" t="n"/>
      <c r="GD132" s="182" t="n"/>
      <c r="GE132" s="364" t="n"/>
      <c r="GF132" s="365">
        <f>C132</f>
        <v/>
      </c>
      <c r="GG132" s="365" t="n">
        <v>4699169.49</v>
      </c>
      <c r="GH132" s="365">
        <f>GG133</f>
        <v/>
      </c>
      <c r="GI132" s="388">
        <f>GG132-GH132</f>
        <v/>
      </c>
      <c r="GJ132" s="389">
        <f>GI132/GH132</f>
        <v/>
      </c>
      <c r="GK132" s="182" t="n"/>
      <c r="GL132" s="182" t="n"/>
      <c r="GM132" s="364" t="n"/>
      <c r="GN132" s="365">
        <f>C132</f>
        <v/>
      </c>
      <c r="GO132" s="365" t="n">
        <v>1840558.1217</v>
      </c>
      <c r="GP132" s="365">
        <f>GO133</f>
        <v/>
      </c>
      <c r="GQ132" s="390">
        <f>GO132-GP132</f>
        <v/>
      </c>
      <c r="GR132" s="391">
        <f>GQ132/GP132</f>
        <v/>
      </c>
      <c r="GS132" s="182" t="n"/>
      <c r="GT132" s="182" t="n"/>
      <c r="GU132" s="364" t="n"/>
      <c r="GV132" s="365">
        <f>C132</f>
        <v/>
      </c>
      <c r="GW132" s="365" t="n">
        <v>903349.4</v>
      </c>
      <c r="GX132" s="365">
        <f>GW133</f>
        <v/>
      </c>
      <c r="GY132" s="388">
        <f>GW132-GX132</f>
        <v/>
      </c>
      <c r="GZ132" s="389">
        <f>GY132/GX132</f>
        <v/>
      </c>
      <c r="HA132" s="182" t="n"/>
      <c r="HB132" s="182" t="n"/>
      <c r="HC132" s="364" t="n"/>
      <c r="HD132" s="365">
        <f>C132</f>
        <v/>
      </c>
      <c r="HE132" s="365" t="n">
        <v>1356564.6746</v>
      </c>
      <c r="HF132" s="365">
        <f>HE133</f>
        <v/>
      </c>
      <c r="HG132" s="390">
        <f>HE132-HF132</f>
        <v/>
      </c>
      <c r="HH132" s="391">
        <f>HG132/HF132</f>
        <v/>
      </c>
      <c r="HI132" s="366" t="n"/>
      <c r="HJ132" s="182" t="n"/>
      <c r="HK132" s="364" t="n"/>
      <c r="HL132" s="365">
        <f>C132</f>
        <v/>
      </c>
      <c r="HM132" s="365" t="n">
        <v>142904.25</v>
      </c>
      <c r="HN132" s="365">
        <f>HM133</f>
        <v/>
      </c>
      <c r="HO132" s="388">
        <f>HM132-HN132</f>
        <v/>
      </c>
      <c r="HP132" s="389">
        <f>HO132/HN132</f>
        <v/>
      </c>
      <c r="HQ132" s="182" t="n"/>
      <c r="HR132" s="182" t="n"/>
      <c r="HS132" s="364" t="n"/>
      <c r="HT132" s="365">
        <f>C132</f>
        <v/>
      </c>
      <c r="HU132" s="365" t="n">
        <v>199368.8265</v>
      </c>
      <c r="HV132" s="365">
        <f>HU133</f>
        <v/>
      </c>
      <c r="HW132" s="388">
        <f>HU132-HV132</f>
        <v/>
      </c>
      <c r="HX132" s="389">
        <f>HW132/HV132</f>
        <v/>
      </c>
      <c r="HY132" s="182" t="n"/>
      <c r="HZ132" s="182" t="n"/>
      <c r="IA132" s="364" t="n"/>
      <c r="IB132" s="365">
        <f>C132</f>
        <v/>
      </c>
      <c r="IC132" s="0" t="n">
        <v>358384.79</v>
      </c>
      <c r="ID132" s="0">
        <f>IC133</f>
        <v/>
      </c>
      <c r="IE132" s="365">
        <f>IC132-ID132</f>
        <v/>
      </c>
      <c r="IF132" s="366">
        <f>IE132/ID132</f>
        <v/>
      </c>
      <c r="IG132" s="182" t="n"/>
      <c r="IH132" s="182" t="n"/>
      <c r="II132" s="364" t="n"/>
      <c r="IJ132" s="365">
        <f>C132</f>
        <v/>
      </c>
      <c r="IK132" s="365" t="n">
        <v>628076.29</v>
      </c>
      <c r="IL132" s="365">
        <f>IK133</f>
        <v/>
      </c>
      <c r="IM132" s="388">
        <f>IK132-IL132</f>
        <v/>
      </c>
      <c r="IN132" s="389">
        <f>IM132/IL132</f>
        <v/>
      </c>
      <c r="IO132" s="182" t="n"/>
      <c r="IP132" s="182" t="n"/>
      <c r="IQ132" s="364" t="n"/>
      <c r="IR132" s="365">
        <f>C132</f>
        <v/>
      </c>
      <c r="IS132" s="365" t="n">
        <v>142489</v>
      </c>
      <c r="IT132" s="365">
        <f>IS133</f>
        <v/>
      </c>
      <c r="IU132" s="388">
        <f>IS132-IT132</f>
        <v/>
      </c>
      <c r="IV132" s="389">
        <f>IU132/IT132</f>
        <v/>
      </c>
      <c r="IW132" s="182" t="n"/>
      <c r="IX132" s="182" t="n"/>
      <c r="IY132" s="364" t="n"/>
      <c r="IZ132" s="365">
        <f>C132</f>
        <v/>
      </c>
      <c r="JA132" s="365" t="n">
        <v>5098129.15</v>
      </c>
      <c r="JB132" s="365">
        <f>JA133</f>
        <v/>
      </c>
      <c r="JC132" s="388">
        <f>JA132-JB132</f>
        <v/>
      </c>
      <c r="JD132" s="389">
        <f>JC132/JB132</f>
        <v/>
      </c>
      <c r="JE132" s="182" t="n"/>
      <c r="JF132" s="182" t="n"/>
      <c r="JG132" s="364" t="n"/>
      <c r="JH132" s="365">
        <f>C132</f>
        <v/>
      </c>
      <c r="JI132" s="365" t="n">
        <v>1320687.99</v>
      </c>
      <c r="JJ132" s="365">
        <f>JI133</f>
        <v/>
      </c>
      <c r="JK132" s="388">
        <f>JI132-JJ132</f>
        <v/>
      </c>
      <c r="JL132" s="389">
        <f>JK132/JJ132</f>
        <v/>
      </c>
      <c r="JM132" s="182" t="n"/>
      <c r="JN132" s="182" t="n"/>
      <c r="JO132" s="182" t="n"/>
      <c r="JP132" s="365">
        <f>C132</f>
        <v/>
      </c>
      <c r="JQ132" s="365" t="n">
        <v>1062990.4148</v>
      </c>
      <c r="JR132" s="365">
        <f>JQ133</f>
        <v/>
      </c>
      <c r="JS132" s="388">
        <f>JQ132-JR132</f>
        <v/>
      </c>
      <c r="JT132" s="389">
        <f>JS132/JR132</f>
        <v/>
      </c>
      <c r="JU132" s="182" t="n"/>
      <c r="JV132" s="182" t="n"/>
      <c r="JW132" s="383" t="n"/>
      <c r="JX132" s="365">
        <f>C132</f>
        <v/>
      </c>
      <c r="JY132" s="365" t="n">
        <v>1171148.8</v>
      </c>
      <c r="JZ132" s="365">
        <f>JY133</f>
        <v/>
      </c>
      <c r="KA132" s="390">
        <f>JY132-JZ132</f>
        <v/>
      </c>
      <c r="KB132" s="391">
        <f>KA132/JZ132</f>
        <v/>
      </c>
      <c r="KC132" s="182" t="n"/>
      <c r="KD132" s="182" t="n"/>
      <c r="KE132" s="383" t="n"/>
      <c r="KF132" s="365">
        <f>C132</f>
        <v/>
      </c>
      <c r="KG132" s="365" t="n">
        <v>723755.9219</v>
      </c>
      <c r="KH132" s="365">
        <f>KG133</f>
        <v/>
      </c>
      <c r="KI132" s="390">
        <f>KG132-KH132</f>
        <v/>
      </c>
      <c r="KJ132" s="391">
        <f>KI132/KH132</f>
        <v/>
      </c>
      <c r="KK132" s="366" t="n"/>
      <c r="KL132" s="366" t="n"/>
      <c r="KM132" s="364" t="n"/>
      <c r="KN132" s="365">
        <f>C132</f>
        <v/>
      </c>
      <c r="KO132" s="365" t="n">
        <v>8328775.95</v>
      </c>
      <c r="KP132" s="365">
        <f>KO133</f>
        <v/>
      </c>
      <c r="KQ132" s="390">
        <f>KO132-KP132</f>
        <v/>
      </c>
      <c r="KR132" s="391">
        <f>KQ132/KP132</f>
        <v/>
      </c>
      <c r="KS132" s="182" t="n"/>
      <c r="KT132" s="182" t="n"/>
      <c r="KU132" s="364" t="n"/>
      <c r="KV132" s="365">
        <f>C132</f>
        <v/>
      </c>
      <c r="KW132" s="365" t="n">
        <v>1053972.9726</v>
      </c>
      <c r="KX132" s="365">
        <f>KW133</f>
        <v/>
      </c>
      <c r="KY132" s="365">
        <f>KW132-KX132</f>
        <v/>
      </c>
      <c r="KZ132" s="366">
        <f>KY132/KX132</f>
        <v/>
      </c>
      <c r="LA132" s="366" t="n"/>
      <c r="LB132" s="182" t="n"/>
      <c r="LC132" s="364" t="n"/>
      <c r="LD132" s="365">
        <f>C132</f>
        <v/>
      </c>
      <c r="LE132" s="365" t="n">
        <v>467507.7</v>
      </c>
      <c r="LF132" s="365">
        <f>LE133</f>
        <v/>
      </c>
      <c r="LG132" s="388">
        <f>LE132-LF132</f>
        <v/>
      </c>
      <c r="LH132" s="389">
        <f>LG132/LF132</f>
        <v/>
      </c>
      <c r="LI132" s="182" t="n"/>
      <c r="LJ132" s="182" t="n"/>
      <c r="LK132" s="364" t="n"/>
      <c r="LL132" s="365">
        <f>C132</f>
        <v/>
      </c>
      <c r="LM132" s="694" t="n">
        <v>3481855.02</v>
      </c>
      <c r="LN132" s="365">
        <f>LM133</f>
        <v/>
      </c>
      <c r="LO132" s="390">
        <f>LM132-LN132</f>
        <v/>
      </c>
      <c r="LP132" s="391">
        <f>LO132/LN132</f>
        <v/>
      </c>
      <c r="LQ132" s="182" t="n"/>
      <c r="LR132" s="182" t="n"/>
      <c r="LS132" s="364" t="n"/>
      <c r="LT132" s="365">
        <f>C132</f>
        <v/>
      </c>
      <c r="LU132" s="365" t="n">
        <v>2460662.904</v>
      </c>
      <c r="LV132" s="365">
        <f>LU133</f>
        <v/>
      </c>
      <c r="LW132" s="388">
        <f>LU132-LV132</f>
        <v/>
      </c>
      <c r="LX132" s="389">
        <f>LW132/LV132</f>
        <v/>
      </c>
      <c r="LY132" s="182" t="n"/>
      <c r="LZ132" s="182" t="n"/>
      <c r="MA132" s="364" t="n"/>
      <c r="MB132" s="365">
        <f>C132</f>
        <v/>
      </c>
      <c r="MC132" s="365" t="n">
        <v>857317.6899999999</v>
      </c>
      <c r="MD132" s="365">
        <f>MC133</f>
        <v/>
      </c>
      <c r="ME132" s="388">
        <f>MC132-MD132</f>
        <v/>
      </c>
      <c r="MF132" s="389">
        <f>ME132/MD132</f>
        <v/>
      </c>
      <c r="MG132" s="182" t="n"/>
      <c r="MH132" s="182" t="n"/>
      <c r="MI132" s="364" t="n"/>
      <c r="MJ132" s="364" t="n"/>
      <c r="MK132" s="365">
        <f>C132</f>
        <v/>
      </c>
      <c r="ML132" s="364" t="n">
        <v>220065.5354</v>
      </c>
      <c r="MM132" s="187">
        <f>ML133</f>
        <v/>
      </c>
      <c r="MN132" s="364">
        <f>ML132-MM132</f>
        <v/>
      </c>
      <c r="MO132" s="366">
        <f>MN132/MM132</f>
        <v/>
      </c>
      <c r="MP132" s="366" t="n"/>
      <c r="MQ132" s="366" t="n"/>
      <c r="MR132" s="366" t="n"/>
      <c r="MS132" s="366" t="n"/>
      <c r="MT132" s="25">
        <f>C132</f>
        <v/>
      </c>
      <c r="MU132" s="0" t="n">
        <v>184814.8</v>
      </c>
      <c r="MV132" s="0">
        <f>MU133</f>
        <v/>
      </c>
      <c r="MW132" s="0">
        <f>MU132-MV132</f>
        <v/>
      </c>
      <c r="MX132" s="182">
        <f>MW132/MV132</f>
        <v/>
      </c>
      <c r="MY132" s="182" t="n"/>
      <c r="MZ132" s="182" t="n"/>
      <c r="NA132" s="182" t="n"/>
      <c r="NB132" s="182" t="n"/>
      <c r="NC132" s="9">
        <f>C132</f>
        <v/>
      </c>
      <c r="ND132" s="0" t="n">
        <v>42291.48</v>
      </c>
      <c r="NE132" s="0">
        <f>ND133</f>
        <v/>
      </c>
      <c r="NF132" s="0">
        <f>ND132-NE132</f>
        <v/>
      </c>
      <c r="NG132" s="182">
        <f>NF132/NE132</f>
        <v/>
      </c>
      <c r="NH132" s="182" t="n"/>
      <c r="NI132" s="182" t="n"/>
      <c r="NJ132" s="182" t="n"/>
      <c r="NK132" s="182" t="n"/>
      <c r="NL132" s="9" t="n"/>
      <c r="NM132" s="9">
        <f>C132</f>
        <v/>
      </c>
      <c r="NN132" s="0" t="n">
        <v>2606011.08</v>
      </c>
      <c r="NO132" s="0">
        <f>NN133</f>
        <v/>
      </c>
      <c r="NP132" s="0">
        <f>NN132-NO132</f>
        <v/>
      </c>
      <c r="NQ132" s="182">
        <f>NP132/NO132</f>
        <v/>
      </c>
      <c r="NR132" s="182" t="n"/>
      <c r="NS132" s="9" t="n"/>
      <c r="NU132" s="9">
        <f>C132</f>
        <v/>
      </c>
      <c r="NV132" s="364" t="n">
        <v>260376.5</v>
      </c>
      <c r="NW132" s="364">
        <f>NV133</f>
        <v/>
      </c>
      <c r="NX132" s="364">
        <f>NV132-NW132</f>
        <v/>
      </c>
      <c r="NY132" s="366">
        <f>NX132/NW132</f>
        <v/>
      </c>
      <c r="NZ132" s="366" t="n"/>
      <c r="OA132" s="364" t="n"/>
      <c r="OB132" s="364" t="n"/>
      <c r="OC132" s="365">
        <f>C132</f>
        <v/>
      </c>
      <c r="OD132" s="365" t="n">
        <v>14550.97</v>
      </c>
      <c r="OE132" s="365">
        <f>OD133</f>
        <v/>
      </c>
      <c r="OF132" s="390">
        <f>OD132-OE132</f>
        <v/>
      </c>
      <c r="OG132" s="391">
        <f>OF132/OE132</f>
        <v/>
      </c>
      <c r="OH132" s="182" t="n"/>
      <c r="OI132" s="182" t="n"/>
      <c r="OJ132" s="364" t="n"/>
      <c r="OK132" s="365">
        <f>C132</f>
        <v/>
      </c>
      <c r="OL132" s="0" t="n">
        <v>13909.65</v>
      </c>
      <c r="OM132" s="0">
        <f>OL133</f>
        <v/>
      </c>
      <c r="ON132" s="0">
        <f>OL132-OM132</f>
        <v/>
      </c>
      <c r="OO132" s="182">
        <f>ON132/OM132</f>
        <v/>
      </c>
      <c r="OP132" s="182" t="n"/>
      <c r="OQ132" s="182" t="n"/>
      <c r="OT132" s="25">
        <f>OK132</f>
        <v/>
      </c>
      <c r="OU132" s="199" t="n">
        <v>146592.4066</v>
      </c>
      <c r="OV132" s="9">
        <f>OU133</f>
        <v/>
      </c>
      <c r="OW132" s="671">
        <f>OU132-OV132</f>
        <v/>
      </c>
      <c r="OX132" s="182">
        <f>OW132/OV132</f>
        <v/>
      </c>
    </row>
    <row r="133" ht="17" customFormat="1" customHeight="1" s="9">
      <c r="A133" s="631" t="n"/>
      <c r="B133" s="631" t="n"/>
      <c r="C133" s="693" t="inlineStr">
        <is>
          <t>2026//5/7</t>
        </is>
      </c>
      <c r="D133" s="362" t="n">
        <v>3615618.77</v>
      </c>
      <c r="E133" s="362">
        <f>D134</f>
        <v/>
      </c>
      <c r="F133" s="432">
        <f>D133-E133</f>
        <v/>
      </c>
      <c r="G133" s="433">
        <f>F133/E133</f>
        <v/>
      </c>
      <c r="H133" s="19" t="n"/>
      <c r="I133" s="426" t="n"/>
      <c r="J133" s="426" t="n"/>
      <c r="K133" s="362">
        <f>C133</f>
        <v/>
      </c>
      <c r="L133" s="362" t="n">
        <v>2872594.4</v>
      </c>
      <c r="M133" s="362">
        <f>L134</f>
        <v/>
      </c>
      <c r="N133" s="377">
        <f>L133-M133</f>
        <v/>
      </c>
      <c r="O133" s="378">
        <f>N133/M133</f>
        <v/>
      </c>
      <c r="P133" s="19" t="n"/>
      <c r="Q133" s="426" t="n"/>
      <c r="R133" s="427" t="n"/>
      <c r="S133" s="362">
        <f>C133</f>
        <v/>
      </c>
      <c r="T133" s="362" t="n">
        <v>1536906.68</v>
      </c>
      <c r="U133" s="362">
        <f>T134</f>
        <v/>
      </c>
      <c r="V133" s="432">
        <f>T133-U133</f>
        <v/>
      </c>
      <c r="W133" s="433">
        <f>V133/U133</f>
        <v/>
      </c>
      <c r="X133" s="19" t="n"/>
      <c r="Y133" s="426" t="n"/>
      <c r="Z133" s="427" t="n"/>
      <c r="AA133" s="362">
        <f>S133</f>
        <v/>
      </c>
      <c r="AB133" s="362" t="n">
        <v>681576.86</v>
      </c>
      <c r="AC133" s="362">
        <f>AB134</f>
        <v/>
      </c>
      <c r="AD133" s="432">
        <f>AB133-AC133</f>
        <v/>
      </c>
      <c r="AE133" s="433">
        <f>AD133/AC133</f>
        <v/>
      </c>
      <c r="AF133" s="19" t="n"/>
      <c r="AG133" s="426" t="n"/>
      <c r="AH133" s="427" t="n"/>
      <c r="AI133" s="362">
        <f>C133</f>
        <v/>
      </c>
      <c r="AJ133" s="362" t="n">
        <v>463121.76</v>
      </c>
      <c r="AK133" s="362">
        <f>AJ134</f>
        <v/>
      </c>
      <c r="AL133" s="377">
        <f>AJ133-AK133</f>
        <v/>
      </c>
      <c r="AM133" s="378">
        <f>AL133/AK133</f>
        <v/>
      </c>
      <c r="AN133" s="19" t="n"/>
      <c r="AO133" s="19" t="n"/>
      <c r="AP133" s="427" t="n"/>
      <c r="AQ133" s="362">
        <f>C133</f>
        <v/>
      </c>
      <c r="AR133" s="697" t="n">
        <v>1206645.4936</v>
      </c>
      <c r="AS133" s="362">
        <f>AR134</f>
        <v/>
      </c>
      <c r="AT133" s="432">
        <f>AR133-AS133</f>
        <v/>
      </c>
      <c r="AU133" s="433">
        <f>AT133/AS133</f>
        <v/>
      </c>
      <c r="AV133" s="19" t="n"/>
      <c r="AW133" s="19" t="n"/>
      <c r="AX133" s="5" t="n"/>
      <c r="AY133" s="5" t="n"/>
      <c r="AZ133" s="5">
        <f>C133</f>
        <v/>
      </c>
      <c r="BA133" s="5" t="n">
        <v>1729191.6676</v>
      </c>
      <c r="BB133" s="5">
        <f>BA134</f>
        <v/>
      </c>
      <c r="BC133" s="5">
        <f>BA133-BB133</f>
        <v/>
      </c>
      <c r="BD133" s="19">
        <f>BC133/BB133</f>
        <v/>
      </c>
      <c r="BE133" s="19" t="n"/>
      <c r="BF133" s="19" t="n"/>
      <c r="BG133" s="647" t="n"/>
      <c r="BH133" s="363">
        <f>C133</f>
        <v/>
      </c>
      <c r="BI133" s="363" t="n">
        <v>1653326.5525</v>
      </c>
      <c r="BJ133" s="363">
        <f>BI134</f>
        <v/>
      </c>
      <c r="BK133" s="395">
        <f>BI133-BJ133</f>
        <v/>
      </c>
      <c r="BL133" s="396">
        <f>BK133/BJ133</f>
        <v/>
      </c>
      <c r="BM133" s="191" t="n"/>
      <c r="BN133" s="182" t="n"/>
      <c r="BO133" s="364" t="n"/>
      <c r="BP133" s="365">
        <f>C133</f>
        <v/>
      </c>
      <c r="BQ133" s="694" t="n">
        <v>1125562.3921</v>
      </c>
      <c r="BR133" s="365">
        <f>BQ134</f>
        <v/>
      </c>
      <c r="BS133" s="388">
        <f>BQ133-BR133</f>
        <v/>
      </c>
      <c r="BT133" s="389">
        <f>BS133/BR133</f>
        <v/>
      </c>
      <c r="BU133" s="182" t="n"/>
      <c r="BV133" s="182" t="n"/>
      <c r="BW133" s="364" t="n"/>
      <c r="BX133" s="365">
        <f>C133</f>
        <v/>
      </c>
      <c r="BY133" s="365" t="n">
        <v>2993160.7019</v>
      </c>
      <c r="BZ133" s="365">
        <f>BY134</f>
        <v/>
      </c>
      <c r="CA133" s="388">
        <f>BY133-BZ133</f>
        <v/>
      </c>
      <c r="CB133" s="389">
        <f>CA133/BZ133</f>
        <v/>
      </c>
      <c r="CC133" s="182" t="n"/>
      <c r="CD133" s="383" t="n"/>
      <c r="CE133" s="486" t="n"/>
      <c r="CF133" s="384">
        <f>C133</f>
        <v/>
      </c>
      <c r="CG133" s="185" t="n">
        <v>1342603.9</v>
      </c>
      <c r="CH133" s="13">
        <f>CG134</f>
        <v/>
      </c>
      <c r="CI133" s="13">
        <f>CG133-CH133</f>
        <v/>
      </c>
      <c r="CJ133" s="193">
        <f>CI133/CH133</f>
        <v/>
      </c>
      <c r="CK133" s="182" t="n"/>
      <c r="CL133" s="366" t="n"/>
      <c r="CM133" s="364" t="n"/>
      <c r="CN133" s="365">
        <f>C133</f>
        <v/>
      </c>
      <c r="CO133" s="365" t="n">
        <v>625746.48</v>
      </c>
      <c r="CP133" s="365">
        <f>CO134</f>
        <v/>
      </c>
      <c r="CQ133" s="13">
        <f>CO133-CP133</f>
        <v/>
      </c>
      <c r="CR133" s="193">
        <f>CQ133/CP133</f>
        <v/>
      </c>
      <c r="CS133" s="366" t="n"/>
      <c r="CT133" s="366" t="n"/>
      <c r="CU133" s="364" t="n"/>
      <c r="CV133" s="365">
        <f>C133</f>
        <v/>
      </c>
      <c r="CW133" s="365" t="n">
        <v>560190.4</v>
      </c>
      <c r="CX133" s="365">
        <f>CW134</f>
        <v/>
      </c>
      <c r="CY133" s="390">
        <f>CW133-CX133</f>
        <v/>
      </c>
      <c r="CZ133" s="391">
        <f>CY133/CX133</f>
        <v/>
      </c>
      <c r="DA133" s="182" t="n"/>
      <c r="DB133" s="182" t="n"/>
      <c r="DC133" s="256" t="n"/>
      <c r="DD133" s="365">
        <f>C133</f>
        <v/>
      </c>
      <c r="DE133" s="365" t="n">
        <v>2149717.9986</v>
      </c>
      <c r="DF133" s="13">
        <f>DE134</f>
        <v/>
      </c>
      <c r="DG133" s="388">
        <f>DE133-DF133</f>
        <v/>
      </c>
      <c r="DH133" s="389">
        <f>DG133/DF133</f>
        <v/>
      </c>
      <c r="DI133" s="182" t="n"/>
      <c r="DJ133" s="182" t="n"/>
      <c r="DK133" s="364" t="n"/>
      <c r="DL133" s="365">
        <f>C133</f>
        <v/>
      </c>
      <c r="DM133" s="365" t="n">
        <v>1036500.36</v>
      </c>
      <c r="DN133" s="365">
        <f>DM134</f>
        <v/>
      </c>
      <c r="DO133" s="390">
        <f>DM133-DN133</f>
        <v/>
      </c>
      <c r="DP133" s="391">
        <f>DO133/DN133</f>
        <v/>
      </c>
      <c r="DQ133" s="182" t="n"/>
      <c r="DR133" s="182" t="n"/>
      <c r="DS133" s="364" t="n"/>
      <c r="DT133" s="365">
        <f>C133</f>
        <v/>
      </c>
      <c r="DU133" s="365" t="n">
        <v>1399289.48</v>
      </c>
      <c r="DV133" s="365">
        <f>DU134</f>
        <v/>
      </c>
      <c r="DW133" s="388">
        <f>DU133-DV133</f>
        <v/>
      </c>
      <c r="DX133" s="389">
        <f>DW133/DV133</f>
        <v/>
      </c>
      <c r="DY133" s="182" t="n"/>
      <c r="DZ133" s="182" t="n"/>
      <c r="EA133" s="364" t="n"/>
      <c r="EB133" s="365">
        <f>C133</f>
        <v/>
      </c>
      <c r="EC133" s="365" t="n">
        <v>3984266.82</v>
      </c>
      <c r="ED133" s="365">
        <f>EC134</f>
        <v/>
      </c>
      <c r="EE133" s="390">
        <f>EC133-ED133</f>
        <v/>
      </c>
      <c r="EF133" s="391">
        <f>EE133/ED133</f>
        <v/>
      </c>
      <c r="EG133" s="182" t="n"/>
      <c r="EH133" s="182" t="n"/>
      <c r="EI133" s="364" t="n"/>
      <c r="EJ133" s="365">
        <f>C133</f>
        <v/>
      </c>
      <c r="EK133" s="365" t="n">
        <v>1283322.9669</v>
      </c>
      <c r="EL133" s="365">
        <f>EK134</f>
        <v/>
      </c>
      <c r="EM133" s="388">
        <f>EK133-EL133</f>
        <v/>
      </c>
      <c r="EN133" s="389">
        <f>EM133/EL133</f>
        <v/>
      </c>
      <c r="EO133" s="182" t="n"/>
      <c r="EP133" s="182" t="n"/>
      <c r="EQ133" s="182" t="n"/>
      <c r="ER133" s="9">
        <f>C133</f>
        <v/>
      </c>
      <c r="ES133" s="182" t="n">
        <v>420497.02</v>
      </c>
      <c r="ET133" s="182">
        <f>ES134</f>
        <v/>
      </c>
      <c r="EU133" s="182">
        <f>ES133-ET133</f>
        <v/>
      </c>
      <c r="EV133" s="182">
        <f>EU133/ET133</f>
        <v/>
      </c>
      <c r="EW133" s="182" t="n"/>
      <c r="EX133" s="182" t="n"/>
      <c r="EY133" s="364" t="n"/>
      <c r="EZ133" s="365">
        <f>C133</f>
        <v/>
      </c>
      <c r="FA133" s="365" t="n">
        <v>701308</v>
      </c>
      <c r="FB133" s="365">
        <f>FA134</f>
        <v/>
      </c>
      <c r="FC133" s="390">
        <f>FA133-FB133</f>
        <v/>
      </c>
      <c r="FD133" s="391">
        <f>FC133/FB133</f>
        <v/>
      </c>
      <c r="FE133" s="182" t="n"/>
      <c r="FF133" s="182" t="n"/>
      <c r="FG133" s="182" t="n"/>
      <c r="FH133" s="384">
        <f>C133</f>
        <v/>
      </c>
      <c r="FI133" s="707" t="n">
        <v>1299395.3365</v>
      </c>
      <c r="FJ133" s="365">
        <f>FI134</f>
        <v/>
      </c>
      <c r="FK133" s="323">
        <f>FI133-FJ133</f>
        <v/>
      </c>
      <c r="FL133" s="324">
        <f>FK133/FJ133</f>
        <v/>
      </c>
      <c r="FM133" s="182" t="n"/>
      <c r="FN133" s="182" t="n"/>
      <c r="FO133" s="364" t="n"/>
      <c r="FP133" s="365">
        <f>C133</f>
        <v/>
      </c>
      <c r="FQ133" s="365" t="n">
        <v>1971268.73</v>
      </c>
      <c r="FR133" s="365">
        <f>FQ134</f>
        <v/>
      </c>
      <c r="FS133" s="390">
        <f>FQ133-FR133</f>
        <v/>
      </c>
      <c r="FT133" s="391">
        <f>FS133/FR133</f>
        <v/>
      </c>
      <c r="FU133" s="182" t="n"/>
      <c r="FV133" s="182" t="n"/>
      <c r="FW133" s="364" t="n"/>
      <c r="FX133" s="365">
        <f>C133</f>
        <v/>
      </c>
      <c r="FY133" s="365" t="n">
        <v>8112182.05</v>
      </c>
      <c r="FZ133" s="365">
        <f>FY134</f>
        <v/>
      </c>
      <c r="GA133" s="390">
        <f>FY133-FZ133</f>
        <v/>
      </c>
      <c r="GB133" s="391">
        <f>GA133/FZ133</f>
        <v/>
      </c>
      <c r="GC133" s="182" t="n"/>
      <c r="GD133" s="182" t="n"/>
      <c r="GE133" s="364" t="n"/>
      <c r="GF133" s="365">
        <f>C133</f>
        <v/>
      </c>
      <c r="GG133" s="365" t="n">
        <v>4670169.49</v>
      </c>
      <c r="GH133" s="365">
        <f>GG134</f>
        <v/>
      </c>
      <c r="GI133" s="390">
        <f>GG133-GH133</f>
        <v/>
      </c>
      <c r="GJ133" s="391">
        <f>GI133/GH133</f>
        <v/>
      </c>
      <c r="GK133" s="182" t="n"/>
      <c r="GL133" s="182" t="n"/>
      <c r="GM133" s="364" t="n"/>
      <c r="GN133" s="365">
        <f>C133</f>
        <v/>
      </c>
      <c r="GO133" s="365" t="n">
        <v>1832458.1217</v>
      </c>
      <c r="GP133" s="365">
        <f>GO134</f>
        <v/>
      </c>
      <c r="GQ133" s="390">
        <f>GO133-GP133</f>
        <v/>
      </c>
      <c r="GR133" s="391">
        <f>GQ133/GP133</f>
        <v/>
      </c>
      <c r="GS133" s="182" t="n"/>
      <c r="GT133" s="182" t="n"/>
      <c r="GU133" s="364" t="n"/>
      <c r="GV133" s="365">
        <f>C133</f>
        <v/>
      </c>
      <c r="GW133" s="365" t="n">
        <v>904149.4</v>
      </c>
      <c r="GX133" s="365">
        <f>GW134</f>
        <v/>
      </c>
      <c r="GY133" s="388">
        <f>GW133-GX133</f>
        <v/>
      </c>
      <c r="GZ133" s="389">
        <f>GY133/GX133</f>
        <v/>
      </c>
      <c r="HA133" s="182" t="n"/>
      <c r="HB133" s="182" t="n"/>
      <c r="HC133" s="364" t="n"/>
      <c r="HD133" s="365">
        <f>C133</f>
        <v/>
      </c>
      <c r="HE133" s="365" t="n">
        <v>1359464.6746</v>
      </c>
      <c r="HF133" s="365">
        <f>HE134</f>
        <v/>
      </c>
      <c r="HG133" s="390">
        <f>HE133-HF133</f>
        <v/>
      </c>
      <c r="HH133" s="391">
        <f>HG133/HF133</f>
        <v/>
      </c>
      <c r="HI133" s="366" t="n"/>
      <c r="HJ133" s="182" t="n"/>
      <c r="HK133" s="364" t="n"/>
      <c r="HL133" s="365">
        <f>C133</f>
        <v/>
      </c>
      <c r="HM133" s="365" t="n">
        <v>143604.25</v>
      </c>
      <c r="HN133" s="365">
        <f>HM134</f>
        <v/>
      </c>
      <c r="HO133" s="388">
        <f>HM133-HN133</f>
        <v/>
      </c>
      <c r="HP133" s="389">
        <f>HO133/HN133</f>
        <v/>
      </c>
      <c r="HQ133" s="182" t="n"/>
      <c r="HR133" s="182" t="n"/>
      <c r="HS133" s="364" t="n"/>
      <c r="HT133" s="365">
        <f>C133</f>
        <v/>
      </c>
      <c r="HU133" s="365" t="n">
        <v>197168.8265</v>
      </c>
      <c r="HV133" s="365">
        <f>HU134</f>
        <v/>
      </c>
      <c r="HW133" s="388">
        <f>HU133-HV133</f>
        <v/>
      </c>
      <c r="HX133" s="389">
        <f>HW133/HV133</f>
        <v/>
      </c>
      <c r="HY133" s="182" t="n"/>
      <c r="HZ133" s="182" t="n"/>
      <c r="IA133" s="364" t="n"/>
      <c r="IB133" s="365">
        <f>C133</f>
        <v/>
      </c>
      <c r="IC133" s="0" t="n">
        <v>358509.79</v>
      </c>
      <c r="ID133" s="0">
        <f>IC134</f>
        <v/>
      </c>
      <c r="IE133" s="365">
        <f>IC133-ID133</f>
        <v/>
      </c>
      <c r="IF133" s="366">
        <f>IE133/ID133</f>
        <v/>
      </c>
      <c r="IG133" s="182" t="n"/>
      <c r="IH133" s="182" t="n"/>
      <c r="II133" s="364" t="n"/>
      <c r="IJ133" s="365">
        <f>C133</f>
        <v/>
      </c>
      <c r="IK133" s="365" t="n">
        <v>641516.29</v>
      </c>
      <c r="IL133" s="365">
        <f>IK134</f>
        <v/>
      </c>
      <c r="IM133" s="388">
        <f>IK133-IL133</f>
        <v/>
      </c>
      <c r="IN133" s="389">
        <f>IM133/IL133</f>
        <v/>
      </c>
      <c r="IO133" s="182" t="n"/>
      <c r="IP133" s="182" t="n"/>
      <c r="IQ133" s="364" t="n"/>
      <c r="IR133" s="365">
        <f>C133</f>
        <v/>
      </c>
      <c r="IS133" s="365" t="n">
        <v>137689</v>
      </c>
      <c r="IT133" s="365">
        <f>IS134</f>
        <v/>
      </c>
      <c r="IU133" s="390">
        <f>IS133-IT133</f>
        <v/>
      </c>
      <c r="IV133" s="391">
        <f>IU133/IT133</f>
        <v/>
      </c>
      <c r="IW133" s="182" t="n"/>
      <c r="IX133" s="182" t="n"/>
      <c r="IY133" s="364" t="n"/>
      <c r="IZ133" s="365">
        <f>C133</f>
        <v/>
      </c>
      <c r="JA133" s="365" t="n">
        <v>5095229.15</v>
      </c>
      <c r="JB133" s="365">
        <f>JA134</f>
        <v/>
      </c>
      <c r="JC133" s="390">
        <f>JA133-JB133</f>
        <v/>
      </c>
      <c r="JD133" s="391">
        <f>JC133/JB133</f>
        <v/>
      </c>
      <c r="JE133" s="182" t="n"/>
      <c r="JF133" s="182" t="n"/>
      <c r="JG133" s="364" t="n"/>
      <c r="JH133" s="365">
        <f>C133</f>
        <v/>
      </c>
      <c r="JI133" s="365" t="n">
        <v>1314387.99</v>
      </c>
      <c r="JJ133" s="365">
        <f>JI134</f>
        <v/>
      </c>
      <c r="JK133" s="388">
        <f>JI133-JJ133</f>
        <v/>
      </c>
      <c r="JL133" s="389">
        <f>JK133/JJ133</f>
        <v/>
      </c>
      <c r="JM133" s="182" t="n"/>
      <c r="JN133" s="182" t="n"/>
      <c r="JO133" s="182" t="n"/>
      <c r="JP133" s="365">
        <f>C133</f>
        <v/>
      </c>
      <c r="JQ133" s="365" t="n">
        <v>1061190.4148</v>
      </c>
      <c r="JR133" s="365">
        <f>JQ134</f>
        <v/>
      </c>
      <c r="JS133" s="388">
        <f>JQ133-JR133</f>
        <v/>
      </c>
      <c r="JT133" s="389">
        <f>JS133/JR133</f>
        <v/>
      </c>
      <c r="JU133" s="182" t="n"/>
      <c r="JV133" s="182" t="n"/>
      <c r="JW133" s="383" t="n"/>
      <c r="JX133" s="365">
        <f>C133</f>
        <v/>
      </c>
      <c r="JY133" s="365" t="n">
        <v>1170948.8</v>
      </c>
      <c r="JZ133" s="365">
        <f>JY134</f>
        <v/>
      </c>
      <c r="KA133" s="390">
        <f>JY133-JZ133</f>
        <v/>
      </c>
      <c r="KB133" s="391">
        <f>KA133/JZ133</f>
        <v/>
      </c>
      <c r="KC133" s="182" t="n"/>
      <c r="KD133" s="182" t="n"/>
      <c r="KE133" s="383" t="n"/>
      <c r="KF133" s="365">
        <f>C133</f>
        <v/>
      </c>
      <c r="KG133" s="365" t="n">
        <v>728155.9219</v>
      </c>
      <c r="KH133" s="365">
        <f>KG134</f>
        <v/>
      </c>
      <c r="KI133" s="384">
        <f>KG133-KH133</f>
        <v/>
      </c>
      <c r="KJ133" s="383">
        <f>KI133/KH133</f>
        <v/>
      </c>
      <c r="KK133" s="366" t="n"/>
      <c r="KL133" s="366" t="n"/>
      <c r="KM133" s="364" t="n"/>
      <c r="KN133" s="365">
        <f>C133</f>
        <v/>
      </c>
      <c r="KO133" s="365" t="n">
        <v>8328775.95</v>
      </c>
      <c r="KP133" s="365">
        <f>KO134</f>
        <v/>
      </c>
      <c r="KQ133" s="390">
        <f>KO133-KP133</f>
        <v/>
      </c>
      <c r="KR133" s="391">
        <f>KQ133/KP133</f>
        <v/>
      </c>
      <c r="KS133" s="182" t="n"/>
      <c r="KT133" s="182" t="n"/>
      <c r="KV133" s="9">
        <f>C133</f>
        <v/>
      </c>
      <c r="KW133" s="365" t="n">
        <v>1037872.9726</v>
      </c>
      <c r="KX133" s="9">
        <f>KW134</f>
        <v/>
      </c>
      <c r="KY133" s="325">
        <f>KW133-KX133</f>
        <v/>
      </c>
      <c r="KZ133" s="326">
        <f>KY133/KX133</f>
        <v/>
      </c>
      <c r="LA133" s="366" t="n"/>
      <c r="LB133" s="182" t="n"/>
      <c r="LC133" s="364" t="n"/>
      <c r="LD133" s="365">
        <f>C133</f>
        <v/>
      </c>
      <c r="LE133" s="365" t="n">
        <v>469957.7</v>
      </c>
      <c r="LF133" s="365">
        <f>LE134</f>
        <v/>
      </c>
      <c r="LG133" s="390">
        <f>LE133-LF133</f>
        <v/>
      </c>
      <c r="LH133" s="391">
        <f>LG133/LF133</f>
        <v/>
      </c>
      <c r="LI133" s="182" t="n"/>
      <c r="LJ133" s="182" t="n"/>
      <c r="LK133" s="364" t="n"/>
      <c r="LL133" s="365">
        <f>C133</f>
        <v/>
      </c>
      <c r="LM133" s="694" t="n">
        <v>3504355.02</v>
      </c>
      <c r="LN133" s="365">
        <f>LM134</f>
        <v/>
      </c>
      <c r="LO133" s="388">
        <f>LM133-LN133</f>
        <v/>
      </c>
      <c r="LP133" s="389">
        <f>LO133/LN133</f>
        <v/>
      </c>
      <c r="LQ133" s="182" t="n"/>
      <c r="LR133" s="182" t="n"/>
      <c r="LS133" s="364" t="n"/>
      <c r="LT133" s="365">
        <f>C133</f>
        <v/>
      </c>
      <c r="LU133" s="365" t="n">
        <v>2472262.904</v>
      </c>
      <c r="LV133" s="365">
        <f>LU134</f>
        <v/>
      </c>
      <c r="LW133" s="388">
        <f>LU133-LV133</f>
        <v/>
      </c>
      <c r="LX133" s="389">
        <f>LW133/LV133</f>
        <v/>
      </c>
      <c r="LY133" s="182" t="n"/>
      <c r="LZ133" s="182" t="n"/>
      <c r="MA133" s="364" t="n"/>
      <c r="MB133" s="365">
        <f>C133</f>
        <v/>
      </c>
      <c r="MC133" s="365" t="n">
        <v>861217.6899999999</v>
      </c>
      <c r="MD133" s="365">
        <f>MC134</f>
        <v/>
      </c>
      <c r="ME133" s="388">
        <f>MC133-MD133</f>
        <v/>
      </c>
      <c r="MF133" s="389">
        <f>ME133/MD133</f>
        <v/>
      </c>
      <c r="MG133" s="182" t="n"/>
      <c r="MH133" s="182" t="n"/>
      <c r="MI133" s="364" t="n"/>
      <c r="MJ133" s="364" t="n"/>
      <c r="MK133" s="365">
        <f>C133</f>
        <v/>
      </c>
      <c r="ML133" s="364" t="n">
        <v>220785.5354</v>
      </c>
      <c r="MM133" s="187">
        <f>ML134</f>
        <v/>
      </c>
      <c r="MN133" s="364">
        <f>ML133-MM133</f>
        <v/>
      </c>
      <c r="MO133" s="366">
        <f>MN133/MM133</f>
        <v/>
      </c>
      <c r="MP133" s="366" t="n"/>
      <c r="MQ133" s="366" t="n"/>
      <c r="MR133" s="366" t="n"/>
      <c r="MS133" s="366" t="n"/>
      <c r="MT133" s="25">
        <f>C133</f>
        <v/>
      </c>
      <c r="MU133" s="0" t="n">
        <v>189114.8</v>
      </c>
      <c r="MV133" s="0">
        <f>MU134</f>
        <v/>
      </c>
      <c r="MW133" s="0">
        <f>MU133-MV133</f>
        <v/>
      </c>
      <c r="MX133" s="182">
        <f>MW133/MV133</f>
        <v/>
      </c>
      <c r="MY133" s="182" t="n"/>
      <c r="MZ133" s="182" t="n"/>
      <c r="NA133" s="182" t="n"/>
      <c r="NB133" s="182" t="n"/>
      <c r="NC133" s="9">
        <f>C133</f>
        <v/>
      </c>
      <c r="ND133" s="0" t="n">
        <v>42091.48</v>
      </c>
      <c r="NE133" s="0">
        <f>ND134</f>
        <v/>
      </c>
      <c r="NF133" s="0">
        <f>ND133-NE133</f>
        <v/>
      </c>
      <c r="NG133" s="182">
        <f>NF133/NE133</f>
        <v/>
      </c>
      <c r="NH133" s="182" t="n"/>
      <c r="NI133" s="182" t="n"/>
      <c r="NJ133" s="182" t="n"/>
      <c r="NK133" s="182" t="n"/>
      <c r="NL133" s="9" t="n"/>
      <c r="NM133" s="9">
        <f>C133</f>
        <v/>
      </c>
      <c r="NN133" s="0" t="n">
        <v>2597611.08</v>
      </c>
      <c r="NO133" s="0">
        <f>NN134</f>
        <v/>
      </c>
      <c r="NP133" s="0">
        <f>NN133-NO133</f>
        <v/>
      </c>
      <c r="NQ133" s="182">
        <f>NP133/NO133</f>
        <v/>
      </c>
      <c r="NR133" s="182" t="n"/>
      <c r="NS133" s="9" t="n"/>
      <c r="NU133" s="9">
        <f>C133</f>
        <v/>
      </c>
      <c r="NV133" s="364" t="n">
        <v>262526.5</v>
      </c>
      <c r="NW133" s="364">
        <f>NV134</f>
        <v/>
      </c>
      <c r="NX133" s="364">
        <f>NV133-NW133</f>
        <v/>
      </c>
      <c r="NY133" s="366">
        <f>NX133/NW133</f>
        <v/>
      </c>
      <c r="NZ133" s="366" t="n"/>
      <c r="OA133" s="364" t="n"/>
      <c r="OB133" s="364" t="n"/>
      <c r="OC133" s="365">
        <f>C133</f>
        <v/>
      </c>
      <c r="OD133" s="365" t="n">
        <v>14630.97</v>
      </c>
      <c r="OE133" s="365">
        <f>OD134</f>
        <v/>
      </c>
      <c r="OF133" s="390">
        <f>OD133-OE133</f>
        <v/>
      </c>
      <c r="OG133" s="391">
        <f>OF133/OE133</f>
        <v/>
      </c>
      <c r="OH133" s="182" t="n"/>
      <c r="OI133" s="182" t="n"/>
      <c r="OJ133" s="364" t="n"/>
      <c r="OK133" s="365">
        <f>C133</f>
        <v/>
      </c>
      <c r="OL133" s="0" t="n">
        <v>14042.65</v>
      </c>
      <c r="OM133" s="0">
        <f>OL134</f>
        <v/>
      </c>
      <c r="ON133" s="0">
        <f>OL133-OM133</f>
        <v/>
      </c>
      <c r="OO133" s="182">
        <f>ON133/OM133</f>
        <v/>
      </c>
      <c r="OP133" s="182" t="n"/>
      <c r="OQ133" s="182" t="n"/>
      <c r="OT133" s="25">
        <f>OK133</f>
        <v/>
      </c>
      <c r="OU133" s="199" t="n">
        <v>146472.4066</v>
      </c>
      <c r="OV133" s="9">
        <f>OU134</f>
        <v/>
      </c>
      <c r="OW133" s="671">
        <f>OU133-OV133</f>
        <v/>
      </c>
      <c r="OX133" s="182">
        <f>OW133/OV133</f>
        <v/>
      </c>
    </row>
    <row r="134" ht="17" customFormat="1" customHeight="1" s="9">
      <c r="A134" s="631" t="n"/>
      <c r="B134" s="631" t="n"/>
      <c r="C134" s="693" t="inlineStr">
        <is>
          <t>2026//5/6</t>
        </is>
      </c>
      <c r="D134" s="362" t="n">
        <v>3793278.77</v>
      </c>
      <c r="E134" s="362">
        <f>D135</f>
        <v/>
      </c>
      <c r="F134" s="432">
        <f>D134-E134</f>
        <v/>
      </c>
      <c r="G134" s="433">
        <f>F134/E134</f>
        <v/>
      </c>
      <c r="H134" s="19" t="n"/>
      <c r="I134" s="426" t="n"/>
      <c r="J134" s="426" t="n"/>
      <c r="K134" s="362">
        <f>C134</f>
        <v/>
      </c>
      <c r="L134" s="362" t="n">
        <v>2919844.4</v>
      </c>
      <c r="M134" s="362">
        <f>L135</f>
        <v/>
      </c>
      <c r="N134" s="377">
        <f>L134-M134</f>
        <v/>
      </c>
      <c r="O134" s="378">
        <f>N134/M134</f>
        <v/>
      </c>
      <c r="P134" s="19" t="n"/>
      <c r="Q134" s="426" t="n"/>
      <c r="R134" s="427" t="n"/>
      <c r="S134" s="362">
        <f>C134</f>
        <v/>
      </c>
      <c r="T134" s="362" t="n">
        <v>1632756.68</v>
      </c>
      <c r="U134" s="362">
        <f>T135</f>
        <v/>
      </c>
      <c r="V134" s="377">
        <f>T134-U134</f>
        <v/>
      </c>
      <c r="W134" s="378">
        <f>V134/U134</f>
        <v/>
      </c>
      <c r="X134" s="19" t="n"/>
      <c r="Y134" s="426" t="n"/>
      <c r="Z134" s="427" t="n"/>
      <c r="AA134" s="362">
        <f>S134</f>
        <v/>
      </c>
      <c r="AB134" s="362" t="n">
        <v>756736.86</v>
      </c>
      <c r="AC134" s="362">
        <f>AB135</f>
        <v/>
      </c>
      <c r="AD134" s="432">
        <f>AB134-AC134</f>
        <v/>
      </c>
      <c r="AE134" s="433">
        <f>AD134/AC134</f>
        <v/>
      </c>
      <c r="AF134" s="19" t="n"/>
      <c r="AG134" s="426" t="n"/>
      <c r="AH134" s="427" t="n"/>
      <c r="AI134" s="362">
        <f>C134</f>
        <v/>
      </c>
      <c r="AJ134" s="362" t="n">
        <v>474721.76</v>
      </c>
      <c r="AK134" s="362">
        <f>AJ135</f>
        <v/>
      </c>
      <c r="AL134" s="377">
        <f>AJ134-AK134</f>
        <v/>
      </c>
      <c r="AM134" s="378">
        <f>AL134/AK134</f>
        <v/>
      </c>
      <c r="AN134" s="19" t="n"/>
      <c r="AO134" s="19" t="n"/>
      <c r="AP134" s="427" t="n"/>
      <c r="AQ134" s="362">
        <f>C134</f>
        <v/>
      </c>
      <c r="AR134" s="697" t="n">
        <v>1214345.4936</v>
      </c>
      <c r="AS134" s="362">
        <f>AR135</f>
        <v/>
      </c>
      <c r="AT134" s="432">
        <f>AR134-AS134</f>
        <v/>
      </c>
      <c r="AU134" s="433">
        <f>AT134/AS134</f>
        <v/>
      </c>
      <c r="AV134" s="19" t="n"/>
      <c r="AW134" s="19" t="n"/>
      <c r="AX134" s="5" t="n"/>
      <c r="AY134" s="5" t="n"/>
      <c r="AZ134" s="5">
        <f>C134</f>
        <v/>
      </c>
      <c r="BA134" s="5" t="n">
        <v>1753221.6676</v>
      </c>
      <c r="BB134" s="5">
        <f>BA135</f>
        <v/>
      </c>
      <c r="BC134" s="5">
        <f>BA134-BB134</f>
        <v/>
      </c>
      <c r="BD134" s="19">
        <f>BC134/BB134</f>
        <v/>
      </c>
      <c r="BE134" s="19" t="n"/>
      <c r="BF134" s="19" t="n"/>
      <c r="BG134" s="647" t="n"/>
      <c r="BH134" s="363">
        <f>C134</f>
        <v/>
      </c>
      <c r="BI134" s="363" t="n">
        <v>1677526.5525</v>
      </c>
      <c r="BJ134" s="363">
        <f>BI135</f>
        <v/>
      </c>
      <c r="BK134" s="395">
        <f>BI134-BJ134</f>
        <v/>
      </c>
      <c r="BL134" s="396">
        <f>BK134/BJ134</f>
        <v/>
      </c>
      <c r="BM134" s="191" t="n"/>
      <c r="BN134" s="182" t="n"/>
      <c r="BO134" s="364" t="n"/>
      <c r="BP134" s="365">
        <f>C134</f>
        <v/>
      </c>
      <c r="BQ134" s="694" t="n">
        <v>1114962.3921</v>
      </c>
      <c r="BR134" s="365">
        <f>BQ135</f>
        <v/>
      </c>
      <c r="BS134" s="390">
        <f>BQ134-BR134</f>
        <v/>
      </c>
      <c r="BT134" s="391">
        <f>BS134/BR134</f>
        <v/>
      </c>
      <c r="BU134" s="182" t="n"/>
      <c r="BV134" s="182" t="n"/>
      <c r="BW134" s="364" t="n"/>
      <c r="BX134" s="365">
        <f>C134</f>
        <v/>
      </c>
      <c r="BY134" s="365" t="n">
        <v>3022210.7019</v>
      </c>
      <c r="BZ134" s="365">
        <f>BY135</f>
        <v/>
      </c>
      <c r="CA134" s="390">
        <f>BY134-BZ134</f>
        <v/>
      </c>
      <c r="CB134" s="391">
        <f>CA134/BZ134</f>
        <v/>
      </c>
      <c r="CC134" s="182" t="n"/>
      <c r="CD134" s="383" t="n"/>
      <c r="CE134" s="486" t="n"/>
      <c r="CF134" s="384">
        <f>C134</f>
        <v/>
      </c>
      <c r="CG134" s="185" t="n">
        <v>1320653.9</v>
      </c>
      <c r="CH134" s="185">
        <f>CG135</f>
        <v/>
      </c>
      <c r="CI134" s="13">
        <f>CG134-CH134</f>
        <v/>
      </c>
      <c r="CJ134" s="193">
        <f>CI134/CH134</f>
        <v/>
      </c>
      <c r="CK134" s="182" t="n"/>
      <c r="CL134" s="366" t="n"/>
      <c r="CM134" s="364" t="n"/>
      <c r="CN134" s="365">
        <f>C134</f>
        <v/>
      </c>
      <c r="CO134" s="365" t="n">
        <v>631946.48</v>
      </c>
      <c r="CP134" s="365">
        <f>CO135</f>
        <v/>
      </c>
      <c r="CQ134" s="13">
        <f>CO134-CP134</f>
        <v/>
      </c>
      <c r="CR134" s="193">
        <f>CQ134/CP134</f>
        <v/>
      </c>
      <c r="CS134" s="366" t="n"/>
      <c r="CT134" s="366" t="n"/>
      <c r="CU134" s="364" t="n"/>
      <c r="CV134" s="365">
        <f>C134</f>
        <v/>
      </c>
      <c r="CW134" s="365" t="n">
        <v>555940.4</v>
      </c>
      <c r="CX134" s="365">
        <f>CW135</f>
        <v/>
      </c>
      <c r="CY134" s="390">
        <f>CW134-CX134</f>
        <v/>
      </c>
      <c r="CZ134" s="391">
        <f>CY134/CX134</f>
        <v/>
      </c>
      <c r="DA134" s="182" t="n"/>
      <c r="DB134" s="182" t="n"/>
      <c r="DC134" s="256" t="n"/>
      <c r="DD134" s="365">
        <f>C134</f>
        <v/>
      </c>
      <c r="DE134" s="365" t="n">
        <v>2190717.9986</v>
      </c>
      <c r="DF134" s="13">
        <f>DE135</f>
        <v/>
      </c>
      <c r="DG134" s="388">
        <f>DE134-DF134</f>
        <v/>
      </c>
      <c r="DH134" s="389">
        <f>DG134/DF134</f>
        <v/>
      </c>
      <c r="DI134" s="182" t="n"/>
      <c r="DJ134" s="182" t="n"/>
      <c r="DK134" s="364" t="n"/>
      <c r="DL134" s="365">
        <f>C134</f>
        <v/>
      </c>
      <c r="DM134" s="365" t="n">
        <v>1043900.36</v>
      </c>
      <c r="DN134" s="365">
        <f>DM135</f>
        <v/>
      </c>
      <c r="DO134" s="390">
        <f>DM134-DN134</f>
        <v/>
      </c>
      <c r="DP134" s="391">
        <f>DO134/DN134</f>
        <v/>
      </c>
      <c r="DQ134" s="182" t="n"/>
      <c r="DR134" s="182" t="n"/>
      <c r="DS134" s="364" t="n"/>
      <c r="DT134" s="365">
        <f>C134</f>
        <v/>
      </c>
      <c r="DU134" s="365" t="n">
        <v>1392689.48</v>
      </c>
      <c r="DV134" s="365">
        <f>DU135</f>
        <v/>
      </c>
      <c r="DW134" s="390">
        <f>DU134-DV134</f>
        <v/>
      </c>
      <c r="DX134" s="391">
        <f>DW134/DV134</f>
        <v/>
      </c>
      <c r="DY134" s="182" t="n"/>
      <c r="DZ134" s="182" t="n"/>
      <c r="EA134" s="364" t="n"/>
      <c r="EB134" s="365">
        <f>C134</f>
        <v/>
      </c>
      <c r="EC134" s="365" t="n">
        <v>4025666.82</v>
      </c>
      <c r="ED134" s="365">
        <f>EC135</f>
        <v/>
      </c>
      <c r="EE134" s="390">
        <f>EC134-ED134</f>
        <v/>
      </c>
      <c r="EF134" s="391">
        <f>EE134/ED134</f>
        <v/>
      </c>
      <c r="EG134" s="182" t="n"/>
      <c r="EH134" s="182" t="n"/>
      <c r="EI134" s="364" t="n"/>
      <c r="EJ134" s="365">
        <f>C134</f>
        <v/>
      </c>
      <c r="EK134" s="365" t="n">
        <v>1298122.9669</v>
      </c>
      <c r="EL134" s="365">
        <f>EK135</f>
        <v/>
      </c>
      <c r="EM134" s="390">
        <f>EK134-EL134</f>
        <v/>
      </c>
      <c r="EN134" s="391">
        <f>EM134/EL134</f>
        <v/>
      </c>
      <c r="EO134" s="182" t="n"/>
      <c r="EP134" s="182" t="n"/>
      <c r="EQ134" s="182" t="n"/>
      <c r="ER134" s="9">
        <f>C134</f>
        <v/>
      </c>
      <c r="ES134" s="182" t="n">
        <v>426347.02</v>
      </c>
      <c r="ET134" s="182">
        <f>ES135</f>
        <v/>
      </c>
      <c r="EU134" s="182">
        <f>ES134-ET134</f>
        <v/>
      </c>
      <c r="EV134" s="182">
        <f>EU134/ET134</f>
        <v/>
      </c>
      <c r="EW134" s="182" t="n"/>
      <c r="EX134" s="182" t="n"/>
      <c r="EY134" s="364" t="n"/>
      <c r="EZ134" s="365">
        <f>C134</f>
        <v/>
      </c>
      <c r="FA134" s="365" t="n">
        <v>705808</v>
      </c>
      <c r="FB134" s="365">
        <f>FA135</f>
        <v/>
      </c>
      <c r="FC134" s="390">
        <f>FA134-FB134</f>
        <v/>
      </c>
      <c r="FD134" s="391">
        <f>FC134/FB134</f>
        <v/>
      </c>
      <c r="FE134" s="182" t="n"/>
      <c r="FF134" s="182" t="n"/>
      <c r="FG134" s="182" t="n"/>
      <c r="FH134" s="384">
        <f>C134</f>
        <v/>
      </c>
      <c r="FI134" s="707" t="n">
        <v>1284195.3365</v>
      </c>
      <c r="FJ134" s="365">
        <f>FI135</f>
        <v/>
      </c>
      <c r="FK134" s="323">
        <f>FI134-FJ134</f>
        <v/>
      </c>
      <c r="FL134" s="324">
        <f>FK134/FJ134</f>
        <v/>
      </c>
      <c r="FM134" s="182" t="n"/>
      <c r="FN134" s="182" t="n"/>
      <c r="FO134" s="364" t="n"/>
      <c r="FP134" s="365">
        <f>C134</f>
        <v/>
      </c>
      <c r="FQ134" s="365" t="n">
        <v>2021068.73</v>
      </c>
      <c r="FR134" s="365">
        <f>FQ135</f>
        <v/>
      </c>
      <c r="FS134" s="388">
        <f>FQ134-FR134</f>
        <v/>
      </c>
      <c r="FT134" s="389">
        <f>FS134/FR134</f>
        <v/>
      </c>
      <c r="FU134" s="182" t="n"/>
      <c r="FV134" s="182" t="n"/>
      <c r="FW134" s="364" t="n"/>
      <c r="FX134" s="365">
        <f>C134</f>
        <v/>
      </c>
      <c r="FY134" s="365" t="n">
        <v>8140782.05</v>
      </c>
      <c r="FZ134" s="365">
        <f>FY135</f>
        <v/>
      </c>
      <c r="GA134" s="388">
        <f>FY134-FZ134</f>
        <v/>
      </c>
      <c r="GB134" s="383">
        <f>GA134/FZ134</f>
        <v/>
      </c>
      <c r="GC134" s="182" t="n"/>
      <c r="GD134" s="182" t="n"/>
      <c r="GE134" s="364" t="n"/>
      <c r="GF134" s="365">
        <f>C134</f>
        <v/>
      </c>
      <c r="GG134" s="365" t="n">
        <v>4659369.49</v>
      </c>
      <c r="GH134" s="365">
        <f>GG135</f>
        <v/>
      </c>
      <c r="GI134" s="390">
        <f>GG134-GH134</f>
        <v/>
      </c>
      <c r="GJ134" s="391">
        <f>GI134/GH134</f>
        <v/>
      </c>
      <c r="GK134" s="182" t="n"/>
      <c r="GL134" s="182" t="n"/>
      <c r="GM134" s="364" t="n"/>
      <c r="GN134" s="365">
        <f>C134</f>
        <v/>
      </c>
      <c r="GO134" s="365" t="n">
        <v>1834678.1217</v>
      </c>
      <c r="GP134" s="365">
        <f>GO135</f>
        <v/>
      </c>
      <c r="GQ134" s="390">
        <f>GO134-GP134</f>
        <v/>
      </c>
      <c r="GR134" s="391">
        <f>GQ134/GP134</f>
        <v/>
      </c>
      <c r="GS134" s="182" t="n"/>
      <c r="GT134" s="182" t="n"/>
      <c r="GU134" s="364" t="n"/>
      <c r="GV134" s="365">
        <f>C134</f>
        <v/>
      </c>
      <c r="GW134" s="365" t="n">
        <v>904549.4</v>
      </c>
      <c r="GX134" s="365">
        <f>GW135</f>
        <v/>
      </c>
      <c r="GY134" s="388">
        <f>GW134-GX134</f>
        <v/>
      </c>
      <c r="GZ134" s="389">
        <f>GY134/GX134</f>
        <v/>
      </c>
      <c r="HA134" s="182" t="n"/>
      <c r="HB134" s="182" t="n"/>
      <c r="HC134" s="364" t="n"/>
      <c r="HD134" s="365">
        <f>C134</f>
        <v/>
      </c>
      <c r="HE134" s="365" t="n">
        <v>1332364.6746</v>
      </c>
      <c r="HF134" s="365">
        <f>HE135</f>
        <v/>
      </c>
      <c r="HG134" s="390">
        <f>HE134-HF134</f>
        <v/>
      </c>
      <c r="HH134" s="391">
        <f>HG134/HF134</f>
        <v/>
      </c>
      <c r="HI134" s="366" t="n"/>
      <c r="HJ134" s="182" t="n"/>
      <c r="HK134" s="364" t="n"/>
      <c r="HL134" s="365">
        <f>C134</f>
        <v/>
      </c>
      <c r="HM134" s="365" t="n">
        <v>138904.25</v>
      </c>
      <c r="HN134" s="365">
        <f>HM135</f>
        <v/>
      </c>
      <c r="HO134" s="388">
        <f>HM134-HN134</f>
        <v/>
      </c>
      <c r="HP134" s="389">
        <f>HO134/HN134</f>
        <v/>
      </c>
      <c r="HQ134" s="182" t="n"/>
      <c r="HR134" s="182" t="n"/>
      <c r="HS134" s="364" t="n"/>
      <c r="HT134" s="365">
        <f>C134</f>
        <v/>
      </c>
      <c r="HU134" s="365" t="n">
        <v>192868.8265</v>
      </c>
      <c r="HV134" s="365">
        <f>HU135</f>
        <v/>
      </c>
      <c r="HW134" s="390">
        <f>HU134-HV134</f>
        <v/>
      </c>
      <c r="HX134" s="391">
        <f>HW134/HV134</f>
        <v/>
      </c>
      <c r="HY134" s="182" t="n"/>
      <c r="HZ134" s="182" t="n"/>
      <c r="IA134" s="364" t="n"/>
      <c r="IB134" s="365">
        <f>C134</f>
        <v/>
      </c>
      <c r="IC134" s="0" t="n">
        <v>357009.79</v>
      </c>
      <c r="ID134" s="0">
        <f>IC135</f>
        <v/>
      </c>
      <c r="IE134" s="365">
        <f>IC134-ID134</f>
        <v/>
      </c>
      <c r="IF134" s="366">
        <f>IE134/ID134</f>
        <v/>
      </c>
      <c r="IG134" s="182" t="n"/>
      <c r="IH134" s="182" t="n"/>
      <c r="II134" s="364" t="n"/>
      <c r="IJ134" s="365">
        <f>C134</f>
        <v/>
      </c>
      <c r="IK134" s="365" t="n">
        <v>640796.29</v>
      </c>
      <c r="IL134" s="365">
        <f>IK135</f>
        <v/>
      </c>
      <c r="IM134" s="388">
        <f>IK134-IL134</f>
        <v/>
      </c>
      <c r="IN134" s="389">
        <f>IM134/IL134</f>
        <v/>
      </c>
      <c r="IO134" s="182" t="n"/>
      <c r="IP134" s="182" t="n"/>
      <c r="IQ134" s="364" t="n"/>
      <c r="IR134" s="365">
        <f>C134</f>
        <v/>
      </c>
      <c r="IS134" s="365" t="n">
        <v>138989</v>
      </c>
      <c r="IT134" s="365">
        <f>IS135</f>
        <v/>
      </c>
      <c r="IU134" s="390">
        <f>IS134-IT134</f>
        <v/>
      </c>
      <c r="IV134" s="391">
        <f>IU134/IT134</f>
        <v/>
      </c>
      <c r="IW134" s="182" t="n"/>
      <c r="IX134" s="182" t="n"/>
      <c r="IY134" s="364" t="n"/>
      <c r="IZ134" s="365">
        <f>C134</f>
        <v/>
      </c>
      <c r="JA134" s="365" t="n">
        <v>5026929.15</v>
      </c>
      <c r="JB134" s="365">
        <f>JA135</f>
        <v/>
      </c>
      <c r="JC134" s="390">
        <f>JA134-JB134</f>
        <v/>
      </c>
      <c r="JD134" s="391">
        <f>JC134/JB134</f>
        <v/>
      </c>
      <c r="JE134" s="182" t="n"/>
      <c r="JF134" s="182" t="n"/>
      <c r="JG134" s="364" t="n"/>
      <c r="JH134" s="365">
        <f>C134</f>
        <v/>
      </c>
      <c r="JI134" s="365" t="n">
        <v>1320027.99</v>
      </c>
      <c r="JJ134" s="365">
        <f>JI135</f>
        <v/>
      </c>
      <c r="JK134" s="388">
        <f>JI134-JJ134</f>
        <v/>
      </c>
      <c r="JL134" s="389">
        <f>JK134/JJ134</f>
        <v/>
      </c>
      <c r="JM134" s="182" t="n"/>
      <c r="JN134" s="182" t="n"/>
      <c r="JO134" s="182" t="n"/>
      <c r="JP134" s="365">
        <f>C134</f>
        <v/>
      </c>
      <c r="JQ134" s="365" t="n">
        <v>1052190.4148</v>
      </c>
      <c r="JR134" s="365">
        <f>JQ135</f>
        <v/>
      </c>
      <c r="JS134" s="388">
        <f>JQ134-JR134</f>
        <v/>
      </c>
      <c r="JT134" s="389">
        <f>JS134/JR134</f>
        <v/>
      </c>
      <c r="JU134" s="182" t="n"/>
      <c r="JV134" s="182" t="n"/>
      <c r="JW134" s="383" t="n"/>
      <c r="JX134" s="365">
        <f>C134</f>
        <v/>
      </c>
      <c r="JY134" s="365" t="n">
        <v>1170948.8</v>
      </c>
      <c r="JZ134" s="365">
        <f>JY135</f>
        <v/>
      </c>
      <c r="KA134" s="390">
        <f>JY134-JZ134</f>
        <v/>
      </c>
      <c r="KB134" s="383">
        <f>KA134/JZ134</f>
        <v/>
      </c>
      <c r="KC134" s="182" t="n"/>
      <c r="KD134" s="182" t="n"/>
      <c r="KE134" s="383" t="n"/>
      <c r="KF134" s="365">
        <f>C134</f>
        <v/>
      </c>
      <c r="KG134" s="365" t="n">
        <v>728155.9219</v>
      </c>
      <c r="KH134" s="365">
        <f>KG135</f>
        <v/>
      </c>
      <c r="KI134" s="388">
        <f>KG134-KH134</f>
        <v/>
      </c>
      <c r="KJ134" s="389">
        <f>KI134/KH134</f>
        <v/>
      </c>
      <c r="KK134" s="366" t="n"/>
      <c r="KL134" s="366" t="n"/>
      <c r="KM134" s="364" t="n"/>
      <c r="KN134" s="365">
        <f>C134</f>
        <v/>
      </c>
      <c r="KO134" s="365" t="n">
        <v>8328775.95</v>
      </c>
      <c r="KP134" s="365">
        <f>KO135</f>
        <v/>
      </c>
      <c r="KQ134" s="390">
        <f>KO134-KP134</f>
        <v/>
      </c>
      <c r="KR134" s="391">
        <f>KQ134/KP134</f>
        <v/>
      </c>
      <c r="KS134" s="182" t="n"/>
      <c r="KT134" s="182" t="n"/>
      <c r="KV134" s="9">
        <f>C134</f>
        <v/>
      </c>
      <c r="KW134" s="24" t="n">
        <v>1037772.9726</v>
      </c>
      <c r="KX134" s="24">
        <f>KW135</f>
        <v/>
      </c>
      <c r="KY134" s="24">
        <f>KW134-KX134</f>
        <v/>
      </c>
      <c r="KZ134" s="182">
        <f>KY134/KX134</f>
        <v/>
      </c>
      <c r="LA134" s="182" t="n"/>
      <c r="LB134" s="182" t="n"/>
      <c r="LC134" s="364" t="n"/>
      <c r="LD134" s="365">
        <f>C134</f>
        <v/>
      </c>
      <c r="LE134" s="365" t="n">
        <v>472807.7</v>
      </c>
      <c r="LF134" s="365">
        <f>LE135</f>
        <v/>
      </c>
      <c r="LG134" s="390">
        <f>LE134-LF134</f>
        <v/>
      </c>
      <c r="LH134" s="391">
        <f>LG134/LF134</f>
        <v/>
      </c>
      <c r="LI134" s="182" t="n"/>
      <c r="LJ134" s="182" t="n"/>
      <c r="LK134" s="364" t="n"/>
      <c r="LL134" s="365">
        <f>C134</f>
        <v/>
      </c>
      <c r="LM134" s="694" t="n">
        <v>3523255.02</v>
      </c>
      <c r="LN134" s="365">
        <f>LM135</f>
        <v/>
      </c>
      <c r="LO134" s="390">
        <f>LM134-LN134</f>
        <v/>
      </c>
      <c r="LP134" s="391">
        <f>LO134/LN134</f>
        <v/>
      </c>
      <c r="LQ134" s="182" t="n"/>
      <c r="LR134" s="182" t="n"/>
      <c r="LS134" s="364" t="n"/>
      <c r="LT134" s="365">
        <f>C134</f>
        <v/>
      </c>
      <c r="LU134" s="365" t="n">
        <v>2475062.904</v>
      </c>
      <c r="LV134" s="365">
        <f>LU135</f>
        <v/>
      </c>
      <c r="LW134" s="388">
        <f>LU134-LV134</f>
        <v/>
      </c>
      <c r="LX134" s="389">
        <f>LW134/LV134</f>
        <v/>
      </c>
      <c r="LY134" s="182" t="n"/>
      <c r="LZ134" s="182" t="n"/>
      <c r="MA134" s="364" t="n"/>
      <c r="MB134" s="365">
        <f>C134</f>
        <v/>
      </c>
      <c r="MC134" s="365" t="n">
        <v>861767.6899999999</v>
      </c>
      <c r="MD134" s="365">
        <f>MC135</f>
        <v/>
      </c>
      <c r="ME134" s="388">
        <f>MC134-MD134</f>
        <v/>
      </c>
      <c r="MF134" s="389">
        <f>ME134/MD134</f>
        <v/>
      </c>
      <c r="MG134" s="182" t="n"/>
      <c r="MH134" s="182" t="n"/>
      <c r="MI134" s="364" t="n"/>
      <c r="MJ134" s="364" t="n"/>
      <c r="MK134" s="365">
        <f>C134</f>
        <v/>
      </c>
      <c r="ML134" s="364" t="n">
        <v>219105.5354</v>
      </c>
      <c r="MM134" s="187">
        <f>ML135</f>
        <v/>
      </c>
      <c r="MN134" s="364">
        <f>ML134-MM134</f>
        <v/>
      </c>
      <c r="MO134" s="366">
        <f>MN134/MM134</f>
        <v/>
      </c>
      <c r="MP134" s="366" t="n"/>
      <c r="MQ134" s="366" t="n"/>
      <c r="MR134" s="366" t="n"/>
      <c r="MS134" s="366" t="n"/>
      <c r="MT134" s="25">
        <f>C134</f>
        <v/>
      </c>
      <c r="MU134" s="0" t="n">
        <v>195814.8</v>
      </c>
      <c r="MV134" s="0">
        <f>MU135</f>
        <v/>
      </c>
      <c r="MW134" s="0">
        <f>MU134-MV134</f>
        <v/>
      </c>
      <c r="MX134" s="182">
        <f>MW134/MV134</f>
        <v/>
      </c>
      <c r="MY134" s="182" t="n"/>
      <c r="MZ134" s="182" t="n"/>
      <c r="NA134" s="182" t="n"/>
      <c r="NB134" s="182" t="n"/>
      <c r="NC134" s="9">
        <f>C134</f>
        <v/>
      </c>
      <c r="ND134" s="0" t="n">
        <v>41491.48</v>
      </c>
      <c r="NE134" s="0">
        <f>ND135</f>
        <v/>
      </c>
      <c r="NF134" s="0">
        <f>ND134-NE134</f>
        <v/>
      </c>
      <c r="NG134" s="182">
        <f>NF134/NE134</f>
        <v/>
      </c>
      <c r="NH134" s="182" t="n"/>
      <c r="NI134" s="182" t="n"/>
      <c r="NJ134" s="182" t="n"/>
      <c r="NK134" s="182" t="n"/>
      <c r="NL134" s="9" t="n"/>
      <c r="NM134" s="9">
        <f>C134</f>
        <v/>
      </c>
      <c r="NN134" s="0" t="n">
        <v>2572111.08</v>
      </c>
      <c r="NO134" s="0">
        <f>NN135</f>
        <v/>
      </c>
      <c r="NP134" s="0">
        <f>NN134-NO134</f>
        <v/>
      </c>
      <c r="NQ134" s="182">
        <f>NP134/NO134</f>
        <v/>
      </c>
      <c r="NR134" s="182" t="n"/>
      <c r="NS134" s="9" t="n"/>
      <c r="NU134" s="9">
        <f>C134</f>
        <v/>
      </c>
      <c r="NV134" s="364" t="n">
        <v>262776.5</v>
      </c>
      <c r="NW134" s="364">
        <f>NV135</f>
        <v/>
      </c>
      <c r="NX134" s="364">
        <f>NV134-NW134</f>
        <v/>
      </c>
      <c r="NY134" s="366">
        <f>NX134/NW134</f>
        <v/>
      </c>
      <c r="NZ134" s="366" t="n"/>
      <c r="OA134" s="364" t="n"/>
      <c r="OB134" s="364" t="n"/>
      <c r="OC134" s="365">
        <f>C134</f>
        <v/>
      </c>
      <c r="OD134" s="365" t="n">
        <v>14607.97</v>
      </c>
      <c r="OE134" s="365">
        <f>OD135</f>
        <v/>
      </c>
      <c r="OF134" s="390">
        <f>OD134-OE134</f>
        <v/>
      </c>
      <c r="OG134" s="391">
        <f>OF134/OE134</f>
        <v/>
      </c>
      <c r="OH134" s="182" t="n"/>
      <c r="OI134" s="182" t="n"/>
      <c r="OJ134" s="364" t="n"/>
      <c r="OK134" s="365">
        <f>C134</f>
        <v/>
      </c>
      <c r="OL134" s="0" t="n">
        <v>14042.65</v>
      </c>
      <c r="OM134" s="0">
        <f>OL135</f>
        <v/>
      </c>
      <c r="ON134" s="0">
        <f>OL134-OM134</f>
        <v/>
      </c>
      <c r="OO134" s="182">
        <f>ON134/OM134</f>
        <v/>
      </c>
      <c r="OP134" s="182" t="n"/>
      <c r="OQ134" s="182" t="n"/>
      <c r="OT134" s="25">
        <f>OK134</f>
        <v/>
      </c>
      <c r="OU134" s="199" t="n">
        <v>146352.4066</v>
      </c>
      <c r="OV134" s="9">
        <f>OU135</f>
        <v/>
      </c>
      <c r="OW134" s="671">
        <f>OU134-OV134</f>
        <v/>
      </c>
      <c r="OX134" s="182">
        <f>OW134/OV134</f>
        <v/>
      </c>
    </row>
    <row r="135" ht="17" customFormat="1" customHeight="1" s="9">
      <c r="A135" s="631" t="n"/>
      <c r="B135" s="631" t="n"/>
      <c r="C135" s="693" t="inlineStr">
        <is>
          <t>2026//4/30</t>
        </is>
      </c>
      <c r="D135" s="362" t="n">
        <v>3820458.77</v>
      </c>
      <c r="E135" s="362">
        <f>D136</f>
        <v/>
      </c>
      <c r="F135" s="377">
        <f>D135-E135</f>
        <v/>
      </c>
      <c r="G135" s="378">
        <f>F135/E135</f>
        <v/>
      </c>
      <c r="H135" s="19" t="n"/>
      <c r="I135" s="426">
        <f>(D135-D156)/D156</f>
        <v/>
      </c>
      <c r="J135" s="426" t="n"/>
      <c r="K135" s="362">
        <f>C135</f>
        <v/>
      </c>
      <c r="L135" s="362" t="n">
        <v>2969344.4</v>
      </c>
      <c r="M135" s="362">
        <f>L136</f>
        <v/>
      </c>
      <c r="N135" s="377">
        <f>L135-M135</f>
        <v/>
      </c>
      <c r="O135" s="378">
        <f>N135/M135</f>
        <v/>
      </c>
      <c r="P135" s="19" t="n"/>
      <c r="Q135" s="426">
        <f>(L135-L156)/L156</f>
        <v/>
      </c>
      <c r="R135" s="427" t="n"/>
      <c r="S135" s="362">
        <f>C135</f>
        <v/>
      </c>
      <c r="T135" s="362" t="n">
        <v>1723476.68</v>
      </c>
      <c r="U135" s="362">
        <f>T136</f>
        <v/>
      </c>
      <c r="V135" s="432">
        <f>T135-U135</f>
        <v/>
      </c>
      <c r="W135" s="433">
        <f>V135/U135</f>
        <v/>
      </c>
      <c r="X135" s="19" t="n"/>
      <c r="Y135" s="426">
        <f>(T135-T156)/T156</f>
        <v/>
      </c>
      <c r="Z135" s="427" t="n"/>
      <c r="AA135" s="362">
        <f>S135</f>
        <v/>
      </c>
      <c r="AB135" s="362" t="n">
        <v>747656.86</v>
      </c>
      <c r="AC135" s="362">
        <f>AB136</f>
        <v/>
      </c>
      <c r="AD135" s="432">
        <f>AB135-AC135</f>
        <v/>
      </c>
      <c r="AE135" s="433">
        <f>AD135/AC135</f>
        <v/>
      </c>
      <c r="AF135" s="19" t="n"/>
      <c r="AG135" s="426">
        <f>(AB135-AB156)/AB156</f>
        <v/>
      </c>
      <c r="AH135" s="427" t="n"/>
      <c r="AI135" s="362">
        <f>C135</f>
        <v/>
      </c>
      <c r="AJ135" s="362" t="n">
        <v>432121.76</v>
      </c>
      <c r="AK135" s="362">
        <f>AJ136</f>
        <v/>
      </c>
      <c r="AL135" s="432">
        <f>AJ135-AK135</f>
        <v/>
      </c>
      <c r="AM135" s="433">
        <f>AL135/AK135</f>
        <v/>
      </c>
      <c r="AN135" s="19" t="n"/>
      <c r="AO135" s="19">
        <f>(AJ135-AJ156)/AJ156</f>
        <v/>
      </c>
      <c r="AP135" s="427" t="n"/>
      <c r="AQ135" s="362">
        <f>C135</f>
        <v/>
      </c>
      <c r="AR135" s="697" t="n">
        <v>1240945.4936</v>
      </c>
      <c r="AS135" s="362">
        <f>AR136</f>
        <v/>
      </c>
      <c r="AT135" s="377">
        <f>AR135-AS135</f>
        <v/>
      </c>
      <c r="AU135" s="378">
        <f>AT135/AS135</f>
        <v/>
      </c>
      <c r="AV135" s="19" t="n"/>
      <c r="AW135" s="19">
        <f>(AR135-AR156)/AR156</f>
        <v/>
      </c>
      <c r="AX135" s="5" t="n"/>
      <c r="AY135" s="5" t="n"/>
      <c r="AZ135" s="5">
        <f>C135</f>
        <v/>
      </c>
      <c r="BA135" s="5" t="n">
        <v>1795341.6676</v>
      </c>
      <c r="BB135" s="5">
        <f>BA136</f>
        <v/>
      </c>
      <c r="BC135" s="5">
        <f>BA135-BB135</f>
        <v/>
      </c>
      <c r="BD135" s="19">
        <f>BC135/BB135</f>
        <v/>
      </c>
      <c r="BE135" s="19" t="n"/>
      <c r="BF135" s="19">
        <f>(BA135-BA156)/BA156</f>
        <v/>
      </c>
      <c r="BG135" s="647" t="n"/>
      <c r="BH135" s="363">
        <f>C135</f>
        <v/>
      </c>
      <c r="BI135" s="363" t="n">
        <v>1697726.5525</v>
      </c>
      <c r="BJ135" s="363">
        <f>BI136</f>
        <v/>
      </c>
      <c r="BK135" s="395">
        <f>BI135-BJ135</f>
        <v/>
      </c>
      <c r="BL135" s="396">
        <f>BK135/BJ135</f>
        <v/>
      </c>
      <c r="BM135" s="191" t="n"/>
      <c r="BN135" s="182">
        <f>(BI135-BI156)/BI156</f>
        <v/>
      </c>
      <c r="BO135" s="364" t="n"/>
      <c r="BP135" s="365">
        <f>C135</f>
        <v/>
      </c>
      <c r="BQ135" s="694" t="n">
        <v>1126662.3921</v>
      </c>
      <c r="BR135" s="365">
        <f>BQ136</f>
        <v/>
      </c>
      <c r="BS135" s="390">
        <f>BQ135-BR135</f>
        <v/>
      </c>
      <c r="BT135" s="391">
        <f>BS135/BR135</f>
        <v/>
      </c>
      <c r="BU135" s="182" t="n"/>
      <c r="BV135" s="182">
        <f>(BQ135-BQ156)/BQ156</f>
        <v/>
      </c>
      <c r="BW135" s="364" t="n"/>
      <c r="BX135" s="365">
        <f>C135</f>
        <v/>
      </c>
      <c r="BY135" s="365" t="n">
        <v>2983010.7019</v>
      </c>
      <c r="BZ135" s="365">
        <f>BY136</f>
        <v/>
      </c>
      <c r="CA135" s="388">
        <f>BY135-BZ135</f>
        <v/>
      </c>
      <c r="CB135" s="389">
        <f>CA135/BZ135</f>
        <v/>
      </c>
      <c r="CC135" s="182" t="n"/>
      <c r="CD135" s="383">
        <f>(BY135-BY156)/BY156</f>
        <v/>
      </c>
      <c r="CE135" s="486" t="n"/>
      <c r="CF135" s="384">
        <f>C135</f>
        <v/>
      </c>
      <c r="CG135" s="185" t="n">
        <v>1321903.9</v>
      </c>
      <c r="CH135" s="185">
        <f>CG136</f>
        <v/>
      </c>
      <c r="CI135" s="13">
        <f>CG135-CH135</f>
        <v/>
      </c>
      <c r="CJ135" s="193">
        <f>CI135/CH135</f>
        <v/>
      </c>
      <c r="CK135" s="182" t="n"/>
      <c r="CL135" s="366">
        <f>(CG135-CG156)/CG156</f>
        <v/>
      </c>
      <c r="CM135" s="364" t="n"/>
      <c r="CN135" s="365">
        <f>C135</f>
        <v/>
      </c>
      <c r="CO135" s="365" t="n">
        <v>634946.48</v>
      </c>
      <c r="CP135" s="365">
        <f>CO136</f>
        <v/>
      </c>
      <c r="CQ135" s="13">
        <f>CO135-CP135</f>
        <v/>
      </c>
      <c r="CR135" s="193">
        <f>CQ135/CP135</f>
        <v/>
      </c>
      <c r="CS135" s="366" t="n"/>
      <c r="CT135" s="366">
        <f>(CO135-CO156)/CO156</f>
        <v/>
      </c>
      <c r="CU135" s="364" t="n"/>
      <c r="CV135" s="365">
        <f>C135</f>
        <v/>
      </c>
      <c r="CW135" s="365" t="n">
        <v>556190.4</v>
      </c>
      <c r="CX135" s="365">
        <f>CW136</f>
        <v/>
      </c>
      <c r="CY135" s="390">
        <f>CW135-CX135</f>
        <v/>
      </c>
      <c r="CZ135" s="391">
        <f>CY135/CX135</f>
        <v/>
      </c>
      <c r="DA135" s="182" t="n"/>
      <c r="DB135" s="182">
        <f>(CW135-CW156)/CW156</f>
        <v/>
      </c>
      <c r="DC135" s="256" t="n"/>
      <c r="DD135" s="365">
        <f>C135</f>
        <v/>
      </c>
      <c r="DE135" s="365" t="n">
        <v>2214717.9986</v>
      </c>
      <c r="DF135" s="13">
        <f>DE136</f>
        <v/>
      </c>
      <c r="DG135" s="390">
        <f>DE135-DF135</f>
        <v/>
      </c>
      <c r="DH135" s="391">
        <f>DG135/DF135</f>
        <v/>
      </c>
      <c r="DI135" s="182" t="n"/>
      <c r="DJ135" s="182">
        <f>(DE135-DE156)/DE156</f>
        <v/>
      </c>
      <c r="DK135" s="364" t="n"/>
      <c r="DL135" s="365">
        <f>C135</f>
        <v/>
      </c>
      <c r="DM135" s="365" t="n">
        <v>1071500.36</v>
      </c>
      <c r="DN135" s="365">
        <f>DM136</f>
        <v/>
      </c>
      <c r="DO135" s="388">
        <f>DM135-DN135</f>
        <v/>
      </c>
      <c r="DP135" s="389">
        <f>DO135/DN135</f>
        <v/>
      </c>
      <c r="DQ135" s="182" t="n"/>
      <c r="DR135" s="182">
        <f>(DM135-DM156)/DM156</f>
        <v/>
      </c>
      <c r="DS135" s="364" t="n"/>
      <c r="DT135" s="365">
        <f>C135</f>
        <v/>
      </c>
      <c r="DU135" s="365" t="n">
        <v>1398689.48</v>
      </c>
      <c r="DV135" s="365">
        <f>DU136</f>
        <v/>
      </c>
      <c r="DW135" s="388">
        <f>DU135-DV135</f>
        <v/>
      </c>
      <c r="DX135" s="389">
        <f>DW135/DV135</f>
        <v/>
      </c>
      <c r="DY135" s="182" t="n"/>
      <c r="DZ135" s="182">
        <f>(DU135-DU156)/DU156</f>
        <v/>
      </c>
      <c r="EA135" s="364" t="n"/>
      <c r="EB135" s="365">
        <f>C135</f>
        <v/>
      </c>
      <c r="EC135" s="365" t="n">
        <v>4192766.82</v>
      </c>
      <c r="ED135" s="365">
        <f>EC136</f>
        <v/>
      </c>
      <c r="EE135" s="388">
        <f>EC135-ED135</f>
        <v/>
      </c>
      <c r="EF135" s="389">
        <f>EE135/ED135</f>
        <v/>
      </c>
      <c r="EG135" s="182" t="n"/>
      <c r="EH135" s="182">
        <f>(EC135-EC156)/EC156</f>
        <v/>
      </c>
      <c r="EI135" s="364" t="n"/>
      <c r="EJ135" s="365">
        <f>C135</f>
        <v/>
      </c>
      <c r="EK135" s="365" t="n">
        <v>1316722.9669</v>
      </c>
      <c r="EL135" s="365">
        <f>EK136</f>
        <v/>
      </c>
      <c r="EM135" s="388">
        <f>EK135-EL135</f>
        <v/>
      </c>
      <c r="EN135" s="389">
        <f>EM135/EL135</f>
        <v/>
      </c>
      <c r="EO135" s="182" t="n"/>
      <c r="EP135" s="182">
        <f>(EK135-EK156)/EK156</f>
        <v/>
      </c>
      <c r="EQ135" s="182" t="n"/>
      <c r="ER135" s="9">
        <f>C135</f>
        <v/>
      </c>
      <c r="ES135" s="182" t="n">
        <v>432797.02</v>
      </c>
      <c r="ET135" s="182">
        <f>ES136</f>
        <v/>
      </c>
      <c r="EU135" s="182">
        <f>ES135-ET135</f>
        <v/>
      </c>
      <c r="EV135" s="182">
        <f>EU135/ET135</f>
        <v/>
      </c>
      <c r="EW135" s="182" t="n"/>
      <c r="EX135" s="182">
        <f>(ES135-ES156)/ES156</f>
        <v/>
      </c>
      <c r="EY135" s="364" t="n"/>
      <c r="EZ135" s="365">
        <f>C135</f>
        <v/>
      </c>
      <c r="FA135" s="365" t="n">
        <v>699508</v>
      </c>
      <c r="FB135" s="365">
        <f>FA136</f>
        <v/>
      </c>
      <c r="FC135" s="388">
        <f>FA135-FB135</f>
        <v/>
      </c>
      <c r="FD135" s="389">
        <f>FC135/FB135</f>
        <v/>
      </c>
      <c r="FE135" s="182" t="n"/>
      <c r="FF135" s="182">
        <f>(FA135-FA156)/FA156</f>
        <v/>
      </c>
      <c r="FG135" s="182" t="n"/>
      <c r="FH135" s="384">
        <f>C135</f>
        <v/>
      </c>
      <c r="FI135" s="707" t="n">
        <v>1277595.3365</v>
      </c>
      <c r="FJ135" s="365">
        <f>FI136</f>
        <v/>
      </c>
      <c r="FK135" s="325">
        <f>FI135-FJ135</f>
        <v/>
      </c>
      <c r="FL135" s="326">
        <f>FK135/FJ135</f>
        <v/>
      </c>
      <c r="FM135" s="182" t="n"/>
      <c r="FN135" s="182">
        <f>(FI135-FI156)/FI156</f>
        <v/>
      </c>
      <c r="FO135" s="364" t="n"/>
      <c r="FP135" s="365">
        <f>C135</f>
        <v/>
      </c>
      <c r="FQ135" s="365" t="n">
        <v>2031268.73</v>
      </c>
      <c r="FR135" s="365">
        <f>FQ136</f>
        <v/>
      </c>
      <c r="FS135" s="390">
        <f>FQ135-FR135</f>
        <v/>
      </c>
      <c r="FT135" s="391">
        <f>FS135/FR135</f>
        <v/>
      </c>
      <c r="FU135" s="182" t="n"/>
      <c r="FV135" s="182">
        <f>(FQ135-FQ156)/FQ156</f>
        <v/>
      </c>
      <c r="FW135" s="364" t="n"/>
      <c r="FX135" s="365">
        <f>C135</f>
        <v/>
      </c>
      <c r="FY135" s="365" t="n">
        <v>8208282.05</v>
      </c>
      <c r="FZ135" s="365">
        <f>FY136</f>
        <v/>
      </c>
      <c r="GA135" s="390">
        <f>FY135-FZ135</f>
        <v/>
      </c>
      <c r="GB135" s="391">
        <f>GA135/FZ135</f>
        <v/>
      </c>
      <c r="GC135" s="182" t="n"/>
      <c r="GD135" s="182">
        <f>(FY135-FY156)/FY156</f>
        <v/>
      </c>
      <c r="GE135" s="364" t="n"/>
      <c r="GF135" s="365">
        <f>C135</f>
        <v/>
      </c>
      <c r="GG135" s="365" t="n">
        <v>4634969.49</v>
      </c>
      <c r="GH135" s="365">
        <f>GG136</f>
        <v/>
      </c>
      <c r="GI135" s="388">
        <f>GG135-GH135</f>
        <v/>
      </c>
      <c r="GJ135" s="389">
        <f>GI135/GH135</f>
        <v/>
      </c>
      <c r="GK135" s="182" t="n"/>
      <c r="GL135" s="182">
        <f>(GG135-GG156)/GG156</f>
        <v/>
      </c>
      <c r="GM135" s="364" t="n"/>
      <c r="GN135" s="365">
        <f>C135</f>
        <v/>
      </c>
      <c r="GO135" s="365" t="n">
        <v>1819978.1217</v>
      </c>
      <c r="GP135" s="365">
        <f>GO136</f>
        <v/>
      </c>
      <c r="GQ135" s="390">
        <f>GO135-GP135</f>
        <v/>
      </c>
      <c r="GR135" s="391">
        <f>GQ135/GP135</f>
        <v/>
      </c>
      <c r="GS135" s="182" t="n"/>
      <c r="GT135" s="182">
        <f>(GO135-GO156)/GO156</f>
        <v/>
      </c>
      <c r="GU135" s="364" t="n"/>
      <c r="GV135" s="365">
        <f>C135</f>
        <v/>
      </c>
      <c r="GW135" s="365" t="n">
        <v>893749.4</v>
      </c>
      <c r="GX135" s="365">
        <f>GW136</f>
        <v/>
      </c>
      <c r="GY135" s="388">
        <f>GW135-GX135</f>
        <v/>
      </c>
      <c r="GZ135" s="389">
        <f>GY135/GX135</f>
        <v/>
      </c>
      <c r="HA135" s="182" t="n"/>
      <c r="HB135" s="182">
        <f>(GW135-GW156)/GW156</f>
        <v/>
      </c>
      <c r="HC135" s="364" t="n"/>
      <c r="HD135" s="365">
        <f>C135</f>
        <v/>
      </c>
      <c r="HE135" s="365" t="n">
        <v>1315564.6746</v>
      </c>
      <c r="HF135" s="365">
        <f>HE136</f>
        <v/>
      </c>
      <c r="HG135" s="388">
        <f>HE135-HF135</f>
        <v/>
      </c>
      <c r="HH135" s="389">
        <f>HG135/HF135</f>
        <v/>
      </c>
      <c r="HI135" s="366" t="n"/>
      <c r="HJ135" s="182">
        <f>(HE135-HE156)/HE156</f>
        <v/>
      </c>
      <c r="HK135" s="364" t="n"/>
      <c r="HL135" s="365">
        <f>C135</f>
        <v/>
      </c>
      <c r="HM135" s="365" t="n">
        <v>138354.25</v>
      </c>
      <c r="HN135" s="365">
        <f>HM136</f>
        <v/>
      </c>
      <c r="HO135" s="388">
        <f>HM135-HN135</f>
        <v/>
      </c>
      <c r="HP135" s="389">
        <f>HO135/HN135</f>
        <v/>
      </c>
      <c r="HQ135" s="182" t="n"/>
      <c r="HR135" s="182">
        <f>(HM135-HM156)/HM156</f>
        <v/>
      </c>
      <c r="HS135" s="364" t="n"/>
      <c r="HT135" s="365">
        <f>C135</f>
        <v/>
      </c>
      <c r="HU135" s="365" t="n">
        <v>199768.8265</v>
      </c>
      <c r="HV135" s="365">
        <f>HU136</f>
        <v/>
      </c>
      <c r="HW135" s="390">
        <f>HU135-HV135</f>
        <v/>
      </c>
      <c r="HX135" s="391">
        <f>HW135/HV135</f>
        <v/>
      </c>
      <c r="HY135" s="182" t="n"/>
      <c r="HZ135" s="182">
        <f>(HU135-HU156)/HU156</f>
        <v/>
      </c>
      <c r="IA135" s="364" t="n"/>
      <c r="IB135" s="365">
        <f>C135</f>
        <v/>
      </c>
      <c r="IC135" s="0" t="n">
        <v>358184.79</v>
      </c>
      <c r="ID135" s="0">
        <f>IC136</f>
        <v/>
      </c>
      <c r="IE135" s="365">
        <f>IC135-ID135</f>
        <v/>
      </c>
      <c r="IF135" s="366">
        <f>IE135/ID135</f>
        <v/>
      </c>
      <c r="IG135" s="182" t="n"/>
      <c r="IH135" s="182">
        <f>(IC135-IC156)/IC156</f>
        <v/>
      </c>
      <c r="II135" s="364" t="n"/>
      <c r="IJ135" s="365">
        <f>C135</f>
        <v/>
      </c>
      <c r="IK135" s="365" t="n">
        <v>632316.29</v>
      </c>
      <c r="IL135" s="365">
        <f>IK136</f>
        <v/>
      </c>
      <c r="IM135" s="388">
        <f>IK135-IL135</f>
        <v/>
      </c>
      <c r="IN135" s="389">
        <f>IM135/IL135</f>
        <v/>
      </c>
      <c r="IO135" s="182" t="n"/>
      <c r="IP135" s="182">
        <f>(IK135-IK156)/IK156</f>
        <v/>
      </c>
      <c r="IQ135" s="364" t="n"/>
      <c r="IR135" s="365">
        <f>C135</f>
        <v/>
      </c>
      <c r="IS135" s="365" t="n">
        <v>139989</v>
      </c>
      <c r="IT135" s="365">
        <f>IS136</f>
        <v/>
      </c>
      <c r="IU135" s="390">
        <f>IS135-IT135</f>
        <v/>
      </c>
      <c r="IV135" s="391">
        <f>IU135/IT135</f>
        <v/>
      </c>
      <c r="IW135" s="182" t="n"/>
      <c r="IX135" s="182">
        <f>(IS135-IS156)/IS156</f>
        <v/>
      </c>
      <c r="IY135" s="364" t="n"/>
      <c r="IZ135" s="365">
        <f>C135</f>
        <v/>
      </c>
      <c r="JA135" s="365" t="n">
        <v>4977729.15</v>
      </c>
      <c r="JB135" s="365">
        <f>JA136</f>
        <v/>
      </c>
      <c r="JC135" s="388">
        <f>JA135-JB135</f>
        <v/>
      </c>
      <c r="JD135" s="389">
        <f>JC135/JB135</f>
        <v/>
      </c>
      <c r="JE135" s="182" t="n"/>
      <c r="JF135" s="182">
        <f>(JA135-JA156)/JA156</f>
        <v/>
      </c>
      <c r="JG135" s="364" t="n"/>
      <c r="JH135" s="365">
        <f>C135</f>
        <v/>
      </c>
      <c r="JI135" s="365" t="n">
        <v>1327047.99</v>
      </c>
      <c r="JJ135" s="365">
        <f>JI136</f>
        <v/>
      </c>
      <c r="JK135" s="390">
        <f>JI135-JJ135</f>
        <v/>
      </c>
      <c r="JL135" s="391">
        <f>JK135/JJ135</f>
        <v/>
      </c>
      <c r="JM135" s="182" t="n"/>
      <c r="JN135" s="182">
        <f>(JI135-JI156)/JI156</f>
        <v/>
      </c>
      <c r="JO135" s="182" t="n"/>
      <c r="JP135" s="365">
        <f>C135</f>
        <v/>
      </c>
      <c r="JQ135" s="365" t="n">
        <v>1020390.4148</v>
      </c>
      <c r="JR135" s="365">
        <f>JQ136</f>
        <v/>
      </c>
      <c r="JS135" s="388">
        <f>JQ135-JR135</f>
        <v/>
      </c>
      <c r="JT135" s="389">
        <f>JS135/JR135</f>
        <v/>
      </c>
      <c r="JU135" s="182" t="n"/>
      <c r="JV135" s="182">
        <f>(JQ135-JQ156)/JQ156</f>
        <v/>
      </c>
      <c r="JW135" s="383" t="n"/>
      <c r="JX135" s="365">
        <f>C135</f>
        <v/>
      </c>
      <c r="JY135" s="365" t="n">
        <v>1170948.8</v>
      </c>
      <c r="JZ135" s="365">
        <f>JY136</f>
        <v/>
      </c>
      <c r="KA135" s="388">
        <f>JY135-JZ135</f>
        <v/>
      </c>
      <c r="KB135" s="389">
        <f>KA135/JZ135</f>
        <v/>
      </c>
      <c r="KC135" s="182" t="n"/>
      <c r="KD135" s="182">
        <f>(JY135-JY156)/JY156</f>
        <v/>
      </c>
      <c r="KE135" s="383" t="n"/>
      <c r="KF135" s="365">
        <f>C135</f>
        <v/>
      </c>
      <c r="KG135" s="365" t="n">
        <v>728155.9219</v>
      </c>
      <c r="KH135" s="365">
        <f>KG136</f>
        <v/>
      </c>
      <c r="KI135" s="388">
        <f>KG135-KH135</f>
        <v/>
      </c>
      <c r="KJ135" s="389">
        <f>KI135/KH135</f>
        <v/>
      </c>
      <c r="KK135" s="366" t="n"/>
      <c r="KL135" s="366">
        <f>(KG135-KG156)/KG156</f>
        <v/>
      </c>
      <c r="KM135" s="364" t="n"/>
      <c r="KN135" s="365">
        <f>C135</f>
        <v/>
      </c>
      <c r="KO135" s="365" t="n">
        <v>8328775.95</v>
      </c>
      <c r="KP135" s="365">
        <f>KO136</f>
        <v/>
      </c>
      <c r="KQ135" s="390">
        <f>KO135-KP135</f>
        <v/>
      </c>
      <c r="KR135" s="383">
        <f>KQ135/KP135</f>
        <v/>
      </c>
      <c r="KS135" s="182" t="n"/>
      <c r="KT135" s="182">
        <f>(KO135-KO156)/KO156</f>
        <v/>
      </c>
      <c r="KV135" s="9">
        <f>C135</f>
        <v/>
      </c>
      <c r="KW135" s="24" t="n">
        <v>1032672.9726</v>
      </c>
      <c r="KX135" s="0">
        <f>KW136</f>
        <v/>
      </c>
      <c r="KY135" s="24">
        <f>KW135-KX135</f>
        <v/>
      </c>
      <c r="KZ135" s="182">
        <f>KY135/KX135</f>
        <v/>
      </c>
      <c r="LA135" s="182" t="n"/>
      <c r="LB135" s="182">
        <f>(KW135-KW156)/KW156</f>
        <v/>
      </c>
      <c r="LC135" s="364" t="n"/>
      <c r="LD135" s="365">
        <f>C135</f>
        <v/>
      </c>
      <c r="LE135" s="365" t="n">
        <v>471757.7</v>
      </c>
      <c r="LF135" s="365">
        <f>LE136</f>
        <v/>
      </c>
      <c r="LG135" s="388">
        <f>LE135-LF135</f>
        <v/>
      </c>
      <c r="LH135" s="389">
        <f>LG135/LF135</f>
        <v/>
      </c>
      <c r="LI135" s="182" t="n"/>
      <c r="LJ135" s="182">
        <f>(LE135-LE156)/LE156</f>
        <v/>
      </c>
      <c r="LK135" s="364" t="n"/>
      <c r="LL135" s="365">
        <f>C135</f>
        <v/>
      </c>
      <c r="LM135" s="694" t="n">
        <v>3463495.02</v>
      </c>
      <c r="LN135" s="365">
        <f>LM136</f>
        <v/>
      </c>
      <c r="LO135" s="390">
        <f>LM135-LN135</f>
        <v/>
      </c>
      <c r="LP135" s="391">
        <f>LO135/LN135</f>
        <v/>
      </c>
      <c r="LQ135" s="182" t="n"/>
      <c r="LR135" s="182">
        <f>(LM135-LM156)/LM156</f>
        <v/>
      </c>
      <c r="LS135" s="364" t="n"/>
      <c r="LT135" s="365">
        <f>C135</f>
        <v/>
      </c>
      <c r="LU135" s="365" t="n">
        <v>2476662.904</v>
      </c>
      <c r="LV135" s="365">
        <f>LU136</f>
        <v/>
      </c>
      <c r="LW135" s="388">
        <f>LU135-LV135</f>
        <v/>
      </c>
      <c r="LX135" s="389">
        <f>LW135/LV135</f>
        <v/>
      </c>
      <c r="LY135" s="182" t="n"/>
      <c r="LZ135" s="182">
        <f>(LU135-LU156)/LU156</f>
        <v/>
      </c>
      <c r="MA135" s="364" t="n"/>
      <c r="MB135" s="365">
        <f>C135</f>
        <v/>
      </c>
      <c r="MC135" s="365" t="n">
        <v>833917.6899999999</v>
      </c>
      <c r="MD135" s="365">
        <f>MC136</f>
        <v/>
      </c>
      <c r="ME135" s="388">
        <f>MC135-MD135</f>
        <v/>
      </c>
      <c r="MF135" s="389">
        <f>ME135/MD135</f>
        <v/>
      </c>
      <c r="MG135" s="182" t="n"/>
      <c r="MH135" s="182">
        <f>(MC135-MC156)/MC156</f>
        <v/>
      </c>
      <c r="MI135" s="364" t="n"/>
      <c r="MJ135" s="364" t="n"/>
      <c r="MK135" s="365">
        <f>C135</f>
        <v/>
      </c>
      <c r="ML135" s="364" t="n">
        <v>216825.5354</v>
      </c>
      <c r="MM135" s="187">
        <f>ML136</f>
        <v/>
      </c>
      <c r="MN135" s="364">
        <f>ML135-MM135</f>
        <v/>
      </c>
      <c r="MO135" s="366">
        <f>MN135/MM135</f>
        <v/>
      </c>
      <c r="MP135" s="366" t="n"/>
      <c r="MQ135" s="366">
        <f>(ML135-ML156)/ML156</f>
        <v/>
      </c>
      <c r="MR135" s="366" t="n"/>
      <c r="MS135" s="366" t="n"/>
      <c r="MT135" s="25">
        <f>C135</f>
        <v/>
      </c>
      <c r="MU135" s="0" t="n">
        <v>203214.8</v>
      </c>
      <c r="MV135" s="0">
        <f>MU136</f>
        <v/>
      </c>
      <c r="MW135" s="0">
        <f>MU135-MV135</f>
        <v/>
      </c>
      <c r="MX135" s="182">
        <f>MW135/MV135</f>
        <v/>
      </c>
      <c r="MY135" s="182" t="n"/>
      <c r="MZ135" s="182">
        <f>(MU135-MU156)/MU156</f>
        <v/>
      </c>
      <c r="NA135" s="182" t="n"/>
      <c r="NB135" s="182" t="n"/>
      <c r="NC135" s="9">
        <f>C135</f>
        <v/>
      </c>
      <c r="ND135" s="0" t="n">
        <v>41291.48</v>
      </c>
      <c r="NE135" s="0">
        <f>ND136</f>
        <v/>
      </c>
      <c r="NF135" s="0">
        <f>ND135-NE135</f>
        <v/>
      </c>
      <c r="NG135" s="182">
        <f>NF135/NE135</f>
        <v/>
      </c>
      <c r="NH135" s="182" t="n"/>
      <c r="NI135" s="182">
        <f>(ND135-ND156)/ND156</f>
        <v/>
      </c>
      <c r="NJ135" s="182" t="n"/>
      <c r="NK135" s="182" t="n"/>
      <c r="NL135" s="9" t="n"/>
      <c r="NM135" s="9">
        <f>C135</f>
        <v/>
      </c>
      <c r="NN135" s="0" t="n">
        <v>2555611.08</v>
      </c>
      <c r="NO135" s="0">
        <f>NN136</f>
        <v/>
      </c>
      <c r="NP135" s="0">
        <f>NN135-NO135</f>
        <v/>
      </c>
      <c r="NQ135" s="182">
        <f>NP135/NO135</f>
        <v/>
      </c>
      <c r="NR135" s="182" t="n"/>
      <c r="NS135" s="9">
        <f>(NN135-NN156)/NN156</f>
        <v/>
      </c>
      <c r="NU135" s="9">
        <f>C135</f>
        <v/>
      </c>
      <c r="NV135" s="364" t="n">
        <v>262176.5</v>
      </c>
      <c r="NW135" s="364">
        <f>NV136</f>
        <v/>
      </c>
      <c r="NX135" s="364">
        <f>NV135-NW135</f>
        <v/>
      </c>
      <c r="NY135" s="366">
        <f>NX135/NW135</f>
        <v/>
      </c>
      <c r="NZ135" s="366" t="n"/>
      <c r="OA135" s="364">
        <f>(NV135-NV156)/NV156</f>
        <v/>
      </c>
      <c r="OB135" s="364" t="n"/>
      <c r="OC135" s="365">
        <f>C135</f>
        <v/>
      </c>
      <c r="OD135" s="365" t="n">
        <v>14534.97</v>
      </c>
      <c r="OE135" s="365">
        <f>OD136</f>
        <v/>
      </c>
      <c r="OF135" s="388">
        <f>OD135-OE135</f>
        <v/>
      </c>
      <c r="OG135" s="389">
        <f>OF135/OE135</f>
        <v/>
      </c>
      <c r="OH135" s="182" t="n"/>
      <c r="OI135" s="182">
        <f>(OD135-OD156)/OD156</f>
        <v/>
      </c>
      <c r="OJ135" s="364" t="n"/>
      <c r="OK135" s="365">
        <f>C135</f>
        <v/>
      </c>
      <c r="OL135" s="0" t="n">
        <v>14042.65</v>
      </c>
      <c r="OM135" s="0">
        <f>OL136</f>
        <v/>
      </c>
      <c r="ON135" s="0">
        <f>OL135-OM135</f>
        <v/>
      </c>
      <c r="OO135" s="182">
        <f>ON135/OM135</f>
        <v/>
      </c>
      <c r="OP135" s="182" t="n"/>
      <c r="OQ135" s="182">
        <f>(OL135-OL156)/OL156</f>
        <v/>
      </c>
      <c r="OT135" s="25">
        <f>OK135</f>
        <v/>
      </c>
      <c r="OU135" s="199" t="n">
        <v>146232.4066</v>
      </c>
      <c r="OV135" s="9">
        <f>OU136</f>
        <v/>
      </c>
      <c r="OW135" s="671">
        <f>OU135-OV135</f>
        <v/>
      </c>
      <c r="OX135" s="182">
        <f>OW135/OV135</f>
        <v/>
      </c>
    </row>
    <row r="136" ht="17" customFormat="1" customHeight="1" s="9">
      <c r="A136" s="631" t="n"/>
      <c r="B136" s="631" t="n"/>
      <c r="C136" s="693" t="inlineStr">
        <is>
          <t>2026//4/29</t>
        </is>
      </c>
      <c r="D136" s="362" t="n">
        <v>3937188.77</v>
      </c>
      <c r="E136" s="362">
        <f>D137</f>
        <v/>
      </c>
      <c r="F136" s="432">
        <f>D136-E136</f>
        <v/>
      </c>
      <c r="G136" s="433">
        <f>F136/E136</f>
        <v/>
      </c>
      <c r="H136" s="19" t="n"/>
      <c r="I136" s="426">
        <f>(D136-D156)/D156</f>
        <v/>
      </c>
      <c r="J136" s="426" t="n"/>
      <c r="K136" s="362">
        <f>C136</f>
        <v/>
      </c>
      <c r="L136" s="362" t="n">
        <v>3015244.4</v>
      </c>
      <c r="M136" s="362">
        <f>L137</f>
        <v/>
      </c>
      <c r="N136" s="377">
        <f>L136-M136</f>
        <v/>
      </c>
      <c r="O136" s="378">
        <f>N136/M136</f>
        <v/>
      </c>
      <c r="P136" s="19" t="n"/>
      <c r="Q136" s="426">
        <f>(L136-L156)/L156</f>
        <v/>
      </c>
      <c r="R136" s="427" t="n"/>
      <c r="S136" s="362">
        <f>C136</f>
        <v/>
      </c>
      <c r="T136" s="362" t="n">
        <v>1853076.68</v>
      </c>
      <c r="U136" s="362">
        <f>T137</f>
        <v/>
      </c>
      <c r="V136" s="377">
        <f>T136-U136</f>
        <v/>
      </c>
      <c r="W136" s="378">
        <f>V136/U136</f>
        <v/>
      </c>
      <c r="X136" s="19" t="n"/>
      <c r="Y136" s="426">
        <f>(T136-T156)/T156</f>
        <v/>
      </c>
      <c r="Z136" s="427" t="n"/>
      <c r="AA136" s="362">
        <f>S136</f>
        <v/>
      </c>
      <c r="AB136" s="362" t="n">
        <v>804496.86</v>
      </c>
      <c r="AC136" s="362">
        <f>AB137</f>
        <v/>
      </c>
      <c r="AD136" s="432">
        <f>AB136-AC136</f>
        <v/>
      </c>
      <c r="AE136" s="433">
        <f>AD136/AC136</f>
        <v/>
      </c>
      <c r="AF136" s="19" t="n"/>
      <c r="AG136" s="426">
        <f>(AB136-AB156)/AB156</f>
        <v/>
      </c>
      <c r="AH136" s="427" t="n"/>
      <c r="AI136" s="362">
        <f>C136</f>
        <v/>
      </c>
      <c r="AJ136" s="362" t="n">
        <v>555921.76</v>
      </c>
      <c r="AK136" s="362">
        <f>AJ137</f>
        <v/>
      </c>
      <c r="AL136" s="432">
        <f>AJ136-AK136</f>
        <v/>
      </c>
      <c r="AM136" s="433">
        <f>AL136/AK136</f>
        <v/>
      </c>
      <c r="AN136" s="19" t="n"/>
      <c r="AO136" s="19">
        <f>(AJ136-AJ156)/AJ156</f>
        <v/>
      </c>
      <c r="AP136" s="427" t="n"/>
      <c r="AQ136" s="362">
        <f>C136</f>
        <v/>
      </c>
      <c r="AR136" s="697" t="n">
        <v>1237245.49</v>
      </c>
      <c r="AS136" s="362">
        <f>AR137</f>
        <v/>
      </c>
      <c r="AT136" s="432">
        <f>AR136-AS136</f>
        <v/>
      </c>
      <c r="AU136" s="433">
        <f>AT136/AS136</f>
        <v/>
      </c>
      <c r="AV136" s="19" t="n"/>
      <c r="AW136" s="19">
        <f>(AR136-AR156)/AR156</f>
        <v/>
      </c>
      <c r="AX136" s="5" t="n"/>
      <c r="AY136" s="5" t="n"/>
      <c r="AZ136" s="5">
        <f>C136</f>
        <v/>
      </c>
      <c r="BA136" s="5" t="n">
        <v>1842861.67</v>
      </c>
      <c r="BB136" s="5">
        <f>BA137</f>
        <v/>
      </c>
      <c r="BC136" s="5">
        <f>BA136-BB136</f>
        <v/>
      </c>
      <c r="BD136" s="19">
        <f>BC136/BB136</f>
        <v/>
      </c>
      <c r="BE136" s="19" t="n"/>
      <c r="BF136" s="19">
        <f>(BA136-BA156)/BA156</f>
        <v/>
      </c>
      <c r="BG136" s="647" t="n"/>
      <c r="BH136" s="363">
        <f>C136</f>
        <v/>
      </c>
      <c r="BI136" s="363" t="n">
        <v>1680526.55</v>
      </c>
      <c r="BJ136" s="363">
        <f>BI137</f>
        <v/>
      </c>
      <c r="BK136" s="435">
        <f>BI136-BJ136</f>
        <v/>
      </c>
      <c r="BL136" s="436">
        <f>BK136/BJ136</f>
        <v/>
      </c>
      <c r="BM136" s="191" t="n"/>
      <c r="BN136" s="182" t="n"/>
      <c r="BO136" s="364" t="n"/>
      <c r="BP136" s="365">
        <f>C136</f>
        <v/>
      </c>
      <c r="BQ136" s="694" t="n">
        <v>1131062.39</v>
      </c>
      <c r="BR136" s="365">
        <f>BQ137</f>
        <v/>
      </c>
      <c r="BS136" s="390">
        <f>BQ136-BR136</f>
        <v/>
      </c>
      <c r="BT136" s="391">
        <f>BS136/BR136</f>
        <v/>
      </c>
      <c r="BU136" s="182" t="n"/>
      <c r="BV136" s="182" t="n"/>
      <c r="BW136" s="364" t="n"/>
      <c r="BX136" s="365">
        <f>C136</f>
        <v/>
      </c>
      <c r="BY136" s="365" t="n">
        <v>2992560.7</v>
      </c>
      <c r="BZ136" s="365">
        <f>BY137</f>
        <v/>
      </c>
      <c r="CA136" s="390">
        <f>BY136-BZ136</f>
        <v/>
      </c>
      <c r="CB136" s="391">
        <f>CA136/BZ136</f>
        <v/>
      </c>
      <c r="CC136" s="182" t="n"/>
      <c r="CD136" s="383" t="n"/>
      <c r="CE136" s="486" t="n"/>
      <c r="CF136" s="384">
        <f>C136</f>
        <v/>
      </c>
      <c r="CG136" s="185" t="n">
        <v>1323603.9</v>
      </c>
      <c r="CH136" s="185">
        <f>CG137</f>
        <v/>
      </c>
      <c r="CI136" s="13">
        <f>CG136-CH136</f>
        <v/>
      </c>
      <c r="CJ136" s="193">
        <f>CI136/CH136</f>
        <v/>
      </c>
      <c r="CK136" s="182" t="n"/>
      <c r="CL136" s="366" t="n"/>
      <c r="CM136" s="364" t="n"/>
      <c r="CN136" s="365">
        <f>C136</f>
        <v/>
      </c>
      <c r="CO136" s="365" t="n">
        <v>642146.48</v>
      </c>
      <c r="CP136" s="365">
        <f>CO137</f>
        <v/>
      </c>
      <c r="CQ136" s="13">
        <f>CO136-CP136</f>
        <v/>
      </c>
      <c r="CR136" s="193">
        <f>CQ136/CP136</f>
        <v/>
      </c>
      <c r="CS136" s="366" t="n"/>
      <c r="CT136" s="366" t="n"/>
      <c r="CU136" s="364" t="n"/>
      <c r="CV136" s="365">
        <f>C136</f>
        <v/>
      </c>
      <c r="CW136" s="365" t="n">
        <v>569390.4</v>
      </c>
      <c r="CX136" s="365">
        <f>CW137</f>
        <v/>
      </c>
      <c r="CY136" s="384">
        <f>CW136-CX136</f>
        <v/>
      </c>
      <c r="CZ136" s="383">
        <f>CY136/CX136</f>
        <v/>
      </c>
      <c r="DA136" s="182" t="n"/>
      <c r="DB136" s="182" t="n"/>
      <c r="DC136" s="256" t="n"/>
      <c r="DD136" s="365">
        <f>C136</f>
        <v/>
      </c>
      <c r="DE136" s="365" t="n">
        <v>2229918</v>
      </c>
      <c r="DF136" s="13">
        <f>DE137</f>
        <v/>
      </c>
      <c r="DG136" s="388">
        <f>DE136-DF136</f>
        <v/>
      </c>
      <c r="DH136" s="389">
        <f>DG136/DF136</f>
        <v/>
      </c>
      <c r="DI136" s="182" t="n"/>
      <c r="DJ136" s="182" t="n"/>
      <c r="DK136" s="364" t="n"/>
      <c r="DL136" s="365">
        <f>C136</f>
        <v/>
      </c>
      <c r="DM136" s="365" t="n">
        <v>1126500.36</v>
      </c>
      <c r="DN136" s="365">
        <f>DM137</f>
        <v/>
      </c>
      <c r="DO136" s="388">
        <f>DM136-DN136</f>
        <v/>
      </c>
      <c r="DP136" s="389">
        <f>DO136/DN136</f>
        <v/>
      </c>
      <c r="DQ136" s="182" t="n"/>
      <c r="DR136" s="182" t="n"/>
      <c r="DS136" s="364" t="n"/>
      <c r="DT136" s="365">
        <f>C136</f>
        <v/>
      </c>
      <c r="DU136" s="365" t="n">
        <v>1440989.48</v>
      </c>
      <c r="DV136" s="365">
        <f>DU137</f>
        <v/>
      </c>
      <c r="DW136" s="390">
        <f>DU136-DV136</f>
        <v/>
      </c>
      <c r="DX136" s="391">
        <f>DW136/DV136</f>
        <v/>
      </c>
      <c r="DY136" s="182" t="n"/>
      <c r="DZ136" s="182" t="n"/>
      <c r="EA136" s="364" t="n"/>
      <c r="EB136" s="365">
        <f>C136</f>
        <v/>
      </c>
      <c r="EC136" s="365" t="n">
        <v>4485866.82</v>
      </c>
      <c r="ED136" s="365">
        <f>EC137</f>
        <v/>
      </c>
      <c r="EE136" s="390">
        <f>EC136-ED136</f>
        <v/>
      </c>
      <c r="EF136" s="391">
        <f>EE136/ED136</f>
        <v/>
      </c>
      <c r="EG136" s="182" t="n"/>
      <c r="EH136" s="182" t="n"/>
      <c r="EI136" s="364" t="n"/>
      <c r="EJ136" s="365">
        <f>C136</f>
        <v/>
      </c>
      <c r="EK136" s="365" t="n">
        <v>1327922.97</v>
      </c>
      <c r="EL136" s="365">
        <f>EK137</f>
        <v/>
      </c>
      <c r="EM136" s="390">
        <f>EK136-EL136</f>
        <v/>
      </c>
      <c r="EN136" s="391">
        <f>EM136/EL136</f>
        <v/>
      </c>
      <c r="EO136" s="182" t="n"/>
      <c r="EP136" s="182" t="n"/>
      <c r="EQ136" s="182" t="n"/>
      <c r="ER136" s="9">
        <f>C136</f>
        <v/>
      </c>
      <c r="ES136" s="182" t="n">
        <v>437447.02</v>
      </c>
      <c r="ET136" s="182">
        <f>ES137</f>
        <v/>
      </c>
      <c r="EU136" s="182">
        <f>ES136-ET136</f>
        <v/>
      </c>
      <c r="EV136" s="182">
        <f>EU136/ET136</f>
        <v/>
      </c>
      <c r="EW136" s="182" t="n"/>
      <c r="EX136" s="182" t="n"/>
      <c r="EY136" s="364" t="n"/>
      <c r="EZ136" s="365">
        <f>C136</f>
        <v/>
      </c>
      <c r="FA136" s="365" t="n">
        <v>705308</v>
      </c>
      <c r="FB136" s="365">
        <f>FA137</f>
        <v/>
      </c>
      <c r="FC136" s="390">
        <f>FA136-FB136</f>
        <v/>
      </c>
      <c r="FD136" s="391">
        <f>FC136/FB136</f>
        <v/>
      </c>
      <c r="FE136" s="182" t="n"/>
      <c r="FF136" s="182" t="n"/>
      <c r="FG136" s="182" t="n"/>
      <c r="FH136" s="384">
        <f>C136</f>
        <v/>
      </c>
      <c r="FI136" s="707" t="n">
        <v>1262195.34</v>
      </c>
      <c r="FJ136" s="365">
        <f>FI137</f>
        <v/>
      </c>
      <c r="FK136" s="325">
        <f>FI136-FJ136</f>
        <v/>
      </c>
      <c r="FL136" s="326">
        <f>FK136/FJ136</f>
        <v/>
      </c>
      <c r="FM136" s="487" t="n"/>
      <c r="FN136" s="487" t="n"/>
      <c r="FO136" s="364" t="n"/>
      <c r="FP136" s="365">
        <f>C136</f>
        <v/>
      </c>
      <c r="FQ136" s="365" t="n">
        <v>2041168.73</v>
      </c>
      <c r="FR136" s="365">
        <f>FQ137</f>
        <v/>
      </c>
      <c r="FS136" s="388">
        <f>FQ136-FR136</f>
        <v/>
      </c>
      <c r="FT136" s="389">
        <f>FS136/FR136</f>
        <v/>
      </c>
      <c r="FU136" s="182" t="n"/>
      <c r="FV136" s="182" t="n"/>
      <c r="FW136" s="364" t="n"/>
      <c r="FX136" s="365">
        <f>C136</f>
        <v/>
      </c>
      <c r="FY136" s="365" t="n">
        <v>8194582.05</v>
      </c>
      <c r="FZ136" s="365">
        <f>FY137</f>
        <v/>
      </c>
      <c r="GA136" s="388">
        <f>FY136-FZ136</f>
        <v/>
      </c>
      <c r="GB136" s="389">
        <f>GA136/FZ136</f>
        <v/>
      </c>
      <c r="GC136" s="182" t="n"/>
      <c r="GD136" s="182" t="n"/>
      <c r="GE136" s="364" t="n"/>
      <c r="GF136" s="365">
        <f>C136</f>
        <v/>
      </c>
      <c r="GG136" s="365" t="n">
        <v>4616069.49</v>
      </c>
      <c r="GH136" s="365">
        <f>GG137</f>
        <v/>
      </c>
      <c r="GI136" s="390">
        <f>GG136-GH136</f>
        <v/>
      </c>
      <c r="GJ136" s="391">
        <f>GI136/GH136</f>
        <v/>
      </c>
      <c r="GK136" s="182" t="n"/>
      <c r="GL136" s="182" t="n"/>
      <c r="GM136" s="364" t="n"/>
      <c r="GN136" s="365">
        <f>C136</f>
        <v/>
      </c>
      <c r="GO136" s="365" t="n">
        <v>1824418.12</v>
      </c>
      <c r="GP136" s="365">
        <f>GO137</f>
        <v/>
      </c>
      <c r="GQ136" s="388">
        <f>GO136-GP136</f>
        <v/>
      </c>
      <c r="GR136" s="389">
        <f>GQ136/GP136</f>
        <v/>
      </c>
      <c r="GS136" s="182" t="n"/>
      <c r="GT136" s="182" t="n"/>
      <c r="GU136" s="364" t="n"/>
      <c r="GV136" s="365">
        <f>C136</f>
        <v/>
      </c>
      <c r="GW136" s="365" t="n">
        <v>885949.4</v>
      </c>
      <c r="GX136" s="365">
        <f>GW137</f>
        <v/>
      </c>
      <c r="GY136" s="388">
        <f>GW136-GX136</f>
        <v/>
      </c>
      <c r="GZ136" s="389">
        <f>GY136/GX136</f>
        <v/>
      </c>
      <c r="HA136" s="182" t="n"/>
      <c r="HB136" s="182" t="n"/>
      <c r="HC136" s="364" t="n"/>
      <c r="HD136" s="365">
        <f>C136</f>
        <v/>
      </c>
      <c r="HE136" s="365" t="n">
        <v>1271464.67</v>
      </c>
      <c r="HF136" s="365">
        <f>HE137</f>
        <v/>
      </c>
      <c r="HG136" s="388">
        <f>HE136-HF136</f>
        <v/>
      </c>
      <c r="HH136" s="389">
        <f>HG136/HF136</f>
        <v/>
      </c>
      <c r="HI136" s="366" t="n"/>
      <c r="HJ136" s="182" t="n"/>
      <c r="HK136" s="364" t="n"/>
      <c r="HL136" s="365">
        <f>C136</f>
        <v/>
      </c>
      <c r="HM136" s="365" t="n">
        <v>139454.25</v>
      </c>
      <c r="HN136" s="365">
        <f>HM137</f>
        <v/>
      </c>
      <c r="HO136" s="384">
        <f>HM136-HN136</f>
        <v/>
      </c>
      <c r="HP136" s="383">
        <f>HO136/HN136</f>
        <v/>
      </c>
      <c r="HQ136" s="182" t="n"/>
      <c r="HR136" s="182" t="n"/>
      <c r="HS136" s="364" t="n"/>
      <c r="HT136" s="365">
        <f>C136</f>
        <v/>
      </c>
      <c r="HU136" s="365" t="n">
        <v>205768.83</v>
      </c>
      <c r="HV136" s="365">
        <f>HU137</f>
        <v/>
      </c>
      <c r="HW136" s="388">
        <f>HU136-HV136</f>
        <v/>
      </c>
      <c r="HX136" s="389">
        <f>HW136/HV136</f>
        <v/>
      </c>
      <c r="HY136" s="182" t="n"/>
      <c r="HZ136" s="182" t="n"/>
      <c r="IA136" s="364" t="n"/>
      <c r="IB136" s="365">
        <f>C136</f>
        <v/>
      </c>
      <c r="IC136" s="0" t="n">
        <v>359434.79</v>
      </c>
      <c r="ID136" s="0">
        <f>IC137</f>
        <v/>
      </c>
      <c r="IE136" s="365">
        <f>IC136-ID136</f>
        <v/>
      </c>
      <c r="IF136" s="366">
        <f>IE136/ID136</f>
        <v/>
      </c>
      <c r="IG136" s="182" t="n"/>
      <c r="IH136" s="182" t="n"/>
      <c r="II136" s="364" t="n"/>
      <c r="IJ136" s="365">
        <f>C136</f>
        <v/>
      </c>
      <c r="IK136" s="365" t="n">
        <v>618396.29</v>
      </c>
      <c r="IL136" s="365">
        <f>IK137</f>
        <v/>
      </c>
      <c r="IM136" s="388">
        <f>IK136-IL136</f>
        <v/>
      </c>
      <c r="IN136" s="389">
        <f>IM136/IL136</f>
        <v/>
      </c>
      <c r="IO136" s="182" t="n"/>
      <c r="IP136" s="182" t="n"/>
      <c r="IQ136" s="364" t="n"/>
      <c r="IR136" s="365">
        <f>C136</f>
        <v/>
      </c>
      <c r="IS136" s="365" t="n">
        <v>139589</v>
      </c>
      <c r="IT136" s="365">
        <f>IS137</f>
        <v/>
      </c>
      <c r="IU136" s="388">
        <f>IS136-IT136</f>
        <v/>
      </c>
      <c r="IV136" s="389">
        <f>IU136/IT136</f>
        <v/>
      </c>
      <c r="IW136" s="182" t="n"/>
      <c r="IX136" s="182" t="n"/>
      <c r="IY136" s="364" t="n"/>
      <c r="IZ136" s="365">
        <f>C136</f>
        <v/>
      </c>
      <c r="JA136" s="365" t="n">
        <v>4933729.15</v>
      </c>
      <c r="JB136" s="365">
        <f>JA137</f>
        <v/>
      </c>
      <c r="JC136" s="390">
        <f>JA136-JB136</f>
        <v/>
      </c>
      <c r="JD136" s="391">
        <f>JC136/JB136</f>
        <v/>
      </c>
      <c r="JE136" s="182" t="n"/>
      <c r="JF136" s="182" t="n"/>
      <c r="JG136" s="364" t="n"/>
      <c r="JH136" s="365">
        <f>C136</f>
        <v/>
      </c>
      <c r="JI136" s="365" t="n">
        <v>1341567.99</v>
      </c>
      <c r="JJ136" s="365">
        <f>JI137</f>
        <v/>
      </c>
      <c r="JK136" s="388">
        <f>JI136-JJ136</f>
        <v/>
      </c>
      <c r="JL136" s="389">
        <f>JK136/JJ136</f>
        <v/>
      </c>
      <c r="JM136" s="182" t="n"/>
      <c r="JN136" s="182" t="n"/>
      <c r="JO136" s="182" t="n"/>
      <c r="JP136" s="365">
        <f>C136</f>
        <v/>
      </c>
      <c r="JQ136" s="365" t="n">
        <v>1025590.41</v>
      </c>
      <c r="JR136" s="365">
        <f>JQ137</f>
        <v/>
      </c>
      <c r="JS136" s="390">
        <f>JQ136-JR136</f>
        <v/>
      </c>
      <c r="JT136" s="391">
        <f>JS136/JR136</f>
        <v/>
      </c>
      <c r="JU136" s="182" t="n"/>
      <c r="JV136" s="182" t="n"/>
      <c r="JW136" s="383" t="n"/>
      <c r="JX136" s="365">
        <f>C136</f>
        <v/>
      </c>
      <c r="JY136" s="365" t="n">
        <v>1171098.8</v>
      </c>
      <c r="JZ136" s="365">
        <f>JY137</f>
        <v/>
      </c>
      <c r="KA136" s="388">
        <f>JY136-JZ136</f>
        <v/>
      </c>
      <c r="KB136" s="389">
        <f>KA136/JZ136</f>
        <v/>
      </c>
      <c r="KC136" s="182" t="n"/>
      <c r="KD136" s="182" t="n"/>
      <c r="KE136" s="383" t="n"/>
      <c r="KF136" s="365">
        <f>C136</f>
        <v/>
      </c>
      <c r="KG136" s="365" t="n">
        <v>728155.92</v>
      </c>
      <c r="KH136" s="365">
        <f>KG137</f>
        <v/>
      </c>
      <c r="KI136" s="388">
        <f>KG136-KH136</f>
        <v/>
      </c>
      <c r="KJ136" s="389">
        <f>KI136/KH136</f>
        <v/>
      </c>
      <c r="KK136" s="366" t="n"/>
      <c r="KL136" s="366" t="n"/>
      <c r="KM136" s="364" t="n"/>
      <c r="KN136" s="365">
        <f>C136</f>
        <v/>
      </c>
      <c r="KO136" s="365" t="n">
        <v>8328775.95</v>
      </c>
      <c r="KP136" s="365">
        <f>KO137</f>
        <v/>
      </c>
      <c r="KQ136" s="390">
        <f>KO136-KP136</f>
        <v/>
      </c>
      <c r="KR136" s="383">
        <f>KQ136/KP136</f>
        <v/>
      </c>
      <c r="KS136" s="182" t="n"/>
      <c r="KT136" s="182" t="n"/>
      <c r="KV136" s="9">
        <f>C136</f>
        <v/>
      </c>
      <c r="KW136" s="0" t="n">
        <v>999372.97</v>
      </c>
      <c r="KX136" s="0">
        <f>KW137</f>
        <v/>
      </c>
      <c r="KY136" s="0">
        <f>KW136-KX136</f>
        <v/>
      </c>
      <c r="KZ136" s="182">
        <f>KY136/KX136</f>
        <v/>
      </c>
      <c r="LA136" s="182" t="n"/>
      <c r="LB136" s="182" t="n"/>
      <c r="LC136" s="364" t="n"/>
      <c r="LD136" s="365">
        <f>C136</f>
        <v/>
      </c>
      <c r="LE136" s="365" t="n">
        <v>476307.7</v>
      </c>
      <c r="LF136" s="365">
        <f>LE137</f>
        <v/>
      </c>
      <c r="LG136" s="388">
        <f>LE136-LF136</f>
        <v/>
      </c>
      <c r="LH136" s="389">
        <f>LG136/LF136</f>
        <v/>
      </c>
      <c r="LI136" s="182" t="n"/>
      <c r="LJ136" s="182" t="n"/>
      <c r="LK136" s="364" t="n"/>
      <c r="LL136" s="365">
        <f>C136</f>
        <v/>
      </c>
      <c r="LM136" s="694" t="n">
        <v>3499495.02</v>
      </c>
      <c r="LN136" s="365">
        <f>LM137</f>
        <v/>
      </c>
      <c r="LO136" s="390">
        <f>LM136-LN136</f>
        <v/>
      </c>
      <c r="LP136" s="391">
        <f>LO136/LN136</f>
        <v/>
      </c>
      <c r="LQ136" s="182" t="n"/>
      <c r="LR136" s="182" t="n"/>
      <c r="LS136" s="364" t="n"/>
      <c r="LT136" s="365">
        <f>C136</f>
        <v/>
      </c>
      <c r="LU136" s="365" t="n">
        <v>2497262.9</v>
      </c>
      <c r="LV136" s="365">
        <f>LU137</f>
        <v/>
      </c>
      <c r="LW136" s="388">
        <f>LU136-LV136</f>
        <v/>
      </c>
      <c r="LX136" s="389">
        <f>LW136/LV136</f>
        <v/>
      </c>
      <c r="LY136" s="182" t="n"/>
      <c r="LZ136" s="182" t="n"/>
      <c r="MA136" s="364" t="n"/>
      <c r="MB136" s="365">
        <f>C136</f>
        <v/>
      </c>
      <c r="MC136" s="365" t="n">
        <v>799517.6899999999</v>
      </c>
      <c r="MD136" s="365">
        <f>MC137</f>
        <v/>
      </c>
      <c r="ME136" s="388">
        <f>MC136-MD136</f>
        <v/>
      </c>
      <c r="MF136" s="389">
        <f>ME136/MD136</f>
        <v/>
      </c>
      <c r="MG136" s="182" t="n"/>
      <c r="MH136" s="182" t="n"/>
      <c r="MI136" s="364" t="n"/>
      <c r="MJ136" s="364" t="n"/>
      <c r="MK136" s="365">
        <f>C136</f>
        <v/>
      </c>
      <c r="ML136" s="364" t="n">
        <v>217065.54</v>
      </c>
      <c r="MM136" s="187">
        <f>ML137</f>
        <v/>
      </c>
      <c r="MN136" s="364">
        <f>ML136-MM136</f>
        <v/>
      </c>
      <c r="MO136" s="366">
        <f>MN136/MM136</f>
        <v/>
      </c>
      <c r="MP136" s="366" t="n"/>
      <c r="MQ136" s="366" t="n"/>
      <c r="MR136" s="366" t="n"/>
      <c r="MS136" s="366" t="n"/>
      <c r="MT136" s="25">
        <f>C136</f>
        <v/>
      </c>
      <c r="MU136" s="0" t="n">
        <v>201814.8</v>
      </c>
      <c r="MV136" s="0">
        <f>MU137</f>
        <v/>
      </c>
      <c r="MW136" s="0">
        <f>MU136-MV136</f>
        <v/>
      </c>
      <c r="MX136" s="182">
        <f>MW136/MV136</f>
        <v/>
      </c>
      <c r="MY136" s="182" t="n"/>
      <c r="MZ136" s="182" t="n"/>
      <c r="NA136" s="182" t="n"/>
      <c r="NB136" s="182" t="n"/>
      <c r="NC136" s="9">
        <f>C136</f>
        <v/>
      </c>
      <c r="ND136" s="0" t="n">
        <v>41291.48</v>
      </c>
      <c r="NE136" s="0">
        <f>ND137</f>
        <v/>
      </c>
      <c r="NF136" s="0">
        <f>ND136-NE136</f>
        <v/>
      </c>
      <c r="NG136" s="182">
        <f>NF136/NE136</f>
        <v/>
      </c>
      <c r="NH136" s="182" t="n"/>
      <c r="NI136" s="182" t="n"/>
      <c r="NJ136" s="182" t="n"/>
      <c r="NK136" s="182" t="n"/>
      <c r="NL136" s="9" t="n"/>
      <c r="NM136" s="9">
        <f>C136</f>
        <v/>
      </c>
      <c r="NN136" s="0" t="n">
        <v>2554811.08</v>
      </c>
      <c r="NO136" s="0">
        <f>NN137</f>
        <v/>
      </c>
      <c r="NP136" s="0">
        <f>NN136-NO136</f>
        <v/>
      </c>
      <c r="NQ136" s="182">
        <f>NP136/NO136</f>
        <v/>
      </c>
      <c r="NR136" s="182" t="n"/>
      <c r="NS136" s="9" t="n"/>
      <c r="NU136" s="9">
        <f>C136</f>
        <v/>
      </c>
      <c r="NV136" s="364" t="n">
        <v>263376.5</v>
      </c>
      <c r="NW136" s="364">
        <f>NV137</f>
        <v/>
      </c>
      <c r="NX136" s="364">
        <f>NV136-NW136</f>
        <v/>
      </c>
      <c r="NY136" s="366">
        <f>NX136/NW136</f>
        <v/>
      </c>
      <c r="NZ136" s="366" t="n"/>
      <c r="OA136" s="364" t="n"/>
      <c r="OB136" s="364" t="n"/>
      <c r="OC136" s="365">
        <f>C136</f>
        <v/>
      </c>
      <c r="OD136" s="365" t="n">
        <v>14444.97</v>
      </c>
      <c r="OE136" s="365">
        <f>OD137</f>
        <v/>
      </c>
      <c r="OF136" s="390">
        <f>OD136-OE136</f>
        <v/>
      </c>
      <c r="OG136" s="391">
        <f>OF136/OE136</f>
        <v/>
      </c>
      <c r="OH136" s="182" t="n"/>
      <c r="OI136" s="182" t="n"/>
      <c r="OJ136" s="364" t="n"/>
      <c r="OK136" s="365">
        <f>C136</f>
        <v/>
      </c>
      <c r="OL136" s="0" t="n">
        <v>14042.65</v>
      </c>
      <c r="OM136" s="0">
        <f>OL137</f>
        <v/>
      </c>
      <c r="ON136" s="0">
        <f>OL136-OM136</f>
        <v/>
      </c>
      <c r="OO136" s="182">
        <f>ON136/OM136</f>
        <v/>
      </c>
      <c r="OP136" s="182" t="n"/>
      <c r="OQ136" s="182" t="n"/>
      <c r="OT136" s="25">
        <f>OK136</f>
        <v/>
      </c>
      <c r="OU136" s="199" t="n">
        <v>146112.4066</v>
      </c>
      <c r="OV136" s="9">
        <f>OU137</f>
        <v/>
      </c>
      <c r="OW136" s="671">
        <f>OU136-OV136</f>
        <v/>
      </c>
      <c r="OX136" s="182">
        <f>OW136/OV136</f>
        <v/>
      </c>
    </row>
    <row r="137" ht="17" customFormat="1" customHeight="1" s="9">
      <c r="A137" s="631" t="n"/>
      <c r="B137" s="631" t="n"/>
      <c r="C137" s="693" t="inlineStr">
        <is>
          <t>2026//4/28</t>
        </is>
      </c>
      <c r="D137" s="362" t="n">
        <v>3986058.77</v>
      </c>
      <c r="E137" s="362">
        <f>D138</f>
        <v/>
      </c>
      <c r="F137" s="432">
        <f>D137-E137</f>
        <v/>
      </c>
      <c r="G137" s="479">
        <f>F137/E137</f>
        <v/>
      </c>
      <c r="H137" s="19" t="n"/>
      <c r="I137" s="426" t="n"/>
      <c r="J137" s="426" t="n"/>
      <c r="K137" s="362">
        <f>C137</f>
        <v/>
      </c>
      <c r="L137" s="362" t="n">
        <v>3041524.4</v>
      </c>
      <c r="M137" s="362">
        <f>L138</f>
        <v/>
      </c>
      <c r="N137" s="377">
        <f>L137-M137</f>
        <v/>
      </c>
      <c r="O137" s="378">
        <f>N137/M137</f>
        <v/>
      </c>
      <c r="P137" s="19" t="n"/>
      <c r="Q137" s="426" t="n"/>
      <c r="R137" s="427" t="n"/>
      <c r="S137" s="362">
        <f>C137</f>
        <v/>
      </c>
      <c r="T137" s="362" t="n">
        <v>1928226.68</v>
      </c>
      <c r="U137" s="362">
        <f>T138</f>
        <v/>
      </c>
      <c r="V137" s="377">
        <f>T137-U137</f>
        <v/>
      </c>
      <c r="W137" s="378">
        <f>V137/U137</f>
        <v/>
      </c>
      <c r="X137" s="19" t="n"/>
      <c r="Y137" s="426" t="n"/>
      <c r="Z137" s="427" t="n"/>
      <c r="AA137" s="362">
        <f>S137</f>
        <v/>
      </c>
      <c r="AB137" s="362" t="n">
        <v>781696.86</v>
      </c>
      <c r="AC137" s="362">
        <f>AB138</f>
        <v/>
      </c>
      <c r="AD137" s="377">
        <f>AB137-AC137</f>
        <v/>
      </c>
      <c r="AE137" s="378">
        <f>AD137/AC137</f>
        <v/>
      </c>
      <c r="AF137" s="19" t="n"/>
      <c r="AG137" s="426" t="n"/>
      <c r="AH137" s="427" t="n"/>
      <c r="AI137" s="362">
        <f>C137</f>
        <v/>
      </c>
      <c r="AJ137" s="362" t="n">
        <v>553721.76</v>
      </c>
      <c r="AK137" s="362">
        <f>AJ138</f>
        <v/>
      </c>
      <c r="AL137" s="377">
        <f>AJ137-AK137</f>
        <v/>
      </c>
      <c r="AM137" s="378">
        <f>AL137/AK137</f>
        <v/>
      </c>
      <c r="AN137" s="19" t="n"/>
      <c r="AO137" s="19" t="n"/>
      <c r="AP137" s="427" t="n"/>
      <c r="AQ137" s="362">
        <f>C137</f>
        <v/>
      </c>
      <c r="AR137" s="697" t="n">
        <v>1248145.49</v>
      </c>
      <c r="AS137" s="362">
        <f>AR138</f>
        <v/>
      </c>
      <c r="AT137" s="377">
        <f>AR137-AS137</f>
        <v/>
      </c>
      <c r="AU137" s="378">
        <f>AT137/AS137</f>
        <v/>
      </c>
      <c r="AV137" s="19" t="n"/>
      <c r="AW137" s="19" t="n"/>
      <c r="AX137" s="5" t="n"/>
      <c r="AY137" s="5" t="n"/>
      <c r="AZ137" s="5">
        <f>C137</f>
        <v/>
      </c>
      <c r="BA137" s="5" t="n">
        <v>1866801.67</v>
      </c>
      <c r="BB137" s="5">
        <f>BA138</f>
        <v/>
      </c>
      <c r="BC137" s="5">
        <f>BA137-BB137</f>
        <v/>
      </c>
      <c r="BD137" s="19">
        <f>BC137/BB137</f>
        <v/>
      </c>
      <c r="BE137" s="19" t="n"/>
      <c r="BF137" s="19" t="n"/>
      <c r="BG137" s="647" t="n"/>
      <c r="BH137" s="363">
        <f>C137</f>
        <v/>
      </c>
      <c r="BI137" s="363" t="n">
        <v>1675326.55</v>
      </c>
      <c r="BJ137" s="363">
        <f>BI138</f>
        <v/>
      </c>
      <c r="BK137" s="395">
        <f>BI137-BJ137</f>
        <v/>
      </c>
      <c r="BL137" s="396">
        <f>BK137/BJ137</f>
        <v/>
      </c>
      <c r="BM137" s="191" t="n"/>
      <c r="BN137" s="182" t="n"/>
      <c r="BO137" s="364" t="n"/>
      <c r="BP137" s="365">
        <f>C137</f>
        <v/>
      </c>
      <c r="BQ137" s="694" t="n">
        <v>1116662.39</v>
      </c>
      <c r="BR137" s="365">
        <f>BQ138</f>
        <v/>
      </c>
      <c r="BS137" s="390">
        <f>BQ137-BR137</f>
        <v/>
      </c>
      <c r="BT137" s="391">
        <f>BS137/BR137</f>
        <v/>
      </c>
      <c r="BU137" s="182" t="n"/>
      <c r="BV137" s="182" t="n"/>
      <c r="BW137" s="364" t="n"/>
      <c r="BX137" s="365">
        <f>C137</f>
        <v/>
      </c>
      <c r="BY137" s="365" t="n">
        <v>2979560.7</v>
      </c>
      <c r="BZ137" s="365">
        <f>BY138</f>
        <v/>
      </c>
      <c r="CA137" s="390">
        <f>BY137-BZ137</f>
        <v/>
      </c>
      <c r="CB137" s="391">
        <f>CA137/BZ137</f>
        <v/>
      </c>
      <c r="CC137" s="182" t="n"/>
      <c r="CD137" s="383" t="n"/>
      <c r="CE137" s="486" t="n"/>
      <c r="CF137" s="384">
        <f>C137</f>
        <v/>
      </c>
      <c r="CG137" s="185" t="n">
        <v>1346453.9</v>
      </c>
      <c r="CH137" s="185">
        <f>CG138</f>
        <v/>
      </c>
      <c r="CI137" s="13">
        <f>CG137-CH137</f>
        <v/>
      </c>
      <c r="CJ137" s="193">
        <f>CI137/CH137</f>
        <v/>
      </c>
      <c r="CK137" s="182" t="n"/>
      <c r="CL137" s="366" t="n"/>
      <c r="CM137" s="364" t="n"/>
      <c r="CN137" s="365">
        <f>C137</f>
        <v/>
      </c>
      <c r="CO137" s="365" t="n">
        <v>646646.48</v>
      </c>
      <c r="CP137" s="365">
        <f>CO138</f>
        <v/>
      </c>
      <c r="CQ137" s="13">
        <f>CO137-CP137</f>
        <v/>
      </c>
      <c r="CR137" s="193">
        <f>CQ137/CP137</f>
        <v/>
      </c>
      <c r="CS137" s="366" t="n"/>
      <c r="CT137" s="366" t="n"/>
      <c r="CU137" s="364" t="n"/>
      <c r="CV137" s="365">
        <f>C137</f>
        <v/>
      </c>
      <c r="CW137" s="365" t="n">
        <v>574140.4</v>
      </c>
      <c r="CX137" s="365">
        <f>CW138</f>
        <v/>
      </c>
      <c r="CY137" s="390">
        <f>CW137-CX137</f>
        <v/>
      </c>
      <c r="CZ137" s="391">
        <f>CY137/CX137</f>
        <v/>
      </c>
      <c r="DA137" s="182" t="n"/>
      <c r="DB137" s="182" t="n"/>
      <c r="DC137" s="256" t="n"/>
      <c r="DD137" s="365">
        <f>C137</f>
        <v/>
      </c>
      <c r="DE137" s="365" t="n">
        <v>2217918</v>
      </c>
      <c r="DF137" s="13">
        <f>DE138</f>
        <v/>
      </c>
      <c r="DG137" s="388">
        <f>DE137-DF137</f>
        <v/>
      </c>
      <c r="DH137" s="389">
        <f>DG137/DF137</f>
        <v/>
      </c>
      <c r="DI137" s="182" t="n"/>
      <c r="DJ137" s="182" t="n"/>
      <c r="DK137" s="364" t="n"/>
      <c r="DL137" s="365">
        <f>C137</f>
        <v/>
      </c>
      <c r="DM137" s="365" t="n">
        <v>1114900.36</v>
      </c>
      <c r="DN137" s="365">
        <f>DM138</f>
        <v/>
      </c>
      <c r="DO137" s="388">
        <f>DM137-DN137</f>
        <v/>
      </c>
      <c r="DP137" s="389">
        <f>DO137/DN137</f>
        <v/>
      </c>
      <c r="DQ137" s="182" t="n"/>
      <c r="DR137" s="182" t="n"/>
      <c r="DS137" s="364" t="n"/>
      <c r="DT137" s="365">
        <f>C137</f>
        <v/>
      </c>
      <c r="DU137" s="365" t="n">
        <v>1418789.48</v>
      </c>
      <c r="DV137" s="365">
        <f>DU138</f>
        <v/>
      </c>
      <c r="DW137" s="390">
        <f>DU137-DV137</f>
        <v/>
      </c>
      <c r="DX137" s="391">
        <f>DW137/DV137</f>
        <v/>
      </c>
      <c r="DY137" s="182" t="n"/>
      <c r="DZ137" s="182" t="n"/>
      <c r="EA137" s="364" t="n"/>
      <c r="EB137" s="365">
        <f>C137</f>
        <v/>
      </c>
      <c r="EC137" s="365" t="n">
        <v>4467866.82</v>
      </c>
      <c r="ED137" s="365">
        <f>EC138</f>
        <v/>
      </c>
      <c r="EE137" s="390">
        <f>EC137-ED137</f>
        <v/>
      </c>
      <c r="EF137" s="391">
        <f>EE137/ED137</f>
        <v/>
      </c>
      <c r="EG137" s="182" t="n"/>
      <c r="EH137" s="182" t="n"/>
      <c r="EI137" s="364" t="n"/>
      <c r="EJ137" s="365">
        <f>C137</f>
        <v/>
      </c>
      <c r="EK137" s="365" t="n">
        <v>1333322.97</v>
      </c>
      <c r="EL137" s="365">
        <f>EK138</f>
        <v/>
      </c>
      <c r="EM137" s="390">
        <f>EK137-EL137</f>
        <v/>
      </c>
      <c r="EN137" s="391">
        <f>EM137/EL137</f>
        <v/>
      </c>
      <c r="EO137" s="182" t="n"/>
      <c r="EP137" s="182" t="n"/>
      <c r="EQ137" s="182" t="n"/>
      <c r="ER137" s="9">
        <f>C137</f>
        <v/>
      </c>
      <c r="ES137" s="182" t="n">
        <v>439397.02</v>
      </c>
      <c r="ET137" s="182">
        <f>ES138</f>
        <v/>
      </c>
      <c r="EU137" s="182">
        <f>ES137-ET137</f>
        <v/>
      </c>
      <c r="EV137" s="182">
        <f>EU137/ET137</f>
        <v/>
      </c>
      <c r="EW137" s="182" t="n"/>
      <c r="EX137" s="182" t="n"/>
      <c r="EY137" s="364" t="n"/>
      <c r="EZ137" s="365">
        <f>C137</f>
        <v/>
      </c>
      <c r="FA137" s="365" t="n">
        <v>706908</v>
      </c>
      <c r="FB137" s="365">
        <f>FA138</f>
        <v/>
      </c>
      <c r="FC137" s="390">
        <f>FA137-FB137</f>
        <v/>
      </c>
      <c r="FD137" s="391">
        <f>FC137/FB137</f>
        <v/>
      </c>
      <c r="FE137" s="182" t="n"/>
      <c r="FF137" s="182" t="n"/>
      <c r="FG137" s="182" t="n"/>
      <c r="FH137" s="384">
        <f>C137</f>
        <v/>
      </c>
      <c r="FI137" s="707" t="n">
        <v>1253395.34</v>
      </c>
      <c r="FJ137" s="365">
        <f>FI138</f>
        <v/>
      </c>
      <c r="FK137" s="323">
        <f>FI137-FJ137</f>
        <v/>
      </c>
      <c r="FL137" s="324">
        <f>FK137/FJ137</f>
        <v/>
      </c>
      <c r="FM137" s="488" t="n"/>
      <c r="FN137" s="488" t="n"/>
      <c r="FO137" s="364" t="n"/>
      <c r="FP137" s="365">
        <f>C137</f>
        <v/>
      </c>
      <c r="FQ137" s="365" t="n">
        <v>2046718.73</v>
      </c>
      <c r="FR137" s="365">
        <f>FQ138</f>
        <v/>
      </c>
      <c r="FS137" s="390">
        <f>FQ137-FR137</f>
        <v/>
      </c>
      <c r="FT137" s="391">
        <f>FS137/FR137</f>
        <v/>
      </c>
      <c r="FU137" s="182" t="n"/>
      <c r="FV137" s="182" t="n"/>
      <c r="FW137" s="364" t="n"/>
      <c r="FX137" s="365">
        <f>C137</f>
        <v/>
      </c>
      <c r="FY137" s="365" t="n">
        <v>8182782.05</v>
      </c>
      <c r="FZ137" s="365">
        <f>FY138</f>
        <v/>
      </c>
      <c r="GA137" s="390">
        <f>FY137-FZ137</f>
        <v/>
      </c>
      <c r="GB137" s="391">
        <f>GA137/FZ137</f>
        <v/>
      </c>
      <c r="GC137" s="182" t="n"/>
      <c r="GD137" s="182" t="n"/>
      <c r="GE137" s="364" t="n"/>
      <c r="GF137" s="365">
        <f>C137</f>
        <v/>
      </c>
      <c r="GG137" s="365" t="n">
        <v>4607869.49</v>
      </c>
      <c r="GH137" s="365">
        <f>GG138</f>
        <v/>
      </c>
      <c r="GI137" s="390">
        <f>GG137-GH137</f>
        <v/>
      </c>
      <c r="GJ137" s="391">
        <f>GI137/GH137</f>
        <v/>
      </c>
      <c r="GK137" s="182" t="n"/>
      <c r="GL137" s="182" t="n"/>
      <c r="GM137" s="364" t="n"/>
      <c r="GN137" s="365">
        <f>C137</f>
        <v/>
      </c>
      <c r="GO137" s="365" t="n">
        <v>1824958.12</v>
      </c>
      <c r="GP137" s="365">
        <f>GO138</f>
        <v/>
      </c>
      <c r="GQ137" s="390">
        <f>GO137-GP137</f>
        <v/>
      </c>
      <c r="GR137" s="391">
        <f>GQ137/GP137</f>
        <v/>
      </c>
      <c r="GS137" s="182" t="n"/>
      <c r="GT137" s="182" t="n"/>
      <c r="GU137" s="364" t="n"/>
      <c r="GV137" s="365">
        <f>C137</f>
        <v/>
      </c>
      <c r="GW137" s="365" t="n">
        <v>889549.4</v>
      </c>
      <c r="GX137" s="365">
        <f>GW138</f>
        <v/>
      </c>
      <c r="GY137" s="388">
        <f>GW137-GX137</f>
        <v/>
      </c>
      <c r="GZ137" s="389">
        <f>GY137/GX137</f>
        <v/>
      </c>
      <c r="HA137" s="182" t="n"/>
      <c r="HB137" s="182" t="n"/>
      <c r="HC137" s="364" t="n"/>
      <c r="HD137" s="365">
        <f>C137</f>
        <v/>
      </c>
      <c r="HE137" s="365" t="n">
        <v>1259864.67</v>
      </c>
      <c r="HF137" s="365">
        <f>HE138</f>
        <v/>
      </c>
      <c r="HG137" s="388">
        <f>HE137-HF137</f>
        <v/>
      </c>
      <c r="HH137" s="389">
        <f>HG137/HF137</f>
        <v/>
      </c>
      <c r="HI137" s="366" t="n"/>
      <c r="HJ137" s="182" t="n"/>
      <c r="HK137" s="364" t="n"/>
      <c r="HL137" s="365">
        <f>C137</f>
        <v/>
      </c>
      <c r="HM137" s="365" t="n">
        <v>140004.25</v>
      </c>
      <c r="HN137" s="365">
        <f>HM138</f>
        <v/>
      </c>
      <c r="HO137" s="388">
        <f>HM137-HN137</f>
        <v/>
      </c>
      <c r="HP137" s="389">
        <f>HO137/HN137</f>
        <v/>
      </c>
      <c r="HQ137" s="182" t="n"/>
      <c r="HR137" s="182" t="n"/>
      <c r="HS137" s="364" t="n"/>
      <c r="HT137" s="365">
        <f>C137</f>
        <v/>
      </c>
      <c r="HU137" s="365" t="n">
        <v>206268.83</v>
      </c>
      <c r="HV137" s="365">
        <f>HU138</f>
        <v/>
      </c>
      <c r="HW137" s="388">
        <f>HU137-HV137</f>
        <v/>
      </c>
      <c r="HX137" s="389">
        <f>HW137/HV137</f>
        <v/>
      </c>
      <c r="HY137" s="182" t="n"/>
      <c r="HZ137" s="182" t="n"/>
      <c r="IA137" s="364" t="n"/>
      <c r="IB137" s="365">
        <f>C137</f>
        <v/>
      </c>
      <c r="IC137" s="0" t="n">
        <v>359509.79</v>
      </c>
      <c r="ID137" s="0">
        <f>IC138</f>
        <v/>
      </c>
      <c r="IE137" s="365">
        <f>IC137-ID137</f>
        <v/>
      </c>
      <c r="IF137" s="366">
        <f>IE137/ID137</f>
        <v/>
      </c>
      <c r="IG137" s="182" t="n"/>
      <c r="IH137" s="182" t="n"/>
      <c r="II137" s="364" t="n"/>
      <c r="IJ137" s="365">
        <f>C137</f>
        <v/>
      </c>
      <c r="IK137" s="365" t="n">
        <v>613436.29</v>
      </c>
      <c r="IL137" s="365">
        <f>IK138</f>
        <v/>
      </c>
      <c r="IM137" s="388">
        <f>IK137-IL137</f>
        <v/>
      </c>
      <c r="IN137" s="389">
        <f>IM137/IL137</f>
        <v/>
      </c>
      <c r="IO137" s="182" t="n"/>
      <c r="IP137" s="182" t="n"/>
      <c r="IQ137" s="364" t="n"/>
      <c r="IR137" s="365">
        <f>C137</f>
        <v/>
      </c>
      <c r="IS137" s="365" t="n">
        <v>139789</v>
      </c>
      <c r="IT137" s="365">
        <f>IS138</f>
        <v/>
      </c>
      <c r="IU137" s="384">
        <f>IS137-IT137</f>
        <v/>
      </c>
      <c r="IV137" s="383">
        <f>IU137/IT137</f>
        <v/>
      </c>
      <c r="IW137" s="182" t="n"/>
      <c r="IX137" s="182" t="n"/>
      <c r="IY137" s="364" t="n"/>
      <c r="IZ137" s="365">
        <f>C137</f>
        <v/>
      </c>
      <c r="JA137" s="365" t="n">
        <v>4907029.15</v>
      </c>
      <c r="JB137" s="365">
        <f>JA138</f>
        <v/>
      </c>
      <c r="JC137" s="390">
        <f>JA137-JB137</f>
        <v/>
      </c>
      <c r="JD137" s="391">
        <f>JC137/JB137</f>
        <v/>
      </c>
      <c r="JE137" s="182" t="n"/>
      <c r="JF137" s="182" t="n"/>
      <c r="JG137" s="364" t="n"/>
      <c r="JH137" s="365">
        <f>C137</f>
        <v/>
      </c>
      <c r="JI137" s="365" t="n">
        <v>1333947.99</v>
      </c>
      <c r="JJ137" s="365">
        <f>JI138</f>
        <v/>
      </c>
      <c r="JK137" s="390">
        <f>JI137-JJ137</f>
        <v/>
      </c>
      <c r="JL137" s="391">
        <f>JK137/JJ137</f>
        <v/>
      </c>
      <c r="JM137" s="182" t="n"/>
      <c r="JN137" s="182" t="n"/>
      <c r="JO137" s="182" t="n"/>
      <c r="JP137" s="365">
        <f>C137</f>
        <v/>
      </c>
      <c r="JQ137" s="365" t="n">
        <v>1031590.41</v>
      </c>
      <c r="JR137" s="365">
        <f>JQ138</f>
        <v/>
      </c>
      <c r="JS137" s="390">
        <f>JQ137-JR137</f>
        <v/>
      </c>
      <c r="JT137" s="391">
        <f>JS137/JR137</f>
        <v/>
      </c>
      <c r="JU137" s="182" t="n"/>
      <c r="JV137" s="182" t="n"/>
      <c r="JW137" s="383" t="n"/>
      <c r="JX137" s="365">
        <f>C137</f>
        <v/>
      </c>
      <c r="JY137" s="365" t="n">
        <v>1183298.8</v>
      </c>
      <c r="JZ137" s="365">
        <f>JY138</f>
        <v/>
      </c>
      <c r="KA137" s="390">
        <f>JY137-JZ137</f>
        <v/>
      </c>
      <c r="KB137" s="391">
        <f>KA137/JZ137</f>
        <v/>
      </c>
      <c r="KC137" s="182" t="n"/>
      <c r="KD137" s="182" t="n"/>
      <c r="KE137" s="383" t="n"/>
      <c r="KF137" s="365">
        <f>C137</f>
        <v/>
      </c>
      <c r="KG137" s="365" t="n">
        <v>732555.92</v>
      </c>
      <c r="KH137" s="365">
        <f>KG138</f>
        <v/>
      </c>
      <c r="KI137" s="384">
        <f>KG137-KH137</f>
        <v/>
      </c>
      <c r="KJ137" s="383">
        <f>KI137/KH137</f>
        <v/>
      </c>
      <c r="KK137" s="366" t="n"/>
      <c r="KL137" s="366" t="n"/>
      <c r="KM137" s="364" t="n"/>
      <c r="KN137" s="365">
        <f>C137</f>
        <v/>
      </c>
      <c r="KO137" s="365" t="n">
        <v>8328775.95</v>
      </c>
      <c r="KP137" s="365">
        <f>KO138</f>
        <v/>
      </c>
      <c r="KQ137" s="390">
        <f>KO137-KP137</f>
        <v/>
      </c>
      <c r="KR137" s="383">
        <f>KQ137/KP137</f>
        <v/>
      </c>
      <c r="KS137" s="182" t="n"/>
      <c r="KT137" s="182" t="n"/>
      <c r="KV137" s="9">
        <f>C137</f>
        <v/>
      </c>
      <c r="KW137" s="0" t="n">
        <v>997972.97</v>
      </c>
      <c r="KX137" s="0">
        <f>KW138</f>
        <v/>
      </c>
      <c r="KY137" s="0">
        <f>KW137-KX137</f>
        <v/>
      </c>
      <c r="KZ137" s="182">
        <f>KY137/KX137</f>
        <v/>
      </c>
      <c r="LA137" s="182" t="n"/>
      <c r="LB137" s="182" t="n"/>
      <c r="LC137" s="364" t="n"/>
      <c r="LD137" s="365">
        <f>C137</f>
        <v/>
      </c>
      <c r="LE137" s="365" t="n">
        <v>473307.7</v>
      </c>
      <c r="LF137" s="365">
        <f>LE138</f>
        <v/>
      </c>
      <c r="LG137" s="388">
        <f>LE137-LF137</f>
        <v/>
      </c>
      <c r="LH137" s="389">
        <f>LG137/LF137</f>
        <v/>
      </c>
      <c r="LI137" s="182" t="n"/>
      <c r="LJ137" s="182" t="n"/>
      <c r="LK137" s="364" t="n"/>
      <c r="LL137" s="365">
        <f>C137</f>
        <v/>
      </c>
      <c r="LM137" s="694" t="n">
        <v>3552775.02</v>
      </c>
      <c r="LN137" s="365">
        <f>LM138</f>
        <v/>
      </c>
      <c r="LO137" s="390">
        <f>LM137-LN137</f>
        <v/>
      </c>
      <c r="LP137" s="391">
        <f>LO137/LN137</f>
        <v/>
      </c>
      <c r="LQ137" s="182" t="n"/>
      <c r="LR137" s="182" t="n"/>
      <c r="LS137" s="364" t="n"/>
      <c r="LT137" s="365">
        <f>C137</f>
        <v/>
      </c>
      <c r="LU137" s="365" t="n">
        <v>2519462.9</v>
      </c>
      <c r="LV137" s="365">
        <f>LU138</f>
        <v/>
      </c>
      <c r="LW137" s="390">
        <f>LU137-LV137</f>
        <v/>
      </c>
      <c r="LX137" s="391">
        <f>LW137/LV137</f>
        <v/>
      </c>
      <c r="LY137" s="182" t="n"/>
      <c r="LZ137" s="182" t="n"/>
      <c r="MA137" s="364" t="n"/>
      <c r="MB137" s="365">
        <f>C137</f>
        <v/>
      </c>
      <c r="MC137" s="365" t="n">
        <v>803667.6899999999</v>
      </c>
      <c r="MD137" s="365">
        <f>MC138</f>
        <v/>
      </c>
      <c r="ME137" s="388">
        <f>MC137-MD137</f>
        <v/>
      </c>
      <c r="MF137" s="389">
        <f>ME137/MD137</f>
        <v/>
      </c>
      <c r="MG137" s="182" t="n"/>
      <c r="MH137" s="182" t="n"/>
      <c r="MI137" s="364" t="n"/>
      <c r="MJ137" s="364" t="n"/>
      <c r="MK137" s="365">
        <f>C137</f>
        <v/>
      </c>
      <c r="ML137" s="364" t="n">
        <v>216825.54</v>
      </c>
      <c r="MM137" s="187">
        <f>ML138</f>
        <v/>
      </c>
      <c r="MN137" s="364">
        <f>ML137-MM137</f>
        <v/>
      </c>
      <c r="MO137" s="366">
        <f>MN137/MM137</f>
        <v/>
      </c>
      <c r="MP137" s="366" t="n"/>
      <c r="MQ137" s="366" t="n"/>
      <c r="MR137" s="366" t="n"/>
      <c r="MS137" s="366" t="n"/>
      <c r="MT137" s="25">
        <f>C137</f>
        <v/>
      </c>
      <c r="MU137" s="0" t="n">
        <v>204714.8</v>
      </c>
      <c r="MV137" s="0">
        <f>MU138</f>
        <v/>
      </c>
      <c r="MW137" s="0">
        <f>MU137-MV137</f>
        <v/>
      </c>
      <c r="MX137" s="182">
        <f>MW137/MV137</f>
        <v/>
      </c>
      <c r="MY137" s="182" t="n"/>
      <c r="MZ137" s="182" t="n"/>
      <c r="NA137" s="182" t="n"/>
      <c r="NB137" s="182" t="n"/>
      <c r="NC137" s="9">
        <f>C137</f>
        <v/>
      </c>
      <c r="ND137" s="0" t="n">
        <v>41691.48</v>
      </c>
      <c r="NE137" s="0">
        <f>ND138</f>
        <v/>
      </c>
      <c r="NF137" s="0">
        <f>ND137-NE137</f>
        <v/>
      </c>
      <c r="NG137" s="182">
        <f>NF137/NE137</f>
        <v/>
      </c>
      <c r="NH137" s="182" t="n"/>
      <c r="NI137" s="182" t="n"/>
      <c r="NJ137" s="182" t="n"/>
      <c r="NK137" s="182" t="n"/>
      <c r="NL137" s="9" t="n"/>
      <c r="NM137" s="9">
        <f>C137</f>
        <v/>
      </c>
      <c r="NN137" s="0" t="n">
        <v>2568811.08</v>
      </c>
      <c r="NO137" s="0">
        <f>NN138</f>
        <v/>
      </c>
      <c r="NP137" s="0">
        <f>NN137-NO137</f>
        <v/>
      </c>
      <c r="NQ137" s="182">
        <f>NP137/NO137</f>
        <v/>
      </c>
      <c r="NR137" s="182" t="n"/>
      <c r="NS137" s="9" t="n"/>
      <c r="NU137" s="9">
        <f>C137</f>
        <v/>
      </c>
      <c r="NV137" s="364" t="n">
        <v>263126.5</v>
      </c>
      <c r="NW137" s="364">
        <f>NV138</f>
        <v/>
      </c>
      <c r="NX137" s="364">
        <f>NV137-NW137</f>
        <v/>
      </c>
      <c r="NY137" s="366">
        <f>NX137/NW137</f>
        <v/>
      </c>
      <c r="NZ137" s="366" t="n"/>
      <c r="OA137" s="364" t="n"/>
      <c r="OB137" s="364" t="n"/>
      <c r="OC137" s="365">
        <f>C137</f>
        <v/>
      </c>
      <c r="OD137" s="365" t="n">
        <v>14388.97</v>
      </c>
      <c r="OE137" s="365">
        <f>OD138</f>
        <v/>
      </c>
      <c r="OF137" s="388">
        <f>OD137-OE137</f>
        <v/>
      </c>
      <c r="OG137" s="389">
        <f>OF137/OE137</f>
        <v/>
      </c>
      <c r="OH137" s="182" t="n"/>
      <c r="OI137" s="182" t="n"/>
      <c r="OJ137" s="364" t="n"/>
      <c r="OK137" s="365">
        <f>C137</f>
        <v/>
      </c>
      <c r="OL137" s="0" t="n">
        <v>14042.65</v>
      </c>
      <c r="OM137" s="0">
        <f>OL138</f>
        <v/>
      </c>
      <c r="ON137" s="0">
        <f>OL137-OM137</f>
        <v/>
      </c>
      <c r="OO137" s="182">
        <f>ON137/OM137</f>
        <v/>
      </c>
      <c r="OP137" s="182" t="n"/>
      <c r="OQ137" s="182" t="n"/>
      <c r="OT137" s="25">
        <f>OK137</f>
        <v/>
      </c>
      <c r="OU137" s="199" t="n">
        <v>145992.4066</v>
      </c>
      <c r="OV137" s="9">
        <f>OU138</f>
        <v/>
      </c>
      <c r="OW137" s="671">
        <f>OU137-OV137</f>
        <v/>
      </c>
      <c r="OX137" s="182">
        <f>OW137/OV137</f>
        <v/>
      </c>
    </row>
    <row r="138" ht="17" customFormat="1" customHeight="1" s="9">
      <c r="A138" s="631" t="n"/>
      <c r="B138" s="631" t="n"/>
      <c r="C138" s="693" t="inlineStr">
        <is>
          <t>2026//4/27</t>
        </is>
      </c>
      <c r="D138" s="362" t="n">
        <v>4036278.77</v>
      </c>
      <c r="E138" s="362">
        <f>D139</f>
        <v/>
      </c>
      <c r="F138" s="432">
        <f>D138-E138</f>
        <v/>
      </c>
      <c r="G138" s="479">
        <f>F138/E138</f>
        <v/>
      </c>
      <c r="H138" s="19" t="n"/>
      <c r="I138" s="426" t="n"/>
      <c r="J138" s="426" t="n"/>
      <c r="K138" s="362">
        <f>C138</f>
        <v/>
      </c>
      <c r="L138" s="362" t="n">
        <v>3059884.4</v>
      </c>
      <c r="M138" s="362">
        <f>L139</f>
        <v/>
      </c>
      <c r="N138" s="377">
        <f>L138-M138</f>
        <v/>
      </c>
      <c r="O138" s="378">
        <f>N138/M138</f>
        <v/>
      </c>
      <c r="P138" s="19" t="n"/>
      <c r="Q138" s="426" t="n"/>
      <c r="R138" s="427" t="n"/>
      <c r="S138" s="362">
        <f>C138</f>
        <v/>
      </c>
      <c r="T138" s="362" t="n">
        <v>2015526.68</v>
      </c>
      <c r="U138" s="362">
        <f>T139</f>
        <v/>
      </c>
      <c r="V138" s="377">
        <f>T138-U138</f>
        <v/>
      </c>
      <c r="W138" s="378">
        <f>V138/U138</f>
        <v/>
      </c>
      <c r="X138" s="19" t="n"/>
      <c r="Y138" s="426" t="n"/>
      <c r="Z138" s="427" t="n"/>
      <c r="AA138" s="362">
        <f>S138</f>
        <v/>
      </c>
      <c r="AB138" s="362" t="n">
        <v>819576.86</v>
      </c>
      <c r="AC138" s="362">
        <f>AB139</f>
        <v/>
      </c>
      <c r="AD138" s="377">
        <f>AB138-AC138</f>
        <v/>
      </c>
      <c r="AE138" s="378">
        <f>AD138/AC138</f>
        <v/>
      </c>
      <c r="AF138" s="19" t="n"/>
      <c r="AG138" s="426" t="n"/>
      <c r="AH138" s="427" t="n"/>
      <c r="AI138" s="362">
        <f>C138</f>
        <v/>
      </c>
      <c r="AJ138" s="362" t="n">
        <v>601521.76</v>
      </c>
      <c r="AK138" s="362">
        <f>AJ139</f>
        <v/>
      </c>
      <c r="AL138" s="377">
        <f>AJ138-AK138</f>
        <v/>
      </c>
      <c r="AM138" s="378">
        <f>AL138/AK138</f>
        <v/>
      </c>
      <c r="AN138" s="19" t="n"/>
      <c r="AO138" s="19" t="n"/>
      <c r="AP138" s="427" t="n"/>
      <c r="AQ138" s="362">
        <f>C138</f>
        <v/>
      </c>
      <c r="AR138" s="697" t="n">
        <v>1259945.49</v>
      </c>
      <c r="AS138" s="362">
        <f>AR139</f>
        <v/>
      </c>
      <c r="AT138" s="432">
        <f>AR138-AS138</f>
        <v/>
      </c>
      <c r="AU138" s="433">
        <f>AT138/AS138</f>
        <v/>
      </c>
      <c r="AV138" s="19" t="n"/>
      <c r="AW138" s="19" t="n"/>
      <c r="AX138" s="5" t="n"/>
      <c r="AY138" s="5" t="n"/>
      <c r="AZ138" s="5">
        <f>C138</f>
        <v/>
      </c>
      <c r="BA138" s="5" t="n">
        <v>1889661.67</v>
      </c>
      <c r="BB138" s="5">
        <f>BA139</f>
        <v/>
      </c>
      <c r="BC138" s="5">
        <f>BA138-BB138</f>
        <v/>
      </c>
      <c r="BD138" s="19">
        <f>BC138/BB138</f>
        <v/>
      </c>
      <c r="BE138" s="19" t="n"/>
      <c r="BF138" s="19" t="n"/>
      <c r="BG138" s="647" t="n"/>
      <c r="BH138" s="363">
        <f>C138</f>
        <v/>
      </c>
      <c r="BI138" s="363" t="n">
        <v>1688526.55</v>
      </c>
      <c r="BJ138" s="363">
        <f>BI139</f>
        <v/>
      </c>
      <c r="BK138" s="395">
        <f>BI138-BJ138</f>
        <v/>
      </c>
      <c r="BL138" s="396">
        <f>BK138/BJ138</f>
        <v/>
      </c>
      <c r="BM138" s="191" t="n"/>
      <c r="BN138" s="182" t="n"/>
      <c r="BO138" s="364" t="n"/>
      <c r="BP138" s="365">
        <f>C138</f>
        <v/>
      </c>
      <c r="BQ138" s="694" t="n">
        <v>1104562.39</v>
      </c>
      <c r="BR138" s="365">
        <f>BQ139</f>
        <v/>
      </c>
      <c r="BS138" s="388">
        <f>BQ138-BR138</f>
        <v/>
      </c>
      <c r="BT138" s="389">
        <f>BS138/BR138</f>
        <v/>
      </c>
      <c r="BU138" s="182" t="n"/>
      <c r="BV138" s="182" t="n"/>
      <c r="BW138" s="364" t="n"/>
      <c r="BX138" s="365">
        <f>C138</f>
        <v/>
      </c>
      <c r="BY138" s="365" t="n">
        <v>2983760.7</v>
      </c>
      <c r="BZ138" s="365">
        <f>BY139</f>
        <v/>
      </c>
      <c r="CA138" s="390">
        <f>BY138-BZ138</f>
        <v/>
      </c>
      <c r="CB138" s="391">
        <f>CA138/BZ138</f>
        <v/>
      </c>
      <c r="CC138" s="182" t="n"/>
      <c r="CD138" s="383" t="n"/>
      <c r="CE138" s="486" t="n"/>
      <c r="CF138" s="384">
        <f>C138</f>
        <v/>
      </c>
      <c r="CG138" s="185" t="n">
        <v>1360503.9</v>
      </c>
      <c r="CH138" s="185">
        <f>CG139</f>
        <v/>
      </c>
      <c r="CI138" s="13">
        <f>CG138-CH138</f>
        <v/>
      </c>
      <c r="CJ138" s="193">
        <f>CI138/CH138</f>
        <v/>
      </c>
      <c r="CK138" s="182" t="n"/>
      <c r="CL138" s="366" t="n"/>
      <c r="CM138" s="364" t="n"/>
      <c r="CN138" s="365">
        <f>C138</f>
        <v/>
      </c>
      <c r="CO138" s="365" t="n">
        <v>651246.48</v>
      </c>
      <c r="CP138" s="365">
        <f>CO139</f>
        <v/>
      </c>
      <c r="CQ138" s="13">
        <f>CO138-CP138</f>
        <v/>
      </c>
      <c r="CR138" s="193">
        <f>CQ138/CP138</f>
        <v/>
      </c>
      <c r="CS138" s="366" t="n"/>
      <c r="CT138" s="366" t="n"/>
      <c r="CU138" s="364" t="n"/>
      <c r="CV138" s="365">
        <f>C138</f>
        <v/>
      </c>
      <c r="CW138" s="365" t="n">
        <v>578440.4</v>
      </c>
      <c r="CX138" s="365">
        <f>CW139</f>
        <v/>
      </c>
      <c r="CY138" s="390">
        <f>CW138-CX138</f>
        <v/>
      </c>
      <c r="CZ138" s="391">
        <f>CY138/CX138</f>
        <v/>
      </c>
      <c r="DA138" s="182" t="n"/>
      <c r="DB138" s="182" t="n"/>
      <c r="DC138" s="256" t="n"/>
      <c r="DD138" s="365">
        <f>C138</f>
        <v/>
      </c>
      <c r="DE138" s="365" t="n">
        <v>2224118</v>
      </c>
      <c r="DF138" s="13">
        <f>DE139</f>
        <v/>
      </c>
      <c r="DG138" s="388">
        <f>DE138-DF138</f>
        <v/>
      </c>
      <c r="DH138" s="389">
        <f>DG138/DF138</f>
        <v/>
      </c>
      <c r="DI138" s="182" t="n"/>
      <c r="DJ138" s="182" t="n"/>
      <c r="DK138" s="364" t="n"/>
      <c r="DL138" s="365">
        <f>C138</f>
        <v/>
      </c>
      <c r="DM138" s="365" t="n">
        <v>1127300.36</v>
      </c>
      <c r="DN138" s="365">
        <f>DM139</f>
        <v/>
      </c>
      <c r="DO138" s="390">
        <f>DM138-DN138</f>
        <v/>
      </c>
      <c r="DP138" s="391">
        <f>DO138/DN138</f>
        <v/>
      </c>
      <c r="DQ138" s="182" t="n"/>
      <c r="DR138" s="182" t="n"/>
      <c r="DS138" s="364" t="n"/>
      <c r="DT138" s="365">
        <f>C138</f>
        <v/>
      </c>
      <c r="DU138" s="365" t="n">
        <v>1434989.48</v>
      </c>
      <c r="DV138" s="365">
        <f>DU139</f>
        <v/>
      </c>
      <c r="DW138" s="388">
        <f>DU138-DV138</f>
        <v/>
      </c>
      <c r="DX138" s="389">
        <f>DW138/DV138</f>
        <v/>
      </c>
      <c r="DY138" s="182" t="n"/>
      <c r="DZ138" s="182" t="n"/>
      <c r="EA138" s="364" t="n"/>
      <c r="EB138" s="365">
        <f>C138</f>
        <v/>
      </c>
      <c r="EC138" s="365" t="n">
        <v>4478666.82</v>
      </c>
      <c r="ED138" s="365">
        <f>EC139</f>
        <v/>
      </c>
      <c r="EE138" s="390">
        <f>EC138-ED138</f>
        <v/>
      </c>
      <c r="EF138" s="391">
        <f>EE138/ED138</f>
        <v/>
      </c>
      <c r="EG138" s="182" t="n"/>
      <c r="EH138" s="182" t="n"/>
      <c r="EI138" s="364" t="n"/>
      <c r="EJ138" s="365">
        <f>C138</f>
        <v/>
      </c>
      <c r="EK138" s="365" t="n">
        <v>1332322.97</v>
      </c>
      <c r="EL138" s="365">
        <f>EK139</f>
        <v/>
      </c>
      <c r="EM138" s="390">
        <f>EK138-EL138</f>
        <v/>
      </c>
      <c r="EN138" s="391">
        <f>EM138/EL138</f>
        <v/>
      </c>
      <c r="EO138" s="182" t="n"/>
      <c r="EP138" s="182" t="n"/>
      <c r="EQ138" s="182" t="n"/>
      <c r="ER138" s="9">
        <f>C138</f>
        <v/>
      </c>
      <c r="ES138" s="182" t="n">
        <v>440447.02</v>
      </c>
      <c r="ET138" s="182">
        <f>ES139</f>
        <v/>
      </c>
      <c r="EU138" s="182">
        <f>ES138-ET138</f>
        <v/>
      </c>
      <c r="EV138" s="182">
        <f>EU138/ET138</f>
        <v/>
      </c>
      <c r="EW138" s="182" t="n"/>
      <c r="EX138" s="182" t="n"/>
      <c r="EY138" s="364" t="n"/>
      <c r="EZ138" s="365">
        <f>C138</f>
        <v/>
      </c>
      <c r="FA138" s="365" t="n">
        <v>709608</v>
      </c>
      <c r="FB138" s="365">
        <f>FA139</f>
        <v/>
      </c>
      <c r="FC138" s="388">
        <f>FA138-FB138</f>
        <v/>
      </c>
      <c r="FD138" s="389">
        <f>FC138/FB138</f>
        <v/>
      </c>
      <c r="FE138" s="182" t="n"/>
      <c r="FF138" s="182" t="n"/>
      <c r="FG138" s="182" t="n"/>
      <c r="FH138" s="384">
        <f>C138</f>
        <v/>
      </c>
      <c r="FI138" s="707" t="n">
        <v>1257195.33</v>
      </c>
      <c r="FJ138" s="365">
        <f>FI139</f>
        <v/>
      </c>
      <c r="FK138" s="9">
        <f>FI138-FJ138</f>
        <v/>
      </c>
      <c r="FL138" s="182">
        <f>FK138/FJ138</f>
        <v/>
      </c>
      <c r="FM138" s="488" t="n"/>
      <c r="FN138" s="488" t="n"/>
      <c r="FO138" s="364" t="n"/>
      <c r="FP138" s="365">
        <f>C138</f>
        <v/>
      </c>
      <c r="FQ138" s="365" t="n">
        <v>2032468.73</v>
      </c>
      <c r="FR138" s="365">
        <f>FQ139</f>
        <v/>
      </c>
      <c r="FS138" s="390">
        <f>FQ138-FR138</f>
        <v/>
      </c>
      <c r="FT138" s="391">
        <f>FS138/FR138</f>
        <v/>
      </c>
      <c r="FU138" s="182" t="n"/>
      <c r="FV138" s="182" t="n"/>
      <c r="FW138" s="364" t="n"/>
      <c r="FX138" s="365">
        <f>C138</f>
        <v/>
      </c>
      <c r="FY138" s="365" t="n">
        <v>8262282.05</v>
      </c>
      <c r="FZ138" s="365">
        <f>FY139</f>
        <v/>
      </c>
      <c r="GA138" s="388">
        <f>FY138-FZ138</f>
        <v/>
      </c>
      <c r="GB138" s="389">
        <f>GA138/FZ138</f>
        <v/>
      </c>
      <c r="GC138" s="182" t="n"/>
      <c r="GD138" s="182" t="n"/>
      <c r="GE138" s="364" t="n"/>
      <c r="GF138" s="365">
        <f>C138</f>
        <v/>
      </c>
      <c r="GG138" s="365" t="n">
        <v>4673769.49</v>
      </c>
      <c r="GH138" s="365">
        <f>GG139</f>
        <v/>
      </c>
      <c r="GI138" s="390">
        <f>GG138-GH138</f>
        <v/>
      </c>
      <c r="GJ138" s="391">
        <f>GI138/GH138</f>
        <v/>
      </c>
      <c r="GK138" s="182" t="n"/>
      <c r="GL138" s="182" t="n"/>
      <c r="GM138" s="364" t="n"/>
      <c r="GN138" s="365">
        <f>C138</f>
        <v/>
      </c>
      <c r="GO138" s="365" t="n">
        <v>1835158.12</v>
      </c>
      <c r="GP138" s="365">
        <f>GO139</f>
        <v/>
      </c>
      <c r="GQ138" s="390">
        <f>GO138-GP138</f>
        <v/>
      </c>
      <c r="GR138" s="391">
        <f>GQ138/GP138</f>
        <v/>
      </c>
      <c r="GS138" s="182" t="n"/>
      <c r="GT138" s="182" t="n"/>
      <c r="GU138" s="364" t="n"/>
      <c r="GV138" s="365">
        <f>C138</f>
        <v/>
      </c>
      <c r="GW138" s="365" t="n">
        <v>888749.4</v>
      </c>
      <c r="GX138" s="365">
        <f>GW139</f>
        <v/>
      </c>
      <c r="GY138" s="390">
        <f>GW138-GX138</f>
        <v/>
      </c>
      <c r="GZ138" s="391">
        <f>GY138/GX138</f>
        <v/>
      </c>
      <c r="HA138" s="182" t="n"/>
      <c r="HB138" s="182" t="n"/>
      <c r="HC138" s="364" t="n"/>
      <c r="HD138" s="365">
        <f>C138</f>
        <v/>
      </c>
      <c r="HE138" s="365" t="n">
        <v>1254164.67</v>
      </c>
      <c r="HF138" s="365">
        <f>HE139</f>
        <v/>
      </c>
      <c r="HG138" s="388">
        <f>HE138-HF138</f>
        <v/>
      </c>
      <c r="HH138" s="389">
        <f>HG138/HF138</f>
        <v/>
      </c>
      <c r="HI138" s="366" t="n"/>
      <c r="HJ138" s="182" t="n"/>
      <c r="HK138" s="364" t="n"/>
      <c r="HL138" s="365">
        <f>C138</f>
        <v/>
      </c>
      <c r="HM138" s="365" t="n">
        <v>140404.25</v>
      </c>
      <c r="HN138" s="365">
        <f>HM139</f>
        <v/>
      </c>
      <c r="HO138" s="390">
        <f>HM138-HN138</f>
        <v/>
      </c>
      <c r="HP138" s="391">
        <f>HO138/HN138</f>
        <v/>
      </c>
      <c r="HQ138" s="182" t="n"/>
      <c r="HR138" s="182" t="n"/>
      <c r="HS138" s="364" t="n"/>
      <c r="HT138" s="365">
        <f>C138</f>
        <v/>
      </c>
      <c r="HU138" s="365" t="n">
        <v>208968.83</v>
      </c>
      <c r="HV138" s="365">
        <f>HU139</f>
        <v/>
      </c>
      <c r="HW138" s="384">
        <f>HU138-HV138</f>
        <v/>
      </c>
      <c r="HX138" s="383">
        <f>HW138/HV138</f>
        <v/>
      </c>
      <c r="HY138" s="182" t="n"/>
      <c r="HZ138" s="182" t="n"/>
      <c r="IA138" s="364" t="n"/>
      <c r="IB138" s="365">
        <f>C138</f>
        <v/>
      </c>
      <c r="IC138" s="0" t="n">
        <v>361809.79</v>
      </c>
      <c r="ID138" s="0">
        <f>IC139</f>
        <v/>
      </c>
      <c r="IE138" s="365">
        <f>IC138-ID138</f>
        <v/>
      </c>
      <c r="IF138" s="366">
        <f>IE138/ID138</f>
        <v/>
      </c>
      <c r="IG138" s="182" t="n"/>
      <c r="IH138" s="182" t="n"/>
      <c r="II138" s="364" t="n"/>
      <c r="IJ138" s="365">
        <f>C138</f>
        <v/>
      </c>
      <c r="IK138" s="365" t="n">
        <v>613676.29</v>
      </c>
      <c r="IL138" s="365">
        <f>IK139</f>
        <v/>
      </c>
      <c r="IM138" s="390">
        <f>IK138-IL138</f>
        <v/>
      </c>
      <c r="IN138" s="391">
        <f>IM138/IL138</f>
        <v/>
      </c>
      <c r="IO138" s="182" t="n"/>
      <c r="IP138" s="182" t="n"/>
      <c r="IQ138" s="364" t="n"/>
      <c r="IR138" s="365">
        <f>C138</f>
        <v/>
      </c>
      <c r="IS138" s="365" t="n">
        <v>139589</v>
      </c>
      <c r="IT138" s="365">
        <f>IS139</f>
        <v/>
      </c>
      <c r="IU138" s="388">
        <f>IS138-IT138</f>
        <v/>
      </c>
      <c r="IV138" s="389">
        <f>IU138/IT138</f>
        <v/>
      </c>
      <c r="IW138" s="182" t="n"/>
      <c r="IX138" s="182" t="n"/>
      <c r="IY138" s="364" t="n"/>
      <c r="IZ138" s="365">
        <f>C138</f>
        <v/>
      </c>
      <c r="JA138" s="365" t="n">
        <v>4947629.15</v>
      </c>
      <c r="JB138" s="365">
        <f>JA139</f>
        <v/>
      </c>
      <c r="JC138" s="388">
        <f>JA138-JB138</f>
        <v/>
      </c>
      <c r="JD138" s="389">
        <f>JC138/JB138</f>
        <v/>
      </c>
      <c r="JE138" s="182" t="n"/>
      <c r="JF138" s="182" t="n"/>
      <c r="JG138" s="364" t="n"/>
      <c r="JH138" s="365">
        <f>C138</f>
        <v/>
      </c>
      <c r="JI138" s="365" t="n">
        <v>1324107.99</v>
      </c>
      <c r="JJ138" s="365">
        <f>JI139</f>
        <v/>
      </c>
      <c r="JK138" s="388">
        <f>JI138-JJ138</f>
        <v/>
      </c>
      <c r="JL138" s="389">
        <f>JK138/JJ138</f>
        <v/>
      </c>
      <c r="JM138" s="182" t="n"/>
      <c r="JN138" s="182" t="n"/>
      <c r="JO138" s="182" t="n"/>
      <c r="JP138" s="365">
        <f>C138</f>
        <v/>
      </c>
      <c r="JQ138" s="365" t="n">
        <v>1021590.41</v>
      </c>
      <c r="JR138" s="365">
        <f>JQ139</f>
        <v/>
      </c>
      <c r="JS138" s="388">
        <f>JQ138-JR138</f>
        <v/>
      </c>
      <c r="JT138" s="389">
        <f>JS138/JR138</f>
        <v/>
      </c>
      <c r="JU138" s="182" t="n"/>
      <c r="JV138" s="182" t="n"/>
      <c r="JW138" s="383" t="n"/>
      <c r="JX138" s="365">
        <f>C138</f>
        <v/>
      </c>
      <c r="JY138" s="365" t="n">
        <v>1183648.8</v>
      </c>
      <c r="JZ138" s="365">
        <f>JY139</f>
        <v/>
      </c>
      <c r="KA138" s="388">
        <f>JY138-JZ138</f>
        <v/>
      </c>
      <c r="KB138" s="389">
        <f>KA138/JZ138</f>
        <v/>
      </c>
      <c r="KC138" s="182" t="n"/>
      <c r="KD138" s="182" t="n"/>
      <c r="KE138" s="383" t="n"/>
      <c r="KF138" s="365">
        <f>C138</f>
        <v/>
      </c>
      <c r="KG138" s="365" t="n">
        <v>732555.92</v>
      </c>
      <c r="KH138" s="365">
        <f>KG139</f>
        <v/>
      </c>
      <c r="KI138" s="388">
        <f>KG138-KH138</f>
        <v/>
      </c>
      <c r="KJ138" s="389">
        <f>KI138/KH138</f>
        <v/>
      </c>
      <c r="KK138" s="366" t="n"/>
      <c r="KL138" s="366" t="n"/>
      <c r="KM138" s="364" t="n"/>
      <c r="KN138" s="365">
        <f>C138</f>
        <v/>
      </c>
      <c r="KO138" s="365" t="n">
        <v>8328775.95</v>
      </c>
      <c r="KP138" s="365">
        <f>KO139</f>
        <v/>
      </c>
      <c r="KQ138" s="390">
        <f>KO138-KP138</f>
        <v/>
      </c>
      <c r="KR138" s="383">
        <f>KQ138/KP138</f>
        <v/>
      </c>
      <c r="KS138" s="182" t="n"/>
      <c r="KT138" s="182" t="n"/>
      <c r="KV138" s="9">
        <f>C138</f>
        <v/>
      </c>
      <c r="KW138" s="0" t="n">
        <v>993772.97</v>
      </c>
      <c r="KX138" s="0">
        <f>KW139</f>
        <v/>
      </c>
      <c r="KY138" s="0">
        <f>KW138-KX138</f>
        <v/>
      </c>
      <c r="KZ138" s="182">
        <f>KY138/KX138</f>
        <v/>
      </c>
      <c r="LA138" s="182" t="n"/>
      <c r="LB138" s="182" t="n"/>
      <c r="LC138" s="364" t="n"/>
      <c r="LD138" s="365">
        <f>C138</f>
        <v/>
      </c>
      <c r="LE138" s="365" t="n">
        <v>481407.7</v>
      </c>
      <c r="LF138" s="365">
        <f>LE139</f>
        <v/>
      </c>
      <c r="LG138" s="388">
        <f>LE138-LF138</f>
        <v/>
      </c>
      <c r="LH138" s="389">
        <f>LG138/LF138</f>
        <v/>
      </c>
      <c r="LI138" s="182" t="n"/>
      <c r="LJ138" s="182" t="n"/>
      <c r="LK138" s="364" t="n"/>
      <c r="LL138" s="365">
        <f>C138</f>
        <v/>
      </c>
      <c r="LM138" s="694" t="n">
        <v>3557095.02</v>
      </c>
      <c r="LN138" s="365">
        <f>LM139</f>
        <v/>
      </c>
      <c r="LO138" s="388">
        <f>LM138-LN138</f>
        <v/>
      </c>
      <c r="LP138" s="389">
        <f>LO138/LN138</f>
        <v/>
      </c>
      <c r="LQ138" s="182" t="n"/>
      <c r="LR138" s="182" t="n"/>
      <c r="LS138" s="364" t="n"/>
      <c r="LT138" s="365">
        <f>C138</f>
        <v/>
      </c>
      <c r="LU138" s="365" t="n">
        <v>2525262.9</v>
      </c>
      <c r="LV138" s="365">
        <f>LU139</f>
        <v/>
      </c>
      <c r="LW138" s="390">
        <f>LU138-LV138</f>
        <v/>
      </c>
      <c r="LX138" s="391">
        <f>LW138/LV138</f>
        <v/>
      </c>
      <c r="LY138" s="182" t="n"/>
      <c r="LZ138" s="182" t="n"/>
      <c r="MA138" s="364" t="n"/>
      <c r="MB138" s="365">
        <f>C138</f>
        <v/>
      </c>
      <c r="MC138" s="365" t="n">
        <v>788217.6899999999</v>
      </c>
      <c r="MD138" s="365">
        <f>MC139</f>
        <v/>
      </c>
      <c r="ME138" s="388">
        <f>MC138-MD138</f>
        <v/>
      </c>
      <c r="MF138" s="389">
        <f>ME138/MD138</f>
        <v/>
      </c>
      <c r="MG138" s="182" t="n"/>
      <c r="MH138" s="182" t="n"/>
      <c r="MI138" s="364" t="n"/>
      <c r="MJ138" s="364" t="n"/>
      <c r="MK138" s="365">
        <f>C138</f>
        <v/>
      </c>
      <c r="ML138" s="364" t="n">
        <v>217305.54</v>
      </c>
      <c r="MM138" s="187">
        <f>ML139</f>
        <v/>
      </c>
      <c r="MN138" s="364">
        <f>ML138-MM138</f>
        <v/>
      </c>
      <c r="MO138" s="366">
        <f>MN138/MM138</f>
        <v/>
      </c>
      <c r="MP138" s="366" t="n"/>
      <c r="MQ138" s="366" t="n"/>
      <c r="MR138" s="366" t="n"/>
      <c r="MS138" s="366" t="n"/>
      <c r="MT138" s="25">
        <f>C138</f>
        <v/>
      </c>
      <c r="MU138" s="0" t="n">
        <v>203014.8</v>
      </c>
      <c r="MV138" s="0">
        <f>MU139</f>
        <v/>
      </c>
      <c r="MW138" s="0">
        <f>MU138-MV138</f>
        <v/>
      </c>
      <c r="MX138" s="182">
        <f>MW138/MV138</f>
        <v/>
      </c>
      <c r="MY138" s="182" t="n"/>
      <c r="MZ138" s="182" t="n"/>
      <c r="NA138" s="182" t="n"/>
      <c r="NB138" s="182" t="n"/>
      <c r="NC138" s="9">
        <f>C138</f>
        <v/>
      </c>
      <c r="ND138" s="0" t="n">
        <v>42091.48</v>
      </c>
      <c r="NE138" s="0">
        <f>ND139</f>
        <v/>
      </c>
      <c r="NF138" s="0">
        <f>ND138-NE138</f>
        <v/>
      </c>
      <c r="NG138" s="182">
        <f>NF138/NE138</f>
        <v/>
      </c>
      <c r="NH138" s="182" t="n"/>
      <c r="NI138" s="182" t="n"/>
      <c r="NJ138" s="182" t="n"/>
      <c r="NK138" s="182" t="n"/>
      <c r="NL138" s="9" t="n"/>
      <c r="NM138" s="9">
        <f>C138</f>
        <v/>
      </c>
      <c r="NN138" s="0" t="n">
        <v>2577311.08</v>
      </c>
      <c r="NO138" s="0">
        <f>NN139</f>
        <v/>
      </c>
      <c r="NP138" s="0">
        <f>NN138-NO138</f>
        <v/>
      </c>
      <c r="NQ138" s="182">
        <f>NP138/NO138</f>
        <v/>
      </c>
      <c r="NR138" s="182" t="n"/>
      <c r="NS138" s="9" t="n"/>
      <c r="NU138" s="9">
        <f>C138</f>
        <v/>
      </c>
      <c r="NV138" s="364" t="n">
        <v>262826.5</v>
      </c>
      <c r="NW138" s="364">
        <f>NV139</f>
        <v/>
      </c>
      <c r="NX138" s="364">
        <f>NV138-NW138</f>
        <v/>
      </c>
      <c r="NY138" s="366">
        <f>NX138/NW138</f>
        <v/>
      </c>
      <c r="NZ138" s="366" t="n"/>
      <c r="OA138" s="364" t="n"/>
      <c r="OB138" s="364" t="n"/>
      <c r="OC138" s="365">
        <f>C138</f>
        <v/>
      </c>
      <c r="OD138" s="365" t="n">
        <v>14263.97</v>
      </c>
      <c r="OE138" s="365">
        <f>OD139</f>
        <v/>
      </c>
      <c r="OF138" s="388">
        <f>OD138-OE138</f>
        <v/>
      </c>
      <c r="OG138" s="389">
        <f>OF138/OE138</f>
        <v/>
      </c>
      <c r="OH138" s="182" t="n"/>
      <c r="OI138" s="182" t="n"/>
      <c r="OJ138" s="364" t="n"/>
      <c r="OK138" s="365">
        <f>C138</f>
        <v/>
      </c>
      <c r="OL138" s="0" t="n">
        <v>13993.65</v>
      </c>
      <c r="OM138" s="0">
        <f>OL139</f>
        <v/>
      </c>
      <c r="ON138" s="0">
        <f>OL138-OM138</f>
        <v/>
      </c>
      <c r="OO138" s="182">
        <f>ON138/OM138</f>
        <v/>
      </c>
      <c r="OP138" s="182" t="n"/>
      <c r="OQ138" s="182" t="n"/>
      <c r="OT138" s="25">
        <f>OK138</f>
        <v/>
      </c>
      <c r="OU138" s="199" t="n">
        <v>145872.4066</v>
      </c>
      <c r="OV138" s="9">
        <f>OU139</f>
        <v/>
      </c>
      <c r="OW138" s="671">
        <f>OU138-OV138</f>
        <v/>
      </c>
      <c r="OX138" s="182">
        <f>OW138/OV138</f>
        <v/>
      </c>
    </row>
    <row r="139" ht="17" customFormat="1" customHeight="1" s="9">
      <c r="A139" s="631" t="n"/>
      <c r="B139" s="631" t="n"/>
      <c r="C139" s="693" t="inlineStr">
        <is>
          <t>2026//4/24</t>
        </is>
      </c>
      <c r="D139" s="362" t="n">
        <v>4092258.77</v>
      </c>
      <c r="E139" s="362">
        <f>D140</f>
        <v/>
      </c>
      <c r="F139" s="377">
        <f>D139-E139</f>
        <v/>
      </c>
      <c r="G139" s="378">
        <f>F139/E139</f>
        <v/>
      </c>
      <c r="H139" s="19" t="n"/>
      <c r="I139" s="426">
        <f>(D139-D156)/D156</f>
        <v/>
      </c>
      <c r="J139" s="426" t="n"/>
      <c r="K139" s="362">
        <f>C139</f>
        <v/>
      </c>
      <c r="L139" s="362" t="n">
        <v>3080764.4</v>
      </c>
      <c r="M139" s="362">
        <f>L140</f>
        <v/>
      </c>
      <c r="N139" s="377">
        <f>L139-M139</f>
        <v/>
      </c>
      <c r="O139" s="378">
        <f>N139/M139</f>
        <v/>
      </c>
      <c r="P139" s="19" t="n"/>
      <c r="Q139" s="426">
        <f>(L139-L156)/L156</f>
        <v/>
      </c>
      <c r="R139" s="427" t="n"/>
      <c r="S139" s="362">
        <f>C139</f>
        <v/>
      </c>
      <c r="T139" s="362" t="n">
        <v>2080686.68</v>
      </c>
      <c r="U139" s="362">
        <f>T140</f>
        <v/>
      </c>
      <c r="V139" s="377">
        <f>T139-U139</f>
        <v/>
      </c>
      <c r="W139" s="378">
        <f>V139/U139</f>
        <v/>
      </c>
      <c r="X139" s="19" t="n"/>
      <c r="Y139" s="426">
        <f>(T139-T156)/T156</f>
        <v/>
      </c>
      <c r="Z139" s="427" t="n"/>
      <c r="AA139" s="362">
        <f>S139</f>
        <v/>
      </c>
      <c r="AB139" s="362" t="n">
        <v>843536.86</v>
      </c>
      <c r="AC139" s="362">
        <f>AB140</f>
        <v/>
      </c>
      <c r="AD139" s="377">
        <f>AB139-AC139</f>
        <v/>
      </c>
      <c r="AE139" s="378">
        <f>AD139/AC139</f>
        <v/>
      </c>
      <c r="AF139" s="19" t="n"/>
      <c r="AG139" s="426">
        <f>(AB139-AB156)/AB156</f>
        <v/>
      </c>
      <c r="AH139" s="427" t="n"/>
      <c r="AI139" s="362">
        <f>C139</f>
        <v/>
      </c>
      <c r="AJ139" s="362" t="n">
        <v>675521.76</v>
      </c>
      <c r="AK139" s="362">
        <f>AJ140</f>
        <v/>
      </c>
      <c r="AL139" s="432">
        <f>AJ139-AK139</f>
        <v/>
      </c>
      <c r="AM139" s="433">
        <f>AL139/AK139</f>
        <v/>
      </c>
      <c r="AN139" s="19" t="n"/>
      <c r="AO139" s="19">
        <f>(AJ139-AJ156)/AJ156</f>
        <v/>
      </c>
      <c r="AP139" s="427" t="n"/>
      <c r="AQ139" s="362">
        <f>C139</f>
        <v/>
      </c>
      <c r="AR139" s="697" t="n">
        <v>1242045.49</v>
      </c>
      <c r="AS139" s="362">
        <f>AR140</f>
        <v/>
      </c>
      <c r="AT139" s="377">
        <f>AR139-AS139</f>
        <v/>
      </c>
      <c r="AU139" s="378">
        <f>AT139/AS139</f>
        <v/>
      </c>
      <c r="AV139" s="19" t="n"/>
      <c r="AW139" s="19">
        <f>(AR139-AR156)/AR156</f>
        <v/>
      </c>
      <c r="AX139" s="5" t="n"/>
      <c r="AY139" s="5" t="n"/>
      <c r="AZ139" s="5">
        <f>C139</f>
        <v/>
      </c>
      <c r="BA139" s="5" t="n">
        <v>1900281.66</v>
      </c>
      <c r="BB139" s="5">
        <f>BA140</f>
        <v/>
      </c>
      <c r="BC139" s="5">
        <f>BA139-BB139</f>
        <v/>
      </c>
      <c r="BD139" s="19">
        <f>BC139/BB139</f>
        <v/>
      </c>
      <c r="BE139" s="19" t="n"/>
      <c r="BF139" s="19">
        <f>(BA139-BA156)/BA156</f>
        <v/>
      </c>
      <c r="BG139" s="647" t="n"/>
      <c r="BH139" s="363">
        <f>C139</f>
        <v/>
      </c>
      <c r="BI139" s="363" t="n">
        <v>1697126.55</v>
      </c>
      <c r="BJ139" s="363">
        <f>BI140</f>
        <v/>
      </c>
      <c r="BK139" s="395">
        <f>BI139-BJ139</f>
        <v/>
      </c>
      <c r="BL139" s="396">
        <f>BK139/BJ139</f>
        <v/>
      </c>
      <c r="BM139" s="191" t="n"/>
      <c r="BN139" s="182" t="n"/>
      <c r="BO139" s="364" t="n"/>
      <c r="BP139" s="365">
        <f>C139</f>
        <v/>
      </c>
      <c r="BQ139" s="694" t="n">
        <v>1099762.39</v>
      </c>
      <c r="BR139" s="365">
        <f>BQ140</f>
        <v/>
      </c>
      <c r="BS139" s="388">
        <f>BQ139-BR139</f>
        <v/>
      </c>
      <c r="BT139" s="389">
        <f>BS139/BR139</f>
        <v/>
      </c>
      <c r="BU139" s="182" t="n"/>
      <c r="BV139" s="182" t="n"/>
      <c r="BW139" s="364" t="n"/>
      <c r="BX139" s="365">
        <f>C139</f>
        <v/>
      </c>
      <c r="BY139" s="365" t="n">
        <v>2984660.7</v>
      </c>
      <c r="BZ139" s="365">
        <f>BY140</f>
        <v/>
      </c>
      <c r="CA139" s="388">
        <f>BY139-BZ139</f>
        <v/>
      </c>
      <c r="CB139" s="389">
        <f>CA139/BZ139</f>
        <v/>
      </c>
      <c r="CC139" s="182" t="n"/>
      <c r="CD139" s="383" t="n"/>
      <c r="CE139" s="486" t="n"/>
      <c r="CF139" s="384">
        <f>C139</f>
        <v/>
      </c>
      <c r="CG139" s="185" t="n">
        <v>1365303.9</v>
      </c>
      <c r="CH139" s="185">
        <f>CG140</f>
        <v/>
      </c>
      <c r="CI139" s="13">
        <f>CG139-CH139</f>
        <v/>
      </c>
      <c r="CJ139" s="193">
        <f>CI139/CH139</f>
        <v/>
      </c>
      <c r="CK139" s="182" t="n"/>
      <c r="CL139" s="366" t="n"/>
      <c r="CM139" s="364" t="n"/>
      <c r="CN139" s="365">
        <f>C139</f>
        <v/>
      </c>
      <c r="CO139" s="365" t="n">
        <v>654446.48</v>
      </c>
      <c r="CP139" s="365">
        <f>CO140</f>
        <v/>
      </c>
      <c r="CQ139" s="13">
        <f>CO139-CP139</f>
        <v/>
      </c>
      <c r="CR139" s="193">
        <f>CQ139/CP139</f>
        <v/>
      </c>
      <c r="CS139" s="366">
        <f>(CO139-CO144)/CO144</f>
        <v/>
      </c>
      <c r="CT139" s="366" t="n"/>
      <c r="CU139" s="364" t="n"/>
      <c r="CV139" s="365">
        <f>C139</f>
        <v/>
      </c>
      <c r="CW139" s="365" t="n">
        <v>581090.4</v>
      </c>
      <c r="CX139" s="365">
        <f>CW140</f>
        <v/>
      </c>
      <c r="CY139" s="388">
        <f>CW139-CX139</f>
        <v/>
      </c>
      <c r="CZ139" s="389">
        <f>CY139/CX139</f>
        <v/>
      </c>
      <c r="DA139" s="182" t="n"/>
      <c r="DB139" s="182" t="n"/>
      <c r="DC139" s="256" t="n"/>
      <c r="DD139" s="365">
        <f>C139</f>
        <v/>
      </c>
      <c r="DE139" s="365" t="n">
        <v>2284717.99</v>
      </c>
      <c r="DF139" s="13">
        <f>DE140</f>
        <v/>
      </c>
      <c r="DG139" s="388">
        <f>DE139-DF139</f>
        <v/>
      </c>
      <c r="DH139" s="389">
        <f>DG139/DF139</f>
        <v/>
      </c>
      <c r="DI139" s="182" t="n"/>
      <c r="DJ139" s="182" t="n"/>
      <c r="DK139" s="364" t="n"/>
      <c r="DL139" s="365">
        <f>C139</f>
        <v/>
      </c>
      <c r="DM139" s="365" t="n">
        <v>1156700.36</v>
      </c>
      <c r="DN139" s="365">
        <f>DM140</f>
        <v/>
      </c>
      <c r="DO139" s="390">
        <f>DM139-DN139</f>
        <v/>
      </c>
      <c r="DP139" s="391">
        <f>DO139/DN139</f>
        <v/>
      </c>
      <c r="DQ139" s="182" t="n"/>
      <c r="DR139" s="182" t="n"/>
      <c r="DS139" s="364" t="n"/>
      <c r="DT139" s="365">
        <f>C139</f>
        <v/>
      </c>
      <c r="DU139" s="365" t="n">
        <v>1444589.48</v>
      </c>
      <c r="DV139" s="365">
        <f>DU140</f>
        <v/>
      </c>
      <c r="DW139" s="390">
        <f>DU139-DV139</f>
        <v/>
      </c>
      <c r="DX139" s="391">
        <f>DW139/DV139</f>
        <v/>
      </c>
      <c r="DY139" s="182" t="n"/>
      <c r="DZ139" s="182" t="n"/>
      <c r="EA139" s="364" t="n"/>
      <c r="EB139" s="365">
        <f>C139</f>
        <v/>
      </c>
      <c r="EC139" s="365" t="n">
        <v>4575866.82</v>
      </c>
      <c r="ED139" s="365">
        <f>EC140</f>
        <v/>
      </c>
      <c r="EE139" s="390">
        <f>EC139-ED139</f>
        <v/>
      </c>
      <c r="EF139" s="391">
        <f>EE139/ED139</f>
        <v/>
      </c>
      <c r="EG139" s="182" t="n"/>
      <c r="EH139" s="182" t="n"/>
      <c r="EI139" s="364" t="n"/>
      <c r="EJ139" s="365">
        <f>C139</f>
        <v/>
      </c>
      <c r="EK139" s="365" t="n">
        <v>1336722.96</v>
      </c>
      <c r="EL139" s="365">
        <f>EK140</f>
        <v/>
      </c>
      <c r="EM139" s="390">
        <f>EK139-EL139</f>
        <v/>
      </c>
      <c r="EN139" s="391">
        <f>EM139/EL139</f>
        <v/>
      </c>
      <c r="EO139" s="182" t="n"/>
      <c r="EP139" s="182" t="n"/>
      <c r="EQ139" s="182" t="n"/>
      <c r="ER139" s="9">
        <f>C139</f>
        <v/>
      </c>
      <c r="ES139" s="182" t="n">
        <v>442697.02</v>
      </c>
      <c r="ET139" s="182">
        <f>ES140</f>
        <v/>
      </c>
      <c r="EU139" s="182">
        <f>ES139-ET139</f>
        <v/>
      </c>
      <c r="EV139" s="182">
        <f>EU139/ET139</f>
        <v/>
      </c>
      <c r="EW139" s="182" t="n"/>
      <c r="EX139" s="182" t="n"/>
      <c r="EY139" s="364" t="n"/>
      <c r="EZ139" s="365">
        <f>C139</f>
        <v/>
      </c>
      <c r="FA139" s="365" t="n">
        <v>710908</v>
      </c>
      <c r="FB139" s="365">
        <f>FA140</f>
        <v/>
      </c>
      <c r="FC139" s="388">
        <f>FA139-FB139</f>
        <v/>
      </c>
      <c r="FD139" s="389">
        <f>FC139/FB139</f>
        <v/>
      </c>
      <c r="FE139" s="182" t="n"/>
      <c r="FF139" s="182" t="n"/>
      <c r="FG139" s="182" t="n"/>
      <c r="FH139" s="384">
        <f>C139</f>
        <v/>
      </c>
      <c r="FI139" s="707" t="n">
        <v>1284195.33</v>
      </c>
      <c r="FJ139" s="365">
        <f>FI140</f>
        <v/>
      </c>
      <c r="FK139" s="325">
        <f>FI139-FJ139</f>
        <v/>
      </c>
      <c r="FL139" s="326">
        <f>FK139/FJ139</f>
        <v/>
      </c>
      <c r="FM139" s="488" t="n"/>
      <c r="FN139" s="488" t="n"/>
      <c r="FO139" s="364" t="n"/>
      <c r="FP139" s="365">
        <f>C139</f>
        <v/>
      </c>
      <c r="FQ139" s="365" t="n">
        <v>2045368.73</v>
      </c>
      <c r="FR139" s="365">
        <f>FQ140</f>
        <v/>
      </c>
      <c r="FS139" s="390">
        <f>FQ139-FR139</f>
        <v/>
      </c>
      <c r="FT139" s="391">
        <f>FS139/FR139</f>
        <v/>
      </c>
      <c r="FU139" s="182" t="n"/>
      <c r="FV139" s="182" t="n"/>
      <c r="FW139" s="364" t="n"/>
      <c r="FX139" s="365">
        <f>C139</f>
        <v/>
      </c>
      <c r="FY139" s="365" t="n">
        <v>8224282.05</v>
      </c>
      <c r="FZ139" s="365">
        <f>FY140</f>
        <v/>
      </c>
      <c r="GA139" s="390">
        <f>FY139-FZ139</f>
        <v/>
      </c>
      <c r="GB139" s="391">
        <f>GA139/FZ139</f>
        <v/>
      </c>
      <c r="GC139" s="182" t="n"/>
      <c r="GD139" s="182" t="n"/>
      <c r="GE139" s="364" t="n"/>
      <c r="GF139" s="365">
        <f>C139</f>
        <v/>
      </c>
      <c r="GG139" s="365" t="n">
        <v>4658269.49</v>
      </c>
      <c r="GH139" s="365">
        <f>GG140</f>
        <v/>
      </c>
      <c r="GI139" s="390">
        <f>GG139-GH139</f>
        <v/>
      </c>
      <c r="GJ139" s="391">
        <f>GI139/GH139</f>
        <v/>
      </c>
      <c r="GK139" s="182" t="n"/>
      <c r="GL139" s="182" t="n"/>
      <c r="GM139" s="364" t="n"/>
      <c r="GN139" s="365">
        <f>C139</f>
        <v/>
      </c>
      <c r="GO139" s="365" t="n">
        <v>1836838.12</v>
      </c>
      <c r="GP139" s="365">
        <f>GO140</f>
        <v/>
      </c>
      <c r="GQ139" s="390">
        <f>GO139-GP139</f>
        <v/>
      </c>
      <c r="GR139" s="391">
        <f>GQ139/GP139</f>
        <v/>
      </c>
      <c r="GS139" s="182" t="n"/>
      <c r="GT139" s="182" t="n"/>
      <c r="GU139" s="364" t="n"/>
      <c r="GV139" s="365">
        <f>C139</f>
        <v/>
      </c>
      <c r="GW139" s="365" t="n">
        <v>894749.4</v>
      </c>
      <c r="GX139" s="365">
        <f>GW140</f>
        <v/>
      </c>
      <c r="GY139" s="388">
        <f>GW139-GX139</f>
        <v/>
      </c>
      <c r="GZ139" s="389">
        <f>GY139/GX139</f>
        <v/>
      </c>
      <c r="HA139" s="182" t="n"/>
      <c r="HB139" s="182" t="n"/>
      <c r="HC139" s="364" t="n"/>
      <c r="HD139" s="365">
        <f>C139</f>
        <v/>
      </c>
      <c r="HE139" s="365" t="n">
        <v>1250164.67</v>
      </c>
      <c r="HF139" s="365">
        <f>HE140</f>
        <v/>
      </c>
      <c r="HG139" s="388">
        <f>HE139-HF139</f>
        <v/>
      </c>
      <c r="HH139" s="389">
        <f>HG139/HF139</f>
        <v/>
      </c>
      <c r="HI139" s="366" t="n"/>
      <c r="HJ139" s="182" t="n"/>
      <c r="HK139" s="364" t="n"/>
      <c r="HL139" s="365">
        <f>C139</f>
        <v/>
      </c>
      <c r="HM139" s="365" t="n">
        <v>145754.25</v>
      </c>
      <c r="HN139" s="365">
        <f>HM140</f>
        <v/>
      </c>
      <c r="HO139" s="388">
        <f>HM139-HN139</f>
        <v/>
      </c>
      <c r="HP139" s="389">
        <f>HO139/HN139</f>
        <v/>
      </c>
      <c r="HQ139" s="182" t="n"/>
      <c r="HR139" s="182" t="n"/>
      <c r="HS139" s="364" t="n"/>
      <c r="HT139" s="365">
        <f>C139</f>
        <v/>
      </c>
      <c r="HU139" s="365" t="n">
        <v>209468.82</v>
      </c>
      <c r="HV139" s="365">
        <f>HU140</f>
        <v/>
      </c>
      <c r="HW139" s="390">
        <f>HU139-HV139</f>
        <v/>
      </c>
      <c r="HX139" s="391">
        <f>HW139/HV139</f>
        <v/>
      </c>
      <c r="HY139" s="182" t="n"/>
      <c r="HZ139" s="182" t="n"/>
      <c r="IA139" s="364" t="n"/>
      <c r="IB139" s="365">
        <f>C139</f>
        <v/>
      </c>
      <c r="IC139" s="0" t="n">
        <v>366084.79</v>
      </c>
      <c r="ID139" s="0">
        <f>IC140</f>
        <v/>
      </c>
      <c r="IE139" s="365">
        <f>IC139-ID139</f>
        <v/>
      </c>
      <c r="IF139" s="366">
        <f>IE139/ID139</f>
        <v/>
      </c>
      <c r="IG139" s="182" t="n"/>
      <c r="IH139" s="182" t="n"/>
      <c r="II139" s="364" t="n"/>
      <c r="IJ139" s="365">
        <f>C139</f>
        <v/>
      </c>
      <c r="IK139" s="365" t="n">
        <v>611916.29</v>
      </c>
      <c r="IL139" s="365">
        <f>IK140</f>
        <v/>
      </c>
      <c r="IM139" s="390">
        <f>IK139-IL139</f>
        <v/>
      </c>
      <c r="IN139" s="391">
        <f>IM139/IL139</f>
        <v/>
      </c>
      <c r="IO139" s="182" t="n"/>
      <c r="IP139" s="182" t="n"/>
      <c r="IQ139" s="364" t="n"/>
      <c r="IR139" s="365">
        <f>C139</f>
        <v/>
      </c>
      <c r="IS139" s="365" t="n">
        <v>139689</v>
      </c>
      <c r="IT139" s="365">
        <f>IS140</f>
        <v/>
      </c>
      <c r="IU139" s="388">
        <f>IS139-IT139</f>
        <v/>
      </c>
      <c r="IV139" s="389">
        <f>IU139/IT139</f>
        <v/>
      </c>
      <c r="IW139" s="182" t="n"/>
      <c r="IX139" s="182" t="n"/>
      <c r="IY139" s="364" t="n"/>
      <c r="IZ139" s="365">
        <f>C139</f>
        <v/>
      </c>
      <c r="JA139" s="365" t="n">
        <v>4926129.15</v>
      </c>
      <c r="JB139" s="365">
        <f>JA140</f>
        <v/>
      </c>
      <c r="JC139" s="390">
        <f>JA139-JB139</f>
        <v/>
      </c>
      <c r="JD139" s="391">
        <f>JC139/JB139</f>
        <v/>
      </c>
      <c r="JE139" s="182" t="n"/>
      <c r="JF139" s="182" t="n"/>
      <c r="JG139" s="364" t="n"/>
      <c r="JH139" s="365">
        <f>C139</f>
        <v/>
      </c>
      <c r="JI139" s="365" t="n">
        <v>1325547.99</v>
      </c>
      <c r="JJ139" s="365">
        <f>JI140</f>
        <v/>
      </c>
      <c r="JK139" s="390">
        <f>JI139-JJ139</f>
        <v/>
      </c>
      <c r="JL139" s="391">
        <f>JK139/JJ139</f>
        <v/>
      </c>
      <c r="JM139" s="182" t="n"/>
      <c r="JN139" s="182" t="n"/>
      <c r="JO139" s="182" t="n"/>
      <c r="JP139" s="365">
        <f>C139</f>
        <v/>
      </c>
      <c r="JQ139" s="365" t="n">
        <v>1023490.41</v>
      </c>
      <c r="JR139" s="365">
        <f>JQ140</f>
        <v/>
      </c>
      <c r="JS139" s="390">
        <f>JQ139-JR139</f>
        <v/>
      </c>
      <c r="JT139" s="391">
        <f>JS139/JR139</f>
        <v/>
      </c>
      <c r="JU139" s="182" t="n"/>
      <c r="JV139" s="182" t="n"/>
      <c r="JW139" s="383" t="n"/>
      <c r="JX139" s="365">
        <f>C139</f>
        <v/>
      </c>
      <c r="JY139" s="365" t="n">
        <v>1195548.8</v>
      </c>
      <c r="JZ139" s="365">
        <f>JY140</f>
        <v/>
      </c>
      <c r="KA139" s="388">
        <f>JY139-JZ139</f>
        <v/>
      </c>
      <c r="KB139" s="389">
        <f>KA139/JZ139</f>
        <v/>
      </c>
      <c r="KC139" s="182" t="n"/>
      <c r="KD139" s="182" t="n"/>
      <c r="KE139" s="383" t="n"/>
      <c r="KF139" s="365">
        <f>C139</f>
        <v/>
      </c>
      <c r="KG139" s="365" t="n">
        <v>732555.92</v>
      </c>
      <c r="KH139" s="365">
        <f>KG140</f>
        <v/>
      </c>
      <c r="KI139" s="388">
        <f>KG139-KH139</f>
        <v/>
      </c>
      <c r="KJ139" s="389">
        <f>KI139/KH139</f>
        <v/>
      </c>
      <c r="KK139" s="366" t="n"/>
      <c r="KL139" s="366" t="n"/>
      <c r="KM139" s="364" t="n"/>
      <c r="KN139" s="365">
        <f>C139</f>
        <v/>
      </c>
      <c r="KO139" s="365" t="n">
        <v>8328775.95</v>
      </c>
      <c r="KP139" s="365">
        <f>KO140</f>
        <v/>
      </c>
      <c r="KQ139" s="390">
        <f>KO139-KP139</f>
        <v/>
      </c>
      <c r="KR139" s="391">
        <f>KQ139/KP139</f>
        <v/>
      </c>
      <c r="KS139" s="182" t="n"/>
      <c r="KT139" s="182" t="n"/>
      <c r="KV139" s="9">
        <f>C139</f>
        <v/>
      </c>
      <c r="KW139" s="0" t="n">
        <v>993772.97</v>
      </c>
      <c r="KX139" s="0">
        <f>KW140</f>
        <v/>
      </c>
      <c r="KY139" s="0">
        <f>KW139-KX139</f>
        <v/>
      </c>
      <c r="KZ139" s="182">
        <f>KY139/KX139</f>
        <v/>
      </c>
      <c r="LA139" s="182" t="n"/>
      <c r="LB139" s="182" t="n"/>
      <c r="LC139" s="364" t="n"/>
      <c r="LD139" s="365">
        <f>C139</f>
        <v/>
      </c>
      <c r="LE139" s="365" t="n">
        <v>482157.7</v>
      </c>
      <c r="LF139" s="365">
        <f>LE140</f>
        <v/>
      </c>
      <c r="LG139" s="388">
        <f>LE139-LF139</f>
        <v/>
      </c>
      <c r="LH139" s="389">
        <f>LG139/LF139</f>
        <v/>
      </c>
      <c r="LI139" s="182" t="n"/>
      <c r="LJ139" s="182" t="n"/>
      <c r="LK139" s="364" t="n"/>
      <c r="LL139" s="365">
        <f>C139</f>
        <v/>
      </c>
      <c r="LM139" s="694" t="n">
        <v>3545575.02</v>
      </c>
      <c r="LN139" s="365">
        <f>LM140</f>
        <v/>
      </c>
      <c r="LO139" s="390">
        <f>LM139-LN139</f>
        <v/>
      </c>
      <c r="LP139" s="391">
        <f>LO139/LN139</f>
        <v/>
      </c>
      <c r="LQ139" s="182" t="n"/>
      <c r="LR139" s="182" t="n"/>
      <c r="LS139" s="364" t="n"/>
      <c r="LT139" s="365">
        <f>C139</f>
        <v/>
      </c>
      <c r="LU139" s="365" t="n">
        <v>2519262.9</v>
      </c>
      <c r="LV139" s="365">
        <f>LU140</f>
        <v/>
      </c>
      <c r="LW139" s="390">
        <f>LU139-LV139</f>
        <v/>
      </c>
      <c r="LX139" s="391">
        <f>LW139/LV139</f>
        <v/>
      </c>
      <c r="LY139" s="182" t="n"/>
      <c r="LZ139" s="182" t="n"/>
      <c r="MA139" s="364" t="n"/>
      <c r="MB139" s="365">
        <f>C139</f>
        <v/>
      </c>
      <c r="MC139" s="365" t="n">
        <v>756667.6899999999</v>
      </c>
      <c r="MD139" s="365">
        <f>MC140</f>
        <v/>
      </c>
      <c r="ME139" s="388">
        <f>MC139-MD139</f>
        <v/>
      </c>
      <c r="MF139" s="389">
        <f>ME139/MD139</f>
        <v/>
      </c>
      <c r="MG139" s="182" t="n"/>
      <c r="MH139" s="182" t="n"/>
      <c r="MI139" s="364" t="n"/>
      <c r="MJ139" s="364" t="n"/>
      <c r="MK139" s="365">
        <f>C139</f>
        <v/>
      </c>
      <c r="ML139" s="364" t="n">
        <v>220905.53</v>
      </c>
      <c r="MM139" s="187">
        <f>ML140</f>
        <v/>
      </c>
      <c r="MN139" s="364">
        <f>ML139-MM139</f>
        <v/>
      </c>
      <c r="MO139" s="366">
        <f>MN139/MM139</f>
        <v/>
      </c>
      <c r="MP139" s="366" t="n"/>
      <c r="MQ139" s="366" t="n"/>
      <c r="MR139" s="366" t="n"/>
      <c r="MS139" s="366" t="n"/>
      <c r="MT139" s="25">
        <f>C139</f>
        <v/>
      </c>
      <c r="MU139" s="0" t="n">
        <v>204114.8</v>
      </c>
      <c r="MV139" s="0">
        <f>MU140</f>
        <v/>
      </c>
      <c r="MW139" s="0">
        <f>MU139-MV139</f>
        <v/>
      </c>
      <c r="MX139" s="182">
        <f>MW139/MV139</f>
        <v/>
      </c>
      <c r="MY139" s="182" t="n"/>
      <c r="MZ139" s="182" t="n"/>
      <c r="NA139" s="182" t="n"/>
      <c r="NB139" s="182" t="n"/>
      <c r="NC139" s="9">
        <f>C139</f>
        <v/>
      </c>
      <c r="ND139" s="0" t="n">
        <v>42091.48</v>
      </c>
      <c r="NE139" s="0">
        <f>ND140</f>
        <v/>
      </c>
      <c r="NF139" s="0">
        <f>ND139-NE139</f>
        <v/>
      </c>
      <c r="NG139" s="182">
        <f>NF139/NE139</f>
        <v/>
      </c>
      <c r="NH139" s="182" t="n"/>
      <c r="NI139" s="182" t="n"/>
      <c r="NJ139" s="182" t="n"/>
      <c r="NK139" s="182" t="n"/>
      <c r="NL139" s="9" t="n"/>
      <c r="NM139" s="9">
        <f>C139</f>
        <v/>
      </c>
      <c r="NN139" s="0" t="n">
        <v>2572211.08</v>
      </c>
      <c r="NO139" s="0">
        <f>NN140</f>
        <v/>
      </c>
      <c r="NP139" s="0">
        <f>NN139-NO139</f>
        <v/>
      </c>
      <c r="NQ139" s="182">
        <f>NP139/NO139</f>
        <v/>
      </c>
      <c r="NR139" s="182" t="n"/>
      <c r="NS139" s="9" t="n"/>
      <c r="NU139" s="9">
        <f>C139</f>
        <v/>
      </c>
      <c r="NV139" s="364" t="n">
        <v>261276.5</v>
      </c>
      <c r="NW139" s="364">
        <f>NV140</f>
        <v/>
      </c>
      <c r="NX139" s="364">
        <f>NV139-NW139</f>
        <v/>
      </c>
      <c r="NY139" s="366">
        <f>NX139/NW139</f>
        <v/>
      </c>
      <c r="NZ139" s="366" t="n"/>
      <c r="OA139" s="364" t="n"/>
      <c r="OB139" s="364" t="n"/>
      <c r="OC139" s="365">
        <f>C139</f>
        <v/>
      </c>
      <c r="OD139" s="365" t="n">
        <v>14010.97</v>
      </c>
      <c r="OE139" s="365">
        <f>OD140</f>
        <v/>
      </c>
      <c r="OF139" s="390">
        <f>OD139-OE139</f>
        <v/>
      </c>
      <c r="OG139" s="391">
        <f>OF139/OE139</f>
        <v/>
      </c>
      <c r="OH139" s="182" t="n"/>
      <c r="OI139" s="182" t="n"/>
      <c r="OJ139" s="364" t="n"/>
      <c r="OK139" s="365">
        <f>C139</f>
        <v/>
      </c>
      <c r="OL139" s="0" t="n">
        <v>13925.65</v>
      </c>
      <c r="OM139" s="0">
        <f>OL140</f>
        <v/>
      </c>
      <c r="ON139" s="0">
        <f>OL139-OM139</f>
        <v/>
      </c>
      <c r="OO139" s="182">
        <f>ON139/OM139</f>
        <v/>
      </c>
      <c r="OP139" s="182" t="n"/>
      <c r="OQ139" s="182" t="n"/>
      <c r="OT139" s="25">
        <f>OK139</f>
        <v/>
      </c>
      <c r="OU139" s="199" t="n">
        <v>145752.4066</v>
      </c>
      <c r="OV139" s="9">
        <f>OU140</f>
        <v/>
      </c>
      <c r="OW139" s="671">
        <f>OU139-OV139</f>
        <v/>
      </c>
      <c r="OX139" s="182">
        <f>OW139/OV139</f>
        <v/>
      </c>
    </row>
    <row r="140" ht="17" customFormat="1" customHeight="1" s="9">
      <c r="A140" s="631" t="n"/>
      <c r="B140" s="631" t="n"/>
      <c r="C140" s="693" t="inlineStr">
        <is>
          <t>2026//4/23</t>
        </is>
      </c>
      <c r="D140" s="362" t="n">
        <v>4111878.77</v>
      </c>
      <c r="E140" s="362">
        <f>D141</f>
        <v/>
      </c>
      <c r="F140" s="377">
        <f>D140-E140</f>
        <v/>
      </c>
      <c r="G140" s="378">
        <f>F140/E140</f>
        <v/>
      </c>
      <c r="H140" s="19" t="n"/>
      <c r="I140" s="426" t="n"/>
      <c r="J140" s="426" t="n"/>
      <c r="K140" s="362">
        <f>C140</f>
        <v/>
      </c>
      <c r="L140" s="362" t="n">
        <v>3082294.4</v>
      </c>
      <c r="M140" s="362">
        <f>L141</f>
        <v/>
      </c>
      <c r="N140" s="377">
        <f>L140-M140</f>
        <v/>
      </c>
      <c r="O140" s="479">
        <f>N140/M140</f>
        <v/>
      </c>
      <c r="P140" s="19" t="n"/>
      <c r="Q140" s="426" t="n"/>
      <c r="R140" s="427" t="n"/>
      <c r="S140" s="362">
        <f>C140</f>
        <v/>
      </c>
      <c r="T140" s="362" t="n">
        <v>2119656.68</v>
      </c>
      <c r="U140" s="362">
        <f>T141</f>
        <v/>
      </c>
      <c r="V140" s="377">
        <f>T140-U140</f>
        <v/>
      </c>
      <c r="W140" s="378">
        <f>V140/U140</f>
        <v/>
      </c>
      <c r="X140" s="19" t="n"/>
      <c r="Y140" s="426" t="n"/>
      <c r="Z140" s="427" t="n"/>
      <c r="AA140" s="362">
        <f>S140</f>
        <v/>
      </c>
      <c r="AB140" s="362" t="n">
        <v>853936.86</v>
      </c>
      <c r="AC140" s="362">
        <f>AB141</f>
        <v/>
      </c>
      <c r="AD140" s="432">
        <f>AB140-AC140</f>
        <v/>
      </c>
      <c r="AE140" s="433">
        <f>AD140/AC140</f>
        <v/>
      </c>
      <c r="AF140" s="19" t="n"/>
      <c r="AG140" s="426" t="n"/>
      <c r="AH140" s="427" t="n"/>
      <c r="AI140" s="362">
        <f>C140</f>
        <v/>
      </c>
      <c r="AJ140" s="362" t="n">
        <v>685321.76</v>
      </c>
      <c r="AK140" s="362">
        <f>AJ141</f>
        <v/>
      </c>
      <c r="AL140" s="377">
        <f>AJ140-AK140</f>
        <v/>
      </c>
      <c r="AM140" s="378">
        <f>AL140/AK140</f>
        <v/>
      </c>
      <c r="AN140" s="19" t="n"/>
      <c r="AO140" s="19" t="n"/>
      <c r="AP140" s="427" t="n"/>
      <c r="AQ140" s="362">
        <f>C140</f>
        <v/>
      </c>
      <c r="AR140" s="697" t="n">
        <v>1225245.49</v>
      </c>
      <c r="AS140" s="362">
        <f>AR141</f>
        <v/>
      </c>
      <c r="AT140" s="377">
        <f>AR140-AS140</f>
        <v/>
      </c>
      <c r="AU140" s="378">
        <f>AT140/AS140</f>
        <v/>
      </c>
      <c r="AV140" s="19" t="n"/>
      <c r="AW140" s="19" t="n"/>
      <c r="AX140" s="5" t="n"/>
      <c r="AY140" s="5" t="n"/>
      <c r="AZ140" s="5">
        <f>C140</f>
        <v/>
      </c>
      <c r="BA140" s="5" t="n">
        <v>1908201.66</v>
      </c>
      <c r="BB140" s="5">
        <f>BA141</f>
        <v/>
      </c>
      <c r="BC140" s="5">
        <f>BA140-BB140</f>
        <v/>
      </c>
      <c r="BD140" s="19">
        <f>BC140/BB140</f>
        <v/>
      </c>
      <c r="BE140" s="19" t="n"/>
      <c r="BF140" s="19" t="n"/>
      <c r="BG140" s="647" t="n"/>
      <c r="BH140" s="363">
        <f>C140</f>
        <v/>
      </c>
      <c r="BI140" s="363" t="n">
        <v>1710926.55</v>
      </c>
      <c r="BJ140" s="363">
        <f>BI141</f>
        <v/>
      </c>
      <c r="BK140" s="395">
        <f>BI140-BJ140</f>
        <v/>
      </c>
      <c r="BL140" s="396">
        <f>BK140/BJ140</f>
        <v/>
      </c>
      <c r="BM140" s="191" t="n"/>
      <c r="BN140" s="182" t="n"/>
      <c r="BO140" s="364" t="n"/>
      <c r="BP140" s="365">
        <f>C140</f>
        <v/>
      </c>
      <c r="BQ140" s="694" t="n">
        <v>1101962.39</v>
      </c>
      <c r="BR140" s="365">
        <f>BQ141</f>
        <v/>
      </c>
      <c r="BS140" s="388">
        <f>BQ140-BR140</f>
        <v/>
      </c>
      <c r="BT140" s="389">
        <f>BS140/BR140</f>
        <v/>
      </c>
      <c r="BU140" s="182" t="n"/>
      <c r="BV140" s="182" t="n"/>
      <c r="BW140" s="364" t="n"/>
      <c r="BX140" s="365">
        <f>C140</f>
        <v/>
      </c>
      <c r="BY140" s="365" t="n">
        <v>2995560.7</v>
      </c>
      <c r="BZ140" s="365">
        <f>BY141</f>
        <v/>
      </c>
      <c r="CA140" s="388">
        <f>BY140-BZ140</f>
        <v/>
      </c>
      <c r="CB140" s="389">
        <f>CA140/BZ140</f>
        <v/>
      </c>
      <c r="CC140" s="182" t="n"/>
      <c r="CD140" s="383" t="n"/>
      <c r="CE140" s="486" t="n"/>
      <c r="CF140" s="384">
        <f>C140</f>
        <v/>
      </c>
      <c r="CG140" s="185" t="n">
        <v>1375553.9</v>
      </c>
      <c r="CH140" s="185">
        <f>CG141</f>
        <v/>
      </c>
      <c r="CI140" s="13">
        <f>CG140-CH140</f>
        <v/>
      </c>
      <c r="CJ140" s="193">
        <f>CI140/CH140</f>
        <v/>
      </c>
      <c r="CK140" s="182" t="n"/>
      <c r="CL140" s="366" t="n"/>
      <c r="CM140" s="364" t="n"/>
      <c r="CN140" s="365">
        <f>C140</f>
        <v/>
      </c>
      <c r="CO140" s="365" t="n">
        <v>654346.48</v>
      </c>
      <c r="CP140" s="365">
        <f>CO141</f>
        <v/>
      </c>
      <c r="CQ140" s="13">
        <f>CO140-CP140</f>
        <v/>
      </c>
      <c r="CR140" s="193">
        <f>CQ140/CP140</f>
        <v/>
      </c>
      <c r="CS140" s="366" t="n"/>
      <c r="CT140" s="366" t="n"/>
      <c r="CU140" s="364" t="n"/>
      <c r="CV140" s="365">
        <f>C140</f>
        <v/>
      </c>
      <c r="CW140" s="365" t="n">
        <v>583940.4</v>
      </c>
      <c r="CX140" s="365">
        <f>CW141</f>
        <v/>
      </c>
      <c r="CY140" s="388">
        <f>CW140-CX140</f>
        <v/>
      </c>
      <c r="CZ140" s="389">
        <f>CY140/CX140</f>
        <v/>
      </c>
      <c r="DA140" s="182" t="n"/>
      <c r="DB140" s="182" t="n"/>
      <c r="DC140" s="256" t="n"/>
      <c r="DD140" s="365">
        <f>C140</f>
        <v/>
      </c>
      <c r="DE140" s="365" t="n">
        <v>2302317.99</v>
      </c>
      <c r="DF140" s="13">
        <f>DE141</f>
        <v/>
      </c>
      <c r="DG140" s="388">
        <f>DE140-DF140</f>
        <v/>
      </c>
      <c r="DH140" s="389">
        <f>DG140/DF140</f>
        <v/>
      </c>
      <c r="DI140" s="182" t="n"/>
      <c r="DJ140" s="182" t="n"/>
      <c r="DK140" s="364" t="n"/>
      <c r="DL140" s="365">
        <f>C140</f>
        <v/>
      </c>
      <c r="DM140" s="365" t="n">
        <v>1190700.36</v>
      </c>
      <c r="DN140" s="365">
        <f>DM141</f>
        <v/>
      </c>
      <c r="DO140" s="388">
        <f>DM140-DN140</f>
        <v/>
      </c>
      <c r="DP140" s="389">
        <f>DO140/DN140</f>
        <v/>
      </c>
      <c r="DQ140" s="182" t="n"/>
      <c r="DR140" s="182" t="n"/>
      <c r="DS140" s="364" t="n"/>
      <c r="DT140" s="365">
        <f>C140</f>
        <v/>
      </c>
      <c r="DU140" s="365" t="n">
        <v>1461989.48</v>
      </c>
      <c r="DV140" s="365">
        <f>DU141</f>
        <v/>
      </c>
      <c r="DW140" s="388">
        <f>DU140-DV140</f>
        <v/>
      </c>
      <c r="DX140" s="389">
        <f>DW140/DV140</f>
        <v/>
      </c>
      <c r="DY140" s="182" t="n"/>
      <c r="DZ140" s="182" t="n"/>
      <c r="EA140" s="364" t="n"/>
      <c r="EB140" s="365">
        <f>C140</f>
        <v/>
      </c>
      <c r="EC140" s="365" t="n">
        <v>4642466.82</v>
      </c>
      <c r="ED140" s="365">
        <f>EC141</f>
        <v/>
      </c>
      <c r="EE140" s="388">
        <f>EC140-ED140</f>
        <v/>
      </c>
      <c r="EF140" s="389">
        <f>EE140/ED140</f>
        <v/>
      </c>
      <c r="EG140" s="182" t="n"/>
      <c r="EH140" s="182" t="n"/>
      <c r="EI140" s="364" t="n"/>
      <c r="EJ140" s="365">
        <f>C140</f>
        <v/>
      </c>
      <c r="EK140" s="365" t="n">
        <v>1338522.96</v>
      </c>
      <c r="EL140" s="365">
        <f>EK141</f>
        <v/>
      </c>
      <c r="EM140" s="388">
        <f>EK140-EL140</f>
        <v/>
      </c>
      <c r="EN140" s="389">
        <f>EM140/EL140</f>
        <v/>
      </c>
      <c r="EO140" s="182" t="n"/>
      <c r="EP140" s="182" t="n"/>
      <c r="EQ140" s="182" t="n"/>
      <c r="ER140" s="9">
        <f>C140</f>
        <v/>
      </c>
      <c r="ES140" s="182" t="n">
        <v>447497.02</v>
      </c>
      <c r="ET140" s="182">
        <f>ES141</f>
        <v/>
      </c>
      <c r="EU140" s="182">
        <f>ES140-ET140</f>
        <v/>
      </c>
      <c r="EV140" s="182">
        <f>EU140/ET140</f>
        <v/>
      </c>
      <c r="EW140" s="182" t="n"/>
      <c r="EX140" s="182" t="n"/>
      <c r="EY140" s="364" t="n"/>
      <c r="EZ140" s="365">
        <f>C140</f>
        <v/>
      </c>
      <c r="FA140" s="365" t="n">
        <v>717808</v>
      </c>
      <c r="FB140" s="365">
        <f>FA141</f>
        <v/>
      </c>
      <c r="FC140" s="390">
        <f>FA140-FB140</f>
        <v/>
      </c>
      <c r="FD140" s="391">
        <f>FC140/FB140</f>
        <v/>
      </c>
      <c r="FE140" s="182" t="n"/>
      <c r="FF140" s="182" t="n"/>
      <c r="FG140" s="182" t="n"/>
      <c r="FH140" s="384">
        <f>C140</f>
        <v/>
      </c>
      <c r="FI140" s="707" t="n">
        <v>1291695.33</v>
      </c>
      <c r="FJ140" s="365">
        <f>FI141</f>
        <v/>
      </c>
      <c r="FK140" s="325">
        <f>FI140-FJ140</f>
        <v/>
      </c>
      <c r="FL140" s="326">
        <f>FK140/FJ140</f>
        <v/>
      </c>
      <c r="FM140" s="488" t="n"/>
      <c r="FN140" s="488" t="n"/>
      <c r="FO140" s="364" t="n"/>
      <c r="FP140" s="365">
        <f>C140</f>
        <v/>
      </c>
      <c r="FQ140" s="365" t="n">
        <v>2073118.73</v>
      </c>
      <c r="FR140" s="365">
        <f>FQ141</f>
        <v/>
      </c>
      <c r="FS140" s="390">
        <f>FQ140-FR140</f>
        <v/>
      </c>
      <c r="FT140" s="391">
        <f>FS140/FR140</f>
        <v/>
      </c>
      <c r="FU140" s="182" t="n"/>
      <c r="FV140" s="182" t="n"/>
      <c r="FW140" s="364" t="n"/>
      <c r="FX140" s="365">
        <f>C140</f>
        <v/>
      </c>
      <c r="FY140" s="365" t="n">
        <v>8253482.05</v>
      </c>
      <c r="FZ140" s="365">
        <f>FY141</f>
        <v/>
      </c>
      <c r="GA140" s="390">
        <f>FY140-FZ140</f>
        <v/>
      </c>
      <c r="GB140" s="391">
        <f>GA140/FZ140</f>
        <v/>
      </c>
      <c r="GC140" s="182" t="n"/>
      <c r="GD140" s="182" t="n"/>
      <c r="GE140" s="364" t="n"/>
      <c r="GF140" s="365">
        <f>C140</f>
        <v/>
      </c>
      <c r="GG140" s="365" t="n">
        <v>4672669.49</v>
      </c>
      <c r="GH140" s="365">
        <f>GG141</f>
        <v/>
      </c>
      <c r="GI140" s="390">
        <f>GG140-GH140</f>
        <v/>
      </c>
      <c r="GJ140" s="391">
        <f>GI140/GH140</f>
        <v/>
      </c>
      <c r="GK140" s="182" t="n"/>
      <c r="GL140" s="182" t="n"/>
      <c r="GM140" s="364" t="n"/>
      <c r="GN140" s="365">
        <f>C140</f>
        <v/>
      </c>
      <c r="GO140" s="365" t="n">
        <v>1847818.12</v>
      </c>
      <c r="GP140" s="365">
        <f>GO141</f>
        <v/>
      </c>
      <c r="GQ140" s="390">
        <f>GO140-GP140</f>
        <v/>
      </c>
      <c r="GR140" s="391">
        <f>GQ140/GP140</f>
        <v/>
      </c>
      <c r="GS140" s="182" t="n"/>
      <c r="GT140" s="182" t="n"/>
      <c r="GU140" s="364" t="n"/>
      <c r="GV140" s="365">
        <f>C140</f>
        <v/>
      </c>
      <c r="GW140" s="365" t="n">
        <v>904949.4</v>
      </c>
      <c r="GX140" s="365">
        <f>GW141</f>
        <v/>
      </c>
      <c r="GY140" s="390">
        <f>GW140-GX140</f>
        <v/>
      </c>
      <c r="GZ140" s="391">
        <f>GY140/GX140</f>
        <v/>
      </c>
      <c r="HA140" s="182" t="n"/>
      <c r="HB140" s="182" t="n"/>
      <c r="HC140" s="364" t="n"/>
      <c r="HD140" s="365">
        <f>C140</f>
        <v/>
      </c>
      <c r="HE140" s="365" t="n">
        <v>1258364.67</v>
      </c>
      <c r="HF140" s="365">
        <f>HE141</f>
        <v/>
      </c>
      <c r="HG140" s="388">
        <f>HE140-HF140</f>
        <v/>
      </c>
      <c r="HH140" s="389">
        <f>HG140/HF140</f>
        <v/>
      </c>
      <c r="HI140" s="366" t="n"/>
      <c r="HJ140" s="182" t="n"/>
      <c r="HK140" s="364" t="n"/>
      <c r="HL140" s="365">
        <f>C140</f>
        <v/>
      </c>
      <c r="HM140" s="365" t="n">
        <v>147054.25</v>
      </c>
      <c r="HN140" s="365">
        <f>HM141</f>
        <v/>
      </c>
      <c r="HO140" s="388">
        <f>HM140-HN140</f>
        <v/>
      </c>
      <c r="HP140" s="389">
        <f>HO140/HN140</f>
        <v/>
      </c>
      <c r="HQ140" s="182" t="n"/>
      <c r="HR140" s="182" t="n"/>
      <c r="HS140" s="364" t="n"/>
      <c r="HT140" s="365">
        <f>C140</f>
        <v/>
      </c>
      <c r="HU140" s="365" t="n">
        <v>213368.82</v>
      </c>
      <c r="HV140" s="365">
        <f>HU141</f>
        <v/>
      </c>
      <c r="HW140" s="390">
        <f>HU140-HV140</f>
        <v/>
      </c>
      <c r="HX140" s="391">
        <f>HW140/HV140</f>
        <v/>
      </c>
      <c r="HY140" s="182" t="n"/>
      <c r="HZ140" s="182" t="n"/>
      <c r="IA140" s="364" t="n"/>
      <c r="IB140" s="365">
        <f>C140</f>
        <v/>
      </c>
      <c r="IC140" s="0" t="n">
        <v>370284.79</v>
      </c>
      <c r="ID140" s="0">
        <f>IC141</f>
        <v/>
      </c>
      <c r="IE140" s="365">
        <f>IC140-ID140</f>
        <v/>
      </c>
      <c r="IF140" s="366">
        <f>IE140/ID140</f>
        <v/>
      </c>
      <c r="IG140" s="182" t="n"/>
      <c r="IH140" s="182" t="n"/>
      <c r="II140" s="364" t="n"/>
      <c r="IJ140" s="365">
        <f>C140</f>
        <v/>
      </c>
      <c r="IK140" s="365" t="n">
        <v>610476.29</v>
      </c>
      <c r="IL140" s="365">
        <f>IK141</f>
        <v/>
      </c>
      <c r="IM140" s="390">
        <f>IK140-IL140</f>
        <v/>
      </c>
      <c r="IN140" s="391">
        <f>IM140/IL140</f>
        <v/>
      </c>
      <c r="IO140" s="182" t="n"/>
      <c r="IP140" s="182" t="n"/>
      <c r="IQ140" s="364" t="n"/>
      <c r="IR140" s="365">
        <f>C140</f>
        <v/>
      </c>
      <c r="IS140" s="365" t="n">
        <v>142689</v>
      </c>
      <c r="IT140" s="365">
        <f>IS141</f>
        <v/>
      </c>
      <c r="IU140" s="388">
        <f>IS140-IT140</f>
        <v/>
      </c>
      <c r="IV140" s="389">
        <f>IU140/IT140</f>
        <v/>
      </c>
      <c r="IW140" s="182" t="n"/>
      <c r="IX140" s="182" t="n"/>
      <c r="IY140" s="364" t="n"/>
      <c r="IZ140" s="365">
        <f>C140</f>
        <v/>
      </c>
      <c r="JA140" s="365" t="n">
        <v>4917129.15</v>
      </c>
      <c r="JB140" s="365">
        <f>JA141</f>
        <v/>
      </c>
      <c r="JC140" s="388">
        <f>JA140-JB140</f>
        <v/>
      </c>
      <c r="JD140" s="389">
        <f>JC140/JB140</f>
        <v/>
      </c>
      <c r="JE140" s="182" t="n"/>
      <c r="JF140" s="182" t="n"/>
      <c r="JG140" s="364" t="n"/>
      <c r="JH140" s="365">
        <f>C140</f>
        <v/>
      </c>
      <c r="JI140" s="365" t="n">
        <v>1333347.99</v>
      </c>
      <c r="JJ140" s="365">
        <f>JI141</f>
        <v/>
      </c>
      <c r="JK140" s="390">
        <f>JI140-JJ140</f>
        <v/>
      </c>
      <c r="JL140" s="391">
        <f>JK140/JJ140</f>
        <v/>
      </c>
      <c r="JM140" s="182" t="n"/>
      <c r="JN140" s="182" t="n"/>
      <c r="JO140" s="182" t="n"/>
      <c r="JP140" s="365">
        <f>C140</f>
        <v/>
      </c>
      <c r="JQ140" s="365" t="n">
        <v>1025990.41</v>
      </c>
      <c r="JR140" s="365">
        <f>JQ141</f>
        <v/>
      </c>
      <c r="JS140" s="390">
        <f>JQ140-JR140</f>
        <v/>
      </c>
      <c r="JT140" s="391">
        <f>JS140/JR140</f>
        <v/>
      </c>
      <c r="JU140" s="182" t="n"/>
      <c r="JV140" s="182" t="n"/>
      <c r="JW140" s="383" t="n"/>
      <c r="JX140" s="365">
        <f>C140</f>
        <v/>
      </c>
      <c r="JY140" s="365" t="n">
        <v>1195848.8</v>
      </c>
      <c r="JZ140" s="365">
        <f>JY141</f>
        <v/>
      </c>
      <c r="KA140" s="388">
        <f>JY140-JZ140</f>
        <v/>
      </c>
      <c r="KB140" s="389">
        <f>KA140/JZ140</f>
        <v/>
      </c>
      <c r="KC140" s="182" t="n"/>
      <c r="KD140" s="182" t="n"/>
      <c r="KE140" s="383" t="n"/>
      <c r="KF140" s="365">
        <f>C140</f>
        <v/>
      </c>
      <c r="KG140" s="365" t="n">
        <v>732555.92</v>
      </c>
      <c r="KH140" s="365">
        <f>KG141</f>
        <v/>
      </c>
      <c r="KI140" s="384">
        <f>KG140-KH140</f>
        <v/>
      </c>
      <c r="KJ140" s="383">
        <f>KI140/KH140</f>
        <v/>
      </c>
      <c r="KK140" s="366" t="n"/>
      <c r="KL140" s="366" t="n"/>
      <c r="KM140" s="364" t="n"/>
      <c r="KN140" s="365">
        <f>C140</f>
        <v/>
      </c>
      <c r="KO140" s="365" t="n">
        <v>8328775.95</v>
      </c>
      <c r="KP140" s="365">
        <f>KO141</f>
        <v/>
      </c>
      <c r="KQ140" s="390">
        <f>KO140-KP140</f>
        <v/>
      </c>
      <c r="KR140" s="383">
        <f>KQ140/KP140</f>
        <v/>
      </c>
      <c r="KS140" s="182" t="n"/>
      <c r="KT140" s="182" t="n"/>
      <c r="KV140" s="9">
        <f>C140</f>
        <v/>
      </c>
      <c r="KW140" s="0" t="n">
        <v>994072.97</v>
      </c>
      <c r="KX140" s="0">
        <f>KW141</f>
        <v/>
      </c>
      <c r="KY140" s="0">
        <f>KW140-KX140</f>
        <v/>
      </c>
      <c r="KZ140" s="182">
        <f>KY140/KX140</f>
        <v/>
      </c>
      <c r="LA140" s="182" t="n"/>
      <c r="LB140" s="182" t="n"/>
      <c r="LC140" s="364" t="n"/>
      <c r="LD140" s="365">
        <f>C140</f>
        <v/>
      </c>
      <c r="LE140" s="365" t="n">
        <v>483307.7</v>
      </c>
      <c r="LF140" s="365">
        <f>LE141</f>
        <v/>
      </c>
      <c r="LG140" s="388">
        <f>LE140-LF140</f>
        <v/>
      </c>
      <c r="LH140" s="389">
        <f>LG140/LF140</f>
        <v/>
      </c>
      <c r="LI140" s="182" t="n"/>
      <c r="LJ140" s="182" t="n"/>
      <c r="LK140" s="364" t="n"/>
      <c r="LL140" s="365">
        <f>C140</f>
        <v/>
      </c>
      <c r="LM140" s="694" t="n">
        <v>3576895.02</v>
      </c>
      <c r="LN140" s="365">
        <f>LM141</f>
        <v/>
      </c>
      <c r="LO140" s="390">
        <f>LM140-LN140</f>
        <v/>
      </c>
      <c r="LP140" s="391">
        <f>LO140/LN140</f>
        <v/>
      </c>
      <c r="LQ140" s="182" t="n"/>
      <c r="LR140" s="182" t="n"/>
      <c r="LS140" s="364" t="n"/>
      <c r="LT140" s="365">
        <f>C140</f>
        <v/>
      </c>
      <c r="LU140" s="365" t="n">
        <v>2516462.9</v>
      </c>
      <c r="LV140" s="365">
        <f>LU141</f>
        <v/>
      </c>
      <c r="LW140" s="388">
        <f>LU140-LV140</f>
        <v/>
      </c>
      <c r="LX140" s="389">
        <f>LW140/LV140</f>
        <v/>
      </c>
      <c r="LY140" s="182" t="n"/>
      <c r="LZ140" s="182" t="n"/>
      <c r="MA140" s="364" t="n"/>
      <c r="MB140" s="365">
        <f>C140</f>
        <v/>
      </c>
      <c r="MC140" s="365" t="n">
        <v>745667.6899999999</v>
      </c>
      <c r="MD140" s="365">
        <f>MC141</f>
        <v/>
      </c>
      <c r="ME140" s="388">
        <f>MC140-MD140</f>
        <v/>
      </c>
      <c r="MF140" s="389">
        <f>ME140/MD140</f>
        <v/>
      </c>
      <c r="MG140" s="182" t="n"/>
      <c r="MH140" s="182" t="n"/>
      <c r="MI140" s="364" t="n"/>
      <c r="MJ140" s="364" t="n"/>
      <c r="MK140" s="365">
        <f>C140</f>
        <v/>
      </c>
      <c r="ML140" s="364" t="n">
        <v>221385.53</v>
      </c>
      <c r="MM140" s="187">
        <f>ML141</f>
        <v/>
      </c>
      <c r="MN140" s="364">
        <f>ML140-MM140</f>
        <v/>
      </c>
      <c r="MO140" s="366">
        <f>MN140/MM140</f>
        <v/>
      </c>
      <c r="MP140" s="366" t="n"/>
      <c r="MQ140" s="366" t="n"/>
      <c r="MR140" s="366" t="n"/>
      <c r="MS140" s="366" t="n"/>
      <c r="MT140" s="25">
        <f>C140</f>
        <v/>
      </c>
      <c r="MU140" s="0" t="n">
        <v>203914.8</v>
      </c>
      <c r="MV140" s="0">
        <f>MU141</f>
        <v/>
      </c>
      <c r="MW140" s="0">
        <f>MU140-MV140</f>
        <v/>
      </c>
      <c r="MX140" s="182">
        <f>MW140/MV140</f>
        <v/>
      </c>
      <c r="MY140" s="182" t="n"/>
      <c r="MZ140" s="182" t="n"/>
      <c r="NA140" s="182" t="n"/>
      <c r="NB140" s="182" t="n"/>
      <c r="NC140" s="9">
        <f>C140</f>
        <v/>
      </c>
      <c r="ND140" s="0" t="n">
        <v>42291.48</v>
      </c>
      <c r="NE140" s="0">
        <f>ND141</f>
        <v/>
      </c>
      <c r="NF140" s="0">
        <f>ND140-NE140</f>
        <v/>
      </c>
      <c r="NG140" s="182">
        <f>NF140/NE140</f>
        <v/>
      </c>
      <c r="NH140" s="182" t="n"/>
      <c r="NI140" s="182" t="n"/>
      <c r="NJ140" s="182" t="n"/>
      <c r="NK140" s="182" t="n"/>
      <c r="NL140" s="9" t="n"/>
      <c r="NM140" s="9">
        <f>C140</f>
        <v/>
      </c>
      <c r="NN140" s="0" t="n">
        <v>2552911.08</v>
      </c>
      <c r="NO140" s="0">
        <f>NN141</f>
        <v/>
      </c>
      <c r="NP140" s="0">
        <f>NN140-NO140</f>
        <v/>
      </c>
      <c r="NQ140" s="182">
        <f>NP140/NO140</f>
        <v/>
      </c>
      <c r="NR140" s="182" t="n"/>
      <c r="NS140" s="9" t="n"/>
      <c r="NU140" s="9">
        <f>C140</f>
        <v/>
      </c>
      <c r="NV140" s="364" t="n">
        <v>260226.5</v>
      </c>
      <c r="NW140" s="364">
        <f>NV141</f>
        <v/>
      </c>
      <c r="NX140" s="364">
        <f>NV140-NW140</f>
        <v/>
      </c>
      <c r="NY140" s="366">
        <f>NX140/NW140</f>
        <v/>
      </c>
      <c r="NZ140" s="366" t="n"/>
      <c r="OA140" s="364" t="n"/>
      <c r="OB140" s="364" t="n"/>
      <c r="OC140" s="365">
        <f>C140</f>
        <v/>
      </c>
      <c r="OD140" s="365" t="n">
        <v>13800.97</v>
      </c>
      <c r="OE140" s="365">
        <f>OD141</f>
        <v/>
      </c>
      <c r="OF140" s="390">
        <f>OD140-OE140</f>
        <v/>
      </c>
      <c r="OG140" s="391">
        <f>OF140/OE140</f>
        <v/>
      </c>
      <c r="OH140" s="182" t="n"/>
      <c r="OI140" s="182" t="n"/>
      <c r="OJ140" s="364" t="n"/>
      <c r="OK140" s="365">
        <f>C140</f>
        <v/>
      </c>
      <c r="OL140" s="0" t="n">
        <v>13925.65</v>
      </c>
      <c r="OM140" s="0">
        <f>OL141</f>
        <v/>
      </c>
      <c r="ON140" s="0">
        <f>OL140-OM140</f>
        <v/>
      </c>
      <c r="OO140" s="182">
        <f>ON140/OM140</f>
        <v/>
      </c>
      <c r="OP140" s="182" t="n"/>
      <c r="OQ140" s="182" t="n"/>
      <c r="OT140" s="25">
        <f>OK140</f>
        <v/>
      </c>
      <c r="OU140" s="199" t="n">
        <v>145632.4066</v>
      </c>
      <c r="OV140" s="9">
        <f>OU141</f>
        <v/>
      </c>
      <c r="OW140" s="671">
        <f>OU140-OV140</f>
        <v/>
      </c>
      <c r="OX140" s="182">
        <f>OW140/OV140</f>
        <v/>
      </c>
    </row>
    <row r="141" ht="17" customFormat="1" customHeight="1" s="9">
      <c r="A141" s="631" t="n"/>
      <c r="B141" s="631" t="n"/>
      <c r="C141" s="693" t="inlineStr">
        <is>
          <t>2026//4/22</t>
        </is>
      </c>
      <c r="D141" s="362" t="n">
        <v>4181628.77</v>
      </c>
      <c r="E141" s="362">
        <f>D142</f>
        <v/>
      </c>
      <c r="F141" s="377">
        <f>D141-E141</f>
        <v/>
      </c>
      <c r="G141" s="378">
        <f>F141/E141</f>
        <v/>
      </c>
      <c r="H141" s="19" t="n"/>
      <c r="I141" s="426" t="n"/>
      <c r="J141" s="426" t="n"/>
      <c r="K141" s="362">
        <f>C141</f>
        <v/>
      </c>
      <c r="L141" s="362" t="n">
        <v>3105514.4</v>
      </c>
      <c r="M141" s="362">
        <f>L142</f>
        <v/>
      </c>
      <c r="N141" s="377">
        <f>L141-M141</f>
        <v/>
      </c>
      <c r="O141" s="378">
        <f>N141/M141</f>
        <v/>
      </c>
      <c r="P141" s="19" t="n"/>
      <c r="Q141" s="426" t="n"/>
      <c r="R141" s="427" t="n"/>
      <c r="S141" s="362">
        <f>C141</f>
        <v/>
      </c>
      <c r="T141" s="362" t="n">
        <v>2212176.68</v>
      </c>
      <c r="U141" s="362">
        <f>T142</f>
        <v/>
      </c>
      <c r="V141" s="432">
        <f>T141-U141</f>
        <v/>
      </c>
      <c r="W141" s="433">
        <f>V141/U141</f>
        <v/>
      </c>
      <c r="X141" s="19" t="n"/>
      <c r="Y141" s="426" t="n"/>
      <c r="Z141" s="427" t="n"/>
      <c r="AA141" s="362">
        <f>S141</f>
        <v/>
      </c>
      <c r="AB141" s="362" t="n">
        <v>892896.86</v>
      </c>
      <c r="AC141" s="362">
        <f>AB142</f>
        <v/>
      </c>
      <c r="AD141" s="377">
        <f>AB141-AC141</f>
        <v/>
      </c>
      <c r="AE141" s="479">
        <f>AD141/AC141</f>
        <v/>
      </c>
      <c r="AF141" s="19" t="n"/>
      <c r="AG141" s="426" t="n"/>
      <c r="AH141" s="427" t="n"/>
      <c r="AI141" s="362">
        <f>C141</f>
        <v/>
      </c>
      <c r="AJ141" s="362" t="n">
        <v>672921.76</v>
      </c>
      <c r="AK141" s="362">
        <f>AJ142</f>
        <v/>
      </c>
      <c r="AL141" s="432">
        <f>AJ141-AK141</f>
        <v/>
      </c>
      <c r="AM141" s="433">
        <f>AL141/AK141</f>
        <v/>
      </c>
      <c r="AN141" s="19" t="n"/>
      <c r="AO141" s="19" t="n"/>
      <c r="AP141" s="427" t="n"/>
      <c r="AQ141" s="362">
        <f>C141</f>
        <v/>
      </c>
      <c r="AR141" s="697" t="n">
        <v>1251045.49</v>
      </c>
      <c r="AS141" s="362">
        <f>AR142</f>
        <v/>
      </c>
      <c r="AT141" s="377">
        <f>AR141-AS141</f>
        <v/>
      </c>
      <c r="AU141" s="378">
        <f>AT141/AS141</f>
        <v/>
      </c>
      <c r="AV141" s="19" t="n"/>
      <c r="AW141" s="19" t="n"/>
      <c r="AX141" s="5" t="n"/>
      <c r="AY141" s="5" t="n"/>
      <c r="AZ141" s="5">
        <f>C141</f>
        <v/>
      </c>
      <c r="BA141" s="5" t="n">
        <v>1926021.66</v>
      </c>
      <c r="BB141" s="5">
        <f>BA142</f>
        <v/>
      </c>
      <c r="BC141" s="5">
        <f>BA141-BB141</f>
        <v/>
      </c>
      <c r="BD141" s="19">
        <f>BC141/BB141</f>
        <v/>
      </c>
      <c r="BE141" s="19" t="n"/>
      <c r="BF141" s="19" t="n"/>
      <c r="BG141" s="647" t="n"/>
      <c r="BH141" s="363">
        <f>C141</f>
        <v/>
      </c>
      <c r="BI141" s="363" t="n">
        <v>1731026.55</v>
      </c>
      <c r="BJ141" s="363">
        <f>BI142</f>
        <v/>
      </c>
      <c r="BK141" s="395">
        <f>BI141-BJ141</f>
        <v/>
      </c>
      <c r="BL141" s="396">
        <f>BK141/BJ141</f>
        <v/>
      </c>
      <c r="BM141" s="191" t="n"/>
      <c r="BN141" s="182" t="n"/>
      <c r="BO141" s="364" t="n"/>
      <c r="BP141" s="365">
        <f>C141</f>
        <v/>
      </c>
      <c r="BQ141" s="694" t="n">
        <v>1107362.39</v>
      </c>
      <c r="BR141" s="365">
        <f>BQ142</f>
        <v/>
      </c>
      <c r="BS141" s="388">
        <f>BQ141-BR141</f>
        <v/>
      </c>
      <c r="BT141" s="389">
        <f>BS141/BR141</f>
        <v/>
      </c>
      <c r="BU141" s="182" t="n"/>
      <c r="BV141" s="182" t="n"/>
      <c r="BW141" s="364" t="n"/>
      <c r="BX141" s="365">
        <f>C141</f>
        <v/>
      </c>
      <c r="BY141" s="365" t="n">
        <v>3069010.7</v>
      </c>
      <c r="BZ141" s="365">
        <f>BY142</f>
        <v/>
      </c>
      <c r="CA141" s="388">
        <f>BY141-BZ141</f>
        <v/>
      </c>
      <c r="CB141" s="389">
        <f>CA141/BZ141</f>
        <v/>
      </c>
      <c r="CC141" s="182" t="n"/>
      <c r="CD141" s="383" t="n"/>
      <c r="CE141" s="486" t="n"/>
      <c r="CF141" s="384">
        <f>C141</f>
        <v/>
      </c>
      <c r="CG141" s="185" t="n">
        <v>1378953.9</v>
      </c>
      <c r="CH141" s="185">
        <f>CG142</f>
        <v/>
      </c>
      <c r="CI141" s="13">
        <f>CG141-CH141</f>
        <v/>
      </c>
      <c r="CJ141" s="193">
        <f>CI141/CH141</f>
        <v/>
      </c>
      <c r="CK141" s="182" t="n"/>
      <c r="CL141" s="366" t="n"/>
      <c r="CM141" s="364" t="n"/>
      <c r="CN141" s="365">
        <f>C141</f>
        <v/>
      </c>
      <c r="CO141" s="365" t="n">
        <v>657046.48</v>
      </c>
      <c r="CP141" s="365">
        <f>CO142</f>
        <v/>
      </c>
      <c r="CQ141" s="13">
        <f>CO141-CP141</f>
        <v/>
      </c>
      <c r="CR141" s="193">
        <f>CQ141/CP141</f>
        <v/>
      </c>
      <c r="CS141" s="366" t="n"/>
      <c r="CT141" s="366" t="n"/>
      <c r="CU141" s="364" t="n"/>
      <c r="CV141" s="365">
        <f>C141</f>
        <v/>
      </c>
      <c r="CW141" s="365" t="n">
        <v>583890.4</v>
      </c>
      <c r="CX141" s="365">
        <f>CW142</f>
        <v/>
      </c>
      <c r="CY141" s="390">
        <f>CW141-CX141</f>
        <v/>
      </c>
      <c r="CZ141" s="391">
        <f>CY141/CX141</f>
        <v/>
      </c>
      <c r="DA141" s="182" t="n"/>
      <c r="DB141" s="182" t="n"/>
      <c r="DC141" s="256" t="n"/>
      <c r="DD141" s="365">
        <f>C141</f>
        <v/>
      </c>
      <c r="DE141" s="365" t="n">
        <v>2346517.99</v>
      </c>
      <c r="DF141" s="13">
        <f>DE142</f>
        <v/>
      </c>
      <c r="DG141" s="388">
        <f>DE141-DF141</f>
        <v/>
      </c>
      <c r="DH141" s="389">
        <f>DG141/DF141</f>
        <v/>
      </c>
      <c r="DI141" s="182" t="n"/>
      <c r="DJ141" s="182" t="n"/>
      <c r="DK141" s="364" t="n"/>
      <c r="DL141" s="365">
        <f>C141</f>
        <v/>
      </c>
      <c r="DM141" s="365" t="n">
        <v>1195100.36</v>
      </c>
      <c r="DN141" s="365">
        <f>DM142</f>
        <v/>
      </c>
      <c r="DO141" s="390">
        <f>DM141-DN141</f>
        <v/>
      </c>
      <c r="DP141" s="391">
        <f>DO141/DN141</f>
        <v/>
      </c>
      <c r="DQ141" s="182" t="n"/>
      <c r="DR141" s="182" t="n"/>
      <c r="DS141" s="364" t="n"/>
      <c r="DT141" s="365">
        <f>C141</f>
        <v/>
      </c>
      <c r="DU141" s="365" t="n">
        <v>1465889.48</v>
      </c>
      <c r="DV141" s="365">
        <f>DU142</f>
        <v/>
      </c>
      <c r="DW141" s="390">
        <f>DU141-DV141</f>
        <v/>
      </c>
      <c r="DX141" s="391">
        <f>DW141/DV141</f>
        <v/>
      </c>
      <c r="DY141" s="182" t="n"/>
      <c r="DZ141" s="182" t="n"/>
      <c r="EA141" s="364" t="n"/>
      <c r="EB141" s="365">
        <f>C141</f>
        <v/>
      </c>
      <c r="EC141" s="365" t="n">
        <v>4674566.82</v>
      </c>
      <c r="ED141" s="365">
        <f>EC142</f>
        <v/>
      </c>
      <c r="EE141" s="390">
        <f>EC141-ED141</f>
        <v/>
      </c>
      <c r="EF141" s="391">
        <f>EE141/ED141</f>
        <v/>
      </c>
      <c r="EG141" s="182" t="n"/>
      <c r="EH141" s="182" t="n"/>
      <c r="EI141" s="364" t="n"/>
      <c r="EJ141" s="365">
        <f>C141</f>
        <v/>
      </c>
      <c r="EK141" s="365" t="n">
        <v>1355522.96</v>
      </c>
      <c r="EL141" s="365">
        <f>EK142</f>
        <v/>
      </c>
      <c r="EM141" s="390">
        <f>EK141-EL141</f>
        <v/>
      </c>
      <c r="EN141" s="391">
        <f>EM141/EL141</f>
        <v/>
      </c>
      <c r="EO141" s="182" t="n"/>
      <c r="EP141" s="182" t="n"/>
      <c r="EQ141" s="182" t="n"/>
      <c r="ER141" s="9">
        <f>C141</f>
        <v/>
      </c>
      <c r="ES141" s="182" t="n">
        <v>455597.02</v>
      </c>
      <c r="ET141" s="182">
        <f>ES142</f>
        <v/>
      </c>
      <c r="EU141" s="182">
        <f>ES141-ET141</f>
        <v/>
      </c>
      <c r="EV141" s="182">
        <f>EU141/ET141</f>
        <v/>
      </c>
      <c r="EW141" s="182" t="n"/>
      <c r="EX141" s="182" t="n"/>
      <c r="EY141" s="364" t="n"/>
      <c r="EZ141" s="365">
        <f>C141</f>
        <v/>
      </c>
      <c r="FA141" s="365" t="n">
        <v>726908</v>
      </c>
      <c r="FB141" s="365">
        <f>FA142</f>
        <v/>
      </c>
      <c r="FC141" s="390">
        <f>FA141-FB141</f>
        <v/>
      </c>
      <c r="FD141" s="391">
        <f>FC141/FB141</f>
        <v/>
      </c>
      <c r="FE141" s="182" t="n"/>
      <c r="FF141" s="182" t="n"/>
      <c r="FG141" s="182" t="n"/>
      <c r="FH141" s="384">
        <f>C141</f>
        <v/>
      </c>
      <c r="FI141" s="707" t="n">
        <v>1264095.33</v>
      </c>
      <c r="FJ141" s="365">
        <f>FI142</f>
        <v/>
      </c>
      <c r="FK141" s="325">
        <f>FI141-FJ141</f>
        <v/>
      </c>
      <c r="FL141" s="326">
        <f>FK141/FJ141</f>
        <v/>
      </c>
      <c r="FM141" s="488" t="n"/>
      <c r="FN141" s="488" t="n"/>
      <c r="FO141" s="364" t="n"/>
      <c r="FP141" s="365">
        <f>C141</f>
        <v/>
      </c>
      <c r="FQ141" s="365" t="n">
        <v>2104018.73</v>
      </c>
      <c r="FR141" s="365">
        <f>FQ142</f>
        <v/>
      </c>
      <c r="FS141" s="390">
        <f>FQ141-FR141</f>
        <v/>
      </c>
      <c r="FT141" s="391">
        <f>FS141/FR141</f>
        <v/>
      </c>
      <c r="FU141" s="182" t="n"/>
      <c r="FV141" s="182" t="n"/>
      <c r="FW141" s="364" t="n"/>
      <c r="FX141" s="365">
        <f>C141</f>
        <v/>
      </c>
      <c r="FY141" s="365" t="n">
        <v>8281382.05</v>
      </c>
      <c r="FZ141" s="365">
        <f>FY142</f>
        <v/>
      </c>
      <c r="GA141" s="388">
        <f>FY141-FZ141</f>
        <v/>
      </c>
      <c r="GB141" s="389">
        <f>GA141/FZ141</f>
        <v/>
      </c>
      <c r="GC141" s="182" t="n"/>
      <c r="GD141" s="182" t="n"/>
      <c r="GE141" s="364" t="n"/>
      <c r="GF141" s="365">
        <f>C141</f>
        <v/>
      </c>
      <c r="GG141" s="365" t="n">
        <v>4711769.49</v>
      </c>
      <c r="GH141" s="365">
        <f>GG142</f>
        <v/>
      </c>
      <c r="GI141" s="390">
        <f>GG141-GH141</f>
        <v/>
      </c>
      <c r="GJ141" s="391">
        <f>GI141/GH141</f>
        <v/>
      </c>
      <c r="GK141" s="182" t="n"/>
      <c r="GL141" s="182" t="n"/>
      <c r="GM141" s="364" t="n"/>
      <c r="GN141" s="365">
        <f>C141</f>
        <v/>
      </c>
      <c r="GO141" s="365" t="n">
        <v>1847398.12</v>
      </c>
      <c r="GP141" s="365">
        <f>GO142</f>
        <v/>
      </c>
      <c r="GQ141" s="390">
        <f>GO141-GP141</f>
        <v/>
      </c>
      <c r="GR141" s="391">
        <f>GQ141/GP141</f>
        <v/>
      </c>
      <c r="GS141" s="182" t="n"/>
      <c r="GT141" s="182" t="n"/>
      <c r="GU141" s="364" t="n"/>
      <c r="GV141" s="365">
        <f>C141</f>
        <v/>
      </c>
      <c r="GW141" s="365" t="n">
        <v>915949.4</v>
      </c>
      <c r="GX141" s="365">
        <f>GW142</f>
        <v/>
      </c>
      <c r="GY141" s="390">
        <f>GW141-GX141</f>
        <v/>
      </c>
      <c r="GZ141" s="391">
        <f>GY141/GX141</f>
        <v/>
      </c>
      <c r="HA141" s="182" t="n"/>
      <c r="HB141" s="182" t="n"/>
      <c r="HC141" s="364" t="n"/>
      <c r="HD141" s="365">
        <f>C141</f>
        <v/>
      </c>
      <c r="HE141" s="365" t="n">
        <v>1249964.67</v>
      </c>
      <c r="HF141" s="365">
        <f>HE142</f>
        <v/>
      </c>
      <c r="HG141" s="388">
        <f>HE141-HF141</f>
        <v/>
      </c>
      <c r="HH141" s="389">
        <f>HG141/HF141</f>
        <v/>
      </c>
      <c r="HI141" s="366" t="n"/>
      <c r="HJ141" s="182" t="n"/>
      <c r="HK141" s="364" t="n"/>
      <c r="HL141" s="365">
        <f>C141</f>
        <v/>
      </c>
      <c r="HM141" s="365" t="n">
        <v>148554.25</v>
      </c>
      <c r="HN141" s="365">
        <f>HM142</f>
        <v/>
      </c>
      <c r="HO141" s="388">
        <f>HM141-HN141</f>
        <v/>
      </c>
      <c r="HP141" s="389">
        <f>HO141/HN141</f>
        <v/>
      </c>
      <c r="HQ141" s="182" t="n"/>
      <c r="HR141" s="182" t="n"/>
      <c r="HS141" s="364" t="n"/>
      <c r="HT141" s="365">
        <f>C141</f>
        <v/>
      </c>
      <c r="HU141" s="365" t="n">
        <v>217868.82</v>
      </c>
      <c r="HV141" s="365">
        <f>HU142</f>
        <v/>
      </c>
      <c r="HW141" s="390">
        <f>HU141-HV141</f>
        <v/>
      </c>
      <c r="HX141" s="391">
        <f>HW141/HV141</f>
        <v/>
      </c>
      <c r="HY141" s="182" t="n"/>
      <c r="HZ141" s="182" t="n"/>
      <c r="IA141" s="364" t="n"/>
      <c r="IB141" s="365">
        <f>C141</f>
        <v/>
      </c>
      <c r="IC141" s="0" t="n">
        <v>376609.79</v>
      </c>
      <c r="ID141" s="0">
        <f>IC142</f>
        <v/>
      </c>
      <c r="IE141" s="365">
        <f>IC141-ID141</f>
        <v/>
      </c>
      <c r="IF141" s="366">
        <f>IE141/ID141</f>
        <v/>
      </c>
      <c r="IG141" s="182" t="n"/>
      <c r="IH141" s="182" t="n"/>
      <c r="II141" s="364" t="n"/>
      <c r="IJ141" s="365">
        <f>C141</f>
        <v/>
      </c>
      <c r="IK141" s="365" t="n">
        <v>601516.29</v>
      </c>
      <c r="IL141" s="365">
        <f>IK142</f>
        <v/>
      </c>
      <c r="IM141" s="390">
        <f>IK141-IL141</f>
        <v/>
      </c>
      <c r="IN141" s="391">
        <f>IM141/IL141</f>
        <v/>
      </c>
      <c r="IO141" s="182" t="n"/>
      <c r="IP141" s="182" t="n"/>
      <c r="IQ141" s="364" t="n"/>
      <c r="IR141" s="365">
        <f>C141</f>
        <v/>
      </c>
      <c r="IS141" s="365" t="n">
        <v>142689</v>
      </c>
      <c r="IT141" s="365">
        <f>IS142</f>
        <v/>
      </c>
      <c r="IU141" s="388">
        <f>IS141-IT141</f>
        <v/>
      </c>
      <c r="IV141" s="389">
        <f>IU141/IT141</f>
        <v/>
      </c>
      <c r="IW141" s="182" t="n"/>
      <c r="IX141" s="182" t="n"/>
      <c r="IY141" s="364" t="n"/>
      <c r="IZ141" s="365">
        <f>C141</f>
        <v/>
      </c>
      <c r="JA141" s="365" t="n">
        <v>4927329.15</v>
      </c>
      <c r="JB141" s="365">
        <f>JA142</f>
        <v/>
      </c>
      <c r="JC141" s="390">
        <f>JA141-JB141</f>
        <v/>
      </c>
      <c r="JD141" s="391">
        <f>JC141/JB141</f>
        <v/>
      </c>
      <c r="JE141" s="182" t="n"/>
      <c r="JF141" s="182" t="n"/>
      <c r="JG141" s="364" t="n"/>
      <c r="JH141" s="365">
        <f>C141</f>
        <v/>
      </c>
      <c r="JI141" s="365" t="n">
        <v>1339167.99</v>
      </c>
      <c r="JJ141" s="365">
        <f>JI142</f>
        <v/>
      </c>
      <c r="JK141" s="390">
        <f>JI141-JJ141</f>
        <v/>
      </c>
      <c r="JL141" s="391">
        <f>JK141/JJ141</f>
        <v/>
      </c>
      <c r="JM141" s="182" t="n"/>
      <c r="JN141" s="182" t="n"/>
      <c r="JO141" s="182" t="n"/>
      <c r="JP141" s="365">
        <f>C141</f>
        <v/>
      </c>
      <c r="JQ141" s="365" t="n">
        <v>1026390.41</v>
      </c>
      <c r="JR141" s="365">
        <f>JQ142</f>
        <v/>
      </c>
      <c r="JS141" s="390">
        <f>JQ141-JR141</f>
        <v/>
      </c>
      <c r="JT141" s="391">
        <f>JS141/JR141</f>
        <v/>
      </c>
      <c r="JU141" s="182" t="n"/>
      <c r="JV141" s="182" t="n"/>
      <c r="JW141" s="383" t="n"/>
      <c r="JX141" s="365">
        <f>C141</f>
        <v/>
      </c>
      <c r="JY141" s="365" t="n">
        <v>1195998.8</v>
      </c>
      <c r="JZ141" s="365">
        <f>JY142</f>
        <v/>
      </c>
      <c r="KA141" s="390">
        <f>JY141-JZ141</f>
        <v/>
      </c>
      <c r="KB141" s="391">
        <f>KA141/JZ141</f>
        <v/>
      </c>
      <c r="KC141" s="182" t="n"/>
      <c r="KD141" s="182" t="n"/>
      <c r="KE141" s="383" t="n"/>
      <c r="KF141" s="365">
        <f>C141</f>
        <v/>
      </c>
      <c r="KG141" s="365" t="n">
        <v>732555.92</v>
      </c>
      <c r="KH141" s="365">
        <f>KG142</f>
        <v/>
      </c>
      <c r="KI141" s="384">
        <f>KG141-KH141</f>
        <v/>
      </c>
      <c r="KJ141" s="383">
        <f>KI141/KH141</f>
        <v/>
      </c>
      <c r="KK141" s="366" t="n"/>
      <c r="KL141" s="366" t="n"/>
      <c r="KM141" s="364" t="n"/>
      <c r="KN141" s="365">
        <f>C141</f>
        <v/>
      </c>
      <c r="KO141" s="365" t="n">
        <v>8323775.95</v>
      </c>
      <c r="KP141" s="365">
        <f>KO142</f>
        <v/>
      </c>
      <c r="KQ141" s="390">
        <f>KO141-KP141</f>
        <v/>
      </c>
      <c r="KR141" s="391">
        <f>KQ141/KP141</f>
        <v/>
      </c>
      <c r="KS141" s="182" t="n"/>
      <c r="KT141" s="182" t="n"/>
      <c r="KV141" s="9">
        <f>C141</f>
        <v/>
      </c>
      <c r="KW141" s="0" t="n">
        <v>994072.97</v>
      </c>
      <c r="KX141" s="0">
        <f>KW142</f>
        <v/>
      </c>
      <c r="KY141" s="0">
        <f>KW141-KX141</f>
        <v/>
      </c>
      <c r="KZ141" s="182">
        <f>KY141/KX141</f>
        <v/>
      </c>
      <c r="LA141" s="182" t="n"/>
      <c r="LB141" s="182" t="n"/>
      <c r="LC141" s="364" t="n"/>
      <c r="LD141" s="365">
        <f>C141</f>
        <v/>
      </c>
      <c r="LE141" s="365" t="n">
        <v>493357.7</v>
      </c>
      <c r="LF141" s="365">
        <f>LE142</f>
        <v/>
      </c>
      <c r="LG141" s="388">
        <f>LE141-LF141</f>
        <v/>
      </c>
      <c r="LH141" s="389">
        <f>LG141/LF141</f>
        <v/>
      </c>
      <c r="LI141" s="182" t="n"/>
      <c r="LJ141" s="182" t="n"/>
      <c r="LK141" s="364" t="n"/>
      <c r="LL141" s="365">
        <f>C141</f>
        <v/>
      </c>
      <c r="LM141" s="694" t="n">
        <v>3622435.02</v>
      </c>
      <c r="LN141" s="365">
        <f>LM142</f>
        <v/>
      </c>
      <c r="LO141" s="388">
        <f>LM141-LN141</f>
        <v/>
      </c>
      <c r="LP141" s="389">
        <f>LO141/LN141</f>
        <v/>
      </c>
      <c r="LQ141" s="182" t="n"/>
      <c r="LR141" s="182" t="n"/>
      <c r="LS141" s="364" t="n"/>
      <c r="LT141" s="365">
        <f>C141</f>
        <v/>
      </c>
      <c r="LU141" s="365" t="n">
        <v>2525862.9</v>
      </c>
      <c r="LV141" s="365">
        <f>LU142</f>
        <v/>
      </c>
      <c r="LW141" s="388">
        <f>LU141-LV141</f>
        <v/>
      </c>
      <c r="LX141" s="389">
        <f>LW141/LV141</f>
        <v/>
      </c>
      <c r="LY141" s="182" t="n"/>
      <c r="LZ141" s="182" t="n"/>
      <c r="MA141" s="364" t="n"/>
      <c r="MB141" s="365">
        <f>C141</f>
        <v/>
      </c>
      <c r="MC141" s="365" t="n">
        <v>720967.6899999999</v>
      </c>
      <c r="MD141" s="365">
        <f>MC142</f>
        <v/>
      </c>
      <c r="ME141" s="390">
        <f>MC141-MD141</f>
        <v/>
      </c>
      <c r="MF141" s="391">
        <f>ME141/MD141</f>
        <v/>
      </c>
      <c r="MG141" s="182" t="n"/>
      <c r="MH141" s="182" t="n"/>
      <c r="MI141" s="364" t="n"/>
      <c r="MJ141" s="364" t="n"/>
      <c r="MK141" s="365">
        <f>C141</f>
        <v/>
      </c>
      <c r="ML141" s="364" t="n">
        <v>224865.53</v>
      </c>
      <c r="MM141" s="187">
        <f>ML142</f>
        <v/>
      </c>
      <c r="MN141" s="364">
        <f>ML141-MM141</f>
        <v/>
      </c>
      <c r="MO141" s="366">
        <f>MN141/MM141</f>
        <v/>
      </c>
      <c r="MP141" s="366" t="n"/>
      <c r="MQ141" s="366" t="n"/>
      <c r="MR141" s="366" t="n"/>
      <c r="MS141" s="366" t="n"/>
      <c r="MT141" s="25">
        <f>C141</f>
        <v/>
      </c>
      <c r="MU141" s="0" t="n">
        <v>209714.8</v>
      </c>
      <c r="MV141" s="0">
        <f>MU142</f>
        <v/>
      </c>
      <c r="MW141" s="0">
        <f>MU141-MV141</f>
        <v/>
      </c>
      <c r="MX141" s="182">
        <f>MW141/MV141</f>
        <v/>
      </c>
      <c r="MY141" s="182" t="n"/>
      <c r="MZ141" s="182" t="n"/>
      <c r="NA141" s="182" t="n"/>
      <c r="NB141" s="182" t="n"/>
      <c r="NC141" s="9">
        <f>C141</f>
        <v/>
      </c>
      <c r="ND141" s="0" t="n">
        <v>42891.48</v>
      </c>
      <c r="NE141" s="0">
        <f>ND142</f>
        <v/>
      </c>
      <c r="NF141" s="0">
        <f>ND141-NE141</f>
        <v/>
      </c>
      <c r="NG141" s="182">
        <f>NF141/NE141</f>
        <v/>
      </c>
      <c r="NH141" s="182" t="n"/>
      <c r="NI141" s="182" t="n"/>
      <c r="NJ141" s="182" t="n"/>
      <c r="NK141" s="182" t="n"/>
      <c r="NL141" s="9" t="n"/>
      <c r="NM141" s="9">
        <f>C141</f>
        <v/>
      </c>
      <c r="NN141" s="0" t="n">
        <v>2555411.08</v>
      </c>
      <c r="NO141" s="0">
        <f>NN142</f>
        <v/>
      </c>
      <c r="NP141" s="0">
        <f>NN141-NO141</f>
        <v/>
      </c>
      <c r="NQ141" s="182">
        <f>NP141/NO141</f>
        <v/>
      </c>
      <c r="NR141" s="182" t="n"/>
      <c r="NS141" s="9" t="n"/>
      <c r="NU141" s="9">
        <f>C141</f>
        <v/>
      </c>
      <c r="NV141" s="364" t="n">
        <v>259726.5</v>
      </c>
      <c r="NW141" s="364">
        <f>NV142</f>
        <v/>
      </c>
      <c r="NX141" s="364">
        <f>NV141-NW141</f>
        <v/>
      </c>
      <c r="NY141" s="366">
        <f>NX141/NW141</f>
        <v/>
      </c>
      <c r="NZ141" s="366" t="n"/>
      <c r="OA141" s="364" t="n"/>
      <c r="OB141" s="364" t="n"/>
      <c r="OC141" s="365">
        <f>C141</f>
        <v/>
      </c>
      <c r="OD141" s="365" t="n">
        <v>13867.97</v>
      </c>
      <c r="OE141" s="365">
        <f>OD142</f>
        <v/>
      </c>
      <c r="OF141" s="390">
        <f>OD141-OE141</f>
        <v/>
      </c>
      <c r="OG141" s="391">
        <f>OF141/OE141</f>
        <v/>
      </c>
      <c r="OH141" s="182" t="n"/>
      <c r="OI141" s="182" t="n"/>
      <c r="OJ141" s="364" t="n"/>
      <c r="OK141" s="365">
        <f>C141</f>
        <v/>
      </c>
      <c r="OL141" s="0" t="n">
        <v>13910.65</v>
      </c>
      <c r="OM141" s="0">
        <f>OL142</f>
        <v/>
      </c>
      <c r="ON141" s="0">
        <f>OL141-OM141</f>
        <v/>
      </c>
      <c r="OO141" s="182">
        <f>ON141/OM141</f>
        <v/>
      </c>
      <c r="OP141" s="182" t="n"/>
      <c r="OQ141" s="182" t="n"/>
      <c r="OT141" s="25">
        <f>OK141</f>
        <v/>
      </c>
      <c r="OU141" s="199" t="n">
        <v>145512.4066</v>
      </c>
      <c r="OV141" s="9">
        <f>OU142</f>
        <v/>
      </c>
      <c r="OW141" s="671">
        <f>OU141-OV141</f>
        <v/>
      </c>
      <c r="OX141" s="182">
        <f>OW141/OV141</f>
        <v/>
      </c>
    </row>
    <row r="142" ht="17" customFormat="1" customHeight="1" s="9">
      <c r="A142" s="631" t="n"/>
      <c r="B142" s="631" t="n"/>
      <c r="C142" s="693" t="inlineStr">
        <is>
          <t>2026//4/21</t>
        </is>
      </c>
      <c r="D142" s="362" t="n">
        <v>4244178.77</v>
      </c>
      <c r="E142" s="362">
        <f>D143</f>
        <v/>
      </c>
      <c r="F142" s="377">
        <f>D142-E142</f>
        <v/>
      </c>
      <c r="G142" s="378">
        <f>F142/E142</f>
        <v/>
      </c>
      <c r="H142" s="19" t="n"/>
      <c r="I142" s="426" t="n"/>
      <c r="J142" s="426" t="n"/>
      <c r="K142" s="362">
        <f>C142</f>
        <v/>
      </c>
      <c r="L142" s="362" t="n">
        <v>3115774.4</v>
      </c>
      <c r="M142" s="362">
        <f>L143</f>
        <v/>
      </c>
      <c r="N142" s="377">
        <f>L142-M142</f>
        <v/>
      </c>
      <c r="O142" s="378">
        <f>N142/M142</f>
        <v/>
      </c>
      <c r="P142" s="19" t="n"/>
      <c r="Q142" s="426" t="n"/>
      <c r="R142" s="427" t="n"/>
      <c r="S142" s="362">
        <f>C142</f>
        <v/>
      </c>
      <c r="T142" s="362" t="n">
        <v>2248896.68</v>
      </c>
      <c r="U142" s="362">
        <f>T143</f>
        <v/>
      </c>
      <c r="V142" s="377">
        <f>T142-U142</f>
        <v/>
      </c>
      <c r="W142" s="378">
        <f>V142/U142</f>
        <v/>
      </c>
      <c r="X142" s="19" t="n"/>
      <c r="Y142" s="426" t="n"/>
      <c r="Z142" s="427" t="n"/>
      <c r="AA142" s="362">
        <f>S142</f>
        <v/>
      </c>
      <c r="AB142" s="362" t="n">
        <v>915016.86</v>
      </c>
      <c r="AC142" s="362">
        <f>AB143</f>
        <v/>
      </c>
      <c r="AD142" s="377">
        <f>AB142-AC142</f>
        <v/>
      </c>
      <c r="AE142" s="378">
        <f>AD142/AC142</f>
        <v/>
      </c>
      <c r="AF142" s="19" t="n"/>
      <c r="AG142" s="426" t="n"/>
      <c r="AH142" s="427" t="n"/>
      <c r="AI142" s="362">
        <f>C142</f>
        <v/>
      </c>
      <c r="AJ142" s="362" t="n">
        <v>693121.76</v>
      </c>
      <c r="AK142" s="362">
        <f>AJ143</f>
        <v/>
      </c>
      <c r="AL142" s="377">
        <f>AJ142-AK142</f>
        <v/>
      </c>
      <c r="AM142" s="378">
        <f>AL142/AK142</f>
        <v/>
      </c>
      <c r="AN142" s="19" t="n"/>
      <c r="AO142" s="19" t="n"/>
      <c r="AP142" s="427" t="n"/>
      <c r="AQ142" s="362">
        <f>C142</f>
        <v/>
      </c>
      <c r="AR142" s="697" t="n">
        <v>1320145.49</v>
      </c>
      <c r="AS142" s="362">
        <f>AR143</f>
        <v/>
      </c>
      <c r="AT142" s="432">
        <f>AR142-AS142</f>
        <v/>
      </c>
      <c r="AU142" s="433">
        <f>AT142/AS142</f>
        <v/>
      </c>
      <c r="AV142" s="19" t="n"/>
      <c r="AW142" s="19" t="n"/>
      <c r="AX142" s="5" t="n"/>
      <c r="AY142" s="5" t="n"/>
      <c r="AZ142" s="5">
        <f>C142</f>
        <v/>
      </c>
      <c r="BA142" s="5" t="n">
        <v>1937091.66</v>
      </c>
      <c r="BB142" s="5">
        <f>BA143</f>
        <v/>
      </c>
      <c r="BC142" s="5">
        <f>BA142-BB142</f>
        <v/>
      </c>
      <c r="BD142" s="19">
        <f>BC142/BB142</f>
        <v/>
      </c>
      <c r="BE142" s="19" t="n"/>
      <c r="BF142" s="19" t="n"/>
      <c r="BG142" s="647" t="n"/>
      <c r="BH142" s="363">
        <f>C142</f>
        <v/>
      </c>
      <c r="BI142" s="363" t="n">
        <v>1750126.55</v>
      </c>
      <c r="BJ142" s="363">
        <f>BI143</f>
        <v/>
      </c>
      <c r="BK142" s="395">
        <f>BI142-BJ142</f>
        <v/>
      </c>
      <c r="BL142" s="396">
        <f>BK142/BJ142</f>
        <v/>
      </c>
      <c r="BM142" s="191" t="n"/>
      <c r="BN142" s="182" t="n"/>
      <c r="BO142" s="364" t="n"/>
      <c r="BP142" s="365">
        <f>C142</f>
        <v/>
      </c>
      <c r="BQ142" s="694" t="n">
        <v>1118062.39</v>
      </c>
      <c r="BR142" s="365">
        <f>BQ143</f>
        <v/>
      </c>
      <c r="BS142" s="388">
        <f>BQ142-BR142</f>
        <v/>
      </c>
      <c r="BT142" s="389">
        <f>BS142/BR142</f>
        <v/>
      </c>
      <c r="BU142" s="182" t="n"/>
      <c r="BV142" s="182" t="n"/>
      <c r="BW142" s="364" t="n"/>
      <c r="BX142" s="365">
        <f>C142</f>
        <v/>
      </c>
      <c r="BY142" s="365" t="n">
        <v>3080860.7</v>
      </c>
      <c r="BZ142" s="365">
        <f>BY143</f>
        <v/>
      </c>
      <c r="CA142" s="388">
        <f>BY142-BZ142</f>
        <v/>
      </c>
      <c r="CB142" s="389">
        <f>CA142/BZ142</f>
        <v/>
      </c>
      <c r="CC142" s="182" t="n"/>
      <c r="CD142" s="383" t="n"/>
      <c r="CE142" s="486" t="n"/>
      <c r="CF142" s="384">
        <f>C142</f>
        <v/>
      </c>
      <c r="CG142" s="185" t="n">
        <v>1390203.9</v>
      </c>
      <c r="CH142" s="185">
        <f>CG143</f>
        <v/>
      </c>
      <c r="CI142" s="13">
        <f>CG142-CH142</f>
        <v/>
      </c>
      <c r="CJ142" s="193">
        <f>CI142/CH142</f>
        <v/>
      </c>
      <c r="CK142" s="182" t="n"/>
      <c r="CL142" s="366" t="n"/>
      <c r="CM142" s="364" t="n"/>
      <c r="CN142" s="365">
        <f>C142</f>
        <v/>
      </c>
      <c r="CO142" s="365" t="n">
        <v>659546.48</v>
      </c>
      <c r="CP142" s="365">
        <f>CO143</f>
        <v/>
      </c>
      <c r="CQ142" s="13">
        <f>CO142-CP142</f>
        <v/>
      </c>
      <c r="CR142" s="193">
        <f>CQ142/CP142</f>
        <v/>
      </c>
      <c r="CS142" s="366" t="n"/>
      <c r="CT142" s="366" t="n"/>
      <c r="CU142" s="364" t="n"/>
      <c r="CV142" s="365">
        <f>C142</f>
        <v/>
      </c>
      <c r="CW142" s="365" t="n">
        <v>587290.4</v>
      </c>
      <c r="CX142" s="365">
        <f>CW143</f>
        <v/>
      </c>
      <c r="CY142" s="390">
        <f>CW142-CX142</f>
        <v/>
      </c>
      <c r="CZ142" s="391">
        <f>CY142/CX142</f>
        <v/>
      </c>
      <c r="DA142" s="182" t="n"/>
      <c r="DB142" s="182" t="n"/>
      <c r="DC142" s="256" t="n"/>
      <c r="DD142" s="365">
        <f>C142</f>
        <v/>
      </c>
      <c r="DE142" s="365" t="n">
        <v>2349917.99</v>
      </c>
      <c r="DF142" s="13">
        <f>DE143</f>
        <v/>
      </c>
      <c r="DG142" s="388">
        <f>DE142-DF142</f>
        <v/>
      </c>
      <c r="DH142" s="389">
        <f>DG142/DF142</f>
        <v/>
      </c>
      <c r="DI142" s="182" t="n"/>
      <c r="DJ142" s="182" t="n"/>
      <c r="DK142" s="364" t="n"/>
      <c r="DL142" s="365">
        <f>C142</f>
        <v/>
      </c>
      <c r="DM142" s="365" t="n">
        <v>1232500.36</v>
      </c>
      <c r="DN142" s="365">
        <f>DM143</f>
        <v/>
      </c>
      <c r="DO142" s="388">
        <f>DM142-DN142</f>
        <v/>
      </c>
      <c r="DP142" s="389">
        <f>DO142/DN142</f>
        <v/>
      </c>
      <c r="DQ142" s="182" t="n"/>
      <c r="DR142" s="182" t="n"/>
      <c r="DS142" s="364" t="n"/>
      <c r="DT142" s="365">
        <f>C142</f>
        <v/>
      </c>
      <c r="DU142" s="365" t="n">
        <v>1485689.48</v>
      </c>
      <c r="DV142" s="365">
        <f>DU143</f>
        <v/>
      </c>
      <c r="DW142" s="390">
        <f>DU142-DV142</f>
        <v/>
      </c>
      <c r="DX142" s="391">
        <f>DW142/DV142</f>
        <v/>
      </c>
      <c r="DY142" s="182" t="n"/>
      <c r="DZ142" s="182" t="n"/>
      <c r="EA142" s="364" t="n"/>
      <c r="EB142" s="365">
        <f>C142</f>
        <v/>
      </c>
      <c r="EC142" s="365" t="n">
        <v>4744166.82</v>
      </c>
      <c r="ED142" s="365">
        <f>EC143</f>
        <v/>
      </c>
      <c r="EE142" s="388">
        <f>EC142-ED142</f>
        <v/>
      </c>
      <c r="EF142" s="389">
        <f>EE142/ED142</f>
        <v/>
      </c>
      <c r="EG142" s="182" t="n"/>
      <c r="EH142" s="182" t="n"/>
      <c r="EI142" s="364" t="n"/>
      <c r="EJ142" s="365">
        <f>C142</f>
        <v/>
      </c>
      <c r="EK142" s="365" t="n">
        <v>1369122.96</v>
      </c>
      <c r="EL142" s="365">
        <f>EK143</f>
        <v/>
      </c>
      <c r="EM142" s="390">
        <f>EK142-EL142</f>
        <v/>
      </c>
      <c r="EN142" s="391">
        <f>EM142/EL142</f>
        <v/>
      </c>
      <c r="EO142" s="182" t="n"/>
      <c r="EP142" s="182" t="n"/>
      <c r="EQ142" s="182" t="n"/>
      <c r="ER142" s="9">
        <f>C142</f>
        <v/>
      </c>
      <c r="ES142" s="182" t="n">
        <v>462947.02</v>
      </c>
      <c r="ET142" s="182">
        <f>ES143</f>
        <v/>
      </c>
      <c r="EU142" s="182">
        <f>ES142-ET142</f>
        <v/>
      </c>
      <c r="EV142" s="182">
        <f>EU142/ET142</f>
        <v/>
      </c>
      <c r="EW142" s="182" t="n"/>
      <c r="EX142" s="182" t="n"/>
      <c r="EY142" s="364" t="n"/>
      <c r="EZ142" s="365">
        <f>C142</f>
        <v/>
      </c>
      <c r="FA142" s="365" t="n">
        <v>723208</v>
      </c>
      <c r="FB142" s="365">
        <f>FA143</f>
        <v/>
      </c>
      <c r="FC142" s="388">
        <f>FA142-FB142</f>
        <v/>
      </c>
      <c r="FD142" s="389">
        <f>FC142/FB142</f>
        <v/>
      </c>
      <c r="FE142" s="182" t="n"/>
      <c r="FF142" s="182" t="n"/>
      <c r="FG142" s="182" t="n"/>
      <c r="FH142" s="384">
        <f>C142</f>
        <v/>
      </c>
      <c r="FI142" s="707" t="n">
        <v>1249195.33</v>
      </c>
      <c r="FJ142" s="365">
        <f>FI143</f>
        <v/>
      </c>
      <c r="FK142" s="325">
        <f>FI142-FJ142</f>
        <v/>
      </c>
      <c r="FL142" s="326">
        <f>FK142/FJ142</f>
        <v/>
      </c>
      <c r="FM142" s="488" t="n"/>
      <c r="FN142" s="488" t="n"/>
      <c r="FO142" s="364" t="n"/>
      <c r="FP142" s="365">
        <f>C142</f>
        <v/>
      </c>
      <c r="FQ142" s="365" t="n">
        <v>2125468.73</v>
      </c>
      <c r="FR142" s="365">
        <f>FQ143</f>
        <v/>
      </c>
      <c r="FS142" s="390">
        <f>FQ142-FR142</f>
        <v/>
      </c>
      <c r="FT142" s="391">
        <f>FS142/FR142</f>
        <v/>
      </c>
      <c r="FU142" s="182" t="n"/>
      <c r="FV142" s="182" t="n"/>
      <c r="FW142" s="364" t="n"/>
      <c r="FX142" s="365">
        <f>C142</f>
        <v/>
      </c>
      <c r="FY142" s="365" t="n">
        <v>8298482.05</v>
      </c>
      <c r="FZ142" s="365">
        <f>FY143</f>
        <v/>
      </c>
      <c r="GA142" s="390">
        <f>FY142-FZ142</f>
        <v/>
      </c>
      <c r="GB142" s="391">
        <f>GA142/FZ142</f>
        <v/>
      </c>
      <c r="GC142" s="182" t="n"/>
      <c r="GD142" s="182" t="n"/>
      <c r="GE142" s="364" t="n"/>
      <c r="GF142" s="365">
        <f>C142</f>
        <v/>
      </c>
      <c r="GG142" s="365" t="n">
        <v>4704769.49</v>
      </c>
      <c r="GH142" s="365">
        <f>GG143</f>
        <v/>
      </c>
      <c r="GI142" s="390">
        <f>GG142-GH142</f>
        <v/>
      </c>
      <c r="GJ142" s="391">
        <f>GI142/GH142</f>
        <v/>
      </c>
      <c r="GK142" s="182" t="n"/>
      <c r="GL142" s="182" t="n"/>
      <c r="GM142" s="364" t="n"/>
      <c r="GN142" s="365">
        <f>C142</f>
        <v/>
      </c>
      <c r="GO142" s="365" t="n">
        <v>1845178.12</v>
      </c>
      <c r="GP142" s="365">
        <f>GO143</f>
        <v/>
      </c>
      <c r="GQ142" s="390">
        <f>GO142-GP142</f>
        <v/>
      </c>
      <c r="GR142" s="391">
        <f>GQ142/GP142</f>
        <v/>
      </c>
      <c r="GS142" s="182" t="n"/>
      <c r="GT142" s="182" t="n"/>
      <c r="GU142" s="364" t="n"/>
      <c r="GV142" s="365">
        <f>C142</f>
        <v/>
      </c>
      <c r="GW142" s="365" t="n">
        <v>920749.4</v>
      </c>
      <c r="GX142" s="365">
        <f>GW143</f>
        <v/>
      </c>
      <c r="GY142" s="388">
        <f>GW142-GX142</f>
        <v/>
      </c>
      <c r="GZ142" s="389">
        <f>GY142/GX142</f>
        <v/>
      </c>
      <c r="HA142" s="182" t="n"/>
      <c r="HB142" s="182" t="n"/>
      <c r="HC142" s="364" t="n"/>
      <c r="HD142" s="365">
        <f>C142</f>
        <v/>
      </c>
      <c r="HE142" s="365" t="n">
        <v>1245564.67</v>
      </c>
      <c r="HF142" s="365">
        <f>HE143</f>
        <v/>
      </c>
      <c r="HG142" s="390">
        <f>HE142-HF142</f>
        <v/>
      </c>
      <c r="HH142" s="391">
        <f>HG142/HF142</f>
        <v/>
      </c>
      <c r="HI142" s="366" t="n"/>
      <c r="HJ142" s="182" t="n"/>
      <c r="HK142" s="364" t="n"/>
      <c r="HL142" s="365">
        <f>C142</f>
        <v/>
      </c>
      <c r="HM142" s="365" t="n">
        <v>149354.25</v>
      </c>
      <c r="HN142" s="365">
        <f>HM143</f>
        <v/>
      </c>
      <c r="HO142" s="388">
        <f>HM142-HN142</f>
        <v/>
      </c>
      <c r="HP142" s="389">
        <f>HO142/HN142</f>
        <v/>
      </c>
      <c r="HQ142" s="182" t="n"/>
      <c r="HR142" s="182" t="n"/>
      <c r="HS142" s="364" t="n"/>
      <c r="HT142" s="365">
        <f>C142</f>
        <v/>
      </c>
      <c r="HU142" s="365" t="n">
        <v>228668.82</v>
      </c>
      <c r="HV142" s="365">
        <f>HU143</f>
        <v/>
      </c>
      <c r="HW142" s="388">
        <f>HU142-HV142</f>
        <v/>
      </c>
      <c r="HX142" s="389">
        <f>HW142/HV142</f>
        <v/>
      </c>
      <c r="HY142" s="182" t="n"/>
      <c r="HZ142" s="182" t="n"/>
      <c r="IA142" s="364" t="n"/>
      <c r="IB142" s="365">
        <f>C142</f>
        <v/>
      </c>
      <c r="IC142" s="0" t="n">
        <v>378859.79</v>
      </c>
      <c r="ID142" s="0">
        <f>IC143</f>
        <v/>
      </c>
      <c r="IE142" s="365">
        <f>IC142-ID142</f>
        <v/>
      </c>
      <c r="IF142" s="366">
        <f>IE142/ID142</f>
        <v/>
      </c>
      <c r="IG142" s="182" t="n"/>
      <c r="IH142" s="182" t="n"/>
      <c r="II142" s="364" t="n"/>
      <c r="IJ142" s="365">
        <f>C142</f>
        <v/>
      </c>
      <c r="IK142" s="365" t="n">
        <v>604636.29</v>
      </c>
      <c r="IL142" s="365">
        <f>IK143</f>
        <v/>
      </c>
      <c r="IM142" s="390">
        <f>IK142-IL142</f>
        <v/>
      </c>
      <c r="IN142" s="391">
        <f>IM142/IL142</f>
        <v/>
      </c>
      <c r="IO142" s="182" t="n"/>
      <c r="IP142" s="182" t="n"/>
      <c r="IQ142" s="364" t="n"/>
      <c r="IR142" s="365">
        <f>C142</f>
        <v/>
      </c>
      <c r="IS142" s="365" t="n">
        <v>142689</v>
      </c>
      <c r="IT142" s="365">
        <f>IS143</f>
        <v/>
      </c>
      <c r="IU142" s="388">
        <f>IS142-IT142</f>
        <v/>
      </c>
      <c r="IV142" s="389">
        <f>IU142/IT142</f>
        <v/>
      </c>
      <c r="IW142" s="182" t="n"/>
      <c r="IX142" s="182" t="n"/>
      <c r="IY142" s="364" t="n"/>
      <c r="IZ142" s="365">
        <f>C142</f>
        <v/>
      </c>
      <c r="JA142" s="365" t="n">
        <v>4952329.15</v>
      </c>
      <c r="JB142" s="365">
        <f>JA143</f>
        <v/>
      </c>
      <c r="JC142" s="390">
        <f>JA142-JB142</f>
        <v/>
      </c>
      <c r="JD142" s="391">
        <f>JC142/JB142</f>
        <v/>
      </c>
      <c r="JE142" s="182" t="n"/>
      <c r="JF142" s="182" t="n"/>
      <c r="JG142" s="364" t="n"/>
      <c r="JH142" s="365">
        <f>C142</f>
        <v/>
      </c>
      <c r="JI142" s="365" t="n">
        <v>1335627.99</v>
      </c>
      <c r="JJ142" s="365">
        <f>JI143</f>
        <v/>
      </c>
      <c r="JK142" s="388">
        <f>JI142-JJ142</f>
        <v/>
      </c>
      <c r="JL142" s="389">
        <f>JK142/JJ142</f>
        <v/>
      </c>
      <c r="JM142" s="182" t="n"/>
      <c r="JN142" s="182" t="n"/>
      <c r="JO142" s="182" t="n"/>
      <c r="JP142" s="365">
        <f>C142</f>
        <v/>
      </c>
      <c r="JQ142" s="365" t="n">
        <v>1030490.41</v>
      </c>
      <c r="JR142" s="365">
        <f>JQ143</f>
        <v/>
      </c>
      <c r="JS142" s="390">
        <f>JQ142-JR142</f>
        <v/>
      </c>
      <c r="JT142" s="391">
        <f>JS142/JR142</f>
        <v/>
      </c>
      <c r="JU142" s="182" t="n"/>
      <c r="JV142" s="182" t="n"/>
      <c r="JW142" s="383" t="n"/>
      <c r="JX142" s="365">
        <f>C142</f>
        <v/>
      </c>
      <c r="JY142" s="365" t="n">
        <v>1196048.8</v>
      </c>
      <c r="JZ142" s="365">
        <f>JY143</f>
        <v/>
      </c>
      <c r="KA142" s="390">
        <f>JY142-JZ142</f>
        <v/>
      </c>
      <c r="KB142" s="391">
        <f>KA142/JZ142</f>
        <v/>
      </c>
      <c r="KC142" s="182" t="n"/>
      <c r="KD142" s="182" t="n"/>
      <c r="KE142" s="383" t="n"/>
      <c r="KF142" s="365">
        <f>C142</f>
        <v/>
      </c>
      <c r="KG142" s="365" t="n">
        <v>732555.92</v>
      </c>
      <c r="KH142" s="365">
        <f>KG143</f>
        <v/>
      </c>
      <c r="KI142" s="384">
        <f>KG142-KH142</f>
        <v/>
      </c>
      <c r="KJ142" s="383">
        <f>KI142/KH142</f>
        <v/>
      </c>
      <c r="KK142" s="366" t="n"/>
      <c r="KL142" s="366" t="n"/>
      <c r="KM142" s="364" t="n"/>
      <c r="KN142" s="365">
        <f>C142</f>
        <v/>
      </c>
      <c r="KO142" s="365" t="n">
        <v>8322775.95</v>
      </c>
      <c r="KP142" s="365">
        <f>KO143</f>
        <v/>
      </c>
      <c r="KQ142" s="390">
        <f>KO142-KP142</f>
        <v/>
      </c>
      <c r="KR142" s="391">
        <f>KQ142/KP142</f>
        <v/>
      </c>
      <c r="KS142" s="182" t="n"/>
      <c r="KT142" s="182" t="n"/>
      <c r="KV142" s="9">
        <f>C142</f>
        <v/>
      </c>
      <c r="KW142" s="0" t="n">
        <v>994072.97</v>
      </c>
      <c r="KX142" s="0">
        <f>KW143</f>
        <v/>
      </c>
      <c r="KY142" s="0">
        <f>KW142-KX142</f>
        <v/>
      </c>
      <c r="KZ142" s="182">
        <f>KY142/KX142</f>
        <v/>
      </c>
      <c r="LA142" s="182" t="n"/>
      <c r="LB142" s="182" t="n"/>
      <c r="LC142" s="364" t="n"/>
      <c r="LD142" s="365">
        <f>C142</f>
        <v/>
      </c>
      <c r="LE142" s="365" t="n">
        <v>493207.7</v>
      </c>
      <c r="LF142" s="365">
        <f>LE143</f>
        <v/>
      </c>
      <c r="LG142" s="388">
        <f>LE142-LF142</f>
        <v/>
      </c>
      <c r="LH142" s="389">
        <f>LG142/LF142</f>
        <v/>
      </c>
      <c r="LI142" s="182" t="n"/>
      <c r="LJ142" s="182" t="n"/>
      <c r="LK142" s="364" t="n"/>
      <c r="LL142" s="365">
        <f>C142</f>
        <v/>
      </c>
      <c r="LM142" s="694" t="n">
        <v>3602995.02</v>
      </c>
      <c r="LN142" s="365">
        <f>LM143</f>
        <v/>
      </c>
      <c r="LO142" s="390">
        <f>LM142-LN142</f>
        <v/>
      </c>
      <c r="LP142" s="391">
        <f>LO142/LN142</f>
        <v/>
      </c>
      <c r="LQ142" s="182" t="n"/>
      <c r="LR142" s="182" t="n"/>
      <c r="LS142" s="364" t="n"/>
      <c r="LT142" s="365">
        <f>C142</f>
        <v/>
      </c>
      <c r="LU142" s="365" t="n">
        <v>2519462.9</v>
      </c>
      <c r="LV142" s="365">
        <f>LU143</f>
        <v/>
      </c>
      <c r="LW142" s="390">
        <f>LU142-LV142</f>
        <v/>
      </c>
      <c r="LX142" s="391">
        <f>LW142/LV142</f>
        <v/>
      </c>
      <c r="LY142" s="182" t="n"/>
      <c r="LZ142" s="182" t="n"/>
      <c r="MA142" s="364" t="n"/>
      <c r="MB142" s="365">
        <f>C142</f>
        <v/>
      </c>
      <c r="MC142" s="365" t="n">
        <v>716867.6899999999</v>
      </c>
      <c r="MD142" s="365">
        <f>MC143</f>
        <v/>
      </c>
      <c r="ME142" s="388">
        <f>MC142-MD142</f>
        <v/>
      </c>
      <c r="MF142" s="389">
        <f>ME142/MD142</f>
        <v/>
      </c>
      <c r="MG142" s="182" t="n"/>
      <c r="MH142" s="182" t="n"/>
      <c r="MI142" s="364" t="n"/>
      <c r="MJ142" s="364" t="n"/>
      <c r="MK142" s="365">
        <f>C142</f>
        <v/>
      </c>
      <c r="ML142" s="364" t="n">
        <v>219705.53</v>
      </c>
      <c r="MM142" s="187">
        <f>ML143</f>
        <v/>
      </c>
      <c r="MN142" s="364">
        <f>ML142-MM142</f>
        <v/>
      </c>
      <c r="MO142" s="366">
        <f>MN142/MM142</f>
        <v/>
      </c>
      <c r="MP142" s="366" t="n"/>
      <c r="MQ142" s="366" t="n"/>
      <c r="MR142" s="366" t="n"/>
      <c r="MS142" s="366" t="n"/>
      <c r="MT142" s="25">
        <f>C142</f>
        <v/>
      </c>
      <c r="MU142" s="0" t="n">
        <v>212714.8</v>
      </c>
      <c r="MV142" s="0">
        <f>MU143</f>
        <v/>
      </c>
      <c r="MW142" s="0">
        <f>MU142-MV142</f>
        <v/>
      </c>
      <c r="MX142" s="182">
        <f>MW142/MV142</f>
        <v/>
      </c>
      <c r="MY142" s="182" t="n"/>
      <c r="MZ142" s="182" t="n"/>
      <c r="NA142" s="182" t="n"/>
      <c r="NB142" s="182" t="n"/>
      <c r="NC142" s="9">
        <f>C142</f>
        <v/>
      </c>
      <c r="ND142" s="0" t="n">
        <v>42891.48</v>
      </c>
      <c r="NE142" s="0">
        <f>ND143</f>
        <v/>
      </c>
      <c r="NF142" s="0">
        <f>ND142-NE142</f>
        <v/>
      </c>
      <c r="NG142" s="182">
        <f>NF142/NE142</f>
        <v/>
      </c>
      <c r="NH142" s="182" t="n"/>
      <c r="NI142" s="182" t="n"/>
      <c r="NJ142" s="182" t="n"/>
      <c r="NK142" s="182" t="n"/>
      <c r="NL142" s="9" t="n"/>
      <c r="NM142" s="9">
        <f>C142</f>
        <v/>
      </c>
      <c r="NN142" s="0" t="n">
        <v>2549111.08</v>
      </c>
      <c r="NO142" s="0">
        <f>NN143</f>
        <v/>
      </c>
      <c r="NP142" s="0">
        <f>NN142-NO142</f>
        <v/>
      </c>
      <c r="NQ142" s="182">
        <f>NP142/NO142</f>
        <v/>
      </c>
      <c r="NR142" s="182" t="n"/>
      <c r="NS142" s="9" t="n"/>
      <c r="NU142" s="9">
        <f>C142</f>
        <v/>
      </c>
      <c r="NV142" s="364" t="n">
        <v>255676.5</v>
      </c>
      <c r="NW142" s="364">
        <f>NV143</f>
        <v/>
      </c>
      <c r="NX142" s="364">
        <f>NV142-NW142</f>
        <v/>
      </c>
      <c r="NY142" s="366">
        <f>NX142/NW142</f>
        <v/>
      </c>
      <c r="NZ142" s="366" t="n"/>
      <c r="OA142" s="364" t="n"/>
      <c r="OB142" s="364" t="n"/>
      <c r="OC142" s="365">
        <f>C142</f>
        <v/>
      </c>
      <c r="OD142" s="365" t="n">
        <v>13973.97</v>
      </c>
      <c r="OE142" s="365">
        <f>OD143</f>
        <v/>
      </c>
      <c r="OF142" s="390">
        <f>OD142-OE142</f>
        <v/>
      </c>
      <c r="OG142" s="391">
        <f>OF142/OE142</f>
        <v/>
      </c>
      <c r="OH142" s="182" t="n"/>
      <c r="OI142" s="182" t="n"/>
      <c r="OJ142" s="364" t="n"/>
      <c r="OK142" s="365">
        <f>C142</f>
        <v/>
      </c>
      <c r="OL142" s="185" t="n">
        <v>13227.65</v>
      </c>
      <c r="OM142" s="9">
        <f>OL143</f>
        <v/>
      </c>
      <c r="ON142" s="9">
        <f>OL142-OM142</f>
        <v/>
      </c>
      <c r="OO142" s="182">
        <f>ON142/OM142</f>
        <v/>
      </c>
      <c r="OP142" s="182" t="n"/>
      <c r="OQ142" s="182" t="n"/>
      <c r="OT142" s="25">
        <f>OK142</f>
        <v/>
      </c>
      <c r="OU142" s="199" t="n">
        <v>145392.4066</v>
      </c>
      <c r="OV142" s="9">
        <f>OU143</f>
        <v/>
      </c>
      <c r="OW142" s="671">
        <f>OU142-OV142</f>
        <v/>
      </c>
      <c r="OX142" s="182">
        <f>OW142/OV142</f>
        <v/>
      </c>
    </row>
    <row r="143" ht="17" customFormat="1" customHeight="1" s="9">
      <c r="A143" s="631" t="n"/>
      <c r="B143" s="631" t="n"/>
      <c r="C143" s="693" t="inlineStr">
        <is>
          <t>2026//4/20</t>
        </is>
      </c>
      <c r="D143" s="362" t="n">
        <v>4282068.77</v>
      </c>
      <c r="E143" s="362">
        <f>D144</f>
        <v/>
      </c>
      <c r="F143" s="377">
        <f>D143-E143</f>
        <v/>
      </c>
      <c r="G143" s="378">
        <f>F143/E143</f>
        <v/>
      </c>
      <c r="H143" s="19" t="n"/>
      <c r="I143" s="426" t="n"/>
      <c r="J143" s="426" t="n"/>
      <c r="K143" s="362">
        <f>C143</f>
        <v/>
      </c>
      <c r="L143" s="362" t="n">
        <v>3129364.4</v>
      </c>
      <c r="M143" s="362">
        <f>L144</f>
        <v/>
      </c>
      <c r="N143" s="377">
        <f>L143-M143</f>
        <v/>
      </c>
      <c r="O143" s="378">
        <f>N143/M143</f>
        <v/>
      </c>
      <c r="P143" s="19" t="n"/>
      <c r="Q143" s="426" t="n"/>
      <c r="R143" s="427" t="n"/>
      <c r="S143" s="362">
        <f>C143</f>
        <v/>
      </c>
      <c r="T143" s="362" t="n">
        <v>2282106.68</v>
      </c>
      <c r="U143" s="362">
        <f>T144</f>
        <v/>
      </c>
      <c r="V143" s="377">
        <f>T143-U143</f>
        <v/>
      </c>
      <c r="W143" s="378">
        <f>V143/U143</f>
        <v/>
      </c>
      <c r="X143" s="19" t="n"/>
      <c r="Y143" s="426" t="n"/>
      <c r="Z143" s="427" t="n"/>
      <c r="AA143" s="362">
        <f>S143</f>
        <v/>
      </c>
      <c r="AB143" s="362" t="n">
        <v>939296.86</v>
      </c>
      <c r="AC143" s="362">
        <f>AB144</f>
        <v/>
      </c>
      <c r="AD143" s="377">
        <f>AB143-AC143</f>
        <v/>
      </c>
      <c r="AE143" s="378">
        <f>AD143/AC143</f>
        <v/>
      </c>
      <c r="AF143" s="19" t="n"/>
      <c r="AG143" s="426" t="n"/>
      <c r="AH143" s="427" t="n"/>
      <c r="AI143" s="362">
        <f>C143</f>
        <v/>
      </c>
      <c r="AJ143" s="362" t="n">
        <v>716921.76</v>
      </c>
      <c r="AK143" s="362">
        <f>AJ144</f>
        <v/>
      </c>
      <c r="AL143" s="377">
        <f>AJ143-AK143</f>
        <v/>
      </c>
      <c r="AM143" s="378">
        <f>AL143/AK143</f>
        <v/>
      </c>
      <c r="AN143" s="19" t="n"/>
      <c r="AO143" s="19" t="n"/>
      <c r="AP143" s="427" t="n"/>
      <c r="AQ143" s="362">
        <f>C143</f>
        <v/>
      </c>
      <c r="AR143" s="697" t="n">
        <v>1368445.49</v>
      </c>
      <c r="AS143" s="362">
        <f>AR144</f>
        <v/>
      </c>
      <c r="AT143" s="432">
        <f>AR143-AS143</f>
        <v/>
      </c>
      <c r="AU143" s="433">
        <f>AT143/AS143</f>
        <v/>
      </c>
      <c r="AV143" s="19" t="n"/>
      <c r="AW143" s="19" t="n"/>
      <c r="AX143" s="5" t="n"/>
      <c r="AY143" s="5" t="n"/>
      <c r="AZ143" s="5">
        <f>C143</f>
        <v/>
      </c>
      <c r="BA143" s="5" t="n">
        <v>1946901.66</v>
      </c>
      <c r="BB143" s="5">
        <f>BA144</f>
        <v/>
      </c>
      <c r="BC143" s="5">
        <f>BA143-BB143</f>
        <v/>
      </c>
      <c r="BD143" s="19">
        <f>BC143/BB143</f>
        <v/>
      </c>
      <c r="BE143" s="19" t="n"/>
      <c r="BF143" s="19" t="n"/>
      <c r="BG143" s="647" t="n"/>
      <c r="BH143" s="363">
        <f>C143</f>
        <v/>
      </c>
      <c r="BI143" s="363" t="n">
        <v>1698626.55</v>
      </c>
      <c r="BJ143" s="363">
        <f>BI144</f>
        <v/>
      </c>
      <c r="BK143" s="395">
        <f>BI143-BJ143</f>
        <v/>
      </c>
      <c r="BL143" s="396">
        <f>BK143/BJ143</f>
        <v/>
      </c>
      <c r="BM143" s="191" t="n"/>
      <c r="BN143" s="182" t="n"/>
      <c r="BO143" s="364" t="n"/>
      <c r="BP143" s="365">
        <f>C143</f>
        <v/>
      </c>
      <c r="BQ143" s="694" t="n">
        <v>1111062.39</v>
      </c>
      <c r="BR143" s="365">
        <f>BQ144</f>
        <v/>
      </c>
      <c r="BS143" s="390">
        <f>BQ143-BR143</f>
        <v/>
      </c>
      <c r="BT143" s="391">
        <f>BS143/BR143</f>
        <v/>
      </c>
      <c r="BU143" s="182" t="n"/>
      <c r="BV143" s="182" t="n"/>
      <c r="BW143" s="364" t="n"/>
      <c r="BX143" s="365">
        <f>C143</f>
        <v/>
      </c>
      <c r="BY143" s="365" t="n">
        <v>3086060.7</v>
      </c>
      <c r="BZ143" s="365">
        <f>BY144</f>
        <v/>
      </c>
      <c r="CA143" s="390">
        <f>BY143-BZ143</f>
        <v/>
      </c>
      <c r="CB143" s="391">
        <f>CA143/BZ143</f>
        <v/>
      </c>
      <c r="CC143" s="182" t="n"/>
      <c r="CD143" s="383" t="n"/>
      <c r="CE143" s="486" t="n"/>
      <c r="CF143" s="384">
        <f>C143</f>
        <v/>
      </c>
      <c r="CG143" s="185" t="n">
        <v>1387303.9</v>
      </c>
      <c r="CH143" s="185">
        <f>CG144</f>
        <v/>
      </c>
      <c r="CI143" s="13">
        <f>CG143-CH143</f>
        <v/>
      </c>
      <c r="CJ143" s="193">
        <f>CI143/CH143</f>
        <v/>
      </c>
      <c r="CK143" s="182" t="n"/>
      <c r="CL143" s="366" t="n"/>
      <c r="CM143" s="364" t="n"/>
      <c r="CN143" s="365">
        <f>C143</f>
        <v/>
      </c>
      <c r="CO143" s="365" t="n">
        <v>661446.48</v>
      </c>
      <c r="CP143" s="365">
        <f>CO144</f>
        <v/>
      </c>
      <c r="CQ143" s="13">
        <f>CO143-CP143</f>
        <v/>
      </c>
      <c r="CR143" s="193">
        <f>CQ143/CP143</f>
        <v/>
      </c>
      <c r="CS143" s="366" t="n"/>
      <c r="CT143" s="366" t="n"/>
      <c r="CU143" s="364" t="n"/>
      <c r="CV143" s="365">
        <f>C143</f>
        <v/>
      </c>
      <c r="CW143" s="365" t="n">
        <v>589790.4</v>
      </c>
      <c r="CX143" s="365">
        <f>CW144</f>
        <v/>
      </c>
      <c r="CY143" s="390">
        <f>CW143-CX143</f>
        <v/>
      </c>
      <c r="CZ143" s="391">
        <f>CY143/CX143</f>
        <v/>
      </c>
      <c r="DA143" s="182" t="n"/>
      <c r="DB143" s="182" t="n"/>
      <c r="DC143" s="256" t="n"/>
      <c r="DD143" s="365">
        <f>C143</f>
        <v/>
      </c>
      <c r="DE143" s="365" t="n">
        <v>2339717.99</v>
      </c>
      <c r="DF143" s="13">
        <f>DE144</f>
        <v/>
      </c>
      <c r="DG143" s="388">
        <f>DE143-DF143</f>
        <v/>
      </c>
      <c r="DH143" s="389">
        <f>DG143/DF143</f>
        <v/>
      </c>
      <c r="DI143" s="182" t="n"/>
      <c r="DJ143" s="182" t="n"/>
      <c r="DK143" s="364" t="n"/>
      <c r="DL143" s="365">
        <f>C143</f>
        <v/>
      </c>
      <c r="DM143" s="365" t="n">
        <v>1237100.36</v>
      </c>
      <c r="DN143" s="365">
        <f>DM144</f>
        <v/>
      </c>
      <c r="DO143" s="388">
        <f>DM143-DN143</f>
        <v/>
      </c>
      <c r="DP143" s="389">
        <f>DO143/DN143</f>
        <v/>
      </c>
      <c r="DQ143" s="182" t="n"/>
      <c r="DR143" s="182" t="n"/>
      <c r="DS143" s="364" t="n"/>
      <c r="DT143" s="365">
        <f>C143</f>
        <v/>
      </c>
      <c r="DU143" s="365" t="n">
        <v>1480889.48</v>
      </c>
      <c r="DV143" s="365">
        <f>DU144</f>
        <v/>
      </c>
      <c r="DW143" s="388">
        <f>DU143-DV143</f>
        <v/>
      </c>
      <c r="DX143" s="389">
        <f>DW143/DV143</f>
        <v/>
      </c>
      <c r="DY143" s="182" t="n"/>
      <c r="DZ143" s="182" t="n"/>
      <c r="EA143" s="364" t="n"/>
      <c r="EB143" s="365">
        <f>C143</f>
        <v/>
      </c>
      <c r="EC143" s="365" t="n">
        <v>4713866.82</v>
      </c>
      <c r="ED143" s="365">
        <f>EC144</f>
        <v/>
      </c>
      <c r="EE143" s="390">
        <f>EC143-ED143</f>
        <v/>
      </c>
      <c r="EF143" s="391">
        <f>EE143/ED143</f>
        <v/>
      </c>
      <c r="EG143" s="182" t="n"/>
      <c r="EH143" s="182" t="n"/>
      <c r="EI143" s="364" t="n"/>
      <c r="EJ143" s="365">
        <f>C143</f>
        <v/>
      </c>
      <c r="EK143" s="365" t="n">
        <v>1375522.96</v>
      </c>
      <c r="EL143" s="365">
        <f>EK144</f>
        <v/>
      </c>
      <c r="EM143" s="384">
        <f>EK143-EL143</f>
        <v/>
      </c>
      <c r="EN143" s="383">
        <f>EM143/EL143</f>
        <v/>
      </c>
      <c r="EO143" s="182" t="n"/>
      <c r="EP143" s="182" t="n"/>
      <c r="EQ143" s="182" t="n"/>
      <c r="ER143" s="9">
        <f>C143</f>
        <v/>
      </c>
      <c r="ES143" s="182" t="n">
        <v>465497.02</v>
      </c>
      <c r="ET143" s="182">
        <f>ES144</f>
        <v/>
      </c>
      <c r="EU143" s="182">
        <f>ES143-ET143</f>
        <v/>
      </c>
      <c r="EV143" s="182">
        <f>EU143/ET143</f>
        <v/>
      </c>
      <c r="EW143" s="182" t="n"/>
      <c r="EX143" s="182" t="n"/>
      <c r="EY143" s="364" t="n"/>
      <c r="EZ143" s="365">
        <f>C143</f>
        <v/>
      </c>
      <c r="FA143" s="365" t="n">
        <v>723908</v>
      </c>
      <c r="FB143" s="365">
        <f>FA144</f>
        <v/>
      </c>
      <c r="FC143" s="388">
        <f>FA143-FB143</f>
        <v/>
      </c>
      <c r="FD143" s="389">
        <f>FC143/FB143</f>
        <v/>
      </c>
      <c r="FE143" s="182" t="n"/>
      <c r="FF143" s="182" t="n"/>
      <c r="FG143" s="182" t="n"/>
      <c r="FH143" s="384">
        <f>C143</f>
        <v/>
      </c>
      <c r="FI143" s="707" t="n">
        <v>1241995.33</v>
      </c>
      <c r="FJ143" s="365">
        <f>FI144</f>
        <v/>
      </c>
      <c r="FK143" s="325">
        <f>FI143-FJ143</f>
        <v/>
      </c>
      <c r="FL143" s="326">
        <f>FK143/FJ143</f>
        <v/>
      </c>
      <c r="FM143" s="488" t="n"/>
      <c r="FN143" s="488" t="n"/>
      <c r="FO143" s="364" t="n"/>
      <c r="FP143" s="365">
        <f>C143</f>
        <v/>
      </c>
      <c r="FQ143" s="365" t="n">
        <v>2132518.73</v>
      </c>
      <c r="FR143" s="365">
        <f>FQ144</f>
        <v/>
      </c>
      <c r="FS143" s="388">
        <f>FQ143-FR143</f>
        <v/>
      </c>
      <c r="FT143" s="389">
        <f>FS143/FR143</f>
        <v/>
      </c>
      <c r="FU143" s="182" t="n"/>
      <c r="FV143" s="182" t="n"/>
      <c r="FW143" s="364" t="n"/>
      <c r="FX143" s="365">
        <f>C143</f>
        <v/>
      </c>
      <c r="FY143" s="365" t="n">
        <v>8299682.05</v>
      </c>
      <c r="FZ143" s="365">
        <f>FY144</f>
        <v/>
      </c>
      <c r="GA143" s="388">
        <f>FY143-FZ143</f>
        <v/>
      </c>
      <c r="GB143" s="389">
        <f>GA143/FZ143</f>
        <v/>
      </c>
      <c r="GC143" s="182" t="n"/>
      <c r="GD143" s="182" t="n"/>
      <c r="GE143" s="364" t="n"/>
      <c r="GF143" s="365">
        <f>C143</f>
        <v/>
      </c>
      <c r="GG143" s="365" t="n">
        <v>4692969.49</v>
      </c>
      <c r="GH143" s="365">
        <f>GG144</f>
        <v/>
      </c>
      <c r="GI143" s="390">
        <f>GG143-GH143</f>
        <v/>
      </c>
      <c r="GJ143" s="391">
        <f>GI143/GH143</f>
        <v/>
      </c>
      <c r="GK143" s="182" t="n"/>
      <c r="GL143" s="182" t="n"/>
      <c r="GM143" s="364" t="n"/>
      <c r="GN143" s="365">
        <f>C143</f>
        <v/>
      </c>
      <c r="GO143" s="365" t="n">
        <v>1830898.12</v>
      </c>
      <c r="GP143" s="365">
        <f>GO144</f>
        <v/>
      </c>
      <c r="GQ143" s="390">
        <f>GO143-GP143</f>
        <v/>
      </c>
      <c r="GR143" s="391">
        <f>GQ143/GP143</f>
        <v/>
      </c>
      <c r="GS143" s="182" t="n"/>
      <c r="GT143" s="182" t="n"/>
      <c r="GU143" s="364" t="n"/>
      <c r="GV143" s="365">
        <f>C143</f>
        <v/>
      </c>
      <c r="GW143" s="365" t="n">
        <v>928549.4</v>
      </c>
      <c r="GX143" s="365">
        <f>GW144</f>
        <v/>
      </c>
      <c r="GY143" s="390">
        <f>GW143-GX143</f>
        <v/>
      </c>
      <c r="GZ143" s="391">
        <f>GY143/GX143</f>
        <v/>
      </c>
      <c r="HA143" s="182" t="n"/>
      <c r="HB143" s="182" t="n"/>
      <c r="HC143" s="364" t="n"/>
      <c r="HD143" s="365">
        <f>C143</f>
        <v/>
      </c>
      <c r="HE143" s="365" t="n">
        <v>1223164.67</v>
      </c>
      <c r="HF143" s="365">
        <f>HE144</f>
        <v/>
      </c>
      <c r="HG143" s="388">
        <f>HE143-HF143</f>
        <v/>
      </c>
      <c r="HH143" s="389">
        <f>HG143/HF143</f>
        <v/>
      </c>
      <c r="HI143" s="366" t="n"/>
      <c r="HJ143" s="182" t="n"/>
      <c r="HK143" s="364" t="n"/>
      <c r="HL143" s="365">
        <f>C143</f>
        <v/>
      </c>
      <c r="HM143" s="365" t="n">
        <v>149754.25</v>
      </c>
      <c r="HN143" s="365">
        <f>HM144</f>
        <v/>
      </c>
      <c r="HO143" s="388">
        <f>HM143-HN143</f>
        <v/>
      </c>
      <c r="HP143" s="389">
        <f>HO143/HN143</f>
        <v/>
      </c>
      <c r="HQ143" s="182" t="n"/>
      <c r="HR143" s="182" t="n"/>
      <c r="HS143" s="364" t="n"/>
      <c r="HT143" s="365">
        <f>C143</f>
        <v/>
      </c>
      <c r="HU143" s="365" t="n">
        <v>239668.82</v>
      </c>
      <c r="HV143" s="365">
        <f>HU144</f>
        <v/>
      </c>
      <c r="HW143" s="390">
        <f>HU143-HV143</f>
        <v/>
      </c>
      <c r="HX143" s="391">
        <f>HW143/HV143</f>
        <v/>
      </c>
      <c r="HY143" s="182" t="n"/>
      <c r="HZ143" s="182" t="n"/>
      <c r="IA143" s="364" t="n"/>
      <c r="IB143" s="365">
        <f>C143</f>
        <v/>
      </c>
      <c r="IC143" s="185" t="n">
        <v>379959.79</v>
      </c>
      <c r="ID143" s="185">
        <f>IC144</f>
        <v/>
      </c>
      <c r="IE143" s="323">
        <f>IC143-ID143</f>
        <v/>
      </c>
      <c r="IF143" s="324">
        <f>IE143/ID143</f>
        <v/>
      </c>
      <c r="IG143" s="182" t="n"/>
      <c r="IH143" s="182" t="n"/>
      <c r="II143" s="364" t="n"/>
      <c r="IJ143" s="365">
        <f>C143</f>
        <v/>
      </c>
      <c r="IK143" s="365" t="n">
        <v>593676.29</v>
      </c>
      <c r="IL143" s="365">
        <f>IK144</f>
        <v/>
      </c>
      <c r="IM143" s="390">
        <f>IK143-IL143</f>
        <v/>
      </c>
      <c r="IN143" s="391">
        <f>IM143/IL143</f>
        <v/>
      </c>
      <c r="IO143" s="182" t="n"/>
      <c r="IP143" s="182" t="n"/>
      <c r="IQ143" s="364" t="n"/>
      <c r="IR143" s="365">
        <f>C143</f>
        <v/>
      </c>
      <c r="IS143" s="365" t="n">
        <v>142589</v>
      </c>
      <c r="IT143" s="365">
        <f>IS144</f>
        <v/>
      </c>
      <c r="IU143" s="388">
        <f>IS143-IT143</f>
        <v/>
      </c>
      <c r="IV143" s="389">
        <f>IU143/IT143</f>
        <v/>
      </c>
      <c r="IW143" s="182" t="n"/>
      <c r="IX143" s="182" t="n"/>
      <c r="IY143" s="364" t="n"/>
      <c r="IZ143" s="365">
        <f>C143</f>
        <v/>
      </c>
      <c r="JA143" s="365" t="n">
        <v>4942629.15</v>
      </c>
      <c r="JB143" s="365">
        <f>JA144</f>
        <v/>
      </c>
      <c r="JC143" s="390">
        <f>JA143-JB143</f>
        <v/>
      </c>
      <c r="JD143" s="391">
        <f>JC143/JB143</f>
        <v/>
      </c>
      <c r="JE143" s="182" t="n"/>
      <c r="JF143" s="182" t="n"/>
      <c r="JG143" s="364" t="n"/>
      <c r="JH143" s="365">
        <f>C143</f>
        <v/>
      </c>
      <c r="JI143" s="365" t="n">
        <v>1336767.99</v>
      </c>
      <c r="JJ143" s="365">
        <f>JI144</f>
        <v/>
      </c>
      <c r="JK143" s="390">
        <f>JI143-JJ143</f>
        <v/>
      </c>
      <c r="JL143" s="391">
        <f>JK143/JJ143</f>
        <v/>
      </c>
      <c r="JM143" s="182" t="n"/>
      <c r="JN143" s="182" t="n"/>
      <c r="JO143" s="182" t="n"/>
      <c r="JP143" s="365">
        <f>C143</f>
        <v/>
      </c>
      <c r="JQ143" s="365" t="n">
        <v>1031290.41</v>
      </c>
      <c r="JR143" s="365">
        <f>JQ144</f>
        <v/>
      </c>
      <c r="JS143" s="388">
        <f>JQ143-JR143</f>
        <v/>
      </c>
      <c r="JT143" s="389">
        <f>JS143/JR143</f>
        <v/>
      </c>
      <c r="JU143" s="182" t="n"/>
      <c r="JV143" s="182" t="n"/>
      <c r="JW143" s="383" t="n"/>
      <c r="JX143" s="365">
        <f>C143</f>
        <v/>
      </c>
      <c r="JY143" s="365" t="n">
        <v>1196298.8</v>
      </c>
      <c r="JZ143" s="365">
        <f>JY144</f>
        <v/>
      </c>
      <c r="KA143" s="384">
        <f>JY143-JZ143</f>
        <v/>
      </c>
      <c r="KB143" s="383">
        <f>KA143/JZ143</f>
        <v/>
      </c>
      <c r="KC143" s="182" t="n"/>
      <c r="KD143" s="182" t="n"/>
      <c r="KE143" s="383" t="n"/>
      <c r="KF143" s="365">
        <f>C143</f>
        <v/>
      </c>
      <c r="KG143" s="365" t="n">
        <v>732555.92</v>
      </c>
      <c r="KH143" s="365">
        <f>KG144</f>
        <v/>
      </c>
      <c r="KI143" s="384">
        <f>KG143-KH143</f>
        <v/>
      </c>
      <c r="KJ143" s="383">
        <f>KI143/KH143</f>
        <v/>
      </c>
      <c r="KK143" s="366" t="n"/>
      <c r="KL143" s="366" t="n"/>
      <c r="KM143" s="364" t="n"/>
      <c r="KN143" s="365">
        <f>C143</f>
        <v/>
      </c>
      <c r="KO143" s="365" t="n">
        <v>8322775.95</v>
      </c>
      <c r="KP143" s="365">
        <f>KO144</f>
        <v/>
      </c>
      <c r="KQ143" s="390">
        <f>KO143-KP143</f>
        <v/>
      </c>
      <c r="KR143" s="391">
        <f>KQ143/KP143</f>
        <v/>
      </c>
      <c r="KS143" s="182" t="n"/>
      <c r="KT143" s="182" t="n"/>
      <c r="KV143" s="9">
        <f>C143</f>
        <v/>
      </c>
      <c r="KW143" s="0" t="n">
        <v>994372.97</v>
      </c>
      <c r="KX143" s="0">
        <f>KW144</f>
        <v/>
      </c>
      <c r="KY143" s="0">
        <f>KW143-KX143</f>
        <v/>
      </c>
      <c r="KZ143" s="182">
        <f>KY143/KX143</f>
        <v/>
      </c>
      <c r="LA143" s="182" t="n"/>
      <c r="LB143" s="182" t="n"/>
      <c r="LC143" s="364" t="n"/>
      <c r="LD143" s="365">
        <f>C143</f>
        <v/>
      </c>
      <c r="LE143" s="365" t="n">
        <v>488807.7</v>
      </c>
      <c r="LF143" s="365">
        <f>LE144</f>
        <v/>
      </c>
      <c r="LG143" s="388">
        <f>LE143-LF143</f>
        <v/>
      </c>
      <c r="LH143" s="389">
        <f>LG143/LF143</f>
        <v/>
      </c>
      <c r="LI143" s="182" t="n"/>
      <c r="LJ143" s="182" t="n"/>
      <c r="LK143" s="364" t="n"/>
      <c r="LL143" s="365">
        <f>C143</f>
        <v/>
      </c>
      <c r="LM143" s="694" t="n">
        <v>3591835.02</v>
      </c>
      <c r="LN143" s="365">
        <f>LM144</f>
        <v/>
      </c>
      <c r="LO143" s="390">
        <f>LM143-LN143</f>
        <v/>
      </c>
      <c r="LP143" s="391">
        <f>LO143/LN143</f>
        <v/>
      </c>
      <c r="LQ143" s="182" t="n"/>
      <c r="LR143" s="182" t="n"/>
      <c r="LS143" s="364" t="n"/>
      <c r="LT143" s="365">
        <f>C143</f>
        <v/>
      </c>
      <c r="LU143" s="365" t="n">
        <v>2544062.9</v>
      </c>
      <c r="LV143" s="365">
        <f>LU144</f>
        <v/>
      </c>
      <c r="LW143" s="390">
        <f>LU143-LV143</f>
        <v/>
      </c>
      <c r="LX143" s="391">
        <f>LW143/LV143</f>
        <v/>
      </c>
      <c r="LY143" s="182" t="n"/>
      <c r="LZ143" s="182" t="n"/>
      <c r="MA143" s="364" t="n"/>
      <c r="MB143" s="365">
        <f>C143</f>
        <v/>
      </c>
      <c r="MC143" s="365" t="n">
        <v>717517.6899999999</v>
      </c>
      <c r="MD143" s="365">
        <f>MC144</f>
        <v/>
      </c>
      <c r="ME143" s="388">
        <f>MC143-MD143</f>
        <v/>
      </c>
      <c r="MF143" s="389">
        <f>ME143/MD143</f>
        <v/>
      </c>
      <c r="MG143" s="182" t="n"/>
      <c r="MH143" s="182" t="n"/>
      <c r="MI143" s="364" t="n"/>
      <c r="MJ143" s="364" t="n"/>
      <c r="MK143" s="365">
        <f>C143</f>
        <v/>
      </c>
      <c r="ML143" s="364" t="n">
        <v>220425.53</v>
      </c>
      <c r="MM143" s="187">
        <f>ML144</f>
        <v/>
      </c>
      <c r="MN143" s="364">
        <f>ML143-MM143</f>
        <v/>
      </c>
      <c r="MO143" s="366">
        <f>MN143/MM143</f>
        <v/>
      </c>
      <c r="MP143" s="366" t="n"/>
      <c r="MQ143" s="366" t="n"/>
      <c r="MR143" s="366" t="n"/>
      <c r="MS143" s="366" t="n"/>
      <c r="MT143" s="25">
        <f>C143</f>
        <v/>
      </c>
      <c r="MU143" s="0" t="n">
        <v>218514.8</v>
      </c>
      <c r="MV143" s="0">
        <f>MU144</f>
        <v/>
      </c>
      <c r="MW143" s="0">
        <f>MU143-MV143</f>
        <v/>
      </c>
      <c r="MX143" s="182">
        <f>MW143/MV143</f>
        <v/>
      </c>
      <c r="MY143" s="182" t="n"/>
      <c r="MZ143" s="182" t="n"/>
      <c r="NA143" s="182" t="n"/>
      <c r="NB143" s="182" t="n"/>
      <c r="NC143" s="9">
        <f>C143</f>
        <v/>
      </c>
      <c r="ND143" s="0" t="n">
        <v>43091.48</v>
      </c>
      <c r="NE143" s="0">
        <f>ND144</f>
        <v/>
      </c>
      <c r="NF143" s="0">
        <f>ND143-NE143</f>
        <v/>
      </c>
      <c r="NG143" s="182">
        <f>NF143/NE143</f>
        <v/>
      </c>
      <c r="NH143" s="182" t="n"/>
      <c r="NI143" s="182" t="n"/>
      <c r="NJ143" s="182" t="n"/>
      <c r="NK143" s="182" t="n"/>
      <c r="NL143" s="9" t="n"/>
      <c r="NM143" s="9">
        <f>C143</f>
        <v/>
      </c>
      <c r="NN143" s="0" t="n">
        <v>2560411.08</v>
      </c>
      <c r="NO143" s="0">
        <f>NN144</f>
        <v/>
      </c>
      <c r="NP143" s="0">
        <f>NN143-NO143</f>
        <v/>
      </c>
      <c r="NQ143" s="182">
        <f>NP143/NO143</f>
        <v/>
      </c>
      <c r="NR143" s="182" t="n"/>
      <c r="NS143" s="9" t="n"/>
      <c r="NU143" s="9">
        <f>C143</f>
        <v/>
      </c>
      <c r="NV143" s="364" t="n">
        <v>252076.5</v>
      </c>
      <c r="NW143" s="364">
        <f>NV144</f>
        <v/>
      </c>
      <c r="NX143" s="364">
        <f>NV143-NW143</f>
        <v/>
      </c>
      <c r="NY143" s="366">
        <f>NX143/NW143</f>
        <v/>
      </c>
      <c r="NZ143" s="366" t="n"/>
      <c r="OA143" s="364" t="n"/>
      <c r="OB143" s="364" t="n"/>
      <c r="OC143" s="365">
        <f>C143</f>
        <v/>
      </c>
      <c r="OD143" s="365" t="n">
        <v>13633.97</v>
      </c>
      <c r="OE143" s="365">
        <f>OD144</f>
        <v/>
      </c>
      <c r="OF143" s="388">
        <f>OD143-OE143</f>
        <v/>
      </c>
      <c r="OG143" s="389">
        <f>OF143/OE143</f>
        <v/>
      </c>
      <c r="OH143" s="182" t="n"/>
      <c r="OI143" s="182" t="n"/>
      <c r="OJ143" s="364" t="n"/>
      <c r="OK143" s="365">
        <f>C143</f>
        <v/>
      </c>
      <c r="OL143" s="185" t="n">
        <v>12950.65</v>
      </c>
      <c r="OM143" s="9">
        <f>OL144</f>
        <v/>
      </c>
      <c r="ON143" s="9">
        <f>OL143-OM143</f>
        <v/>
      </c>
      <c r="OO143" s="182">
        <f>ON143/OM143</f>
        <v/>
      </c>
      <c r="OP143" s="182" t="n"/>
      <c r="OQ143" s="182" t="n"/>
      <c r="OT143" s="25">
        <f>OK143</f>
        <v/>
      </c>
      <c r="OU143" s="199" t="n">
        <v>145272.4066</v>
      </c>
      <c r="OV143" s="9">
        <f>OU144</f>
        <v/>
      </c>
      <c r="OW143" s="671">
        <f>OU143-OV143</f>
        <v/>
      </c>
      <c r="OX143" s="182">
        <f>OW143/OV143</f>
        <v/>
      </c>
    </row>
    <row r="144" ht="17" customFormat="1" customHeight="1" s="11">
      <c r="A144" s="674" t="n"/>
      <c r="B144" s="674" t="n"/>
      <c r="C144" s="698" t="inlineStr">
        <is>
          <t>2026//4/17</t>
        </is>
      </c>
      <c r="D144" s="400" t="n">
        <v>4325898.77</v>
      </c>
      <c r="E144" s="400">
        <f>D145</f>
        <v/>
      </c>
      <c r="F144" s="405">
        <f>D144-E144</f>
        <v/>
      </c>
      <c r="G144" s="406">
        <f>F144/E144</f>
        <v/>
      </c>
      <c r="H144" s="228" t="n"/>
      <c r="I144" s="403" t="n"/>
      <c r="J144" s="403" t="n"/>
      <c r="K144" s="400">
        <f>C144</f>
        <v/>
      </c>
      <c r="L144" s="400" t="n">
        <v>3133414.4</v>
      </c>
      <c r="M144" s="400">
        <f>L145</f>
        <v/>
      </c>
      <c r="N144" s="405">
        <f>L144-M144</f>
        <v/>
      </c>
      <c r="O144" s="406">
        <f>N144/M144</f>
        <v/>
      </c>
      <c r="P144" s="228" t="n"/>
      <c r="Q144" s="403" t="n"/>
      <c r="R144" s="404" t="n"/>
      <c r="S144" s="400">
        <f>C144</f>
        <v/>
      </c>
      <c r="T144" s="400" t="n">
        <v>2288316.68</v>
      </c>
      <c r="U144" s="400">
        <f>T145</f>
        <v/>
      </c>
      <c r="V144" s="405">
        <f>T144-U144</f>
        <v/>
      </c>
      <c r="W144" s="406">
        <f>V144/U144</f>
        <v/>
      </c>
      <c r="X144" s="228" t="n"/>
      <c r="Y144" s="403" t="n"/>
      <c r="Z144" s="404" t="n"/>
      <c r="AA144" s="400">
        <f>S144</f>
        <v/>
      </c>
      <c r="AB144" s="400" t="n">
        <v>976296.86</v>
      </c>
      <c r="AC144" s="400">
        <f>AB145</f>
        <v/>
      </c>
      <c r="AD144" s="405">
        <f>AB144-AC144</f>
        <v/>
      </c>
      <c r="AE144" s="406">
        <f>AD144/AC144</f>
        <v/>
      </c>
      <c r="AF144" s="228" t="n"/>
      <c r="AG144" s="403" t="n"/>
      <c r="AH144" s="404" t="n"/>
      <c r="AI144" s="400">
        <f>C144</f>
        <v/>
      </c>
      <c r="AJ144" s="400" t="n">
        <v>742521.76</v>
      </c>
      <c r="AK144" s="400">
        <f>AJ145</f>
        <v/>
      </c>
      <c r="AL144" s="405">
        <f>AJ144-AK144</f>
        <v/>
      </c>
      <c r="AM144" s="406">
        <f>AL144/AK144</f>
        <v/>
      </c>
      <c r="AN144" s="228" t="n"/>
      <c r="AO144" s="228" t="n"/>
      <c r="AP144" s="404" t="n"/>
      <c r="AQ144" s="400">
        <f>C144</f>
        <v/>
      </c>
      <c r="AR144" s="699" t="n">
        <v>1409945.49</v>
      </c>
      <c r="AS144" s="400">
        <f>AR145</f>
        <v/>
      </c>
      <c r="AT144" s="405">
        <f>AR144-AS144</f>
        <v/>
      </c>
      <c r="AU144" s="406">
        <f>AT144/AS144</f>
        <v/>
      </c>
      <c r="AV144" s="228" t="n"/>
      <c r="AW144" s="228" t="n"/>
      <c r="AX144" s="230" t="n"/>
      <c r="AY144" s="230" t="n"/>
      <c r="AZ144" s="230">
        <f>C144</f>
        <v/>
      </c>
      <c r="BA144" s="230" t="n">
        <v>1951581.66</v>
      </c>
      <c r="BB144" s="230">
        <f>BA145</f>
        <v/>
      </c>
      <c r="BC144" s="230">
        <f>BA144-BB144</f>
        <v/>
      </c>
      <c r="BD144" s="228">
        <f>BC144/BB144</f>
        <v/>
      </c>
      <c r="BE144" s="228" t="n"/>
      <c r="BF144" s="228" t="n"/>
      <c r="BG144" s="648" t="n"/>
      <c r="BH144" s="489">
        <f>C144</f>
        <v/>
      </c>
      <c r="BI144" s="489" t="n">
        <v>1675226.55</v>
      </c>
      <c r="BJ144" s="489">
        <f>BI145</f>
        <v/>
      </c>
      <c r="BK144" s="490">
        <f>BI144-BJ144</f>
        <v/>
      </c>
      <c r="BL144" s="491">
        <f>BK144/BJ144</f>
        <v/>
      </c>
      <c r="BM144" s="208" t="n"/>
      <c r="BN144" s="209" t="n"/>
      <c r="BO144" s="492" t="n"/>
      <c r="BP144" s="493">
        <f>C144</f>
        <v/>
      </c>
      <c r="BQ144" s="708" t="n">
        <v>1110562.39</v>
      </c>
      <c r="BR144" s="493">
        <f>BQ145</f>
        <v/>
      </c>
      <c r="BS144" s="495">
        <f>BQ144-BR144</f>
        <v/>
      </c>
      <c r="BT144" s="496">
        <f>BS144/BR144</f>
        <v/>
      </c>
      <c r="BU144" s="209" t="n"/>
      <c r="BV144" s="209" t="n"/>
      <c r="BW144" s="492" t="n"/>
      <c r="BX144" s="493">
        <f>C144</f>
        <v/>
      </c>
      <c r="BY144" s="493" t="n">
        <v>3138310.7</v>
      </c>
      <c r="BZ144" s="493">
        <f>BY145</f>
        <v/>
      </c>
      <c r="CA144" s="495">
        <f>BY144-BZ144</f>
        <v/>
      </c>
      <c r="CB144" s="496">
        <f>CA144/BZ144</f>
        <v/>
      </c>
      <c r="CC144" s="209" t="n"/>
      <c r="CD144" s="209" t="n"/>
      <c r="CE144" s="492" t="n"/>
      <c r="CF144" s="493">
        <f>C144</f>
        <v/>
      </c>
      <c r="CG144" s="213" t="n">
        <v>1393453.9</v>
      </c>
      <c r="CH144" s="213">
        <f>CG145</f>
        <v/>
      </c>
      <c r="CI144" s="211">
        <f>CG144-CH144</f>
        <v/>
      </c>
      <c r="CJ144" s="212">
        <f>CI144/CH144</f>
        <v/>
      </c>
      <c r="CK144" s="209" t="n"/>
      <c r="CL144" s="497" t="n"/>
      <c r="CM144" s="492" t="n"/>
      <c r="CN144" s="493">
        <f>C144</f>
        <v/>
      </c>
      <c r="CO144" s="493" t="n">
        <v>662146.48</v>
      </c>
      <c r="CP144" s="493">
        <f>CO145</f>
        <v/>
      </c>
      <c r="CQ144" s="211">
        <f>CO144-CP144</f>
        <v/>
      </c>
      <c r="CR144" s="212">
        <f>CQ144/CP144</f>
        <v/>
      </c>
      <c r="CS144" s="209">
        <f>(CO144-CO149)/CO149</f>
        <v/>
      </c>
      <c r="CT144" s="209" t="n"/>
      <c r="CV144" s="11">
        <f>C144</f>
        <v/>
      </c>
      <c r="CW144" s="493" t="n">
        <v>590990.4</v>
      </c>
      <c r="CX144" s="11">
        <f>CW145</f>
        <v/>
      </c>
      <c r="CY144" s="11">
        <f>CW144-CX144</f>
        <v/>
      </c>
      <c r="CZ144" s="209">
        <f>CY144/CX144</f>
        <v/>
      </c>
      <c r="DA144" s="209" t="n"/>
      <c r="DB144" s="209" t="n"/>
      <c r="DC144" s="256" t="n"/>
      <c r="DD144" s="493">
        <f>C144</f>
        <v/>
      </c>
      <c r="DE144" s="493" t="n">
        <v>2356917.99</v>
      </c>
      <c r="DF144" s="13">
        <f>DE145</f>
        <v/>
      </c>
      <c r="DG144" s="498">
        <f>DE144-DF144</f>
        <v/>
      </c>
      <c r="DH144" s="499">
        <f>DG144/DF144</f>
        <v/>
      </c>
      <c r="DI144" s="209" t="n"/>
      <c r="DJ144" s="209" t="n"/>
      <c r="DK144" s="492" t="n"/>
      <c r="DL144" s="493">
        <f>C144</f>
        <v/>
      </c>
      <c r="DM144" s="493" t="n">
        <v>1247300.36</v>
      </c>
      <c r="DN144" s="493">
        <f>DM145</f>
        <v/>
      </c>
      <c r="DO144" s="498">
        <f>DM144-DN144</f>
        <v/>
      </c>
      <c r="DP144" s="499">
        <f>DO144/DN144</f>
        <v/>
      </c>
      <c r="DQ144" s="209" t="n"/>
      <c r="DR144" s="209" t="n"/>
      <c r="DS144" s="492" t="n"/>
      <c r="DT144" s="493">
        <f>C144</f>
        <v/>
      </c>
      <c r="DU144" s="493" t="n">
        <v>1491989.48</v>
      </c>
      <c r="DV144" s="493">
        <f>DU145</f>
        <v/>
      </c>
      <c r="DW144" s="498">
        <f>DU144-DV144</f>
        <v/>
      </c>
      <c r="DX144" s="499">
        <f>DW144/DV144</f>
        <v/>
      </c>
      <c r="DY144" s="209" t="n"/>
      <c r="DZ144" s="209" t="n"/>
      <c r="EA144" s="492" t="n"/>
      <c r="EB144" s="493">
        <f>C144</f>
        <v/>
      </c>
      <c r="EC144" s="493" t="n">
        <v>4782866.82</v>
      </c>
      <c r="ED144" s="493">
        <f>EC145</f>
        <v/>
      </c>
      <c r="EE144" s="498">
        <f>EC144-ED144</f>
        <v/>
      </c>
      <c r="EF144" s="499">
        <f>EE144/ED144</f>
        <v/>
      </c>
      <c r="EG144" s="209" t="n"/>
      <c r="EH144" s="209" t="n"/>
      <c r="EI144" s="492" t="n"/>
      <c r="EJ144" s="493">
        <f>C144</f>
        <v/>
      </c>
      <c r="EK144" s="493" t="n">
        <v>1382122.96</v>
      </c>
      <c r="EL144" s="493">
        <f>EK145</f>
        <v/>
      </c>
      <c r="EM144" s="498">
        <f>EK144-EL144</f>
        <v/>
      </c>
      <c r="EN144" s="499">
        <f>EM144/EL144</f>
        <v/>
      </c>
      <c r="EO144" s="209" t="n"/>
      <c r="EP144" s="209" t="n"/>
      <c r="EQ144" s="209" t="n"/>
      <c r="ER144" s="11">
        <f>C144</f>
        <v/>
      </c>
      <c r="ES144" s="209" t="n">
        <v>472247.02</v>
      </c>
      <c r="ET144" s="209">
        <f>ES145</f>
        <v/>
      </c>
      <c r="EU144" s="209">
        <f>ES144-ET144</f>
        <v/>
      </c>
      <c r="EV144" s="209">
        <f>EU144/ET144</f>
        <v/>
      </c>
      <c r="EW144" s="209" t="n"/>
      <c r="EX144" s="209" t="n"/>
      <c r="EY144" s="492" t="n"/>
      <c r="EZ144" s="493">
        <f>C144</f>
        <v/>
      </c>
      <c r="FA144" s="493" t="n">
        <v>734308</v>
      </c>
      <c r="FB144" s="493">
        <f>FA145</f>
        <v/>
      </c>
      <c r="FC144" s="495">
        <f>FA144-FB144</f>
        <v/>
      </c>
      <c r="FD144" s="496">
        <f>FC144/FB144</f>
        <v/>
      </c>
      <c r="FE144" s="209" t="n"/>
      <c r="FF144" s="209" t="n"/>
      <c r="FG144" s="209" t="n"/>
      <c r="FH144" s="493">
        <f>C144</f>
        <v/>
      </c>
      <c r="FI144" s="709" t="n">
        <v>1193095.33</v>
      </c>
      <c r="FJ144" s="493">
        <f>FI145</f>
        <v/>
      </c>
      <c r="FK144" s="498">
        <f>FI144-FJ144</f>
        <v/>
      </c>
      <c r="FL144" s="499">
        <f>FK144/FJ144</f>
        <v/>
      </c>
      <c r="FM144" s="491" t="n"/>
      <c r="FN144" s="501" t="n"/>
      <c r="FO144" s="492" t="n"/>
      <c r="FP144" s="493">
        <f>C144</f>
        <v/>
      </c>
      <c r="FQ144" s="493" t="n">
        <v>2145118.73</v>
      </c>
      <c r="FR144" s="493">
        <f>FQ145</f>
        <v/>
      </c>
      <c r="FS144" s="495">
        <f>FQ144-FR144</f>
        <v/>
      </c>
      <c r="FT144" s="496">
        <f>FS144/FR144</f>
        <v/>
      </c>
      <c r="FU144" s="209" t="n"/>
      <c r="FV144" s="209" t="n"/>
      <c r="FW144" s="492" t="n"/>
      <c r="FX144" s="493">
        <f>C144</f>
        <v/>
      </c>
      <c r="FY144" s="493" t="n">
        <v>8330682.05</v>
      </c>
      <c r="FZ144" s="493">
        <f>FY145</f>
        <v/>
      </c>
      <c r="GA144" s="495">
        <f>FY144-FZ144</f>
        <v/>
      </c>
      <c r="GB144" s="496">
        <f>GA144/FZ144</f>
        <v/>
      </c>
      <c r="GC144" s="209" t="n"/>
      <c r="GD144" s="209" t="n"/>
      <c r="GE144" s="492" t="n"/>
      <c r="GF144" s="493">
        <f>C144</f>
        <v/>
      </c>
      <c r="GG144" s="493" t="n">
        <v>4682069.49</v>
      </c>
      <c r="GH144" s="493">
        <f>GG145</f>
        <v/>
      </c>
      <c r="GI144" s="495">
        <f>GG144-GH144</f>
        <v/>
      </c>
      <c r="GJ144" s="496">
        <f>GI144/GH144</f>
        <v/>
      </c>
      <c r="GK144" s="209" t="n"/>
      <c r="GL144" s="209" t="n"/>
      <c r="GM144" s="492" t="n"/>
      <c r="GN144" s="493">
        <f>C144</f>
        <v/>
      </c>
      <c r="GO144" s="493" t="n">
        <v>1821838.12</v>
      </c>
      <c r="GP144" s="493">
        <f>GO145</f>
        <v/>
      </c>
      <c r="GQ144" s="498">
        <f>GO144-GP144</f>
        <v/>
      </c>
      <c r="GR144" s="499">
        <f>GQ144/GP144</f>
        <v/>
      </c>
      <c r="GS144" s="209" t="n"/>
      <c r="GT144" s="209" t="n"/>
      <c r="GU144" s="492" t="n"/>
      <c r="GV144" s="493">
        <f>C144</f>
        <v/>
      </c>
      <c r="GW144" s="493" t="n">
        <v>929549.4</v>
      </c>
      <c r="GX144" s="493">
        <f>GW145</f>
        <v/>
      </c>
      <c r="GY144" s="495">
        <f>GW144-GX144</f>
        <v/>
      </c>
      <c r="GZ144" s="496">
        <f>GY144/GX144</f>
        <v/>
      </c>
      <c r="HA144" s="209" t="n"/>
      <c r="HB144" s="209" t="n"/>
      <c r="HC144" s="492" t="n"/>
      <c r="HD144" s="493">
        <f>C144</f>
        <v/>
      </c>
      <c r="HE144" s="493" t="n">
        <v>1157864.67</v>
      </c>
      <c r="HF144" s="493">
        <f>HE145</f>
        <v/>
      </c>
      <c r="HG144" s="495">
        <f>HE144-HF144</f>
        <v/>
      </c>
      <c r="HH144" s="496">
        <f>HG144/HF144</f>
        <v/>
      </c>
      <c r="HI144" s="497" t="n"/>
      <c r="HJ144" s="209" t="n"/>
      <c r="HK144" s="492" t="n"/>
      <c r="HL144" s="493">
        <f>C144</f>
        <v/>
      </c>
      <c r="HM144" s="493" t="n">
        <v>151754.25</v>
      </c>
      <c r="HN144" s="493">
        <f>HM145</f>
        <v/>
      </c>
      <c r="HO144" s="495">
        <f>HM144-HN144</f>
        <v/>
      </c>
      <c r="HP144" s="496">
        <f>HO144/HN144</f>
        <v/>
      </c>
      <c r="HQ144" s="209" t="n"/>
      <c r="HR144" s="209" t="n"/>
      <c r="HS144" s="492" t="n"/>
      <c r="HT144" s="493">
        <f>C144</f>
        <v/>
      </c>
      <c r="HU144" s="493" t="n">
        <v>237168.82</v>
      </c>
      <c r="HV144" s="493">
        <f>HU145</f>
        <v/>
      </c>
      <c r="HW144" s="495">
        <f>HU144-HV144</f>
        <v/>
      </c>
      <c r="HX144" s="496">
        <f>HW144/HV144</f>
        <v/>
      </c>
      <c r="HY144" s="209" t="n"/>
      <c r="HZ144" s="209" t="n"/>
      <c r="IA144" s="502" t="n"/>
      <c r="IB144" s="11">
        <f>C144</f>
        <v/>
      </c>
      <c r="IC144" s="213" t="n">
        <v>378809.79</v>
      </c>
      <c r="ID144" s="213">
        <f>IC145</f>
        <v/>
      </c>
      <c r="IE144" s="503">
        <f>IC144-ID144</f>
        <v/>
      </c>
      <c r="IF144" s="504">
        <f>IE144/ID144</f>
        <v/>
      </c>
      <c r="IG144" s="504" t="n"/>
      <c r="IH144" s="209" t="n"/>
      <c r="II144" s="492" t="n"/>
      <c r="IJ144" s="493">
        <f>C144</f>
        <v/>
      </c>
      <c r="IK144" s="493" t="n">
        <v>596236.29</v>
      </c>
      <c r="IL144" s="493">
        <f>IK145</f>
        <v/>
      </c>
      <c r="IM144" s="498">
        <f>IK144-IL144</f>
        <v/>
      </c>
      <c r="IN144" s="499">
        <f>IM144/IL144</f>
        <v/>
      </c>
      <c r="IO144" s="209" t="n"/>
      <c r="IP144" s="209" t="n"/>
      <c r="IQ144" s="492" t="n"/>
      <c r="IR144" s="493">
        <f>C144</f>
        <v/>
      </c>
      <c r="IS144" s="493" t="n">
        <v>143289</v>
      </c>
      <c r="IT144" s="493">
        <f>IS145</f>
        <v/>
      </c>
      <c r="IU144" s="498">
        <f>IS144-IT144</f>
        <v/>
      </c>
      <c r="IV144" s="499">
        <f>IU144/IT144</f>
        <v/>
      </c>
      <c r="IW144" s="209" t="n"/>
      <c r="IX144" s="209" t="n"/>
      <c r="IY144" s="492" t="n"/>
      <c r="IZ144" s="493">
        <f>C144</f>
        <v/>
      </c>
      <c r="JA144" s="493" t="n">
        <v>4921129.15</v>
      </c>
      <c r="JB144" s="493">
        <f>JA145</f>
        <v/>
      </c>
      <c r="JC144" s="498">
        <f>JA144-JB144</f>
        <v/>
      </c>
      <c r="JD144" s="499">
        <f>JC144/JB144</f>
        <v/>
      </c>
      <c r="JE144" s="209" t="n"/>
      <c r="JF144" s="209" t="n"/>
      <c r="JG144" s="492" t="n"/>
      <c r="JH144" s="493">
        <f>C144</f>
        <v/>
      </c>
      <c r="JI144" s="493" t="n">
        <v>1350807.99</v>
      </c>
      <c r="JJ144" s="493">
        <f>JI145</f>
        <v/>
      </c>
      <c r="JK144" s="495">
        <f>JI144-JJ144</f>
        <v/>
      </c>
      <c r="JL144" s="496">
        <f>JK144/JJ144</f>
        <v/>
      </c>
      <c r="JM144" s="209" t="n"/>
      <c r="JN144" s="209" t="n"/>
      <c r="JO144" s="209" t="n"/>
      <c r="JP144" s="493">
        <f>C144</f>
        <v/>
      </c>
      <c r="JQ144" s="493" t="n">
        <v>1034690.41</v>
      </c>
      <c r="JR144" s="493">
        <f>JQ145</f>
        <v/>
      </c>
      <c r="JS144" s="495">
        <f>JQ144-JR144</f>
        <v/>
      </c>
      <c r="JT144" s="496">
        <f>JS144/JR144</f>
        <v/>
      </c>
      <c r="JU144" s="209" t="n"/>
      <c r="JV144" s="209" t="n"/>
      <c r="JW144" s="497" t="n"/>
      <c r="JX144" s="493">
        <f>C144</f>
        <v/>
      </c>
      <c r="JY144" s="493" t="n">
        <v>1196748.8</v>
      </c>
      <c r="JZ144" s="493">
        <f>JY145</f>
        <v/>
      </c>
      <c r="KA144" s="498">
        <f>JY144-JZ144</f>
        <v/>
      </c>
      <c r="KB144" s="499">
        <f>KA144/JZ144</f>
        <v/>
      </c>
      <c r="KC144" s="209" t="n"/>
      <c r="KD144" s="209" t="n"/>
      <c r="KE144" s="497" t="n"/>
      <c r="KF144" s="493">
        <f>C144</f>
        <v/>
      </c>
      <c r="KG144" s="493" t="n">
        <v>732555.92</v>
      </c>
      <c r="KH144" s="492">
        <f>KG145</f>
        <v/>
      </c>
      <c r="KI144" s="493">
        <f>KG144-KH144</f>
        <v/>
      </c>
      <c r="KJ144" s="492">
        <f>KI144/KH144</f>
        <v/>
      </c>
      <c r="KK144" s="497" t="n"/>
      <c r="KL144" s="497" t="n"/>
      <c r="KM144" s="492" t="n"/>
      <c r="KN144" s="493">
        <f>C144</f>
        <v/>
      </c>
      <c r="KO144" s="493" t="n">
        <v>8322775.95</v>
      </c>
      <c r="KP144" s="493">
        <f>KO145</f>
        <v/>
      </c>
      <c r="KQ144" s="498">
        <f>KO144-KP144</f>
        <v/>
      </c>
      <c r="KR144" s="499">
        <f>KQ144/KP144</f>
        <v/>
      </c>
      <c r="KS144" s="209" t="n"/>
      <c r="KT144" s="209" t="n"/>
      <c r="KV144" s="11">
        <f>C144</f>
        <v/>
      </c>
      <c r="KW144" s="0" t="n">
        <v>994372.97</v>
      </c>
      <c r="KX144" s="0">
        <f>KW145</f>
        <v/>
      </c>
      <c r="KY144" s="0">
        <f>KW144-KX144</f>
        <v/>
      </c>
      <c r="KZ144" s="209">
        <f>KY144/KX144</f>
        <v/>
      </c>
      <c r="LA144" s="209" t="n"/>
      <c r="LB144" s="209" t="n"/>
      <c r="LC144" s="492" t="n"/>
      <c r="LD144" s="493">
        <f>C144</f>
        <v/>
      </c>
      <c r="LE144" s="493" t="n">
        <v>471357.7</v>
      </c>
      <c r="LF144" s="493">
        <f>LE145</f>
        <v/>
      </c>
      <c r="LG144" s="495">
        <f>LE144-LF144</f>
        <v/>
      </c>
      <c r="LH144" s="496">
        <f>LG144/LF144</f>
        <v/>
      </c>
      <c r="LI144" s="209" t="n"/>
      <c r="LJ144" s="209" t="n"/>
      <c r="LL144" s="11">
        <f>C144</f>
        <v/>
      </c>
      <c r="LM144" s="708" t="n">
        <v>3589495.02</v>
      </c>
      <c r="LN144" s="493">
        <f>LM145</f>
        <v/>
      </c>
      <c r="LO144" s="495">
        <f>LM144-LN144</f>
        <v/>
      </c>
      <c r="LP144" s="496">
        <f>LO144/LN144</f>
        <v/>
      </c>
      <c r="LQ144" s="209" t="n"/>
      <c r="LR144" s="209" t="n"/>
      <c r="LT144" s="11">
        <f>C144</f>
        <v/>
      </c>
      <c r="LU144" s="493" t="n">
        <v>2560062.9</v>
      </c>
      <c r="LV144" s="493">
        <f>LU145</f>
        <v/>
      </c>
      <c r="LW144" s="495">
        <f>LU144-LV144</f>
        <v/>
      </c>
      <c r="LX144" s="496">
        <f>LW144/LV144</f>
        <v/>
      </c>
      <c r="LY144" s="209" t="n"/>
      <c r="LZ144" s="209" t="n"/>
      <c r="MB144" s="11">
        <f>C144</f>
        <v/>
      </c>
      <c r="MC144" s="213" t="n">
        <v>729917.6899999999</v>
      </c>
      <c r="MD144" s="213">
        <f>MC145</f>
        <v/>
      </c>
      <c r="ME144" s="498">
        <f>MC144-MD144</f>
        <v/>
      </c>
      <c r="MF144" s="209">
        <f>ME144/MD144</f>
        <v/>
      </c>
      <c r="MG144" s="209" t="n"/>
      <c r="MH144" s="209" t="n"/>
      <c r="MJ144" s="710" t="n"/>
      <c r="MK144" s="11">
        <f>C144</f>
        <v/>
      </c>
      <c r="ML144" s="711" t="n">
        <v>220785.53</v>
      </c>
      <c r="MM144" s="507">
        <f>ML145</f>
        <v/>
      </c>
      <c r="MN144" s="710">
        <f>ML144-MM144</f>
        <v/>
      </c>
      <c r="MO144" s="209">
        <f>MN144/MM144</f>
        <v/>
      </c>
      <c r="MP144" s="209" t="n"/>
      <c r="MQ144" s="209" t="n"/>
      <c r="MR144" s="209" t="n"/>
      <c r="MS144" s="209" t="n"/>
      <c r="MT144" s="88">
        <f>C144</f>
        <v/>
      </c>
      <c r="MU144" s="0" t="n">
        <v>224814.8</v>
      </c>
      <c r="MV144" s="0">
        <f>MU145</f>
        <v/>
      </c>
      <c r="MW144" s="0">
        <f>MU144-MV144</f>
        <v/>
      </c>
      <c r="MX144" s="209">
        <f>MW144/MV144</f>
        <v/>
      </c>
      <c r="MY144" s="209" t="n"/>
      <c r="MZ144" s="209" t="n"/>
      <c r="NA144" s="209" t="n"/>
      <c r="NB144" s="209" t="n"/>
      <c r="NC144" s="11">
        <f>C144</f>
        <v/>
      </c>
      <c r="ND144" s="0" t="n">
        <v>43091.48</v>
      </c>
      <c r="NE144" s="0">
        <f>ND145</f>
        <v/>
      </c>
      <c r="NF144" s="0">
        <f>ND144-NE144</f>
        <v/>
      </c>
      <c r="NG144" s="209">
        <f>NF144/NE144</f>
        <v/>
      </c>
      <c r="NH144" s="209" t="n"/>
      <c r="NI144" s="209" t="n"/>
      <c r="NJ144" s="209" t="n"/>
      <c r="NK144" s="209" t="n"/>
      <c r="NL144" s="11" t="n"/>
      <c r="NM144" s="11">
        <f>C144</f>
        <v/>
      </c>
      <c r="NN144" s="0" t="n">
        <v>2568811.08</v>
      </c>
      <c r="NO144" s="0">
        <f>NN145</f>
        <v/>
      </c>
      <c r="NP144" s="0">
        <f>NN144-NO144</f>
        <v/>
      </c>
      <c r="NQ144" s="209">
        <f>NP144/NO144</f>
        <v/>
      </c>
      <c r="NR144" s="209" t="n"/>
      <c r="NS144" s="11" t="n"/>
      <c r="NU144" s="11">
        <f>C144</f>
        <v/>
      </c>
      <c r="NV144" s="711" t="n">
        <v>250726.5</v>
      </c>
      <c r="NW144" s="0">
        <f>NV145</f>
        <v/>
      </c>
      <c r="NX144" s="711">
        <f>NV144-NW144</f>
        <v/>
      </c>
      <c r="NY144" s="209">
        <f>NX144/NW144</f>
        <v/>
      </c>
      <c r="NZ144" s="209" t="n"/>
      <c r="OA144" s="11" t="n"/>
      <c r="OC144" s="11">
        <f>C144</f>
        <v/>
      </c>
      <c r="OD144" s="493" t="n">
        <v>13518.97</v>
      </c>
      <c r="OE144" s="493">
        <f>OD145</f>
        <v/>
      </c>
      <c r="OF144" s="495">
        <f>OD144-OE144</f>
        <v/>
      </c>
      <c r="OG144" s="496">
        <f>OF144/OE144</f>
        <v/>
      </c>
      <c r="OH144" s="209" t="n"/>
      <c r="OI144" s="209" t="n"/>
      <c r="OJ144" s="492" t="n"/>
      <c r="OK144" s="493">
        <f>C144</f>
        <v/>
      </c>
      <c r="OL144" s="213" t="n">
        <v>12517.65</v>
      </c>
      <c r="OM144" s="11">
        <f>OL145</f>
        <v/>
      </c>
      <c r="ON144" s="0">
        <f>OL144-OM144</f>
        <v/>
      </c>
      <c r="OO144" s="209">
        <f>ON144/OM144</f>
        <v/>
      </c>
      <c r="OP144" s="209" t="n"/>
      <c r="OQ144" s="209" t="n"/>
      <c r="OT144" s="88">
        <f>OK144</f>
        <v/>
      </c>
      <c r="OU144" s="199" t="n">
        <v>145152.4066</v>
      </c>
      <c r="OV144" s="9">
        <f>OU145</f>
        <v/>
      </c>
      <c r="OW144" s="671">
        <f>OU144-OV144</f>
        <v/>
      </c>
      <c r="OX144" s="182">
        <f>OW144/OV144</f>
        <v/>
      </c>
    </row>
    <row r="145" ht="17" customFormat="1" customHeight="1" s="9">
      <c r="A145" s="631" t="n"/>
      <c r="B145" s="631" t="n"/>
      <c r="C145" s="693" t="inlineStr">
        <is>
          <t>2026//4/16</t>
        </is>
      </c>
      <c r="D145" s="362" t="n">
        <v>4368468.77</v>
      </c>
      <c r="E145" s="362">
        <f>D146</f>
        <v/>
      </c>
      <c r="F145" s="377">
        <f>D145-E145</f>
        <v/>
      </c>
      <c r="G145" s="378">
        <f>F145/E145</f>
        <v/>
      </c>
      <c r="H145" s="19" t="n"/>
      <c r="I145" s="426" t="n"/>
      <c r="J145" s="426" t="n"/>
      <c r="K145" s="362">
        <f>C145</f>
        <v/>
      </c>
      <c r="L145" s="362" t="n">
        <v>3139624.4</v>
      </c>
      <c r="M145" s="362">
        <f>L146</f>
        <v/>
      </c>
      <c r="N145" s="377">
        <f>L145-M145</f>
        <v/>
      </c>
      <c r="O145" s="378">
        <f>N145/M145</f>
        <v/>
      </c>
      <c r="P145" s="19" t="n"/>
      <c r="Q145" s="426" t="n"/>
      <c r="R145" s="427" t="n"/>
      <c r="S145" s="362">
        <f>C145</f>
        <v/>
      </c>
      <c r="T145" s="362" t="n">
        <v>2267256.68</v>
      </c>
      <c r="U145" s="362">
        <f>T146</f>
        <v/>
      </c>
      <c r="V145" s="377">
        <f>T145-U145</f>
        <v/>
      </c>
      <c r="W145" s="378">
        <f>V145/U145</f>
        <v/>
      </c>
      <c r="X145" s="19" t="n"/>
      <c r="Y145" s="426" t="n"/>
      <c r="Z145" s="427" t="n"/>
      <c r="AA145" s="362">
        <f>S145</f>
        <v/>
      </c>
      <c r="AB145" s="362" t="n">
        <v>989776.86</v>
      </c>
      <c r="AC145" s="362">
        <f>AB146</f>
        <v/>
      </c>
      <c r="AD145" s="377">
        <f>AB145-AC145</f>
        <v/>
      </c>
      <c r="AE145" s="378">
        <f>AD145/AC145</f>
        <v/>
      </c>
      <c r="AF145" s="19" t="n"/>
      <c r="AG145" s="426" t="n"/>
      <c r="AH145" s="427" t="n"/>
      <c r="AI145" s="362">
        <f>C145</f>
        <v/>
      </c>
      <c r="AJ145" s="362" t="n">
        <v>752521.76</v>
      </c>
      <c r="AK145" s="362">
        <f>AJ146</f>
        <v/>
      </c>
      <c r="AL145" s="377">
        <f>AJ145-AK145</f>
        <v/>
      </c>
      <c r="AM145" s="378">
        <f>AL145/AK145</f>
        <v/>
      </c>
      <c r="AN145" s="19" t="n"/>
      <c r="AO145" s="19" t="n"/>
      <c r="AP145" s="427" t="n"/>
      <c r="AQ145" s="362">
        <f>C145</f>
        <v/>
      </c>
      <c r="AR145" s="697" t="n">
        <v>1467845.49</v>
      </c>
      <c r="AS145" s="362">
        <f>AR146</f>
        <v/>
      </c>
      <c r="AT145" s="432">
        <f>AR145-AS145</f>
        <v/>
      </c>
      <c r="AU145" s="433">
        <f>AT145/AS145</f>
        <v/>
      </c>
      <c r="AV145" s="19" t="n"/>
      <c r="AW145" s="19" t="n"/>
      <c r="AX145" s="5" t="n"/>
      <c r="AY145" s="5" t="n"/>
      <c r="AZ145" s="5">
        <f>C145</f>
        <v/>
      </c>
      <c r="BA145" s="5" t="n">
        <v>1958781.66</v>
      </c>
      <c r="BB145" s="5">
        <f>BA146</f>
        <v/>
      </c>
      <c r="BC145" s="5">
        <f>BA145-BB145</f>
        <v/>
      </c>
      <c r="BD145" s="19">
        <f>BC145/BB145</f>
        <v/>
      </c>
      <c r="BE145" s="19" t="n"/>
      <c r="BF145" s="19" t="n"/>
      <c r="BG145" s="647" t="n"/>
      <c r="BH145" s="363">
        <f>C145</f>
        <v/>
      </c>
      <c r="BI145" s="363" t="n">
        <v>1662826.55</v>
      </c>
      <c r="BJ145" s="363">
        <f>BI146</f>
        <v/>
      </c>
      <c r="BK145" s="395">
        <f>BI145-BJ145</f>
        <v/>
      </c>
      <c r="BL145" s="396">
        <f>BK145/BJ145</f>
        <v/>
      </c>
      <c r="BM145" s="191" t="n"/>
      <c r="BN145" s="182" t="n"/>
      <c r="BO145" s="364" t="n"/>
      <c r="BP145" s="365">
        <f>C145</f>
        <v/>
      </c>
      <c r="BQ145" s="694" t="n">
        <v>1115562.39</v>
      </c>
      <c r="BR145" s="365">
        <f>BQ146</f>
        <v/>
      </c>
      <c r="BS145" s="388">
        <f>BQ145-BR145</f>
        <v/>
      </c>
      <c r="BT145" s="389">
        <f>BS145/BR145</f>
        <v/>
      </c>
      <c r="BU145" s="182" t="n"/>
      <c r="BV145" s="182" t="n"/>
      <c r="BW145" s="364" t="n"/>
      <c r="BX145" s="365">
        <f>C145</f>
        <v/>
      </c>
      <c r="BY145" s="365" t="n">
        <v>3201060.7</v>
      </c>
      <c r="BZ145" s="365">
        <f>BY146</f>
        <v/>
      </c>
      <c r="CA145" s="390">
        <f>BY145-BZ145</f>
        <v/>
      </c>
      <c r="CB145" s="391">
        <f>CA145/BZ145</f>
        <v/>
      </c>
      <c r="CC145" s="182" t="n"/>
      <c r="CD145" s="182" t="n"/>
      <c r="CE145" s="486" t="n"/>
      <c r="CF145" s="384">
        <f>C145</f>
        <v/>
      </c>
      <c r="CG145" s="185" t="n">
        <v>1392303.9</v>
      </c>
      <c r="CH145" s="185">
        <f>CG146</f>
        <v/>
      </c>
      <c r="CI145" s="13">
        <f>CG145-CH145</f>
        <v/>
      </c>
      <c r="CJ145" s="193">
        <f>CI145/CH145</f>
        <v/>
      </c>
      <c r="CK145" s="182" t="n"/>
      <c r="CL145" s="366" t="n"/>
      <c r="CM145" s="364" t="n"/>
      <c r="CN145" s="365">
        <f>C145</f>
        <v/>
      </c>
      <c r="CO145" s="365" t="n">
        <v>664746.48</v>
      </c>
      <c r="CP145" s="365">
        <f>CO146</f>
        <v/>
      </c>
      <c r="CQ145" s="13">
        <f>CO145-CP145</f>
        <v/>
      </c>
      <c r="CR145" s="193">
        <f>CQ145/CP145</f>
        <v/>
      </c>
      <c r="CS145" s="182" t="n"/>
      <c r="CT145" s="182" t="n"/>
      <c r="CV145" s="9">
        <f>C145</f>
        <v/>
      </c>
      <c r="CW145" s="24" t="n">
        <v>591240.4</v>
      </c>
      <c r="CX145" s="24">
        <f>CW146</f>
        <v/>
      </c>
      <c r="CY145" s="24">
        <f>CW145-CX145</f>
        <v/>
      </c>
      <c r="CZ145" s="182">
        <f>CY145/CX145</f>
        <v/>
      </c>
      <c r="DA145" s="182" t="n"/>
      <c r="DB145" s="182" t="n"/>
      <c r="DC145" s="256" t="n"/>
      <c r="DD145" s="365">
        <f>C145</f>
        <v/>
      </c>
      <c r="DE145" s="365" t="n">
        <v>2340117.99</v>
      </c>
      <c r="DF145" s="13">
        <f>DE146</f>
        <v/>
      </c>
      <c r="DG145" s="384">
        <f>DE145-DF145</f>
        <v/>
      </c>
      <c r="DH145" s="383">
        <f>DG145/DF145</f>
        <v/>
      </c>
      <c r="DI145" s="182" t="n"/>
      <c r="DJ145" s="182" t="n"/>
      <c r="DK145" s="364" t="n"/>
      <c r="DL145" s="365">
        <f>C145</f>
        <v/>
      </c>
      <c r="DM145" s="365" t="n">
        <v>1256500.36</v>
      </c>
      <c r="DN145" s="365">
        <f>DM146</f>
        <v/>
      </c>
      <c r="DO145" s="390">
        <f>DM145-DN145</f>
        <v/>
      </c>
      <c r="DP145" s="391">
        <f>DO145/DN145</f>
        <v/>
      </c>
      <c r="DQ145" s="182" t="n"/>
      <c r="DR145" s="182" t="n"/>
      <c r="DS145" s="364" t="n"/>
      <c r="DT145" s="365">
        <f>C145</f>
        <v/>
      </c>
      <c r="DU145" s="365" t="n">
        <v>1508789.48</v>
      </c>
      <c r="DV145" s="365">
        <f>DU146</f>
        <v/>
      </c>
      <c r="DW145" s="388">
        <f>DU145-DV145</f>
        <v/>
      </c>
      <c r="DX145" s="389">
        <f>DW145/DV145</f>
        <v/>
      </c>
      <c r="DY145" s="182" t="n"/>
      <c r="DZ145" s="182" t="n"/>
      <c r="EA145" s="364" t="n"/>
      <c r="EB145" s="365">
        <f>C145</f>
        <v/>
      </c>
      <c r="EC145" s="365" t="n">
        <v>4803866.82</v>
      </c>
      <c r="ED145" s="365">
        <f>EC146</f>
        <v/>
      </c>
      <c r="EE145" s="390">
        <f>EC145-ED145</f>
        <v/>
      </c>
      <c r="EF145" s="391">
        <f>EE145/ED145</f>
        <v/>
      </c>
      <c r="EG145" s="182" t="n"/>
      <c r="EH145" s="182" t="n"/>
      <c r="EI145" s="364" t="n"/>
      <c r="EJ145" s="365">
        <f>C145</f>
        <v/>
      </c>
      <c r="EK145" s="365" t="n">
        <v>1408922.96</v>
      </c>
      <c r="EL145" s="365">
        <f>EK146</f>
        <v/>
      </c>
      <c r="EM145" s="390">
        <f>EK145-EL145</f>
        <v/>
      </c>
      <c r="EN145" s="391">
        <f>EM145/EL145</f>
        <v/>
      </c>
      <c r="EO145" s="182" t="n"/>
      <c r="EP145" s="182" t="n"/>
      <c r="EQ145" s="182" t="n"/>
      <c r="ER145" s="9">
        <f>C145</f>
        <v/>
      </c>
      <c r="ES145" s="182" t="n">
        <v>480947.02</v>
      </c>
      <c r="ET145" s="182">
        <f>ES146</f>
        <v/>
      </c>
      <c r="EU145" s="182">
        <f>ES145-ET145</f>
        <v/>
      </c>
      <c r="EV145" s="182">
        <f>EU145/ET145</f>
        <v/>
      </c>
      <c r="EW145" s="182" t="n"/>
      <c r="EX145" s="182" t="n"/>
      <c r="EY145" s="364" t="n"/>
      <c r="EZ145" s="365">
        <f>C145</f>
        <v/>
      </c>
      <c r="FA145" s="365" t="n">
        <v>741808</v>
      </c>
      <c r="FB145" s="365">
        <f>FA146</f>
        <v/>
      </c>
      <c r="FC145" s="390">
        <f>FA145-FB145</f>
        <v/>
      </c>
      <c r="FD145" s="391">
        <f>FC145/FB145</f>
        <v/>
      </c>
      <c r="FE145" s="182" t="n"/>
      <c r="FF145" s="182" t="n"/>
      <c r="FG145" s="182" t="n"/>
      <c r="FH145" s="384">
        <f>C145</f>
        <v/>
      </c>
      <c r="FI145" s="707" t="n">
        <v>1172595.33</v>
      </c>
      <c r="FJ145" s="365">
        <f>FI146</f>
        <v/>
      </c>
      <c r="FK145" s="325">
        <f>FI145-FJ145</f>
        <v/>
      </c>
      <c r="FL145" s="326">
        <f>FK145/FJ145</f>
        <v/>
      </c>
      <c r="FM145" s="488" t="n"/>
      <c r="FN145" s="488" t="n"/>
      <c r="FO145" s="364" t="n"/>
      <c r="FP145" s="365">
        <f>C145</f>
        <v/>
      </c>
      <c r="FQ145" s="365" t="n">
        <v>2161918.73</v>
      </c>
      <c r="FR145" s="365">
        <f>FQ146</f>
        <v/>
      </c>
      <c r="FS145" s="388">
        <f>FQ145-FR145</f>
        <v/>
      </c>
      <c r="FT145" s="389">
        <f>FS145/FR145</f>
        <v/>
      </c>
      <c r="FU145" s="182" t="n"/>
      <c r="FV145" s="182" t="n"/>
      <c r="FW145" s="364" t="n"/>
      <c r="FX145" s="365">
        <f>C145</f>
        <v/>
      </c>
      <c r="FY145" s="365" t="n">
        <v>8251882.05</v>
      </c>
      <c r="FZ145" s="365">
        <f>FY146</f>
        <v/>
      </c>
      <c r="GA145" s="390">
        <f>FY145-FZ145</f>
        <v/>
      </c>
      <c r="GB145" s="391">
        <f>GA145/FZ145</f>
        <v/>
      </c>
      <c r="GC145" s="182" t="n"/>
      <c r="GD145" s="182" t="n"/>
      <c r="GE145" s="364" t="n"/>
      <c r="GF145" s="365">
        <f>C145</f>
        <v/>
      </c>
      <c r="GG145" s="365" t="n">
        <v>4597469.49</v>
      </c>
      <c r="GH145" s="365">
        <f>GG146</f>
        <v/>
      </c>
      <c r="GI145" s="390">
        <f>GG145-GH145</f>
        <v/>
      </c>
      <c r="GJ145" s="391">
        <f>GI145/GH145</f>
        <v/>
      </c>
      <c r="GK145" s="182" t="n"/>
      <c r="GL145" s="182" t="n"/>
      <c r="GM145" s="364" t="n"/>
      <c r="GN145" s="365">
        <f>C145</f>
        <v/>
      </c>
      <c r="GO145" s="365" t="n">
        <v>1791718.12</v>
      </c>
      <c r="GP145" s="365">
        <f>GO146</f>
        <v/>
      </c>
      <c r="GQ145" s="390">
        <f>GO145-GP145</f>
        <v/>
      </c>
      <c r="GR145" s="391">
        <f>GQ145/GP145</f>
        <v/>
      </c>
      <c r="GS145" s="182" t="n"/>
      <c r="GT145" s="182" t="n"/>
      <c r="GU145" s="364" t="n"/>
      <c r="GV145" s="365">
        <f>C145</f>
        <v/>
      </c>
      <c r="GW145" s="365" t="n">
        <v>937949.4</v>
      </c>
      <c r="GX145" s="365">
        <f>GW146</f>
        <v/>
      </c>
      <c r="GY145" s="388">
        <f>GW145-GX145</f>
        <v/>
      </c>
      <c r="GZ145" s="389">
        <f>GY145/GX145</f>
        <v/>
      </c>
      <c r="HA145" s="182" t="n"/>
      <c r="HB145" s="182" t="n"/>
      <c r="HC145" s="364" t="n"/>
      <c r="HD145" s="365">
        <f>C145</f>
        <v/>
      </c>
      <c r="HE145" s="365" t="n">
        <v>1149864.67</v>
      </c>
      <c r="HF145" s="365">
        <f>HE146</f>
        <v/>
      </c>
      <c r="HG145" s="388">
        <f>HE145-HF145</f>
        <v/>
      </c>
      <c r="HH145" s="389">
        <f>HG145/HF145</f>
        <v/>
      </c>
      <c r="HI145" s="366" t="n"/>
      <c r="HJ145" s="182" t="n"/>
      <c r="HK145" s="364" t="n"/>
      <c r="HL145" s="365">
        <f>C145</f>
        <v/>
      </c>
      <c r="HM145" s="365" t="n">
        <v>152154.25</v>
      </c>
      <c r="HN145" s="365">
        <f>HM146</f>
        <v/>
      </c>
      <c r="HO145" s="388">
        <f>HM145-HN145</f>
        <v/>
      </c>
      <c r="HP145" s="389">
        <f>HO145/HN145</f>
        <v/>
      </c>
      <c r="HQ145" s="182" t="n"/>
      <c r="HR145" s="182" t="n"/>
      <c r="HS145" s="364" t="n"/>
      <c r="HT145" s="365">
        <f>C145</f>
        <v/>
      </c>
      <c r="HU145" s="365" t="n">
        <v>240768.82</v>
      </c>
      <c r="HV145" s="365">
        <f>HU146</f>
        <v/>
      </c>
      <c r="HW145" s="388">
        <f>HU145-HV145</f>
        <v/>
      </c>
      <c r="HX145" s="389">
        <f>HW145/HV145</f>
        <v/>
      </c>
      <c r="HY145" s="182" t="n"/>
      <c r="HZ145" s="182" t="n"/>
      <c r="IB145" s="9">
        <f>C145</f>
        <v/>
      </c>
      <c r="IC145" s="185" t="n">
        <v>375534.79</v>
      </c>
      <c r="ID145" s="9">
        <f>IC146</f>
        <v/>
      </c>
      <c r="IE145" s="9">
        <f>IC145-ID145</f>
        <v/>
      </c>
      <c r="IF145" s="0">
        <f>IE145/ID145</f>
        <v/>
      </c>
      <c r="IG145" s="182" t="n"/>
      <c r="IH145" s="182" t="n"/>
      <c r="II145" s="364" t="n"/>
      <c r="IJ145" s="365">
        <f>C145</f>
        <v/>
      </c>
      <c r="IK145" s="222" t="n">
        <v>597596.29</v>
      </c>
      <c r="IL145" s="222">
        <f>IK146</f>
        <v/>
      </c>
      <c r="IM145" s="9">
        <f>IK145-IL145</f>
        <v/>
      </c>
      <c r="IN145" s="182">
        <f>IM145/IL145</f>
        <v/>
      </c>
      <c r="IO145" s="182" t="n"/>
      <c r="IP145" s="182" t="n"/>
      <c r="IQ145" s="364" t="n"/>
      <c r="IR145" s="365">
        <f>C145</f>
        <v/>
      </c>
      <c r="IS145" s="365" t="n">
        <v>143589</v>
      </c>
      <c r="IT145" s="365">
        <f>IS146</f>
        <v/>
      </c>
      <c r="IU145" s="388">
        <f>IS145-IT145</f>
        <v/>
      </c>
      <c r="IV145" s="389">
        <f>IU145/IT145</f>
        <v/>
      </c>
      <c r="IW145" s="182" t="n"/>
      <c r="IX145" s="182" t="n"/>
      <c r="IY145" s="364" t="n"/>
      <c r="IZ145" s="365">
        <f>C145</f>
        <v/>
      </c>
      <c r="JA145" s="365" t="n">
        <v>4921529.15</v>
      </c>
      <c r="JB145" s="365">
        <f>JA146</f>
        <v/>
      </c>
      <c r="JC145" s="390">
        <f>JA145-JB145</f>
        <v/>
      </c>
      <c r="JD145" s="391">
        <f>JC145/JB145</f>
        <v/>
      </c>
      <c r="JE145" s="182" t="n"/>
      <c r="JF145" s="182" t="n"/>
      <c r="JG145" s="364" t="n"/>
      <c r="JH145" s="365">
        <f>C145</f>
        <v/>
      </c>
      <c r="JI145" s="365" t="n">
        <v>1351887.99</v>
      </c>
      <c r="JJ145" s="365">
        <f>JI146</f>
        <v/>
      </c>
      <c r="JK145" s="388">
        <f>JI145-JJ145</f>
        <v/>
      </c>
      <c r="JL145" s="389">
        <f>JK145/JJ145</f>
        <v/>
      </c>
      <c r="JM145" s="182" t="n"/>
      <c r="JN145" s="182" t="n"/>
      <c r="JO145" s="182" t="n"/>
      <c r="JP145" s="365">
        <f>C145</f>
        <v/>
      </c>
      <c r="JQ145" s="365" t="n">
        <v>1039090.41</v>
      </c>
      <c r="JR145" s="365">
        <f>JQ146</f>
        <v/>
      </c>
      <c r="JS145" s="390">
        <f>JQ145-JR145</f>
        <v/>
      </c>
      <c r="JT145" s="391">
        <f>JS145/JR145</f>
        <v/>
      </c>
      <c r="JU145" s="182" t="n"/>
      <c r="JV145" s="182" t="n"/>
      <c r="JW145" s="383" t="n"/>
      <c r="JX145" s="365">
        <f>C145</f>
        <v/>
      </c>
      <c r="JY145" s="365" t="n">
        <v>1196848.8</v>
      </c>
      <c r="JZ145" s="365">
        <f>JY146</f>
        <v/>
      </c>
      <c r="KA145" s="390">
        <f>JY145-JZ145</f>
        <v/>
      </c>
      <c r="KB145" s="391">
        <f>KA145/JZ145</f>
        <v/>
      </c>
      <c r="KC145" s="182" t="n"/>
      <c r="KD145" s="182" t="n"/>
      <c r="KE145" s="383" t="n"/>
      <c r="KF145" s="9">
        <f>C145</f>
        <v/>
      </c>
      <c r="KG145" s="182" t="n">
        <v>732555.92</v>
      </c>
      <c r="KH145" s="712">
        <f>KG146</f>
        <v/>
      </c>
      <c r="KI145" s="9">
        <f>KG145-KH145</f>
        <v/>
      </c>
      <c r="KJ145" s="509">
        <f>KI145/KH145</f>
        <v/>
      </c>
      <c r="KK145" s="366" t="n"/>
      <c r="KL145" s="366" t="n"/>
      <c r="KM145" s="364" t="n"/>
      <c r="KN145" s="365">
        <f>C145</f>
        <v/>
      </c>
      <c r="KO145" s="365" t="n">
        <v>8322775.95</v>
      </c>
      <c r="KP145" s="365">
        <f>KO146</f>
        <v/>
      </c>
      <c r="KQ145" s="390">
        <f>KO145-KP145</f>
        <v/>
      </c>
      <c r="KR145" s="391">
        <f>KQ145/KP145</f>
        <v/>
      </c>
      <c r="KS145" s="182" t="n"/>
      <c r="KT145" s="182" t="n"/>
      <c r="KV145" s="9">
        <f>C145</f>
        <v/>
      </c>
      <c r="KW145" s="0" t="n">
        <v>1000772.97</v>
      </c>
      <c r="KX145" s="0">
        <f>KW146</f>
        <v/>
      </c>
      <c r="KY145" s="0">
        <f>KW145-KX145</f>
        <v/>
      </c>
      <c r="KZ145" s="182">
        <f>KY145/KX145</f>
        <v/>
      </c>
      <c r="LA145" s="182" t="n"/>
      <c r="LB145" s="182" t="n"/>
      <c r="LC145" s="364" t="n"/>
      <c r="LD145" s="365">
        <f>C145</f>
        <v/>
      </c>
      <c r="LE145" s="365" t="n">
        <v>467357.7</v>
      </c>
      <c r="LF145" s="365">
        <f>LE146</f>
        <v/>
      </c>
      <c r="LG145" s="388">
        <f>LE145-LF145</f>
        <v/>
      </c>
      <c r="LH145" s="389">
        <f>LG145/LF145</f>
        <v/>
      </c>
      <c r="LI145" s="182" t="n"/>
      <c r="LJ145" s="182" t="n"/>
      <c r="LL145" s="9">
        <f>C145</f>
        <v/>
      </c>
      <c r="LM145" s="671" t="n">
        <v>3535135.02</v>
      </c>
      <c r="LN145" s="9">
        <f>LM146</f>
        <v/>
      </c>
      <c r="LO145" s="9">
        <f>LM145-LN145</f>
        <v/>
      </c>
      <c r="LP145" s="182">
        <f>LO145/LN145</f>
        <v/>
      </c>
      <c r="LQ145" s="182" t="n"/>
      <c r="LR145" s="182" t="n"/>
      <c r="LT145" s="9">
        <f>C145</f>
        <v/>
      </c>
      <c r="LU145" s="24" t="n">
        <v>2576262.9</v>
      </c>
      <c r="LV145" s="24">
        <f>LU146</f>
        <v/>
      </c>
      <c r="LW145" s="24">
        <f>LU145-LV145</f>
        <v/>
      </c>
      <c r="LX145" s="182">
        <f>LW145/LV145</f>
        <v/>
      </c>
      <c r="LY145" s="182" t="n"/>
      <c r="LZ145" s="182" t="n"/>
      <c r="MB145" s="9">
        <f>C145</f>
        <v/>
      </c>
      <c r="MC145" s="24" t="n">
        <v>742017.6899999999</v>
      </c>
      <c r="MD145" s="24">
        <f>MC146</f>
        <v/>
      </c>
      <c r="ME145" s="24">
        <f>MC145-MD145</f>
        <v/>
      </c>
      <c r="MF145" s="182">
        <f>ME145/MD145</f>
        <v/>
      </c>
      <c r="MG145" s="182" t="n"/>
      <c r="MH145" s="182" t="n"/>
      <c r="MI145" s="9" t="n"/>
      <c r="MJ145" s="712" t="n"/>
      <c r="MK145" s="9">
        <f>C145</f>
        <v/>
      </c>
      <c r="ML145" s="711" t="n">
        <v>220305.53</v>
      </c>
      <c r="MM145" s="187">
        <f>ML146</f>
        <v/>
      </c>
      <c r="MN145" s="712">
        <f>ML145-MM145</f>
        <v/>
      </c>
      <c r="MO145" s="182">
        <f>MN145/MM145</f>
        <v/>
      </c>
      <c r="MP145" s="182" t="n"/>
      <c r="MQ145" s="182" t="n"/>
      <c r="MR145" s="182" t="n"/>
      <c r="MS145" s="182" t="n"/>
      <c r="MT145" s="25">
        <f>C145</f>
        <v/>
      </c>
      <c r="MU145" s="0" t="n">
        <v>228414.8</v>
      </c>
      <c r="MV145" s="0">
        <f>MU146</f>
        <v/>
      </c>
      <c r="MW145" s="0">
        <f>MU145-MV145</f>
        <v/>
      </c>
      <c r="MX145" s="182">
        <f>MW145/MV145</f>
        <v/>
      </c>
      <c r="MY145" s="182" t="n"/>
      <c r="MZ145" s="182" t="n"/>
      <c r="NA145" s="182" t="n"/>
      <c r="NB145" s="182" t="n"/>
      <c r="NC145" s="9">
        <f>C145</f>
        <v/>
      </c>
      <c r="ND145" s="0" t="n">
        <v>43091.48</v>
      </c>
      <c r="NE145" s="0">
        <f>ND146</f>
        <v/>
      </c>
      <c r="NF145" s="0">
        <f>ND145-NE145</f>
        <v/>
      </c>
      <c r="NG145" s="182">
        <f>NF145/NE145</f>
        <v/>
      </c>
      <c r="NH145" s="182" t="n"/>
      <c r="NI145" s="182" t="n"/>
      <c r="NJ145" s="182" t="n"/>
      <c r="NK145" s="182" t="n"/>
      <c r="NL145" s="9" t="n"/>
      <c r="NM145" s="9">
        <f>C145</f>
        <v/>
      </c>
      <c r="NN145" s="0" t="n">
        <v>2572111.08</v>
      </c>
      <c r="NO145" s="0">
        <f>NN146</f>
        <v/>
      </c>
      <c r="NP145" s="0">
        <f>NN145-NO145</f>
        <v/>
      </c>
      <c r="NQ145" s="182">
        <f>NP145/NO145</f>
        <v/>
      </c>
      <c r="NR145" s="182" t="n"/>
      <c r="NS145" s="9" t="n"/>
      <c r="NU145" s="9">
        <f>C145</f>
        <v/>
      </c>
      <c r="NV145" s="711" t="n">
        <v>250276.5</v>
      </c>
      <c r="NW145" s="0">
        <f>NV146</f>
        <v/>
      </c>
      <c r="NX145" s="711">
        <f>NV145-NW145</f>
        <v/>
      </c>
      <c r="NY145" s="182">
        <f>NX145/NW145</f>
        <v/>
      </c>
      <c r="NZ145" s="182" t="n"/>
      <c r="OA145" s="9" t="n"/>
      <c r="OC145" s="9">
        <f>C145</f>
        <v/>
      </c>
      <c r="OD145" s="24" t="n">
        <v>13193.97</v>
      </c>
      <c r="OE145" s="24">
        <f>OD146</f>
        <v/>
      </c>
      <c r="OF145" s="24">
        <f>OD145-OE145</f>
        <v/>
      </c>
      <c r="OG145" s="182">
        <f>OF145/OE145</f>
        <v/>
      </c>
      <c r="OH145" s="182" t="n"/>
      <c r="OI145" s="182" t="n"/>
      <c r="OK145" s="9">
        <f>C145</f>
        <v/>
      </c>
      <c r="OL145" s="24" t="n">
        <v>12275.65</v>
      </c>
      <c r="OM145" s="24">
        <f>OL146</f>
        <v/>
      </c>
      <c r="ON145" s="24">
        <f>OL145-OM145</f>
        <v/>
      </c>
      <c r="OO145" s="182">
        <f>ON145/OM145</f>
        <v/>
      </c>
      <c r="OP145" s="182" t="n"/>
      <c r="OQ145" s="182" t="n"/>
      <c r="OT145" s="25">
        <f>OK145</f>
        <v/>
      </c>
      <c r="OU145" s="199" t="n">
        <v>145032.4066</v>
      </c>
      <c r="OV145" s="9">
        <f>OU146</f>
        <v/>
      </c>
      <c r="OW145" s="671">
        <f>OU145-OV145</f>
        <v/>
      </c>
      <c r="OX145" s="182">
        <f>OW145/OV145</f>
        <v/>
      </c>
    </row>
    <row r="146" ht="17" customFormat="1" customHeight="1" s="9">
      <c r="A146" s="631" t="n"/>
      <c r="B146" s="631" t="n"/>
      <c r="C146" s="693" t="inlineStr">
        <is>
          <t>2026//4/15</t>
        </is>
      </c>
      <c r="D146" s="362" t="n">
        <v>4392048.77</v>
      </c>
      <c r="E146" s="362">
        <f>D147</f>
        <v/>
      </c>
      <c r="F146" s="432">
        <f>D146-E146</f>
        <v/>
      </c>
      <c r="G146" s="433">
        <f>F146/E146</f>
        <v/>
      </c>
      <c r="H146" s="19" t="n"/>
      <c r="I146" s="426" t="n"/>
      <c r="J146" s="426" t="n"/>
      <c r="K146" s="362">
        <f>C146</f>
        <v/>
      </c>
      <c r="L146" s="362" t="n">
        <v>3138094.4</v>
      </c>
      <c r="M146" s="362">
        <f>L147</f>
        <v/>
      </c>
      <c r="N146" s="432">
        <f>L146-M146</f>
        <v/>
      </c>
      <c r="O146" s="433">
        <f>N146/M146</f>
        <v/>
      </c>
      <c r="P146" s="19" t="n"/>
      <c r="Q146" s="426" t="n"/>
      <c r="R146" s="427" t="n"/>
      <c r="S146" s="362">
        <f>C146</f>
        <v/>
      </c>
      <c r="T146" s="362" t="n">
        <v>2246826.68</v>
      </c>
      <c r="U146" s="362">
        <f>T147</f>
        <v/>
      </c>
      <c r="V146" s="432">
        <f>T146-U146</f>
        <v/>
      </c>
      <c r="W146" s="433">
        <f>V146/U146</f>
        <v/>
      </c>
      <c r="X146" s="19" t="n"/>
      <c r="Y146" s="426" t="n"/>
      <c r="Z146" s="427" t="n"/>
      <c r="AA146" s="362">
        <f>S146</f>
        <v/>
      </c>
      <c r="AB146" s="362" t="n">
        <v>985776.86</v>
      </c>
      <c r="AC146" s="362">
        <f>AB147</f>
        <v/>
      </c>
      <c r="AD146" s="432">
        <f>AB146-AC146</f>
        <v/>
      </c>
      <c r="AE146" s="433">
        <f>AD146/AC146</f>
        <v/>
      </c>
      <c r="AF146" s="19" t="n"/>
      <c r="AG146" s="426" t="n"/>
      <c r="AH146" s="427" t="n"/>
      <c r="AI146" s="362">
        <f>C146</f>
        <v/>
      </c>
      <c r="AJ146" s="362" t="n">
        <v>751121.76</v>
      </c>
      <c r="AK146" s="362">
        <f>AJ147</f>
        <v/>
      </c>
      <c r="AL146" s="432">
        <f>AJ146-AK146</f>
        <v/>
      </c>
      <c r="AM146" s="433">
        <f>AL146/AK146</f>
        <v/>
      </c>
      <c r="AN146" s="19" t="n"/>
      <c r="AO146" s="19" t="n"/>
      <c r="AP146" s="427" t="n"/>
      <c r="AQ146" s="362">
        <f>C146</f>
        <v/>
      </c>
      <c r="AR146" s="697" t="n">
        <v>1491445.49</v>
      </c>
      <c r="AS146" s="362">
        <f>AR147</f>
        <v/>
      </c>
      <c r="AT146" s="377">
        <f>AR146-AS146</f>
        <v/>
      </c>
      <c r="AU146" s="378">
        <f>AT146/AS146</f>
        <v/>
      </c>
      <c r="AV146" s="19" t="n"/>
      <c r="AW146" s="19" t="n"/>
      <c r="AX146" s="5" t="n"/>
      <c r="AY146" s="5" t="n"/>
      <c r="AZ146" s="5">
        <f>C146</f>
        <v/>
      </c>
      <c r="BA146" s="5" t="n">
        <v>1957971.66</v>
      </c>
      <c r="BB146" s="5">
        <f>BA147</f>
        <v/>
      </c>
      <c r="BC146" s="5">
        <f>BA146-BB146</f>
        <v/>
      </c>
      <c r="BD146" s="19">
        <f>BC146/BB146</f>
        <v/>
      </c>
      <c r="BE146" s="19" t="n"/>
      <c r="BF146" s="19" t="n"/>
      <c r="BG146" s="647" t="n"/>
      <c r="BH146" s="363">
        <f>C146</f>
        <v/>
      </c>
      <c r="BI146" s="363" t="n">
        <v>1614926.55</v>
      </c>
      <c r="BJ146" s="363">
        <f>BI147</f>
        <v/>
      </c>
      <c r="BK146" s="395">
        <f>BI146-BJ146</f>
        <v/>
      </c>
      <c r="BL146" s="396">
        <f>BK146/BJ146</f>
        <v/>
      </c>
      <c r="BM146" s="191" t="n"/>
      <c r="BN146" s="182" t="n"/>
      <c r="BO146" s="364" t="n"/>
      <c r="BP146" s="365">
        <f>C146</f>
        <v/>
      </c>
      <c r="BQ146" s="694" t="n">
        <v>1111462.39</v>
      </c>
      <c r="BR146" s="365">
        <f>BQ147</f>
        <v/>
      </c>
      <c r="BS146" s="388">
        <f>BQ146-BR146</f>
        <v/>
      </c>
      <c r="BT146" s="389">
        <f>BS146/BR146</f>
        <v/>
      </c>
      <c r="BU146" s="182" t="n"/>
      <c r="BV146" s="182" t="n"/>
      <c r="BX146" s="9">
        <f>C146</f>
        <v/>
      </c>
      <c r="BY146" s="365" t="n">
        <v>3219410.7</v>
      </c>
      <c r="BZ146" s="365">
        <f>BY147</f>
        <v/>
      </c>
      <c r="CA146" s="388">
        <f>BY146-BZ146</f>
        <v/>
      </c>
      <c r="CB146" s="389">
        <f>CA146/BZ146</f>
        <v/>
      </c>
      <c r="CC146" s="182" t="n"/>
      <c r="CD146" s="182" t="n"/>
      <c r="CE146" s="486" t="n"/>
      <c r="CF146" s="384">
        <f>C146</f>
        <v/>
      </c>
      <c r="CG146" s="185" t="n">
        <v>1394853.9</v>
      </c>
      <c r="CH146" s="185">
        <f>CG147</f>
        <v/>
      </c>
      <c r="CI146" s="13">
        <f>CG146-CH146</f>
        <v/>
      </c>
      <c r="CJ146" s="193">
        <f>CI146/CH146</f>
        <v/>
      </c>
      <c r="CK146" s="182" t="n"/>
      <c r="CL146" s="366" t="n"/>
      <c r="CM146" s="364" t="n"/>
      <c r="CN146" s="365">
        <f>C146</f>
        <v/>
      </c>
      <c r="CO146" s="365" t="n">
        <v>663946.48</v>
      </c>
      <c r="CP146" s="365">
        <f>CO147</f>
        <v/>
      </c>
      <c r="CQ146" s="13">
        <f>CO146-CP146</f>
        <v/>
      </c>
      <c r="CR146" s="193">
        <f>CQ146/CP146</f>
        <v/>
      </c>
      <c r="CS146" s="182" t="n"/>
      <c r="CT146" s="182" t="n"/>
      <c r="CV146" s="9">
        <f>C146</f>
        <v/>
      </c>
      <c r="CW146" s="24" t="n">
        <v>591440.4</v>
      </c>
      <c r="CX146" s="0">
        <f>CW147</f>
        <v/>
      </c>
      <c r="CY146" s="0">
        <f>CW146-CX146</f>
        <v/>
      </c>
      <c r="CZ146" s="182">
        <f>CY146/CX146</f>
        <v/>
      </c>
      <c r="DA146" s="182" t="n"/>
      <c r="DB146" s="182" t="n"/>
      <c r="DC146" s="256" t="n"/>
      <c r="DD146" s="365">
        <f>C146</f>
        <v/>
      </c>
      <c r="DE146" s="365" t="n">
        <v>2343917.99</v>
      </c>
      <c r="DF146" s="13">
        <f>DE147</f>
        <v/>
      </c>
      <c r="DG146" s="390">
        <f>DE146-DF146</f>
        <v/>
      </c>
      <c r="DH146" s="391">
        <f>DG146/DF146</f>
        <v/>
      </c>
      <c r="DI146" s="182" t="n"/>
      <c r="DJ146" s="182" t="n"/>
      <c r="DK146" s="364" t="n"/>
      <c r="DL146" s="365">
        <f>C146</f>
        <v/>
      </c>
      <c r="DM146" s="365" t="n">
        <v>1257900.36</v>
      </c>
      <c r="DN146" s="365">
        <f>DM147</f>
        <v/>
      </c>
      <c r="DO146" s="390">
        <f>DM146-DN146</f>
        <v/>
      </c>
      <c r="DP146" s="391">
        <f>DO146/DN146</f>
        <v/>
      </c>
      <c r="DQ146" s="182" t="n"/>
      <c r="DR146" s="182" t="n"/>
      <c r="DS146" s="364" t="n"/>
      <c r="DT146" s="365">
        <f>C146</f>
        <v/>
      </c>
      <c r="DU146" s="365" t="n">
        <v>1515689.48</v>
      </c>
      <c r="DV146" s="365">
        <f>DU147</f>
        <v/>
      </c>
      <c r="DW146" s="390">
        <f>DU146-DV146</f>
        <v/>
      </c>
      <c r="DX146" s="391">
        <f>DW146/DV146</f>
        <v/>
      </c>
      <c r="DY146" s="182" t="n"/>
      <c r="DZ146" s="182" t="n"/>
      <c r="EA146" s="364" t="n"/>
      <c r="EB146" s="365">
        <f>C146</f>
        <v/>
      </c>
      <c r="EC146" s="365" t="n">
        <v>4801766.82</v>
      </c>
      <c r="ED146" s="365">
        <f>EC147</f>
        <v/>
      </c>
      <c r="EE146" s="390">
        <f>EC146-ED146</f>
        <v/>
      </c>
      <c r="EF146" s="391">
        <f>EE146/ED146</f>
        <v/>
      </c>
      <c r="EG146" s="182" t="n"/>
      <c r="EH146" s="182" t="n"/>
      <c r="EI146" s="510" t="n"/>
      <c r="EJ146" s="510">
        <f>C146</f>
        <v/>
      </c>
      <c r="EK146" s="365" t="n">
        <v>1430722.96</v>
      </c>
      <c r="EL146" s="365">
        <f>EK147</f>
        <v/>
      </c>
      <c r="EM146" s="390">
        <f>EK146-EL146</f>
        <v/>
      </c>
      <c r="EN146" s="391">
        <f>EM146/EL146</f>
        <v/>
      </c>
      <c r="EO146" s="182" t="n"/>
      <c r="EP146" s="182" t="n"/>
      <c r="EQ146" s="182" t="n"/>
      <c r="ER146" s="9">
        <f>C146</f>
        <v/>
      </c>
      <c r="ES146" s="182" t="n">
        <v>490547.02</v>
      </c>
      <c r="ET146" s="182">
        <f>ES147</f>
        <v/>
      </c>
      <c r="EU146" s="182">
        <f>ES146-ET146</f>
        <v/>
      </c>
      <c r="EV146" s="182">
        <f>EU146/ET146</f>
        <v/>
      </c>
      <c r="EW146" s="182" t="n"/>
      <c r="EX146" s="182" t="n"/>
      <c r="EY146" s="364" t="n"/>
      <c r="EZ146" s="365">
        <f>C146</f>
        <v/>
      </c>
      <c r="FA146" s="365" t="n">
        <v>744708</v>
      </c>
      <c r="FB146" s="365">
        <f>FA147</f>
        <v/>
      </c>
      <c r="FC146" s="388">
        <f>FA146-FB146</f>
        <v/>
      </c>
      <c r="FD146" s="389">
        <f>FC146/FB146</f>
        <v/>
      </c>
      <c r="FE146" s="182" t="n"/>
      <c r="FF146" s="182" t="n"/>
      <c r="FG146" s="182" t="n"/>
      <c r="FH146" s="384">
        <f>C146</f>
        <v/>
      </c>
      <c r="FI146" s="707" t="n">
        <v>1130995.33</v>
      </c>
      <c r="FJ146" s="9">
        <f>FI147</f>
        <v/>
      </c>
      <c r="FK146" s="9">
        <f>FI146-FJ146</f>
        <v/>
      </c>
      <c r="FL146" s="511">
        <f>FK146/FJ146</f>
        <v/>
      </c>
      <c r="FM146" s="488" t="n"/>
      <c r="FN146" s="488" t="n"/>
      <c r="FO146" s="364" t="n"/>
      <c r="FP146" s="365">
        <f>C146</f>
        <v/>
      </c>
      <c r="FQ146" s="365" t="n">
        <v>2182018.73</v>
      </c>
      <c r="FR146" s="365">
        <f>FQ147</f>
        <v/>
      </c>
      <c r="FS146" s="390">
        <f>FQ146-FR146</f>
        <v/>
      </c>
      <c r="FT146" s="391">
        <f>FS146/FR146</f>
        <v/>
      </c>
      <c r="FU146" s="182" t="n"/>
      <c r="FV146" s="182" t="n"/>
      <c r="FW146" s="364" t="n"/>
      <c r="FX146" s="365">
        <f>C146</f>
        <v/>
      </c>
      <c r="FY146" s="365" t="n">
        <v>8320682.05</v>
      </c>
      <c r="FZ146" s="365">
        <f>FY147</f>
        <v/>
      </c>
      <c r="GA146" s="390">
        <f>FY146-FZ146</f>
        <v/>
      </c>
      <c r="GB146" s="391">
        <f>GA146/FZ146</f>
        <v/>
      </c>
      <c r="GC146" s="182" t="n"/>
      <c r="GD146" s="182" t="n"/>
      <c r="GE146" s="364" t="n"/>
      <c r="GF146" s="365">
        <f>C146</f>
        <v/>
      </c>
      <c r="GG146" s="365" t="n">
        <v>4597469.49</v>
      </c>
      <c r="GH146" s="365">
        <f>GG147</f>
        <v/>
      </c>
      <c r="GI146" s="390">
        <f>GG146-GH146</f>
        <v/>
      </c>
      <c r="GJ146" s="391">
        <f>GI146/GH146</f>
        <v/>
      </c>
      <c r="GK146" s="182" t="n"/>
      <c r="GL146" s="182" t="n"/>
      <c r="GN146" s="9">
        <f>C146</f>
        <v/>
      </c>
      <c r="GO146" s="365" t="n">
        <v>1775038.12</v>
      </c>
      <c r="GP146" s="365">
        <f>GO147</f>
        <v/>
      </c>
      <c r="GQ146" s="390">
        <f>GO146-GP146</f>
        <v/>
      </c>
      <c r="GR146" s="391">
        <f>GQ146/GP146</f>
        <v/>
      </c>
      <c r="GS146" s="182" t="n"/>
      <c r="GT146" s="182" t="n"/>
      <c r="GU146" s="510" t="n"/>
      <c r="GV146" s="510">
        <f>C146</f>
        <v/>
      </c>
      <c r="GW146" s="365" t="n">
        <v>944149.4</v>
      </c>
      <c r="GX146" s="365">
        <f>GW147</f>
        <v/>
      </c>
      <c r="GY146" s="388">
        <f>GW146-GX146</f>
        <v/>
      </c>
      <c r="GZ146" s="389">
        <f>GY146/GX146</f>
        <v/>
      </c>
      <c r="HA146" s="182" t="n"/>
      <c r="HB146" s="182" t="n"/>
      <c r="HC146" s="510" t="n"/>
      <c r="HD146" s="510">
        <f>C146</f>
        <v/>
      </c>
      <c r="HE146" s="365" t="n">
        <v>1122064.67</v>
      </c>
      <c r="HF146" s="365">
        <f>HE147</f>
        <v/>
      </c>
      <c r="HG146" s="388">
        <f>HE146-HF146</f>
        <v/>
      </c>
      <c r="HH146" s="389">
        <f>HG146/HF146</f>
        <v/>
      </c>
      <c r="HI146" s="366" t="n"/>
      <c r="HJ146" s="182" t="n"/>
      <c r="HK146" s="510" t="n"/>
      <c r="HL146" s="510">
        <f>C146</f>
        <v/>
      </c>
      <c r="HM146" s="365" t="n">
        <v>152304.25</v>
      </c>
      <c r="HN146" s="365">
        <f>HM147</f>
        <v/>
      </c>
      <c r="HO146" s="388">
        <f>HM146-HN146</f>
        <v/>
      </c>
      <c r="HP146" s="389">
        <f>HO146/HN146</f>
        <v/>
      </c>
      <c r="HQ146" s="182" t="n"/>
      <c r="HR146" s="182" t="n"/>
      <c r="HS146" s="510" t="n"/>
      <c r="HT146" s="510">
        <f>C146</f>
        <v/>
      </c>
      <c r="HU146" s="365" t="n">
        <v>221768.82</v>
      </c>
      <c r="HV146" s="365">
        <f>HU147</f>
        <v/>
      </c>
      <c r="HW146" s="388">
        <f>HU146-HV146</f>
        <v/>
      </c>
      <c r="HX146" s="389">
        <f>HW146/HV146</f>
        <v/>
      </c>
      <c r="HY146" s="182" t="n"/>
      <c r="HZ146" s="182" t="n"/>
      <c r="IB146" s="9">
        <f>C146</f>
        <v/>
      </c>
      <c r="IC146" s="24" t="n">
        <v>375809.79</v>
      </c>
      <c r="ID146" s="24">
        <f>IC147</f>
        <v/>
      </c>
      <c r="IE146" s="24">
        <f>IC146-ID146</f>
        <v/>
      </c>
      <c r="IF146" s="24">
        <f>IE146/ID146</f>
        <v/>
      </c>
      <c r="IG146" s="182" t="n"/>
      <c r="IH146" s="182" t="n"/>
      <c r="IJ146" s="9">
        <f>C146</f>
        <v/>
      </c>
      <c r="IK146" s="222" t="n">
        <v>594316.29</v>
      </c>
      <c r="IL146" s="222">
        <f>IK147</f>
        <v/>
      </c>
      <c r="IM146" s="9">
        <f>IK146-IL146</f>
        <v/>
      </c>
      <c r="IN146" s="182">
        <f>IM146/IL146</f>
        <v/>
      </c>
      <c r="IO146" s="182" t="n"/>
      <c r="IP146" s="182" t="n"/>
      <c r="IR146" s="9">
        <f>C146</f>
        <v/>
      </c>
      <c r="IS146" s="365" t="n">
        <v>138889</v>
      </c>
      <c r="IT146" s="365">
        <f>IS147</f>
        <v/>
      </c>
      <c r="IU146" s="388">
        <f>IS146-IT146</f>
        <v/>
      </c>
      <c r="IV146" s="389">
        <f>IU146/IT146</f>
        <v/>
      </c>
      <c r="IW146" s="182" t="n"/>
      <c r="IX146" s="182" t="n"/>
      <c r="IY146" s="364" t="n"/>
      <c r="IZ146" s="365">
        <f>C146</f>
        <v/>
      </c>
      <c r="JA146" s="365" t="n">
        <v>4909429.15</v>
      </c>
      <c r="JB146" s="365">
        <f>JA147</f>
        <v/>
      </c>
      <c r="JC146" s="388">
        <f>JA146-JB146</f>
        <v/>
      </c>
      <c r="JD146" s="389">
        <f>JC146/JB146</f>
        <v/>
      </c>
      <c r="JE146" s="182" t="n"/>
      <c r="JF146" s="182" t="n"/>
      <c r="JH146" s="9">
        <f>C146</f>
        <v/>
      </c>
      <c r="JI146" s="365" t="n">
        <v>1364967.99</v>
      </c>
      <c r="JJ146" s="365">
        <f>JI147</f>
        <v/>
      </c>
      <c r="JK146" s="388">
        <f>JI146-JJ146</f>
        <v/>
      </c>
      <c r="JL146" s="389">
        <f>JK146/JJ146</f>
        <v/>
      </c>
      <c r="JM146" s="182" t="n"/>
      <c r="JN146" s="182" t="n"/>
      <c r="JO146" s="182" t="n"/>
      <c r="JP146" s="365">
        <f>C146</f>
        <v/>
      </c>
      <c r="JQ146" s="365" t="n">
        <v>1043590.41</v>
      </c>
      <c r="JR146" s="365">
        <f>JQ147</f>
        <v/>
      </c>
      <c r="JS146" s="388">
        <f>JQ146-JR146</f>
        <v/>
      </c>
      <c r="JT146" s="389">
        <f>JS146/JR146</f>
        <v/>
      </c>
      <c r="JU146" s="182" t="n"/>
      <c r="JV146" s="182" t="n"/>
      <c r="JW146" s="512" t="n"/>
      <c r="JX146" s="365">
        <f>C146</f>
        <v/>
      </c>
      <c r="JY146" s="365" t="n">
        <v>1197148.8</v>
      </c>
      <c r="JZ146" s="365">
        <f>JY147</f>
        <v/>
      </c>
      <c r="KA146" s="384">
        <f>JY146-JZ146</f>
        <v/>
      </c>
      <c r="KB146" s="383">
        <f>KA146/JZ146</f>
        <v/>
      </c>
      <c r="KC146" s="182" t="n"/>
      <c r="KD146" s="182" t="n"/>
      <c r="KE146" s="383" t="n"/>
      <c r="KF146" s="9">
        <f>C146</f>
        <v/>
      </c>
      <c r="KG146" s="182" t="n">
        <v>732555.92</v>
      </c>
      <c r="KH146" s="712">
        <f>KG147</f>
        <v/>
      </c>
      <c r="KI146" s="9">
        <f>KG146-KH146</f>
        <v/>
      </c>
      <c r="KJ146" s="509">
        <f>KI146/KH146</f>
        <v/>
      </c>
      <c r="KK146" s="366" t="n"/>
      <c r="KL146" s="366" t="n"/>
      <c r="KM146" s="182" t="n"/>
      <c r="KN146" s="9">
        <f>C146</f>
        <v/>
      </c>
      <c r="KO146" s="365" t="n">
        <v>8322675.95</v>
      </c>
      <c r="KP146" s="365">
        <f>KO147</f>
        <v/>
      </c>
      <c r="KQ146" s="384">
        <f>KO146-KP146</f>
        <v/>
      </c>
      <c r="KR146" s="383">
        <f>KQ146/KP146</f>
        <v/>
      </c>
      <c r="KS146" s="182" t="n"/>
      <c r="KT146" s="182" t="n"/>
      <c r="KV146" s="9">
        <f>C146</f>
        <v/>
      </c>
      <c r="KW146" s="0" t="n">
        <v>1000772.97</v>
      </c>
      <c r="KX146" s="0">
        <f>KW147</f>
        <v/>
      </c>
      <c r="KY146" s="0">
        <f>KW146-KX146</f>
        <v/>
      </c>
      <c r="KZ146" s="182">
        <f>KY146/KX146</f>
        <v/>
      </c>
      <c r="LA146" s="182" t="n"/>
      <c r="LB146" s="182" t="n"/>
      <c r="LD146" s="9">
        <f>C146</f>
        <v/>
      </c>
      <c r="LE146" s="365" t="n">
        <v>463857.7</v>
      </c>
      <c r="LF146" s="365">
        <f>LE147</f>
        <v/>
      </c>
      <c r="LG146" s="388">
        <f>LE146-LF146</f>
        <v/>
      </c>
      <c r="LH146" s="389">
        <f>LG146/LF146</f>
        <v/>
      </c>
      <c r="LI146" s="182" t="n"/>
      <c r="LJ146" s="182" t="n"/>
      <c r="LL146" s="9">
        <f>C146</f>
        <v/>
      </c>
      <c r="LM146" s="671" t="n">
        <v>3536935.02</v>
      </c>
      <c r="LN146" s="9">
        <f>LM147</f>
        <v/>
      </c>
      <c r="LO146" s="9">
        <f>LM146-LN146</f>
        <v/>
      </c>
      <c r="LP146" s="182">
        <f>LO146/LN146</f>
        <v/>
      </c>
      <c r="LQ146" s="182" t="n"/>
      <c r="LR146" s="182" t="n"/>
      <c r="LT146" s="9">
        <f>C146</f>
        <v/>
      </c>
      <c r="LU146" s="24" t="n">
        <v>2579862.9</v>
      </c>
      <c r="LV146" s="24">
        <f>LU147</f>
        <v/>
      </c>
      <c r="LW146" s="24">
        <f>LU146-LV146</f>
        <v/>
      </c>
      <c r="LX146" s="182">
        <f>LW146/LV146</f>
        <v/>
      </c>
      <c r="LY146" s="182" t="n"/>
      <c r="LZ146" s="182" t="n"/>
      <c r="MB146" s="9">
        <f>C146</f>
        <v/>
      </c>
      <c r="MC146" s="24" t="n">
        <v>748817.6899999999</v>
      </c>
      <c r="MD146" s="24">
        <f>MC147</f>
        <v/>
      </c>
      <c r="ME146" s="24">
        <f>MC146-MD146</f>
        <v/>
      </c>
      <c r="MF146" s="182">
        <f>ME146/MD146</f>
        <v/>
      </c>
      <c r="MG146" s="182" t="n"/>
      <c r="MH146" s="182" t="n"/>
      <c r="MI146" s="9" t="n"/>
      <c r="MJ146" s="712" t="n"/>
      <c r="MK146" s="9">
        <f>C146</f>
        <v/>
      </c>
      <c r="ML146" s="711" t="n">
        <v>220905.53</v>
      </c>
      <c r="MM146" s="187">
        <f>ML147</f>
        <v/>
      </c>
      <c r="MN146" s="712">
        <f>ML146-MM146</f>
        <v/>
      </c>
      <c r="MO146" s="182">
        <f>MN146/MM146</f>
        <v/>
      </c>
      <c r="MP146" s="182" t="n"/>
      <c r="MQ146" s="182" t="n"/>
      <c r="MR146" s="182" t="n"/>
      <c r="MS146" s="182" t="n"/>
      <c r="MT146" s="25">
        <f>C146</f>
        <v/>
      </c>
      <c r="MU146" s="0" t="n">
        <v>239814.8</v>
      </c>
      <c r="MV146" s="0">
        <f>MU147</f>
        <v/>
      </c>
      <c r="MW146" s="0">
        <f>MU146-MV146</f>
        <v/>
      </c>
      <c r="MX146" s="182">
        <f>MW146/MV146</f>
        <v/>
      </c>
      <c r="MY146" s="182" t="n"/>
      <c r="MZ146" s="182" t="n"/>
      <c r="NA146" s="182" t="n"/>
      <c r="NB146" s="182" t="n"/>
      <c r="NC146" s="9">
        <f>C146</f>
        <v/>
      </c>
      <c r="ND146" s="0" t="n">
        <v>43691.48</v>
      </c>
      <c r="NE146" s="0">
        <f>ND147</f>
        <v/>
      </c>
      <c r="NF146" s="0">
        <f>ND146-NE146</f>
        <v/>
      </c>
      <c r="NG146" s="182">
        <f>NF146/NE146</f>
        <v/>
      </c>
      <c r="NH146" s="182" t="n"/>
      <c r="NI146" s="182" t="n"/>
      <c r="NJ146" s="182" t="n"/>
      <c r="NK146" s="182" t="n"/>
      <c r="NL146" s="9" t="n"/>
      <c r="NM146" s="9">
        <f>C146</f>
        <v/>
      </c>
      <c r="NN146" s="0" t="n">
        <v>2576911.08</v>
      </c>
      <c r="NO146" s="0">
        <f>NN147</f>
        <v/>
      </c>
      <c r="NP146" s="0">
        <f>NN146-NO146</f>
        <v/>
      </c>
      <c r="NQ146" s="182">
        <f>NP146/NO146</f>
        <v/>
      </c>
      <c r="NR146" s="182" t="n"/>
      <c r="NS146" s="9" t="n"/>
      <c r="NU146" s="9">
        <f>C146</f>
        <v/>
      </c>
      <c r="NV146" s="711" t="n">
        <v>249926.5</v>
      </c>
      <c r="NW146" s="0">
        <f>NV147</f>
        <v/>
      </c>
      <c r="NX146" s="711">
        <f>NV146-NW146</f>
        <v/>
      </c>
      <c r="NY146" s="182">
        <f>NX146/NW146</f>
        <v/>
      </c>
      <c r="NZ146" s="182" t="n"/>
      <c r="OA146" s="9" t="n"/>
      <c r="OC146" s="9">
        <f>C146</f>
        <v/>
      </c>
      <c r="OD146" s="24" t="n">
        <v>13172.97</v>
      </c>
      <c r="OE146" s="24">
        <f>OD147</f>
        <v/>
      </c>
      <c r="OF146" s="24">
        <f>OD146-OE146</f>
        <v/>
      </c>
      <c r="OG146" s="182">
        <f>OF146/OE146</f>
        <v/>
      </c>
      <c r="OH146" s="182" t="n"/>
      <c r="OI146" s="182" t="n"/>
      <c r="OK146" s="9">
        <f>C146</f>
        <v/>
      </c>
      <c r="OL146" s="24" t="n">
        <v>12086.65</v>
      </c>
      <c r="OM146" s="0">
        <f>OL147</f>
        <v/>
      </c>
      <c r="ON146" s="0">
        <f>OL146-OM146</f>
        <v/>
      </c>
      <c r="OO146" s="182">
        <f>ON146/OM146</f>
        <v/>
      </c>
      <c r="OP146" s="182" t="n"/>
      <c r="OQ146" s="182" t="n"/>
      <c r="OT146" s="25">
        <f>OK146</f>
        <v/>
      </c>
      <c r="OU146" s="199" t="n">
        <v>144912.4066</v>
      </c>
      <c r="OV146" s="24">
        <f>OU147</f>
        <v/>
      </c>
      <c r="OW146" s="24">
        <f>OU146-OV146</f>
        <v/>
      </c>
      <c r="OX146" s="182">
        <f>OW146/OV146</f>
        <v/>
      </c>
    </row>
    <row r="147" ht="17" customFormat="1" customHeight="1" s="9">
      <c r="A147" s="631" t="n"/>
      <c r="B147" s="631" t="n"/>
      <c r="C147" s="632" t="inlineStr">
        <is>
          <t>2026//4/14</t>
        </is>
      </c>
      <c r="D147" s="362" t="n">
        <v>4380618.77</v>
      </c>
      <c r="E147" s="362">
        <f>D148</f>
        <v/>
      </c>
      <c r="F147" s="432">
        <f>D147-E147</f>
        <v/>
      </c>
      <c r="G147" s="433">
        <f>F147/E147</f>
        <v/>
      </c>
      <c r="H147" s="19" t="n"/>
      <c r="I147" s="426" t="n"/>
      <c r="J147" s="426" t="n"/>
      <c r="K147" s="5">
        <f>C147</f>
        <v/>
      </c>
      <c r="L147" s="362" t="n">
        <v>3131974.4</v>
      </c>
      <c r="M147" s="362">
        <f>L148</f>
        <v/>
      </c>
      <c r="N147" s="432">
        <f>L147-M147</f>
        <v/>
      </c>
      <c r="O147" s="433">
        <f>N147/M147</f>
        <v/>
      </c>
      <c r="P147" s="19" t="n"/>
      <c r="Q147" s="426" t="n"/>
      <c r="R147" s="427" t="n"/>
      <c r="S147" s="5">
        <f>C147</f>
        <v/>
      </c>
      <c r="T147" s="362" t="n">
        <v>2256006.68</v>
      </c>
      <c r="U147" s="362">
        <f>T148</f>
        <v/>
      </c>
      <c r="V147" s="513">
        <f>T147-U147</f>
        <v/>
      </c>
      <c r="W147" s="514">
        <f>V147/U147</f>
        <v/>
      </c>
      <c r="X147" s="19" t="n"/>
      <c r="Y147" s="426" t="n"/>
      <c r="Z147" s="427" t="n"/>
      <c r="AA147" s="5">
        <f>S147</f>
        <v/>
      </c>
      <c r="AB147" s="362" t="n">
        <v>979256.86</v>
      </c>
      <c r="AC147" s="362">
        <f>AB148</f>
        <v/>
      </c>
      <c r="AD147" s="432">
        <f>AB147-AC147</f>
        <v/>
      </c>
      <c r="AE147" s="433">
        <f>AD147/AC147</f>
        <v/>
      </c>
      <c r="AF147" s="19" t="n"/>
      <c r="AG147" s="426" t="n"/>
      <c r="AH147" s="427" t="n"/>
      <c r="AI147" s="5">
        <f>C147</f>
        <v/>
      </c>
      <c r="AJ147" s="362" t="n">
        <v>744121.76</v>
      </c>
      <c r="AK147" s="362">
        <f>AJ148</f>
        <v/>
      </c>
      <c r="AL147" s="513">
        <f>AJ147-AK147</f>
        <v/>
      </c>
      <c r="AM147" s="514">
        <f>AL147/AK147</f>
        <v/>
      </c>
      <c r="AN147" s="19" t="n"/>
      <c r="AO147" s="19" t="n"/>
      <c r="AP147" s="427" t="n"/>
      <c r="AQ147" s="5">
        <f>C147</f>
        <v/>
      </c>
      <c r="AR147" s="697" t="n">
        <v>1511445.49</v>
      </c>
      <c r="AS147" s="362">
        <f>AR148</f>
        <v/>
      </c>
      <c r="AT147" s="377">
        <f>AR147-AS147</f>
        <v/>
      </c>
      <c r="AU147" s="378">
        <f>AT147/AS147</f>
        <v/>
      </c>
      <c r="AV147" s="19" t="n"/>
      <c r="AW147" s="19" t="n"/>
      <c r="AX147" s="5" t="n"/>
      <c r="AY147" s="5" t="n"/>
      <c r="AZ147" s="5">
        <f>C147</f>
        <v/>
      </c>
      <c r="BA147" s="5" t="n">
        <v>1958511.66</v>
      </c>
      <c r="BB147" s="5">
        <f>BA148</f>
        <v/>
      </c>
      <c r="BC147" s="5">
        <f>BA147-BB147</f>
        <v/>
      </c>
      <c r="BD147" s="19">
        <f>BC147/BB147</f>
        <v/>
      </c>
      <c r="BE147" s="19" t="n"/>
      <c r="BF147" s="19" t="n"/>
      <c r="BG147" s="647" t="n"/>
      <c r="BH147" s="117">
        <f>C147</f>
        <v/>
      </c>
      <c r="BI147" s="363" t="n">
        <v>1582126.55</v>
      </c>
      <c r="BJ147" s="363">
        <f>BI148</f>
        <v/>
      </c>
      <c r="BK147" s="395">
        <f>BI147-BJ147</f>
        <v/>
      </c>
      <c r="BL147" s="396">
        <f>BK147/BJ147</f>
        <v/>
      </c>
      <c r="BM147" s="191" t="n"/>
      <c r="BN147" s="182" t="n"/>
      <c r="BP147" s="9">
        <f>C147</f>
        <v/>
      </c>
      <c r="BQ147" s="694" t="n">
        <v>1106662.39</v>
      </c>
      <c r="BR147" s="365">
        <f>BQ148</f>
        <v/>
      </c>
      <c r="BS147" s="388">
        <f>BQ147-BR147</f>
        <v/>
      </c>
      <c r="BT147" s="389">
        <f>BS147/BR147</f>
        <v/>
      </c>
      <c r="BU147" s="182" t="n"/>
      <c r="BV147" s="182" t="n"/>
      <c r="BX147" s="9">
        <f>C147</f>
        <v/>
      </c>
      <c r="BY147" s="24" t="n">
        <v>3216060.7</v>
      </c>
      <c r="BZ147" s="24">
        <f>BY148</f>
        <v/>
      </c>
      <c r="CA147" s="24">
        <f>BY147-BZ147</f>
        <v/>
      </c>
      <c r="CB147" s="182">
        <f>CA147/BZ147</f>
        <v/>
      </c>
      <c r="CC147" s="182" t="n"/>
      <c r="CD147" s="182" t="n"/>
      <c r="CF147" s="9">
        <f>C147</f>
        <v/>
      </c>
      <c r="CG147" s="24" t="n">
        <v>1389653.9</v>
      </c>
      <c r="CH147" s="24">
        <f>CG148</f>
        <v/>
      </c>
      <c r="CI147" s="24">
        <f>CG147-CH147</f>
        <v/>
      </c>
      <c r="CJ147" s="182">
        <f>CI147/CH147</f>
        <v/>
      </c>
      <c r="CK147" s="182" t="n"/>
      <c r="CL147" s="515" t="n"/>
      <c r="CM147" s="510" t="n"/>
      <c r="CN147" s="510">
        <f>C147</f>
        <v/>
      </c>
      <c r="CO147" s="365" t="n">
        <v>663746.48</v>
      </c>
      <c r="CP147" s="365">
        <f>CO148</f>
        <v/>
      </c>
      <c r="CQ147" s="13">
        <f>CO147-CP147</f>
        <v/>
      </c>
      <c r="CR147" s="193">
        <f>CQ147/CP147</f>
        <v/>
      </c>
      <c r="CS147" s="182" t="n"/>
      <c r="CT147" s="182" t="n"/>
      <c r="CV147" s="9">
        <f>C147</f>
        <v/>
      </c>
      <c r="CW147" s="0" t="n">
        <v>590690.4</v>
      </c>
      <c r="CX147" s="0">
        <f>CW148</f>
        <v/>
      </c>
      <c r="CY147" s="0">
        <f>CW147-CX147</f>
        <v/>
      </c>
      <c r="CZ147" s="182">
        <f>CY147/CX147</f>
        <v/>
      </c>
      <c r="DA147" s="182" t="n"/>
      <c r="DB147" s="182" t="n"/>
      <c r="DC147" s="516" t="n"/>
      <c r="DD147" s="510">
        <f>C147</f>
        <v/>
      </c>
      <c r="DE147" s="365" t="n">
        <v>2363717.99</v>
      </c>
      <c r="DF147" s="13">
        <f>DE148</f>
        <v/>
      </c>
      <c r="DG147" s="388">
        <f>DE147-DF147</f>
        <v/>
      </c>
      <c r="DH147" s="389">
        <f>DG147/DF147</f>
        <v/>
      </c>
      <c r="DI147" s="182" t="n"/>
      <c r="DJ147" s="182" t="n"/>
      <c r="DK147" s="510" t="n"/>
      <c r="DL147" s="510">
        <f>C147</f>
        <v/>
      </c>
      <c r="DM147" s="365" t="n">
        <v>1273700.36</v>
      </c>
      <c r="DN147" s="365">
        <f>DM148</f>
        <v/>
      </c>
      <c r="DO147" s="388">
        <f>DM147-DN147</f>
        <v/>
      </c>
      <c r="DP147" s="389">
        <f>DO147/DN147</f>
        <v/>
      </c>
      <c r="DQ147" s="182" t="n"/>
      <c r="DR147" s="182" t="n"/>
      <c r="DS147" s="510" t="n"/>
      <c r="DT147" s="510">
        <f>C147</f>
        <v/>
      </c>
      <c r="DU147" s="365" t="n">
        <v>1537889.48</v>
      </c>
      <c r="DV147" s="365">
        <f>DU148</f>
        <v/>
      </c>
      <c r="DW147" s="388">
        <f>DU147-DV147</f>
        <v/>
      </c>
      <c r="DX147" s="389">
        <f>DW147/DV147</f>
        <v/>
      </c>
      <c r="DY147" s="182" t="n"/>
      <c r="DZ147" s="182" t="n"/>
      <c r="EA147" s="510" t="n"/>
      <c r="EB147" s="510">
        <f>C147</f>
        <v/>
      </c>
      <c r="EC147" s="365" t="n">
        <v>4886066.82</v>
      </c>
      <c r="ED147" s="365">
        <f>EC148</f>
        <v/>
      </c>
      <c r="EE147" s="388">
        <f>EC147-ED147</f>
        <v/>
      </c>
      <c r="EF147" s="389">
        <f>EE147/ED147</f>
        <v/>
      </c>
      <c r="EG147" s="182" t="n"/>
      <c r="EH147" s="182" t="n"/>
      <c r="EJ147" s="9">
        <f>C147</f>
        <v/>
      </c>
      <c r="EK147" s="24" t="n">
        <v>1457322.96</v>
      </c>
      <c r="EL147" s="24">
        <f>EK148</f>
        <v/>
      </c>
      <c r="EM147" s="24">
        <f>EK147-EL147</f>
        <v/>
      </c>
      <c r="EN147" s="182">
        <f>EM147/EL147</f>
        <v/>
      </c>
      <c r="EO147" s="182" t="n"/>
      <c r="EP147" s="182" t="n"/>
      <c r="EQ147" s="182" t="n"/>
      <c r="ER147" s="9">
        <f>C147</f>
        <v/>
      </c>
      <c r="ES147" s="182" t="n">
        <v>496097.02</v>
      </c>
      <c r="ET147" s="182">
        <f>ES148</f>
        <v/>
      </c>
      <c r="EU147" s="182">
        <f>ES147-ET147</f>
        <v/>
      </c>
      <c r="EV147" s="182">
        <f>EU147/ET147</f>
        <v/>
      </c>
      <c r="EW147" s="182" t="n"/>
      <c r="EX147" s="182" t="n"/>
      <c r="EY147" s="510" t="n"/>
      <c r="EZ147" s="510">
        <f>C147</f>
        <v/>
      </c>
      <c r="FA147" s="365" t="n">
        <v>735808</v>
      </c>
      <c r="FB147" s="365">
        <f>FA148</f>
        <v/>
      </c>
      <c r="FC147" s="390">
        <f>FA147-FB147</f>
        <v/>
      </c>
      <c r="FD147" s="391">
        <f>FC147/FB147</f>
        <v/>
      </c>
      <c r="FE147" s="182" t="n"/>
      <c r="FF147" s="182" t="n"/>
      <c r="FG147" s="182" t="n"/>
      <c r="FH147" s="9">
        <f>C147</f>
        <v/>
      </c>
      <c r="FI147" s="671" t="n">
        <v>1107895.33</v>
      </c>
      <c r="FJ147" s="9">
        <f>FI148</f>
        <v/>
      </c>
      <c r="FK147" s="9">
        <f>FI147-FJ147</f>
        <v/>
      </c>
      <c r="FL147" s="511">
        <f>FK147/FJ147</f>
        <v/>
      </c>
      <c r="FM147" s="488" t="n"/>
      <c r="FN147" s="488" t="n"/>
      <c r="FO147" s="510" t="n"/>
      <c r="FP147" s="510">
        <f>C147</f>
        <v/>
      </c>
      <c r="FQ147" s="365" t="n">
        <v>2187718.73</v>
      </c>
      <c r="FR147" s="365">
        <f>FQ148</f>
        <v/>
      </c>
      <c r="FS147" s="388">
        <f>FQ147-FR147</f>
        <v/>
      </c>
      <c r="FT147" s="389">
        <f>FS147/FR147</f>
        <v/>
      </c>
      <c r="FU147" s="182" t="n"/>
      <c r="FV147" s="182" t="n"/>
      <c r="FW147" s="510" t="n"/>
      <c r="FX147" s="510">
        <f>C147</f>
        <v/>
      </c>
      <c r="FY147" s="365" t="n">
        <v>8326782.05</v>
      </c>
      <c r="FZ147" s="365">
        <f>FY148</f>
        <v/>
      </c>
      <c r="GA147" s="388">
        <f>FY147-FZ147</f>
        <v/>
      </c>
      <c r="GB147" s="389">
        <f>GA147/FZ147</f>
        <v/>
      </c>
      <c r="GC147" s="182" t="n"/>
      <c r="GD147" s="182" t="n"/>
      <c r="GE147" s="510" t="n"/>
      <c r="GF147" s="510">
        <f>C147</f>
        <v/>
      </c>
      <c r="GG147" s="365" t="n">
        <v>4603769.49</v>
      </c>
      <c r="GH147" s="365">
        <f>GG148</f>
        <v/>
      </c>
      <c r="GI147" s="390">
        <f>GG147-GH147</f>
        <v/>
      </c>
      <c r="GJ147" s="391">
        <f>GI147/GH147</f>
        <v/>
      </c>
      <c r="GK147" s="182" t="n"/>
      <c r="GL147" s="182" t="n"/>
      <c r="GN147" s="9">
        <f>C147</f>
        <v/>
      </c>
      <c r="GO147" s="24" t="n">
        <v>1745218.12</v>
      </c>
      <c r="GP147" s="24">
        <f>GO148</f>
        <v/>
      </c>
      <c r="GQ147" s="24">
        <f>GO147-GP147</f>
        <v/>
      </c>
      <c r="GR147" s="182">
        <f>GQ147/GP147</f>
        <v/>
      </c>
      <c r="GS147" s="182" t="n"/>
      <c r="GT147" s="182" t="n"/>
      <c r="GV147" s="9">
        <f>C147</f>
        <v/>
      </c>
      <c r="GW147" s="24" t="n">
        <v>954749.4</v>
      </c>
      <c r="GX147" s="24">
        <f>GW148</f>
        <v/>
      </c>
      <c r="GY147" s="24">
        <f>GW147-GX147</f>
        <v/>
      </c>
      <c r="GZ147" s="182">
        <f>GY147/GX147</f>
        <v/>
      </c>
      <c r="HA147" s="182" t="n"/>
      <c r="HB147" s="182" t="n"/>
      <c r="HC147" s="510" t="n"/>
      <c r="HD147" s="510">
        <f>C147</f>
        <v/>
      </c>
      <c r="HE147" s="510" t="n">
        <v>1104564.67</v>
      </c>
      <c r="HF147" s="510">
        <f>HE148</f>
        <v/>
      </c>
      <c r="HG147" s="517">
        <f>HE147-HF147</f>
        <v/>
      </c>
      <c r="HH147" s="512">
        <f>HG147/HF147</f>
        <v/>
      </c>
      <c r="HI147" s="515" t="n"/>
      <c r="HJ147" s="182" t="n"/>
      <c r="HK147" s="510" t="n"/>
      <c r="HL147" s="510">
        <f>C147</f>
        <v/>
      </c>
      <c r="HM147" s="510" t="n">
        <v>152554.25</v>
      </c>
      <c r="HN147" s="510">
        <f>HM148</f>
        <v/>
      </c>
      <c r="HO147" s="9">
        <f>HM147-HN147</f>
        <v/>
      </c>
      <c r="HP147" s="182">
        <f>HO147/HN147</f>
        <v/>
      </c>
      <c r="HQ147" s="182" t="n"/>
      <c r="HR147" s="182" t="n"/>
      <c r="HS147" s="510" t="n"/>
      <c r="HT147" s="510">
        <f>C147</f>
        <v/>
      </c>
      <c r="HU147" s="510" t="n">
        <v>222168.82</v>
      </c>
      <c r="HV147" s="510">
        <f>HU148</f>
        <v/>
      </c>
      <c r="HW147" s="9">
        <f>HU147-HV147</f>
        <v/>
      </c>
      <c r="HX147" s="512">
        <f>HW147/HV147</f>
        <v/>
      </c>
      <c r="HY147" s="512" t="n"/>
      <c r="HZ147" s="182" t="n"/>
      <c r="IB147" s="9">
        <f>C147</f>
        <v/>
      </c>
      <c r="IC147" s="24" t="n">
        <v>376984.79</v>
      </c>
      <c r="ID147" s="0">
        <f>IC148</f>
        <v/>
      </c>
      <c r="IE147" s="0">
        <f>IC147-ID147</f>
        <v/>
      </c>
      <c r="IF147" s="0">
        <f>IE147/ID147</f>
        <v/>
      </c>
      <c r="IG147" s="182" t="n"/>
      <c r="IH147" s="182" t="n"/>
      <c r="IJ147" s="9">
        <f>C147</f>
        <v/>
      </c>
      <c r="IK147" s="24" t="n">
        <v>576796.29</v>
      </c>
      <c r="IL147" s="24">
        <f>IK148</f>
        <v/>
      </c>
      <c r="IM147" s="0">
        <f>IK147-IL147</f>
        <v/>
      </c>
      <c r="IN147" s="182">
        <f>IM147/IL147</f>
        <v/>
      </c>
      <c r="IO147" s="182" t="n"/>
      <c r="IP147" s="182" t="n"/>
      <c r="IR147" s="9">
        <f>C147</f>
        <v/>
      </c>
      <c r="IS147" s="24" t="n">
        <v>139489</v>
      </c>
      <c r="IT147" s="24">
        <f>IS148</f>
        <v/>
      </c>
      <c r="IU147" s="24">
        <f>IS147-IT147</f>
        <v/>
      </c>
      <c r="IV147" s="182">
        <f>IU147/IT147</f>
        <v/>
      </c>
      <c r="IW147" s="182" t="n"/>
      <c r="IX147" s="182" t="n"/>
      <c r="IY147" s="510" t="n"/>
      <c r="IZ147" s="510">
        <f>C147</f>
        <v/>
      </c>
      <c r="JA147" s="365" t="n">
        <v>4900729.15</v>
      </c>
      <c r="JB147" s="365">
        <f>JA148</f>
        <v/>
      </c>
      <c r="JC147" s="390">
        <f>JA147-JB147</f>
        <v/>
      </c>
      <c r="JD147" s="391">
        <f>JC147/JB147</f>
        <v/>
      </c>
      <c r="JE147" s="182" t="n"/>
      <c r="JF147" s="182" t="n"/>
      <c r="JH147" s="9">
        <f>C147</f>
        <v/>
      </c>
      <c r="JI147" s="24" t="n">
        <v>1367307.99</v>
      </c>
      <c r="JJ147" s="24">
        <f>JI148</f>
        <v/>
      </c>
      <c r="JK147" s="24">
        <f>JI147-JJ147</f>
        <v/>
      </c>
      <c r="JL147" s="182">
        <f>JK147/JJ147</f>
        <v/>
      </c>
      <c r="JM147" s="182" t="n"/>
      <c r="JN147" s="182" t="n"/>
      <c r="JO147" s="182" t="n"/>
      <c r="JP147" s="510">
        <f>C147</f>
        <v/>
      </c>
      <c r="JQ147" s="365" t="n">
        <v>1037890.41</v>
      </c>
      <c r="JR147" s="365">
        <f>JQ148</f>
        <v/>
      </c>
      <c r="JS147" s="388">
        <f>JQ147-JR147</f>
        <v/>
      </c>
      <c r="JT147" s="389">
        <f>JS147/JR147</f>
        <v/>
      </c>
      <c r="JU147" s="182" t="n"/>
      <c r="JV147" s="182" t="n"/>
      <c r="JW147" s="512" t="n"/>
      <c r="JX147" s="510">
        <f>C147</f>
        <v/>
      </c>
      <c r="JY147" s="365" t="n">
        <v>1197348.8</v>
      </c>
      <c r="JZ147" s="365">
        <f>JY148</f>
        <v/>
      </c>
      <c r="KA147" s="384">
        <f>JY147-JZ147</f>
        <v/>
      </c>
      <c r="KB147" s="383">
        <f>KA147/JZ147</f>
        <v/>
      </c>
      <c r="KC147" s="182" t="n"/>
      <c r="KD147" s="182" t="n"/>
      <c r="KE147" s="182" t="n"/>
      <c r="KF147" s="9">
        <f>C147</f>
        <v/>
      </c>
      <c r="KG147" s="182" t="n">
        <v>732555.92</v>
      </c>
      <c r="KH147" s="712">
        <f>KG148</f>
        <v/>
      </c>
      <c r="KI147" s="9">
        <f>KG147-KH147</f>
        <v/>
      </c>
      <c r="KJ147" s="509">
        <f>KI147/KH147</f>
        <v/>
      </c>
      <c r="KK147" s="366" t="n"/>
      <c r="KL147" s="366" t="n"/>
      <c r="KM147" s="182" t="n"/>
      <c r="KN147" s="9">
        <f>C147</f>
        <v/>
      </c>
      <c r="KO147" s="24" t="n">
        <v>8322675.95</v>
      </c>
      <c r="KP147" s="24">
        <f>KO148</f>
        <v/>
      </c>
      <c r="KQ147" s="24">
        <f>KO147-KP147</f>
        <v/>
      </c>
      <c r="KR147" s="182">
        <f>KQ147/KP147</f>
        <v/>
      </c>
      <c r="KS147" s="182" t="n"/>
      <c r="KT147" s="182" t="n"/>
      <c r="KV147" s="9">
        <f>C147</f>
        <v/>
      </c>
      <c r="KW147" s="0" t="n">
        <v>966672.97</v>
      </c>
      <c r="KX147" s="0">
        <f>KW148</f>
        <v/>
      </c>
      <c r="KY147" s="0">
        <f>KW147-KX147</f>
        <v/>
      </c>
      <c r="KZ147" s="182">
        <f>KY147/KX147</f>
        <v/>
      </c>
      <c r="LA147" s="182" t="n"/>
      <c r="LB147" s="182" t="n"/>
      <c r="LD147" s="9">
        <f>C147</f>
        <v/>
      </c>
      <c r="LE147" s="24" t="n">
        <v>461907.7</v>
      </c>
      <c r="LF147" s="24">
        <f>LE148</f>
        <v/>
      </c>
      <c r="LG147" s="24">
        <f>LE147-LF147</f>
        <v/>
      </c>
      <c r="LH147" s="182">
        <f>LG147/LF147</f>
        <v/>
      </c>
      <c r="LI147" s="182" t="n"/>
      <c r="LJ147" s="182" t="n"/>
      <c r="LL147" s="9">
        <f>C147</f>
        <v/>
      </c>
      <c r="LM147" s="671" t="n">
        <v>3528835.02</v>
      </c>
      <c r="LN147" s="9">
        <f>LM148</f>
        <v/>
      </c>
      <c r="LO147" s="9">
        <f>LM147-LN147</f>
        <v/>
      </c>
      <c r="LP147" s="182">
        <f>LO147/LN147</f>
        <v/>
      </c>
      <c r="LQ147" s="182" t="n"/>
      <c r="LR147" s="182" t="n"/>
      <c r="LT147" s="9">
        <f>C147</f>
        <v/>
      </c>
      <c r="LU147" s="0" t="n">
        <v>2619862.9</v>
      </c>
      <c r="LV147" s="0">
        <f>LU148</f>
        <v/>
      </c>
      <c r="LW147" s="0">
        <f>LU147-LV147</f>
        <v/>
      </c>
      <c r="LX147" s="182">
        <f>LW147/LV147</f>
        <v/>
      </c>
      <c r="LY147" s="182" t="n"/>
      <c r="LZ147" s="182" t="n"/>
      <c r="MB147" s="9">
        <f>C147</f>
        <v/>
      </c>
      <c r="MC147" s="0" t="n">
        <v>762467.6899999999</v>
      </c>
      <c r="MD147" s="0">
        <f>MC148</f>
        <v/>
      </c>
      <c r="ME147" s="0">
        <f>MC147-MD147</f>
        <v/>
      </c>
      <c r="MF147" s="182">
        <f>ME147/MD147</f>
        <v/>
      </c>
      <c r="MG147" s="182" t="n"/>
      <c r="MH147" s="182" t="n"/>
      <c r="MI147" s="9" t="n"/>
      <c r="MJ147" s="712" t="n"/>
      <c r="MK147" s="9">
        <f>C147</f>
        <v/>
      </c>
      <c r="ML147" s="711" t="n">
        <v>219585.53</v>
      </c>
      <c r="MM147" s="187">
        <f>ML148</f>
        <v/>
      </c>
      <c r="MN147" s="712">
        <f>ML147-MM147</f>
        <v/>
      </c>
      <c r="MO147" s="182">
        <f>MN147/MM147</f>
        <v/>
      </c>
      <c r="MP147" s="182" t="n"/>
      <c r="MQ147" s="182" t="n"/>
      <c r="MR147" s="182" t="n"/>
      <c r="MS147" s="182" t="n"/>
      <c r="MT147" s="25">
        <f>C147</f>
        <v/>
      </c>
      <c r="MU147" s="0" t="n">
        <v>246314.8</v>
      </c>
      <c r="MV147" s="0">
        <f>MU148</f>
        <v/>
      </c>
      <c r="MW147" s="0">
        <f>MU147-MV147</f>
        <v/>
      </c>
      <c r="MX147" s="182">
        <f>MW147/MV147</f>
        <v/>
      </c>
      <c r="MY147" s="182" t="n"/>
      <c r="MZ147" s="182" t="n"/>
      <c r="NA147" s="182" t="n"/>
      <c r="NB147" s="182" t="n"/>
      <c r="NC147" s="9">
        <f>C147</f>
        <v/>
      </c>
      <c r="ND147" s="0" t="n">
        <v>43491.48</v>
      </c>
      <c r="NE147" s="0">
        <f>ND148</f>
        <v/>
      </c>
      <c r="NF147" s="0">
        <f>ND147-NE147</f>
        <v/>
      </c>
      <c r="NG147" s="182">
        <f>NF147/NE147</f>
        <v/>
      </c>
      <c r="NH147" s="182" t="n"/>
      <c r="NI147" s="182" t="n"/>
      <c r="NJ147" s="182" t="n"/>
      <c r="NK147" s="182" t="n"/>
      <c r="NL147" s="9" t="n"/>
      <c r="NM147" s="9">
        <f>C147</f>
        <v/>
      </c>
      <c r="NN147" s="0" t="n">
        <v>2598111.08</v>
      </c>
      <c r="NO147" s="0">
        <f>NN148</f>
        <v/>
      </c>
      <c r="NP147" s="0">
        <f>NN147-NO147</f>
        <v/>
      </c>
      <c r="NQ147" s="182">
        <f>NP147/NO147</f>
        <v/>
      </c>
      <c r="NR147" s="182" t="n"/>
      <c r="NS147" s="9" t="n"/>
      <c r="NU147" s="9">
        <f>C147</f>
        <v/>
      </c>
      <c r="NV147" s="711" t="n">
        <v>252076.5</v>
      </c>
      <c r="NW147" s="0">
        <f>NV148</f>
        <v/>
      </c>
      <c r="NX147" s="711">
        <f>NV147-NW147</f>
        <v/>
      </c>
      <c r="NY147" s="182">
        <f>NX147/NW147</f>
        <v/>
      </c>
      <c r="NZ147" s="182" t="n"/>
      <c r="OA147" s="9" t="n"/>
      <c r="OC147" s="9">
        <f>C147</f>
        <v/>
      </c>
      <c r="OD147" s="0" t="n">
        <v>12958.97</v>
      </c>
      <c r="OE147" s="0">
        <f>OD148</f>
        <v/>
      </c>
      <c r="OF147" s="0">
        <f>OD147-OE147</f>
        <v/>
      </c>
      <c r="OG147" s="182">
        <f>OF147/OE147</f>
        <v/>
      </c>
      <c r="OH147" s="182" t="n"/>
      <c r="OI147" s="182" t="n"/>
      <c r="OK147" s="9">
        <f>C147</f>
        <v/>
      </c>
      <c r="OL147" s="0" t="n">
        <v>12035.65</v>
      </c>
      <c r="OM147" s="0">
        <f>OL148</f>
        <v/>
      </c>
      <c r="ON147" s="0">
        <f>OL147-OM147</f>
        <v/>
      </c>
      <c r="OO147" s="182">
        <f>ON147/OM147</f>
        <v/>
      </c>
      <c r="OP147" s="182" t="n"/>
      <c r="OQ147" s="182" t="n"/>
      <c r="OT147" s="25">
        <f>OK147</f>
        <v/>
      </c>
      <c r="OU147" s="24" t="n">
        <v>144792.4066</v>
      </c>
      <c r="OV147" s="24">
        <f>OU148</f>
        <v/>
      </c>
      <c r="OW147" s="24">
        <f>OU147-OV147</f>
        <v/>
      </c>
      <c r="OX147" s="182">
        <f>OW147/OV147</f>
        <v/>
      </c>
    </row>
    <row r="148">
      <c r="A148" s="0" t="n"/>
      <c r="C148" s="0" t="inlineStr">
        <is>
          <t>2026//4/13</t>
        </is>
      </c>
      <c r="D148" s="0" t="n">
        <v>4385838.77</v>
      </c>
      <c r="E148" s="0">
        <f>D149</f>
        <v/>
      </c>
      <c r="F148" s="0">
        <f>D148-E148</f>
        <v/>
      </c>
      <c r="G148" s="0">
        <f>F148/E148</f>
        <v/>
      </c>
      <c r="I148" s="0" t="n"/>
      <c r="K148" s="0">
        <f>C148</f>
        <v/>
      </c>
      <c r="L148" s="0" t="n">
        <v>3128554.4</v>
      </c>
      <c r="M148" s="0">
        <f>L149</f>
        <v/>
      </c>
      <c r="N148" s="0">
        <f>L148-M148</f>
        <v/>
      </c>
      <c r="O148" s="0">
        <f>N148/M148</f>
        <v/>
      </c>
      <c r="Q148" s="0" t="n"/>
      <c r="S148" s="0">
        <f>C148</f>
        <v/>
      </c>
      <c r="T148" s="0" t="n">
        <v>2270316.68</v>
      </c>
      <c r="U148" s="0">
        <f>T149</f>
        <v/>
      </c>
      <c r="V148" s="0">
        <f>T148-U148</f>
        <v/>
      </c>
      <c r="W148" s="0">
        <f>V148/U148</f>
        <v/>
      </c>
      <c r="Y148" s="0" t="n"/>
      <c r="AA148" s="0">
        <f>S148</f>
        <v/>
      </c>
      <c r="AB148" s="0" t="n">
        <v>996616.86</v>
      </c>
      <c r="AC148" s="0">
        <f>AB149</f>
        <v/>
      </c>
      <c r="AD148" s="0">
        <f>AB148-AC148</f>
        <v/>
      </c>
      <c r="AE148" s="0">
        <f>AD148/AC148</f>
        <v/>
      </c>
      <c r="AG148" s="0" t="n"/>
      <c r="AI148" s="0">
        <f>C148</f>
        <v/>
      </c>
      <c r="AJ148" s="0" t="n">
        <v>763521.76</v>
      </c>
      <c r="AK148" s="0">
        <f>AJ149</f>
        <v/>
      </c>
      <c r="AL148" s="0">
        <f>AJ148-AK148</f>
        <v/>
      </c>
      <c r="AM148" s="0">
        <f>AL148/AK148</f>
        <v/>
      </c>
      <c r="AO148" s="0" t="n"/>
      <c r="AQ148" s="0">
        <f>C148</f>
        <v/>
      </c>
      <c r="AR148" s="0" t="n">
        <v>1490845.49</v>
      </c>
      <c r="AS148" s="0">
        <f>AR149</f>
        <v/>
      </c>
      <c r="AT148" s="0">
        <f>AR148-AS148</f>
        <v/>
      </c>
      <c r="AU148" s="0">
        <f>AT148/AS148</f>
        <v/>
      </c>
      <c r="AW148" s="0" t="n"/>
      <c r="AY148" s="0" t="n"/>
      <c r="AZ148" s="0">
        <f>C148</f>
        <v/>
      </c>
      <c r="BA148" s="0" t="n">
        <v>1960221.66</v>
      </c>
      <c r="BB148" s="0">
        <f>BA149</f>
        <v/>
      </c>
      <c r="BC148" s="0">
        <f>BA148-BB148</f>
        <v/>
      </c>
      <c r="BD148" s="0">
        <f>BC148/BB148</f>
        <v/>
      </c>
      <c r="BF148" s="0" t="n"/>
      <c r="BH148" s="0">
        <f>C148</f>
        <v/>
      </c>
      <c r="BI148" s="0" t="n">
        <v>1570326.55</v>
      </c>
      <c r="BJ148" s="0">
        <f>BI149</f>
        <v/>
      </c>
      <c r="BK148" s="0">
        <f>BI148-BJ148</f>
        <v/>
      </c>
      <c r="BL148" s="0">
        <f>BK148/BJ148</f>
        <v/>
      </c>
      <c r="BN148" s="0" t="n"/>
      <c r="BP148" s="0">
        <f>C148</f>
        <v/>
      </c>
      <c r="BQ148" s="0" t="n">
        <v>1109162.39</v>
      </c>
      <c r="BR148" s="0">
        <f>BQ149</f>
        <v/>
      </c>
      <c r="BS148" s="0">
        <f>BQ148-BR148</f>
        <v/>
      </c>
      <c r="BT148" s="0">
        <f>BS148/BR148</f>
        <v/>
      </c>
      <c r="BV148" s="0" t="n"/>
      <c r="BX148" s="0">
        <f>C148</f>
        <v/>
      </c>
      <c r="BY148" s="0" t="n">
        <v>3223660.7</v>
      </c>
      <c r="BZ148" s="0">
        <f>BY149</f>
        <v/>
      </c>
      <c r="CA148" s="0">
        <f>BY148-BZ148</f>
        <v/>
      </c>
      <c r="CB148" s="0">
        <f>CA148/BZ148</f>
        <v/>
      </c>
      <c r="CD148" s="0" t="n"/>
      <c r="CF148" s="0">
        <f>C148</f>
        <v/>
      </c>
      <c r="CG148" s="0" t="n">
        <v>1401853.9</v>
      </c>
      <c r="CH148" s="0">
        <f>CG149</f>
        <v/>
      </c>
      <c r="CI148" s="0">
        <f>CG148-CH148</f>
        <v/>
      </c>
      <c r="CJ148" s="0">
        <f>CI148/CH148</f>
        <v/>
      </c>
      <c r="CL148" s="0" t="n"/>
      <c r="CN148" s="0">
        <f>C148</f>
        <v/>
      </c>
      <c r="CO148" s="0" t="n">
        <v>666846.48</v>
      </c>
      <c r="CP148" s="0">
        <f>CO149</f>
        <v/>
      </c>
      <c r="CQ148" s="0">
        <f>CO148-CP148</f>
        <v/>
      </c>
      <c r="CR148" s="0">
        <f>CQ148/CP148</f>
        <v/>
      </c>
      <c r="CS148" s="0" t="n"/>
      <c r="CT148" s="0" t="n"/>
      <c r="CV148" s="0">
        <f>C148</f>
        <v/>
      </c>
      <c r="CW148" s="0" t="n">
        <v>593640.4</v>
      </c>
      <c r="CX148" s="0">
        <f>CW149</f>
        <v/>
      </c>
      <c r="CY148" s="0">
        <f>CW148-CX148</f>
        <v/>
      </c>
      <c r="CZ148" s="0">
        <f>CY148/CX148</f>
        <v/>
      </c>
      <c r="DB148" s="0" t="n"/>
      <c r="DC148" s="0" t="n"/>
      <c r="DD148" s="0">
        <f>C148</f>
        <v/>
      </c>
      <c r="DE148" s="0" t="n">
        <v>2416117.99</v>
      </c>
      <c r="DF148" s="0">
        <f>DE149</f>
        <v/>
      </c>
      <c r="DG148" s="0">
        <f>DE148-DF148</f>
        <v/>
      </c>
      <c r="DH148" s="0">
        <f>DG148/DF148</f>
        <v/>
      </c>
      <c r="DJ148" s="0" t="n"/>
      <c r="DL148" s="0">
        <f>C148</f>
        <v/>
      </c>
      <c r="DM148" s="0" t="n">
        <v>1300500.36</v>
      </c>
      <c r="DN148" s="0">
        <f>DM149</f>
        <v/>
      </c>
      <c r="DO148" s="0">
        <f>DM148-DN148</f>
        <v/>
      </c>
      <c r="DP148" s="0">
        <f>DO148/DN148</f>
        <v/>
      </c>
      <c r="DR148" s="0" t="n"/>
      <c r="DT148" s="0">
        <f>C148</f>
        <v/>
      </c>
      <c r="DU148" s="0" t="n">
        <v>1565489.48</v>
      </c>
      <c r="DV148" s="0">
        <f>DU149</f>
        <v/>
      </c>
      <c r="DW148" s="0">
        <f>DU148-DV148</f>
        <v/>
      </c>
      <c r="DX148" s="0">
        <f>DW148/DV148</f>
        <v/>
      </c>
      <c r="DZ148" s="0" t="n"/>
      <c r="EB148" s="0">
        <f>C148</f>
        <v/>
      </c>
      <c r="EC148" s="0" t="n">
        <v>4957166.82</v>
      </c>
      <c r="ED148" s="0">
        <f>EC149</f>
        <v/>
      </c>
      <c r="EE148" s="0">
        <f>EC148-ED148</f>
        <v/>
      </c>
      <c r="EF148" s="0">
        <f>EE148/ED148</f>
        <v/>
      </c>
      <c r="EH148" s="0" t="n"/>
      <c r="EJ148" s="0">
        <f>C148</f>
        <v/>
      </c>
      <c r="EK148" s="0" t="n">
        <v>1478122.96</v>
      </c>
      <c r="EL148" s="0">
        <f>EK149</f>
        <v/>
      </c>
      <c r="EM148" s="0">
        <f>EK148-EL148</f>
        <v/>
      </c>
      <c r="EN148" s="0">
        <f>EM148/EL148</f>
        <v/>
      </c>
      <c r="EP148" s="0" t="n"/>
      <c r="ER148" s="0">
        <f>C148</f>
        <v/>
      </c>
      <c r="ES148" s="0" t="n">
        <v>502247.02</v>
      </c>
      <c r="ET148" s="0">
        <f>ES149</f>
        <v/>
      </c>
      <c r="EU148" s="0">
        <f>ES148-ET148</f>
        <v/>
      </c>
      <c r="EV148" s="0">
        <f>EU148/ET148</f>
        <v/>
      </c>
      <c r="EX148" s="0" t="n"/>
      <c r="EZ148" s="0">
        <f>C148</f>
        <v/>
      </c>
      <c r="FA148" s="0" t="n">
        <v>730508</v>
      </c>
      <c r="FB148" s="0">
        <f>FA149</f>
        <v/>
      </c>
      <c r="FC148" s="0">
        <f>FA148-FB148</f>
        <v/>
      </c>
      <c r="FD148" s="0">
        <f>FC148/FB148</f>
        <v/>
      </c>
      <c r="FF148" s="0" t="n"/>
      <c r="FH148" s="0">
        <f>C148</f>
        <v/>
      </c>
      <c r="FI148" s="0" t="n">
        <v>1073595.33</v>
      </c>
      <c r="FJ148" s="0">
        <f>FI149</f>
        <v/>
      </c>
      <c r="FK148" s="0">
        <f>FI148-FJ148</f>
        <v/>
      </c>
      <c r="FL148" s="518">
        <f>FK148/FJ148</f>
        <v/>
      </c>
      <c r="FN148" s="0" t="n"/>
      <c r="FP148" s="0">
        <f>C148</f>
        <v/>
      </c>
      <c r="FQ148" s="0" t="n">
        <v>2215018.73</v>
      </c>
      <c r="FR148" s="0">
        <f>FQ149</f>
        <v/>
      </c>
      <c r="FS148" s="0">
        <f>FQ148-FR148</f>
        <v/>
      </c>
      <c r="FT148" s="0">
        <f>FS148/FR148</f>
        <v/>
      </c>
      <c r="FV148" s="0" t="n"/>
      <c r="FX148" s="0">
        <f>C148</f>
        <v/>
      </c>
      <c r="FY148" s="0" t="n">
        <v>8359982.05</v>
      </c>
      <c r="FZ148" s="0">
        <f>FY149</f>
        <v/>
      </c>
      <c r="GA148" s="0">
        <f>FY148-FZ148</f>
        <v/>
      </c>
      <c r="GB148" s="0">
        <f>GA148/FZ148</f>
        <v/>
      </c>
      <c r="GD148" s="0" t="n"/>
      <c r="GF148" s="0">
        <f>C148</f>
        <v/>
      </c>
      <c r="GG148" s="0" t="n">
        <v>4602369.49</v>
      </c>
      <c r="GH148" s="0">
        <f>GG149</f>
        <v/>
      </c>
      <c r="GI148" s="0">
        <f>GG148-GH148</f>
        <v/>
      </c>
      <c r="GJ148" s="0">
        <f>GI148/GH148</f>
        <v/>
      </c>
      <c r="GL148" s="0" t="n"/>
      <c r="GN148" s="0">
        <f>C148</f>
        <v/>
      </c>
      <c r="GO148" s="0" t="n">
        <v>1752358.12</v>
      </c>
      <c r="GP148" s="0">
        <f>GO149</f>
        <v/>
      </c>
      <c r="GQ148" s="0">
        <f>GO148-GP148</f>
        <v/>
      </c>
      <c r="GR148" s="0">
        <f>GQ148/GP148</f>
        <v/>
      </c>
      <c r="GT148" s="0" t="n"/>
      <c r="GV148" s="0">
        <f>C148</f>
        <v/>
      </c>
      <c r="GW148" s="0" t="n">
        <v>960949.4</v>
      </c>
      <c r="GX148" s="0">
        <f>GW149</f>
        <v/>
      </c>
      <c r="GY148" s="0">
        <f>GW148-GX148</f>
        <v/>
      </c>
      <c r="GZ148" s="0">
        <f>GY148/GX148</f>
        <v/>
      </c>
      <c r="HB148" s="0" t="n"/>
      <c r="HD148" s="0">
        <f>C148</f>
        <v/>
      </c>
      <c r="HE148" s="0" t="n">
        <v>1097264.67</v>
      </c>
      <c r="HF148" s="0">
        <f>HE149</f>
        <v/>
      </c>
      <c r="HG148" s="0">
        <f>HE148-HF148</f>
        <v/>
      </c>
      <c r="HH148" s="0">
        <f>HG148/HF148</f>
        <v/>
      </c>
      <c r="HJ148" s="0" t="n"/>
      <c r="HL148" s="0">
        <f>C148</f>
        <v/>
      </c>
      <c r="HM148" s="0" t="n">
        <v>153004.25</v>
      </c>
      <c r="HN148" s="0">
        <f>HM149</f>
        <v/>
      </c>
      <c r="HO148" s="0">
        <f>HM148-HN148</f>
        <v/>
      </c>
      <c r="HP148" s="0">
        <f>HO148/HN148</f>
        <v/>
      </c>
      <c r="HR148" s="0" t="n"/>
      <c r="HT148" s="0">
        <f>C148</f>
        <v/>
      </c>
      <c r="HU148" s="0" t="n">
        <v>246568.82</v>
      </c>
      <c r="HV148" s="0">
        <f>HU149</f>
        <v/>
      </c>
      <c r="HW148" s="0">
        <f>HU148-HV148</f>
        <v/>
      </c>
      <c r="HX148" s="0">
        <f>HW148/HV148</f>
        <v/>
      </c>
      <c r="HZ148" s="0" t="n"/>
      <c r="IB148" s="0">
        <f>C148</f>
        <v/>
      </c>
      <c r="IC148" s="0" t="n">
        <v>377459.79</v>
      </c>
      <c r="ID148" s="0">
        <f>IC149</f>
        <v/>
      </c>
      <c r="IE148" s="0">
        <f>IC148-ID148</f>
        <v/>
      </c>
      <c r="IF148" s="0">
        <f>IE148/ID148</f>
        <v/>
      </c>
      <c r="IH148" s="0" t="n"/>
      <c r="IJ148" s="0">
        <f>C148</f>
        <v/>
      </c>
      <c r="IK148" s="0" t="n">
        <v>567916.29</v>
      </c>
      <c r="IL148" s="0">
        <f>IK149</f>
        <v/>
      </c>
      <c r="IM148" s="0">
        <f>IK148-IL148</f>
        <v/>
      </c>
      <c r="IN148" s="0">
        <f>IM148/IL148</f>
        <v/>
      </c>
      <c r="IP148" s="0" t="n"/>
      <c r="IR148" s="0">
        <f>C148</f>
        <v/>
      </c>
      <c r="IS148" s="0" t="n">
        <v>140589</v>
      </c>
      <c r="IT148" s="0">
        <f>IS149</f>
        <v/>
      </c>
      <c r="IU148" s="0">
        <f>IS148-IT148</f>
        <v/>
      </c>
      <c r="IV148" s="0">
        <f>IU148/IT148</f>
        <v/>
      </c>
      <c r="IX148" s="0" t="n"/>
      <c r="IZ148" s="0">
        <f>C148</f>
        <v/>
      </c>
      <c r="JA148" s="0" t="n">
        <v>4875329.15</v>
      </c>
      <c r="JB148" s="0">
        <f>JA149</f>
        <v/>
      </c>
      <c r="JC148" s="0">
        <f>JA148-JB148</f>
        <v/>
      </c>
      <c r="JD148" s="0">
        <f>JC148/JB148</f>
        <v/>
      </c>
      <c r="JF148" s="0" t="n"/>
      <c r="JH148" s="0">
        <f>C148</f>
        <v/>
      </c>
      <c r="JI148" s="0" t="n">
        <v>1373067.99</v>
      </c>
      <c r="JJ148" s="0">
        <f>JI149</f>
        <v/>
      </c>
      <c r="JK148" s="0">
        <f>JI148-JJ148</f>
        <v/>
      </c>
      <c r="JL148" s="0">
        <f>JK148/JJ148</f>
        <v/>
      </c>
      <c r="JN148" s="0" t="n"/>
      <c r="JP148" s="0">
        <f>C148</f>
        <v/>
      </c>
      <c r="JQ148" s="0" t="n">
        <v>1039290.41</v>
      </c>
      <c r="JR148" s="0">
        <f>JQ149</f>
        <v/>
      </c>
      <c r="JS148" s="0">
        <f>JQ148-JR148</f>
        <v/>
      </c>
      <c r="JT148" s="0">
        <f>JS148/JR148</f>
        <v/>
      </c>
      <c r="JV148" s="0" t="n"/>
      <c r="JX148" s="0">
        <f>C148</f>
        <v/>
      </c>
      <c r="JY148" s="0" t="n">
        <v>1203048.8</v>
      </c>
      <c r="JZ148" s="0">
        <f>JY149</f>
        <v/>
      </c>
      <c r="KA148" s="0">
        <f>JY148-JZ148</f>
        <v/>
      </c>
      <c r="KB148" s="0">
        <f>KA148/JZ148</f>
        <v/>
      </c>
      <c r="KD148" s="0" t="n"/>
      <c r="KF148" s="0">
        <f>C148</f>
        <v/>
      </c>
      <c r="KG148" s="0" t="n">
        <v>732555.92</v>
      </c>
      <c r="KH148" s="711">
        <f>KG149</f>
        <v/>
      </c>
      <c r="KI148" s="0">
        <f>KG148-KH148</f>
        <v/>
      </c>
      <c r="KJ148" s="519">
        <f>KI148/KH148</f>
        <v/>
      </c>
      <c r="KL148" s="0" t="n"/>
      <c r="KN148" s="0">
        <f>C148</f>
        <v/>
      </c>
      <c r="KO148" s="0" t="n">
        <v>8322775.95</v>
      </c>
      <c r="KP148" s="0">
        <f>KO149</f>
        <v/>
      </c>
      <c r="KQ148" s="0">
        <f>KO148-KP148</f>
        <v/>
      </c>
      <c r="KR148" s="0">
        <f>KQ148/KP148</f>
        <v/>
      </c>
      <c r="KT148" s="0" t="n"/>
      <c r="KV148" s="0">
        <f>C148</f>
        <v/>
      </c>
      <c r="KW148" s="0" t="n">
        <v>962772.97</v>
      </c>
      <c r="KX148" s="0">
        <f>KW149</f>
        <v/>
      </c>
      <c r="KY148" s="0">
        <f>KW148-KX148</f>
        <v/>
      </c>
      <c r="KZ148" s="0">
        <f>KY148/KX148</f>
        <v/>
      </c>
      <c r="LB148" s="0" t="n"/>
      <c r="LD148" s="0">
        <f>C148</f>
        <v/>
      </c>
      <c r="LE148" s="0" t="n">
        <v>459657.7</v>
      </c>
      <c r="LF148" s="0">
        <f>LE149</f>
        <v/>
      </c>
      <c r="LG148" s="0">
        <f>LE148-LF148</f>
        <v/>
      </c>
      <c r="LH148" s="0">
        <f>LG148/LF148</f>
        <v/>
      </c>
      <c r="LJ148" s="0" t="n"/>
      <c r="LL148" s="0">
        <f>C148</f>
        <v/>
      </c>
      <c r="LM148" s="0" t="n">
        <v>3518935.02</v>
      </c>
      <c r="LN148" s="0">
        <f>LM149</f>
        <v/>
      </c>
      <c r="LO148" s="0">
        <f>LM148-LN148</f>
        <v/>
      </c>
      <c r="LP148" s="0">
        <f>LO148/LN148</f>
        <v/>
      </c>
      <c r="LR148" s="0" t="n"/>
      <c r="LT148" s="0">
        <f>C148</f>
        <v/>
      </c>
      <c r="LU148" s="0" t="n">
        <v>2616862.9</v>
      </c>
      <c r="LV148" s="0">
        <f>LU149</f>
        <v/>
      </c>
      <c r="LW148" s="0">
        <f>LU148-LV148</f>
        <v/>
      </c>
      <c r="LX148" s="0">
        <f>LW148/LV148</f>
        <v/>
      </c>
      <c r="LZ148" s="0" t="n"/>
      <c r="MB148" s="0">
        <f>C148</f>
        <v/>
      </c>
      <c r="MC148" s="0" t="n">
        <v>753367.6899999999</v>
      </c>
      <c r="MD148" s="0">
        <f>MC149</f>
        <v/>
      </c>
      <c r="ME148" s="0">
        <f>MC148-MD148</f>
        <v/>
      </c>
      <c r="MF148" s="0">
        <f>ME148/MD148</f>
        <v/>
      </c>
      <c r="MH148" s="0" t="n"/>
      <c r="MJ148" s="711" t="n"/>
      <c r="MK148" s="0">
        <f>C148</f>
        <v/>
      </c>
      <c r="ML148" s="711" t="n">
        <v>218385.53</v>
      </c>
      <c r="MM148" s="0">
        <f>ML149</f>
        <v/>
      </c>
      <c r="MN148" s="711">
        <f>ML148-MM148</f>
        <v/>
      </c>
      <c r="MO148" s="0">
        <f>MN148/MM148</f>
        <v/>
      </c>
      <c r="MQ148" s="0" t="n"/>
      <c r="MS148" s="0" t="n"/>
      <c r="MT148" s="0">
        <f>C148</f>
        <v/>
      </c>
      <c r="MU148" s="0" t="n">
        <v>249414.8</v>
      </c>
      <c r="MV148" s="0">
        <f>MU149</f>
        <v/>
      </c>
      <c r="MW148" s="0">
        <f>MU148-MV148</f>
        <v/>
      </c>
      <c r="MX148" s="0">
        <f>MW148/MV148</f>
        <v/>
      </c>
      <c r="MZ148" s="0" t="n"/>
      <c r="NB148" s="0" t="n"/>
      <c r="NC148" s="0">
        <f>C148</f>
        <v/>
      </c>
      <c r="ND148" s="0" t="n">
        <v>43491.48</v>
      </c>
      <c r="NE148" s="0">
        <f>ND149</f>
        <v/>
      </c>
      <c r="NF148" s="0">
        <f>ND148-NE148</f>
        <v/>
      </c>
      <c r="NG148" s="0">
        <f>NF148/NE148</f>
        <v/>
      </c>
      <c r="NI148" s="0" t="n"/>
      <c r="NL148" s="0" t="n"/>
      <c r="NM148" s="0">
        <f>C148</f>
        <v/>
      </c>
      <c r="NN148" s="0" t="n">
        <v>2610911.08</v>
      </c>
      <c r="NO148" s="0">
        <f>NN149</f>
        <v/>
      </c>
      <c r="NP148" s="0">
        <f>NN148-NO148</f>
        <v/>
      </c>
      <c r="NQ148" s="0">
        <f>NP148/NO148</f>
        <v/>
      </c>
      <c r="NS148" s="0" t="n"/>
      <c r="NU148" s="0">
        <f>C148</f>
        <v/>
      </c>
      <c r="NV148" s="711" t="n">
        <v>251576.5</v>
      </c>
      <c r="NW148" s="0">
        <f>NV149</f>
        <v/>
      </c>
      <c r="NX148" s="711">
        <f>NV148-NW148</f>
        <v/>
      </c>
      <c r="NY148" s="0">
        <f>NX148/NW148</f>
        <v/>
      </c>
      <c r="OA148" s="0" t="n"/>
      <c r="OC148" s="0">
        <f>C148</f>
        <v/>
      </c>
      <c r="OD148" s="0" t="n">
        <v>12805.97</v>
      </c>
      <c r="OE148" s="0">
        <f>OD149</f>
        <v/>
      </c>
      <c r="OF148" s="0">
        <f>OD148-OE148</f>
        <v/>
      </c>
      <c r="OG148" s="0">
        <f>OF148/OE148</f>
        <v/>
      </c>
      <c r="OI148" s="0" t="n"/>
      <c r="OK148" s="0">
        <f>C148</f>
        <v/>
      </c>
      <c r="OL148" s="0" t="n">
        <v>11904.65</v>
      </c>
      <c r="OM148" s="0">
        <f>OL149</f>
        <v/>
      </c>
      <c r="ON148" s="0">
        <f>OL148-OM148</f>
        <v/>
      </c>
      <c r="OO148" s="0">
        <f>ON148/OM148</f>
        <v/>
      </c>
      <c r="OQ148" s="0" t="n"/>
      <c r="OT148" s="0">
        <f>OK148</f>
        <v/>
      </c>
      <c r="OU148" s="0" t="n">
        <v>144672.4066</v>
      </c>
      <c r="OV148" s="0">
        <f>OU149</f>
        <v/>
      </c>
      <c r="OW148" s="0">
        <f>OU148-OV148</f>
        <v/>
      </c>
      <c r="OX148" s="0">
        <f>OW148/OV148</f>
        <v/>
      </c>
    </row>
    <row r="149">
      <c r="A149" s="0" t="inlineStr">
        <is>
          <t>这周少一天</t>
        </is>
      </c>
      <c r="C149" s="0" t="inlineStr">
        <is>
          <t>2026//4/10</t>
        </is>
      </c>
      <c r="D149" s="0" t="n">
        <v>4407708.77</v>
      </c>
      <c r="E149" s="0">
        <f>D150</f>
        <v/>
      </c>
      <c r="F149" s="0">
        <f>D149-E149</f>
        <v/>
      </c>
      <c r="G149" s="0">
        <f>F149/E149</f>
        <v/>
      </c>
      <c r="I149" s="0" t="n"/>
      <c r="K149" s="0">
        <f>C149</f>
        <v/>
      </c>
      <c r="L149" s="0" t="n">
        <v>3135034.4</v>
      </c>
      <c r="M149" s="0">
        <f>L150</f>
        <v/>
      </c>
      <c r="N149" s="0">
        <f>L149-M149</f>
        <v/>
      </c>
      <c r="O149" s="0">
        <f>N149/M149</f>
        <v/>
      </c>
      <c r="Q149" s="0" t="n"/>
      <c r="S149" s="0">
        <f>C149</f>
        <v/>
      </c>
      <c r="T149" s="0" t="n">
        <v>2279136.68</v>
      </c>
      <c r="U149" s="0">
        <f>T150</f>
        <v/>
      </c>
      <c r="V149" s="0">
        <f>T149-U149</f>
        <v/>
      </c>
      <c r="W149" s="0">
        <f>V149/U149</f>
        <v/>
      </c>
      <c r="Y149" s="0" t="n"/>
      <c r="AA149" s="0">
        <f>S149</f>
        <v/>
      </c>
      <c r="AB149" s="0" t="n">
        <v>1022896.86</v>
      </c>
      <c r="AC149" s="0">
        <f>AB150</f>
        <v/>
      </c>
      <c r="AD149" s="0">
        <f>AB149-AC149</f>
        <v/>
      </c>
      <c r="AE149" s="0">
        <f>AD149/AC149</f>
        <v/>
      </c>
      <c r="AG149" s="0" t="n"/>
      <c r="AI149" s="0">
        <f>C149</f>
        <v/>
      </c>
      <c r="AJ149" s="0" t="n">
        <v>792121.76</v>
      </c>
      <c r="AK149" s="0">
        <f>AJ150</f>
        <v/>
      </c>
      <c r="AL149" s="0">
        <f>AJ149-AK149</f>
        <v/>
      </c>
      <c r="AM149" s="0">
        <f>AL149/AK149</f>
        <v/>
      </c>
      <c r="AO149" s="0" t="n"/>
      <c r="AQ149" s="0">
        <f>C149</f>
        <v/>
      </c>
      <c r="AR149" s="0" t="n">
        <v>1495245.49</v>
      </c>
      <c r="AS149" s="0">
        <f>AR150</f>
        <v/>
      </c>
      <c r="AT149" s="0">
        <f>AR149-AS149</f>
        <v/>
      </c>
      <c r="AU149" s="0">
        <f>AT149/AS149</f>
        <v/>
      </c>
      <c r="AW149" s="0" t="n"/>
      <c r="AY149" s="0" t="n"/>
      <c r="AZ149" s="0">
        <f>C149</f>
        <v/>
      </c>
      <c r="BA149" s="0" t="n">
        <v>1962561.66</v>
      </c>
      <c r="BB149" s="0">
        <f>BA150</f>
        <v/>
      </c>
      <c r="BC149" s="0">
        <f>BA149-BB149</f>
        <v/>
      </c>
      <c r="BD149" s="0">
        <f>BC149/BB149</f>
        <v/>
      </c>
      <c r="BF149" s="0" t="n"/>
      <c r="BH149" s="0">
        <f>C149</f>
        <v/>
      </c>
      <c r="BI149" s="0" t="n">
        <v>1574426.55</v>
      </c>
      <c r="BJ149" s="0">
        <f>BI150</f>
        <v/>
      </c>
      <c r="BK149" s="0">
        <f>BI149-BJ149</f>
        <v/>
      </c>
      <c r="BL149" s="0">
        <f>BK149/BJ149</f>
        <v/>
      </c>
      <c r="BN149" s="0" t="n"/>
      <c r="BP149" s="0">
        <f>C149</f>
        <v/>
      </c>
      <c r="BQ149" s="0" t="n">
        <v>1114962.39</v>
      </c>
      <c r="BR149" s="0">
        <f>BQ150</f>
        <v/>
      </c>
      <c r="BS149" s="0">
        <f>BQ149-BR149</f>
        <v/>
      </c>
      <c r="BT149" s="0">
        <f>BS149/BR149</f>
        <v/>
      </c>
      <c r="BV149" s="0" t="n"/>
      <c r="BX149" s="0">
        <f>C149</f>
        <v/>
      </c>
      <c r="BY149" s="0" t="n">
        <v>3266010.7</v>
      </c>
      <c r="BZ149" s="0">
        <f>BY150</f>
        <v/>
      </c>
      <c r="CA149" s="0">
        <f>BY149-BZ149</f>
        <v/>
      </c>
      <c r="CB149" s="0">
        <f>CA149/BZ149</f>
        <v/>
      </c>
      <c r="CD149" s="0" t="n"/>
      <c r="CF149" s="0">
        <f>C149</f>
        <v/>
      </c>
      <c r="CG149" s="0" t="n">
        <v>1408003.9</v>
      </c>
      <c r="CH149" s="0">
        <f>CG150</f>
        <v/>
      </c>
      <c r="CI149" s="0">
        <f>CG149-CH149</f>
        <v/>
      </c>
      <c r="CJ149" s="0">
        <f>CI149/CH149</f>
        <v/>
      </c>
      <c r="CL149" s="0" t="n"/>
      <c r="CN149" s="0">
        <f>C149</f>
        <v/>
      </c>
      <c r="CO149" s="0" t="n">
        <v>667146.48</v>
      </c>
      <c r="CP149" s="0">
        <f>CO150</f>
        <v/>
      </c>
      <c r="CQ149" s="0">
        <f>CO149-CP149</f>
        <v/>
      </c>
      <c r="CR149" s="0">
        <f>CQ149/CP149</f>
        <v/>
      </c>
      <c r="CS149" s="0">
        <f>(CO149-CO153)/CO153</f>
        <v/>
      </c>
      <c r="CT149" s="0" t="n"/>
      <c r="CV149" s="0">
        <f>C149</f>
        <v/>
      </c>
      <c r="CW149" s="0" t="n">
        <v>601240.4</v>
      </c>
      <c r="CX149" s="0">
        <f>CW150</f>
        <v/>
      </c>
      <c r="CY149" s="0">
        <f>CW149-CX149</f>
        <v/>
      </c>
      <c r="CZ149" s="0">
        <f>CY149/CX149</f>
        <v/>
      </c>
      <c r="DB149" s="0" t="n"/>
      <c r="DC149" s="0" t="n"/>
      <c r="DD149" s="0">
        <f>C149</f>
        <v/>
      </c>
      <c r="DE149" s="0" t="n">
        <v>2399317.99</v>
      </c>
      <c r="DF149" s="0">
        <f>DE150</f>
        <v/>
      </c>
      <c r="DG149" s="0">
        <f>DE149-DF149</f>
        <v/>
      </c>
      <c r="DH149" s="0">
        <f>DG149/DF149</f>
        <v/>
      </c>
      <c r="DJ149" s="0" t="n"/>
      <c r="DL149" s="0">
        <f>C149</f>
        <v/>
      </c>
      <c r="DM149" s="0" t="n">
        <v>1315700.36</v>
      </c>
      <c r="DN149" s="0">
        <f>DM150</f>
        <v/>
      </c>
      <c r="DO149" s="0">
        <f>DM149-DN149</f>
        <v/>
      </c>
      <c r="DP149" s="0">
        <f>DO149/DN149</f>
        <v/>
      </c>
      <c r="DR149" s="0" t="n"/>
      <c r="DT149" s="0">
        <f>C149</f>
        <v/>
      </c>
      <c r="DU149" s="0" t="n">
        <v>1594889.48</v>
      </c>
      <c r="DV149" s="0">
        <f>DU150</f>
        <v/>
      </c>
      <c r="DW149" s="0">
        <f>DU149-DV149</f>
        <v/>
      </c>
      <c r="DX149" s="0">
        <f>DW149/DV149</f>
        <v/>
      </c>
      <c r="DZ149" s="0" t="n"/>
      <c r="EB149" s="0">
        <f>C149</f>
        <v/>
      </c>
      <c r="EC149" s="0" t="n">
        <v>5068166.82</v>
      </c>
      <c r="ED149" s="0">
        <f>EC150</f>
        <v/>
      </c>
      <c r="EE149" s="0">
        <f>EC149-ED149</f>
        <v/>
      </c>
      <c r="EF149" s="0">
        <f>EE149/ED149</f>
        <v/>
      </c>
      <c r="EH149" s="0" t="n"/>
      <c r="EJ149" s="0">
        <f>C149</f>
        <v/>
      </c>
      <c r="EK149" s="0" t="n">
        <v>1492522.96</v>
      </c>
      <c r="EL149" s="0">
        <f>EK150</f>
        <v/>
      </c>
      <c r="EM149" s="0">
        <f>EK149-EL149</f>
        <v/>
      </c>
      <c r="EN149" s="0">
        <f>EM149/EL149</f>
        <v/>
      </c>
      <c r="EP149" s="0" t="n"/>
      <c r="ER149" s="0">
        <f>C149</f>
        <v/>
      </c>
      <c r="ES149" s="0" t="n">
        <v>509297.02</v>
      </c>
      <c r="ET149" s="0">
        <f>ES150</f>
        <v/>
      </c>
      <c r="EU149" s="0">
        <f>ES149-ET149</f>
        <v/>
      </c>
      <c r="EV149" s="0">
        <f>EU149/ET149</f>
        <v/>
      </c>
      <c r="EX149" s="0" t="n"/>
      <c r="EZ149" s="0">
        <f>C149</f>
        <v/>
      </c>
      <c r="FA149" s="0" t="n">
        <v>735608</v>
      </c>
      <c r="FB149" s="0">
        <f>FA150</f>
        <v/>
      </c>
      <c r="FC149" s="0">
        <f>FA149-FB149</f>
        <v/>
      </c>
      <c r="FD149" s="0">
        <f>FC149/FB149</f>
        <v/>
      </c>
      <c r="FF149" s="0" t="n"/>
      <c r="FH149" s="0">
        <f>C149</f>
        <v/>
      </c>
      <c r="FI149" s="0" t="n">
        <v>1067295.33</v>
      </c>
      <c r="FJ149" s="0">
        <f>FI150</f>
        <v/>
      </c>
      <c r="FK149" s="0">
        <f>FI149-FJ149</f>
        <v/>
      </c>
      <c r="FL149" s="518">
        <f>FK149/FJ149</f>
        <v/>
      </c>
      <c r="FN149" s="0" t="n"/>
      <c r="FP149" s="0">
        <f>C149</f>
        <v/>
      </c>
      <c r="FQ149" s="0" t="n">
        <v>2217568.73</v>
      </c>
      <c r="FR149" s="0">
        <f>FQ150</f>
        <v/>
      </c>
      <c r="FS149" s="0">
        <f>FQ149-FR149</f>
        <v/>
      </c>
      <c r="FT149" s="0">
        <f>FS149/FR149</f>
        <v/>
      </c>
      <c r="FV149" s="0" t="n"/>
      <c r="FX149" s="0">
        <f>C149</f>
        <v/>
      </c>
      <c r="FY149" s="0" t="n">
        <v>8339082.05</v>
      </c>
      <c r="FZ149" s="0">
        <f>FY150</f>
        <v/>
      </c>
      <c r="GA149" s="0">
        <f>FY149-FZ149</f>
        <v/>
      </c>
      <c r="GB149" s="0">
        <f>GA149/FZ149</f>
        <v/>
      </c>
      <c r="GD149" s="0" t="n"/>
      <c r="GF149" s="0">
        <f>C149</f>
        <v/>
      </c>
      <c r="GG149" s="0" t="n">
        <v>4608569.49</v>
      </c>
      <c r="GH149" s="0">
        <f>GG150</f>
        <v/>
      </c>
      <c r="GI149" s="0">
        <f>GG149-GH149</f>
        <v/>
      </c>
      <c r="GJ149" s="0">
        <f>GI149/GH149</f>
        <v/>
      </c>
      <c r="GL149" s="0" t="n"/>
      <c r="GN149" s="0">
        <f>C149</f>
        <v/>
      </c>
      <c r="GO149" s="0" t="n">
        <v>1764658.12</v>
      </c>
      <c r="GP149" s="0">
        <f>GO150</f>
        <v/>
      </c>
      <c r="GQ149" s="0">
        <f>GO149-GP149</f>
        <v/>
      </c>
      <c r="GR149" s="0">
        <f>GQ149/GP149</f>
        <v/>
      </c>
      <c r="GT149" s="0" t="n"/>
      <c r="GV149" s="0">
        <f>C149</f>
        <v/>
      </c>
      <c r="GW149" s="0" t="n">
        <v>965749.4</v>
      </c>
      <c r="GX149" s="0">
        <f>GW150</f>
        <v/>
      </c>
      <c r="GY149" s="0">
        <f>GW149-GX149</f>
        <v/>
      </c>
      <c r="GZ149" s="0">
        <f>GY149/GX149</f>
        <v/>
      </c>
      <c r="HB149" s="0" t="n"/>
      <c r="HD149" s="0">
        <f>C149</f>
        <v/>
      </c>
      <c r="HE149" s="0" t="n">
        <v>1081464.67</v>
      </c>
      <c r="HF149" s="0">
        <f>HE150</f>
        <v/>
      </c>
      <c r="HG149" s="0">
        <f>HE149-HF149</f>
        <v/>
      </c>
      <c r="HH149" s="0">
        <f>HG149/HF149</f>
        <v/>
      </c>
      <c r="HJ149" s="0" t="n"/>
      <c r="HL149" s="0">
        <f>C149</f>
        <v/>
      </c>
      <c r="HM149" s="0" t="n">
        <v>154404.25</v>
      </c>
      <c r="HN149" s="0">
        <f>HM150</f>
        <v/>
      </c>
      <c r="HO149" s="0">
        <f>HM149-HN149</f>
        <v/>
      </c>
      <c r="HP149" s="0">
        <f>HO149/HN149</f>
        <v/>
      </c>
      <c r="HR149" s="0" t="n"/>
      <c r="HT149" s="0">
        <f>C149</f>
        <v/>
      </c>
      <c r="HU149" s="0" t="n">
        <v>260068.82</v>
      </c>
      <c r="HV149" s="0">
        <f>HU150</f>
        <v/>
      </c>
      <c r="HW149" s="0">
        <f>HU149-HV149</f>
        <v/>
      </c>
      <c r="HX149" s="0">
        <f>HW149/HV149</f>
        <v/>
      </c>
      <c r="HZ149" s="0" t="n"/>
      <c r="IB149" s="0">
        <f>C149</f>
        <v/>
      </c>
      <c r="IC149" s="0" t="n">
        <v>398959.79</v>
      </c>
      <c r="ID149" s="0">
        <f>IC150</f>
        <v/>
      </c>
      <c r="IE149" s="0">
        <f>IC149-ID149</f>
        <v/>
      </c>
      <c r="IF149" s="0">
        <f>IE149/ID149</f>
        <v/>
      </c>
      <c r="IH149" s="0" t="n"/>
      <c r="IJ149" s="0">
        <f>C149</f>
        <v/>
      </c>
      <c r="IK149" s="0" t="n">
        <v>576796.29</v>
      </c>
      <c r="IL149" s="0">
        <f>IK150</f>
        <v/>
      </c>
      <c r="IM149" s="0">
        <f>IK149-IL149</f>
        <v/>
      </c>
      <c r="IN149" s="0">
        <f>IM149/IL149</f>
        <v/>
      </c>
      <c r="IP149" s="0" t="n"/>
      <c r="IR149" s="0">
        <f>C149</f>
        <v/>
      </c>
      <c r="IS149" s="0" t="n">
        <v>140889</v>
      </c>
      <c r="IT149" s="0">
        <f>IS150</f>
        <v/>
      </c>
      <c r="IU149" s="0">
        <f>IS149-IT149</f>
        <v/>
      </c>
      <c r="IV149" s="0">
        <f>IU149/IT149</f>
        <v/>
      </c>
      <c r="IX149" s="0" t="n"/>
      <c r="IZ149" s="0">
        <f>C149</f>
        <v/>
      </c>
      <c r="JA149" s="0" t="n">
        <v>4852729.15</v>
      </c>
      <c r="JB149" s="0">
        <f>JA150</f>
        <v/>
      </c>
      <c r="JC149" s="0">
        <f>JA149-JB149</f>
        <v/>
      </c>
      <c r="JD149" s="0">
        <f>JC149/JB149</f>
        <v/>
      </c>
      <c r="JF149" s="0" t="n"/>
      <c r="JH149" s="0">
        <f>C149</f>
        <v/>
      </c>
      <c r="JI149" s="0" t="n">
        <v>1387527.99</v>
      </c>
      <c r="JJ149" s="0">
        <f>JI150</f>
        <v/>
      </c>
      <c r="JK149" s="0">
        <f>JI149-JJ149</f>
        <v/>
      </c>
      <c r="JL149" s="0">
        <f>JK149/JJ149</f>
        <v/>
      </c>
      <c r="JN149" s="0" t="n"/>
      <c r="JP149" s="0">
        <f>C149</f>
        <v/>
      </c>
      <c r="JQ149" s="0" t="n">
        <v>1044790.41</v>
      </c>
      <c r="JR149" s="0">
        <f>JQ150</f>
        <v/>
      </c>
      <c r="JS149" s="0">
        <f>JQ149-JR149</f>
        <v/>
      </c>
      <c r="JT149" s="0">
        <f>JS149/JR149</f>
        <v/>
      </c>
      <c r="JV149" s="0" t="n"/>
      <c r="JX149" s="0">
        <f>C149</f>
        <v/>
      </c>
      <c r="JY149" s="0" t="n">
        <v>1203048.8</v>
      </c>
      <c r="JZ149" s="0">
        <f>JY150</f>
        <v/>
      </c>
      <c r="KA149" s="0">
        <f>JY149-JZ149</f>
        <v/>
      </c>
      <c r="KB149" s="0">
        <f>KA149/JZ149</f>
        <v/>
      </c>
      <c r="KD149" s="0" t="n"/>
      <c r="KF149" s="0">
        <f>C149</f>
        <v/>
      </c>
      <c r="KG149" s="0" t="n">
        <v>732555.92</v>
      </c>
      <c r="KH149" s="711">
        <f>KG150</f>
        <v/>
      </c>
      <c r="KI149" s="0">
        <f>KG149-KH149</f>
        <v/>
      </c>
      <c r="KJ149" s="711">
        <f>KI149/KH149</f>
        <v/>
      </c>
      <c r="KL149" s="0" t="n"/>
      <c r="KN149" s="0">
        <f>C149</f>
        <v/>
      </c>
      <c r="KO149" s="0" t="n">
        <v>8320775.95</v>
      </c>
      <c r="KP149" s="0">
        <f>KO150</f>
        <v/>
      </c>
      <c r="KQ149" s="0">
        <f>KO149-KP149</f>
        <v/>
      </c>
      <c r="KR149" s="0">
        <f>KQ149/KP149</f>
        <v/>
      </c>
      <c r="KT149" s="0" t="n"/>
      <c r="KV149" s="0">
        <f>C149</f>
        <v/>
      </c>
      <c r="KW149" s="0" t="n">
        <v>963472.97</v>
      </c>
      <c r="KX149" s="0">
        <f>KW150</f>
        <v/>
      </c>
      <c r="KY149" s="0">
        <f>KW149-KX149</f>
        <v/>
      </c>
      <c r="KZ149" s="0">
        <f>KY149/KX149</f>
        <v/>
      </c>
      <c r="LB149" s="0" t="n"/>
      <c r="LD149" s="0">
        <f>C149</f>
        <v/>
      </c>
      <c r="LE149" s="0" t="n">
        <v>457507.7</v>
      </c>
      <c r="LF149" s="0">
        <f>LE150</f>
        <v/>
      </c>
      <c r="LG149" s="0">
        <f>LE149-LF149</f>
        <v/>
      </c>
      <c r="LH149" s="0">
        <f>LG149/LF149</f>
        <v/>
      </c>
      <c r="LJ149" s="0" t="n"/>
      <c r="LL149" s="0">
        <f>C149</f>
        <v/>
      </c>
      <c r="LM149" s="0" t="n">
        <v>3506155.02</v>
      </c>
      <c r="LN149" s="0">
        <f>LM150</f>
        <v/>
      </c>
      <c r="LO149" s="0">
        <f>LM149-LN149</f>
        <v/>
      </c>
      <c r="LP149" s="0">
        <f>LO149/LN149</f>
        <v/>
      </c>
      <c r="LR149" s="0" t="n"/>
      <c r="LT149" s="0">
        <f>C149</f>
        <v/>
      </c>
      <c r="LU149" s="0" t="n">
        <v>2604662.9</v>
      </c>
      <c r="LV149" s="0">
        <f>LU150</f>
        <v/>
      </c>
      <c r="LW149" s="0">
        <f>LU149-LV149</f>
        <v/>
      </c>
      <c r="LX149" s="0">
        <f>LW149/LV149</f>
        <v/>
      </c>
      <c r="LZ149" s="0" t="n"/>
      <c r="MB149" s="0">
        <f>C149</f>
        <v/>
      </c>
      <c r="MC149" s="0" t="n">
        <v>750817.6899999999</v>
      </c>
      <c r="MD149" s="0">
        <f>MC150</f>
        <v/>
      </c>
      <c r="ME149" s="0">
        <f>MC149-MD149</f>
        <v/>
      </c>
      <c r="MF149" s="0">
        <f>ME149/MD149</f>
        <v/>
      </c>
      <c r="MH149" s="0" t="n"/>
      <c r="MJ149" s="711" t="n"/>
      <c r="MK149" s="0">
        <f>C149</f>
        <v/>
      </c>
      <c r="ML149" s="711" t="n">
        <v>215505.53</v>
      </c>
      <c r="MM149" s="0">
        <f>ML150</f>
        <v/>
      </c>
      <c r="MN149" s="711">
        <f>ML149-MM149</f>
        <v/>
      </c>
      <c r="MO149" s="0">
        <f>MN149/MM149</f>
        <v/>
      </c>
      <c r="MQ149" s="0" t="n"/>
      <c r="MS149" s="0" t="n"/>
      <c r="MT149" s="0">
        <f>C149</f>
        <v/>
      </c>
      <c r="MU149" s="0" t="n">
        <v>256514.8</v>
      </c>
      <c r="MV149" s="0">
        <f>MU150</f>
        <v/>
      </c>
      <c r="MW149" s="0">
        <f>MU149-MV149</f>
        <v/>
      </c>
      <c r="MX149" s="0">
        <f>MW149/MV149</f>
        <v/>
      </c>
      <c r="MZ149" s="0" t="n"/>
      <c r="NB149" s="0" t="n"/>
      <c r="NC149" s="0">
        <f>C149</f>
        <v/>
      </c>
      <c r="ND149" s="0" t="n">
        <v>44091.48</v>
      </c>
      <c r="NE149" s="0">
        <f>ND150</f>
        <v/>
      </c>
      <c r="NF149" s="0">
        <f>ND149-NE149</f>
        <v/>
      </c>
      <c r="NG149" s="0">
        <f>NF149/NE149</f>
        <v/>
      </c>
      <c r="NI149" s="0" t="n"/>
      <c r="NL149" s="0" t="n"/>
      <c r="NM149" s="0">
        <f>C149</f>
        <v/>
      </c>
      <c r="NN149" s="0" t="n">
        <v>2614911.08</v>
      </c>
      <c r="NO149" s="0">
        <f>NN150</f>
        <v/>
      </c>
      <c r="NP149" s="0">
        <f>NN149-NO149</f>
        <v/>
      </c>
      <c r="NQ149" s="0">
        <f>NP149/NO149</f>
        <v/>
      </c>
      <c r="NS149" s="0" t="n"/>
      <c r="NU149" s="0">
        <f>C149</f>
        <v/>
      </c>
      <c r="NV149" s="711" t="n">
        <v>249526.5</v>
      </c>
      <c r="NW149" s="0">
        <f>NV150</f>
        <v/>
      </c>
      <c r="NX149" s="711">
        <f>NV149-NW149</f>
        <v/>
      </c>
      <c r="NY149" s="0">
        <f>NX149/NW149</f>
        <v/>
      </c>
      <c r="OA149" s="0" t="n"/>
      <c r="OC149" s="0">
        <f>C149</f>
        <v/>
      </c>
      <c r="OD149" s="0" t="n">
        <v>12632.97</v>
      </c>
      <c r="OE149" s="0">
        <f>OD150</f>
        <v/>
      </c>
      <c r="OF149" s="0">
        <f>OD149-OE149</f>
        <v/>
      </c>
      <c r="OG149" s="0">
        <f>OF149/OE149</f>
        <v/>
      </c>
      <c r="OI149" s="0" t="n"/>
      <c r="OK149" s="0">
        <f>C149</f>
        <v/>
      </c>
      <c r="OL149" s="0" t="n">
        <v>11714.65</v>
      </c>
      <c r="OM149" s="0">
        <f>OL150</f>
        <v/>
      </c>
      <c r="ON149" s="0">
        <f>OL149-OM149</f>
        <v/>
      </c>
      <c r="OO149" s="0">
        <f>ON149/OM149</f>
        <v/>
      </c>
      <c r="OQ149" s="0" t="n"/>
      <c r="OT149" s="0">
        <f>OK149</f>
        <v/>
      </c>
      <c r="OU149" s="0" t="n">
        <v>144552.4066</v>
      </c>
      <c r="OV149" s="0">
        <f>OU150</f>
        <v/>
      </c>
      <c r="OW149" s="0">
        <f>OU149-OV149</f>
        <v/>
      </c>
      <c r="OX149" s="0">
        <f>OW149/OV149</f>
        <v/>
      </c>
    </row>
    <row r="150">
      <c r="C150" s="0" t="inlineStr">
        <is>
          <t>2026//4/9</t>
        </is>
      </c>
      <c r="D150" s="0" t="n">
        <v>4476378.77</v>
      </c>
      <c r="E150" s="0">
        <f>D151</f>
        <v/>
      </c>
      <c r="F150" s="0">
        <f>D150-E150</f>
        <v/>
      </c>
      <c r="G150" s="0">
        <f>F150/E150</f>
        <v/>
      </c>
      <c r="I150" s="0" t="n"/>
      <c r="K150" s="0">
        <f>C150</f>
        <v/>
      </c>
      <c r="L150" s="0" t="n">
        <v>3156544.4</v>
      </c>
      <c r="M150" s="0">
        <f>L151</f>
        <v/>
      </c>
      <c r="N150" s="0">
        <f>L150-M150</f>
        <v/>
      </c>
      <c r="O150" s="0">
        <f>N150/M150</f>
        <v/>
      </c>
      <c r="Q150" s="0" t="n"/>
      <c r="S150" s="0">
        <f>C150</f>
        <v/>
      </c>
      <c r="T150" s="0" t="n">
        <v>2296326.68</v>
      </c>
      <c r="U150" s="0">
        <f>T151</f>
        <v/>
      </c>
      <c r="V150" s="0">
        <f>T150-U150</f>
        <v/>
      </c>
      <c r="W150" s="0">
        <f>V150/U150</f>
        <v/>
      </c>
      <c r="Y150" s="0" t="n"/>
      <c r="AA150" s="0">
        <f>S150</f>
        <v/>
      </c>
      <c r="AB150" s="0" t="n">
        <v>1015296.86</v>
      </c>
      <c r="AC150" s="0">
        <f>AB151</f>
        <v/>
      </c>
      <c r="AD150" s="0">
        <f>AB150-AC150</f>
        <v/>
      </c>
      <c r="AE150" s="0">
        <f>AD150/AC150</f>
        <v/>
      </c>
      <c r="AG150" s="0" t="n"/>
      <c r="AI150" s="0">
        <f>C150</f>
        <v/>
      </c>
      <c r="AJ150" s="0" t="n">
        <v>813521.76</v>
      </c>
      <c r="AK150" s="0">
        <f>AJ151</f>
        <v/>
      </c>
      <c r="AL150" s="0">
        <f>AJ150-AK150</f>
        <v/>
      </c>
      <c r="AM150" s="0">
        <f>AL150/AK150</f>
        <v/>
      </c>
      <c r="AO150" s="0" t="n"/>
      <c r="AQ150" s="0">
        <f>C150</f>
        <v/>
      </c>
      <c r="AR150" s="0" t="n">
        <v>1523845.49</v>
      </c>
      <c r="AS150" s="0">
        <f>AR151</f>
        <v/>
      </c>
      <c r="AT150" s="0">
        <f>AR150-AS150</f>
        <v/>
      </c>
      <c r="AU150" s="0">
        <f>AT150/AS150</f>
        <v/>
      </c>
      <c r="AW150" s="0" t="n"/>
      <c r="AY150" s="0" t="n"/>
      <c r="AZ150" s="0">
        <f>C150</f>
        <v/>
      </c>
      <c r="BA150" s="0" t="n">
        <v>1974441.66</v>
      </c>
      <c r="BB150" s="0">
        <f>BA151</f>
        <v/>
      </c>
      <c r="BC150" s="0">
        <f>BA150-BB150</f>
        <v/>
      </c>
      <c r="BD150" s="0">
        <f>BC150/BB150</f>
        <v/>
      </c>
      <c r="BF150" s="0" t="n"/>
      <c r="BH150" s="0">
        <f>C150</f>
        <v/>
      </c>
      <c r="BI150" s="0" t="n">
        <v>1571226.55</v>
      </c>
      <c r="BJ150" s="0">
        <f>BI151</f>
        <v/>
      </c>
      <c r="BK150" s="0">
        <f>BI150-BJ150</f>
        <v/>
      </c>
      <c r="BL150" s="0">
        <f>BK150/BJ150</f>
        <v/>
      </c>
      <c r="BN150" s="0" t="n"/>
      <c r="BP150" s="0">
        <f>C150</f>
        <v/>
      </c>
      <c r="BQ150" s="0" t="n">
        <v>1127662.39</v>
      </c>
      <c r="BR150" s="0">
        <f>BQ151</f>
        <v/>
      </c>
      <c r="BS150" s="0">
        <f>BQ150-BR150</f>
        <v/>
      </c>
      <c r="BT150" s="0">
        <f>BS150/BR150</f>
        <v/>
      </c>
      <c r="BV150" s="0" t="n"/>
      <c r="BX150" s="0">
        <f>C150</f>
        <v/>
      </c>
      <c r="BY150" s="0" t="n">
        <v>3282310.7</v>
      </c>
      <c r="BZ150" s="0">
        <f>BY151</f>
        <v/>
      </c>
      <c r="CA150" s="0">
        <f>BY150-BZ150</f>
        <v/>
      </c>
      <c r="CB150" s="0">
        <f>CA150/BZ150</f>
        <v/>
      </c>
      <c r="CD150" s="0" t="n"/>
      <c r="CF150" s="0">
        <f>C150</f>
        <v/>
      </c>
      <c r="CG150" s="0" t="n">
        <v>1400903.9</v>
      </c>
      <c r="CH150" s="0">
        <f>CG151</f>
        <v/>
      </c>
      <c r="CI150" s="0">
        <f>CG150-CH150</f>
        <v/>
      </c>
      <c r="CJ150" s="0">
        <f>CI150/CH150</f>
        <v/>
      </c>
      <c r="CL150" s="0" t="n"/>
      <c r="CN150" s="0">
        <f>C150</f>
        <v/>
      </c>
      <c r="CO150" s="0" t="n">
        <v>667246.48</v>
      </c>
      <c r="CP150" s="0">
        <f>CO151</f>
        <v/>
      </c>
      <c r="CQ150" s="0">
        <f>CO150-CP150</f>
        <v/>
      </c>
      <c r="CR150" s="0">
        <f>CQ150/CP150</f>
        <v/>
      </c>
      <c r="CS150" s="0" t="n"/>
      <c r="CT150" s="0" t="n"/>
      <c r="CV150" s="0">
        <f>C150</f>
        <v/>
      </c>
      <c r="CW150" s="0" t="n">
        <v>598840.4</v>
      </c>
      <c r="CX150" s="0">
        <f>CW151</f>
        <v/>
      </c>
      <c r="CY150" s="0">
        <f>CW150-CX150</f>
        <v/>
      </c>
      <c r="CZ150" s="0">
        <f>CY150/CX150</f>
        <v/>
      </c>
      <c r="DB150" s="0" t="n"/>
      <c r="DC150" s="0" t="n"/>
      <c r="DD150" s="0">
        <f>C150</f>
        <v/>
      </c>
      <c r="DE150" s="0" t="n">
        <v>2398317.99</v>
      </c>
      <c r="DF150" s="0">
        <f>DE151</f>
        <v/>
      </c>
      <c r="DG150" s="0">
        <f>DE150-DF150</f>
        <v/>
      </c>
      <c r="DH150" s="0">
        <f>DG150/DF150</f>
        <v/>
      </c>
      <c r="DJ150" s="0" t="n"/>
      <c r="DL150" s="0">
        <f>C150</f>
        <v/>
      </c>
      <c r="DM150" s="0" t="n">
        <v>1331700.36</v>
      </c>
      <c r="DN150" s="0">
        <f>DM151</f>
        <v/>
      </c>
      <c r="DO150" s="0">
        <f>DM150-DN150</f>
        <v/>
      </c>
      <c r="DP150" s="0">
        <f>DO150/DN150</f>
        <v/>
      </c>
      <c r="DR150" s="0" t="n"/>
      <c r="DT150" s="0">
        <f>C150</f>
        <v/>
      </c>
      <c r="DU150" s="0" t="n">
        <v>1625789.48</v>
      </c>
      <c r="DV150" s="0">
        <f>DU151</f>
        <v/>
      </c>
      <c r="DW150" s="0">
        <f>DU150-DV150</f>
        <v/>
      </c>
      <c r="DX150" s="0">
        <f>DW150/DV150</f>
        <v/>
      </c>
      <c r="DZ150" s="0" t="n"/>
      <c r="EB150" s="0">
        <f>C150</f>
        <v/>
      </c>
      <c r="EC150" s="0" t="n">
        <v>5083166.82</v>
      </c>
      <c r="ED150" s="0">
        <f>EC151</f>
        <v/>
      </c>
      <c r="EE150" s="0">
        <f>EC150-ED150</f>
        <v/>
      </c>
      <c r="EF150" s="0">
        <f>EE150/ED150</f>
        <v/>
      </c>
      <c r="EH150" s="0" t="n"/>
      <c r="EJ150" s="0">
        <f>C150</f>
        <v/>
      </c>
      <c r="EK150" s="0" t="n">
        <v>1507722.96</v>
      </c>
      <c r="EL150" s="0">
        <f>EK151</f>
        <v/>
      </c>
      <c r="EM150" s="0">
        <f>EK150-EL150</f>
        <v/>
      </c>
      <c r="EN150" s="0">
        <f>EM150/EL150</f>
        <v/>
      </c>
      <c r="EP150" s="0" t="n"/>
      <c r="ER150" s="0">
        <f>C150</f>
        <v/>
      </c>
      <c r="ES150" s="0" t="n">
        <v>520397.02</v>
      </c>
      <c r="ET150" s="0">
        <f>ES151</f>
        <v/>
      </c>
      <c r="EU150" s="0">
        <f>ES150-ET150</f>
        <v/>
      </c>
      <c r="EV150" s="0">
        <f>EU150/ET150</f>
        <v/>
      </c>
      <c r="EX150" s="0" t="n"/>
      <c r="EZ150" s="0">
        <f>C150</f>
        <v/>
      </c>
      <c r="FA150" s="0" t="n">
        <v>735208</v>
      </c>
      <c r="FB150" s="0">
        <f>FA151</f>
        <v/>
      </c>
      <c r="FC150" s="0">
        <f>FA150-FB150</f>
        <v/>
      </c>
      <c r="FD150" s="0">
        <f>FC150/FB150</f>
        <v/>
      </c>
      <c r="FF150" s="0" t="n"/>
      <c r="FH150" s="0">
        <f>C150</f>
        <v/>
      </c>
      <c r="FI150" s="0" t="n">
        <v>1069295.33</v>
      </c>
      <c r="FJ150" s="0">
        <f>FI151</f>
        <v/>
      </c>
      <c r="FK150" s="0">
        <f>FI150-FJ150</f>
        <v/>
      </c>
      <c r="FL150" s="518">
        <f>FK150/FJ150</f>
        <v/>
      </c>
      <c r="FN150" s="0" t="n"/>
      <c r="FP150" s="0">
        <f>C150</f>
        <v/>
      </c>
      <c r="FQ150" s="0" t="n">
        <v>2232868.73</v>
      </c>
      <c r="FR150" s="0">
        <f>FQ151</f>
        <v/>
      </c>
      <c r="FS150" s="0">
        <f>FQ150-FR150</f>
        <v/>
      </c>
      <c r="FT150" s="0">
        <f>FS150/FR150</f>
        <v/>
      </c>
      <c r="FV150" s="0" t="n"/>
      <c r="FX150" s="0">
        <f>C150</f>
        <v/>
      </c>
      <c r="FY150" s="0" t="n">
        <v>8358482.05</v>
      </c>
      <c r="FZ150" s="0">
        <f>FY151</f>
        <v/>
      </c>
      <c r="GA150" s="0">
        <f>FY150-FZ150</f>
        <v/>
      </c>
      <c r="GB150" s="0">
        <f>GA150/FZ150</f>
        <v/>
      </c>
      <c r="GD150" s="0" t="n"/>
      <c r="GF150" s="0">
        <f>C150</f>
        <v/>
      </c>
      <c r="GG150" s="0" t="n">
        <v>4608669.49</v>
      </c>
      <c r="GH150" s="0">
        <f>GG151</f>
        <v/>
      </c>
      <c r="GI150" s="0">
        <f>GG150-GH150</f>
        <v/>
      </c>
      <c r="GJ150" s="0">
        <f>GI150/GH150</f>
        <v/>
      </c>
      <c r="GL150" s="0" t="n"/>
      <c r="GN150" s="0">
        <f>C150</f>
        <v/>
      </c>
      <c r="GO150" s="0" t="n">
        <v>1775278.12</v>
      </c>
      <c r="GP150" s="0">
        <f>GO151</f>
        <v/>
      </c>
      <c r="GQ150" s="0">
        <f>GO150-GP150</f>
        <v/>
      </c>
      <c r="GR150" s="0">
        <f>GQ150/GP150</f>
        <v/>
      </c>
      <c r="GT150" s="0" t="n"/>
      <c r="GV150" s="0">
        <f>C150</f>
        <v/>
      </c>
      <c r="GW150" s="0" t="n">
        <v>980149.4</v>
      </c>
      <c r="GX150" s="0">
        <f>GW151</f>
        <v/>
      </c>
      <c r="GY150" s="0">
        <f>GW150-GX150</f>
        <v/>
      </c>
      <c r="GZ150" s="0">
        <f>GY150/GX150</f>
        <v/>
      </c>
      <c r="HB150" s="0" t="n"/>
      <c r="HD150" s="0">
        <f>C150</f>
        <v/>
      </c>
      <c r="HE150" s="0" t="n">
        <v>1105764.67</v>
      </c>
      <c r="HF150" s="0">
        <f>HE151</f>
        <v/>
      </c>
      <c r="HG150" s="0">
        <f>HE150-HF150</f>
        <v/>
      </c>
      <c r="HH150" s="0">
        <f>HG150/HF150</f>
        <v/>
      </c>
      <c r="HJ150" s="0" t="n"/>
      <c r="HL150" s="0">
        <f>C150</f>
        <v/>
      </c>
      <c r="HM150" s="0" t="n">
        <v>154954.25</v>
      </c>
      <c r="HN150" s="0">
        <f>HM151</f>
        <v/>
      </c>
      <c r="HO150" s="0">
        <f>HM150-HN150</f>
        <v/>
      </c>
      <c r="HP150" s="0">
        <f>HO150/HN150</f>
        <v/>
      </c>
      <c r="HR150" s="0" t="n"/>
      <c r="HT150" s="0">
        <f>C150</f>
        <v/>
      </c>
      <c r="HU150" s="0" t="n">
        <v>259868.82</v>
      </c>
      <c r="HV150" s="0">
        <f>HU151</f>
        <v/>
      </c>
      <c r="HW150" s="0">
        <f>HU150-HV150</f>
        <v/>
      </c>
      <c r="HX150" s="0">
        <f>HW150/HV150</f>
        <v/>
      </c>
      <c r="HZ150" s="0" t="n"/>
      <c r="IB150" s="0">
        <f>C150</f>
        <v/>
      </c>
      <c r="IC150" s="0" t="n">
        <v>398684.79</v>
      </c>
      <c r="ID150" s="0">
        <f>IC151</f>
        <v/>
      </c>
      <c r="IE150" s="0">
        <f>IC150-ID150</f>
        <v/>
      </c>
      <c r="IF150" s="0">
        <f>IE150/ID150</f>
        <v/>
      </c>
      <c r="IH150" s="0" t="n"/>
      <c r="IJ150" s="0">
        <f>C150</f>
        <v/>
      </c>
      <c r="IK150" s="0" t="n">
        <v>577276.29</v>
      </c>
      <c r="IL150" s="0">
        <f>IK151</f>
        <v/>
      </c>
      <c r="IM150" s="0">
        <f>IK150-IL150</f>
        <v/>
      </c>
      <c r="IN150" s="0">
        <f>IM150/IL150</f>
        <v/>
      </c>
      <c r="IP150" s="0" t="n"/>
      <c r="IR150" s="0">
        <f>C150</f>
        <v/>
      </c>
      <c r="IS150" s="0" t="n">
        <v>140389</v>
      </c>
      <c r="IT150" s="0">
        <f>IS151</f>
        <v/>
      </c>
      <c r="IU150" s="0">
        <f>IS150-IT150</f>
        <v/>
      </c>
      <c r="IV150" s="0">
        <f>IU150/IT150</f>
        <v/>
      </c>
      <c r="IX150" s="0" t="n"/>
      <c r="IZ150" s="0">
        <f>C150</f>
        <v/>
      </c>
      <c r="JA150" s="0" t="n">
        <v>4993529.15</v>
      </c>
      <c r="JB150" s="0">
        <f>JA151</f>
        <v/>
      </c>
      <c r="JC150" s="0">
        <f>JA150-JB150</f>
        <v/>
      </c>
      <c r="JD150" s="0">
        <f>JC150/JB150</f>
        <v/>
      </c>
      <c r="JF150" s="0" t="n"/>
      <c r="JH150" s="0">
        <f>C150</f>
        <v/>
      </c>
      <c r="JI150" s="0" t="n">
        <v>1415127.99</v>
      </c>
      <c r="JJ150" s="0">
        <f>JI151</f>
        <v/>
      </c>
      <c r="JK150" s="0">
        <f>JI150-JJ150</f>
        <v/>
      </c>
      <c r="JL150" s="0">
        <f>JK150/JJ150</f>
        <v/>
      </c>
      <c r="JN150" s="0" t="n"/>
      <c r="JP150" s="0">
        <f>C150</f>
        <v/>
      </c>
      <c r="JQ150" s="0" t="n">
        <v>1038990.41</v>
      </c>
      <c r="JR150" s="0">
        <f>JQ151</f>
        <v/>
      </c>
      <c r="JS150" s="0">
        <f>JQ150-JR150</f>
        <v/>
      </c>
      <c r="JT150" s="0">
        <f>JS150/JR150</f>
        <v/>
      </c>
      <c r="JV150" s="0" t="n"/>
      <c r="JX150" s="0">
        <f>C150</f>
        <v/>
      </c>
      <c r="JY150" s="0" t="n">
        <v>1212648.8</v>
      </c>
      <c r="JZ150" s="0">
        <f>JY151</f>
        <v/>
      </c>
      <c r="KA150" s="0">
        <f>JY150-JZ150</f>
        <v/>
      </c>
      <c r="KB150" s="0">
        <f>KA150/JZ150</f>
        <v/>
      </c>
      <c r="KD150" s="0" t="n"/>
      <c r="KF150" s="0">
        <f>C150</f>
        <v/>
      </c>
      <c r="KG150" s="0" t="n">
        <v>732555.92</v>
      </c>
      <c r="KH150" s="711">
        <f>KG151</f>
        <v/>
      </c>
      <c r="KI150" s="0">
        <f>KG150-KH150</f>
        <v/>
      </c>
      <c r="KJ150" s="711">
        <f>KI150/KH150</f>
        <v/>
      </c>
      <c r="KL150" s="0" t="n"/>
      <c r="KN150" s="0">
        <f>C150</f>
        <v/>
      </c>
      <c r="KO150" s="0" t="n">
        <v>8320775.95</v>
      </c>
      <c r="KP150" s="0">
        <f>KO151</f>
        <v/>
      </c>
      <c r="KQ150" s="0">
        <f>KO150-KP150</f>
        <v/>
      </c>
      <c r="KR150" s="0">
        <f>KQ150/KP150</f>
        <v/>
      </c>
      <c r="KT150" s="0" t="n"/>
      <c r="KV150" s="0">
        <f>C150</f>
        <v/>
      </c>
      <c r="KW150" s="0" t="n">
        <v>963472.97</v>
      </c>
      <c r="KX150" s="0">
        <f>KW151</f>
        <v/>
      </c>
      <c r="KY150" s="0">
        <f>KW150-KX150</f>
        <v/>
      </c>
      <c r="KZ150" s="0">
        <f>KY150/KX150</f>
        <v/>
      </c>
      <c r="LB150" s="0" t="n"/>
      <c r="LD150" s="0">
        <f>C150</f>
        <v/>
      </c>
      <c r="LE150" s="0" t="n">
        <v>459457.7</v>
      </c>
      <c r="LF150" s="0">
        <f>LE151</f>
        <v/>
      </c>
      <c r="LG150" s="0">
        <f>LE150-LF150</f>
        <v/>
      </c>
      <c r="LH150" s="0">
        <f>LG150/LF150</f>
        <v/>
      </c>
      <c r="LJ150" s="0" t="n"/>
      <c r="LL150" s="0">
        <f>C150</f>
        <v/>
      </c>
      <c r="LM150" s="0" t="n">
        <v>3503635.02</v>
      </c>
      <c r="LN150" s="0">
        <f>LM151</f>
        <v/>
      </c>
      <c r="LO150" s="0">
        <f>LM150-LN150</f>
        <v/>
      </c>
      <c r="LP150" s="0">
        <f>LO150/LN150</f>
        <v/>
      </c>
      <c r="LR150" s="0" t="n"/>
      <c r="LT150" s="0">
        <f>C150</f>
        <v/>
      </c>
      <c r="LU150" s="0" t="n">
        <v>2660662.9</v>
      </c>
      <c r="LV150" s="0">
        <f>LU151</f>
        <v/>
      </c>
      <c r="LW150" s="0">
        <f>LU150-LV150</f>
        <v/>
      </c>
      <c r="LX150" s="0">
        <f>LW150/LV150</f>
        <v/>
      </c>
      <c r="LZ150" s="0" t="n"/>
      <c r="MB150" s="0">
        <f>C150</f>
        <v/>
      </c>
      <c r="MC150" s="0" t="n">
        <v>746067.6899999999</v>
      </c>
      <c r="MD150" s="0">
        <f>MC151</f>
        <v/>
      </c>
      <c r="ME150" s="0">
        <f>MC150-MD150</f>
        <v/>
      </c>
      <c r="MF150" s="0">
        <f>ME150/MD150</f>
        <v/>
      </c>
      <c r="MH150" s="0" t="n"/>
      <c r="MJ150" s="711" t="n"/>
      <c r="MK150" s="0">
        <f>C150</f>
        <v/>
      </c>
      <c r="ML150" s="711" t="n">
        <v>216345.53</v>
      </c>
      <c r="MM150" s="0">
        <f>ML151</f>
        <v/>
      </c>
      <c r="MN150" s="711">
        <f>ML150-MM150</f>
        <v/>
      </c>
      <c r="MO150" s="0">
        <f>MN150/MM150</f>
        <v/>
      </c>
      <c r="MQ150" s="0" t="n"/>
      <c r="MS150" s="0" t="n"/>
      <c r="MT150" s="0">
        <f>C150</f>
        <v/>
      </c>
      <c r="MU150" s="0" t="n">
        <v>260614.8</v>
      </c>
      <c r="MV150" s="0">
        <f>MU151</f>
        <v/>
      </c>
      <c r="MW150" s="0">
        <f>MU150-MV150</f>
        <v/>
      </c>
      <c r="MX150" s="0">
        <f>MW150/MV150</f>
        <v/>
      </c>
      <c r="MZ150" s="0" t="n"/>
      <c r="NB150" s="0" t="n"/>
      <c r="NC150" s="0">
        <f>C150</f>
        <v/>
      </c>
      <c r="ND150" s="0" t="n">
        <v>44691.48</v>
      </c>
      <c r="NE150" s="0">
        <f>ND151</f>
        <v/>
      </c>
      <c r="NF150" s="0">
        <f>ND150-NE150</f>
        <v/>
      </c>
      <c r="NG150" s="0">
        <f>NF150/NE150</f>
        <v/>
      </c>
      <c r="NI150" s="0" t="n"/>
      <c r="NL150" s="0" t="n"/>
      <c r="NM150" s="0">
        <f>C150</f>
        <v/>
      </c>
      <c r="NN150" s="0" t="n">
        <v>2631711.08</v>
      </c>
      <c r="NO150" s="0">
        <f>NN151</f>
        <v/>
      </c>
      <c r="NP150" s="0">
        <f>NN150-NO150</f>
        <v/>
      </c>
      <c r="NQ150" s="0">
        <f>NP150/NO150</f>
        <v/>
      </c>
      <c r="NS150" s="0" t="n"/>
      <c r="NU150" s="0">
        <f>C150</f>
        <v/>
      </c>
      <c r="NV150" s="711" t="n">
        <v>248576.5</v>
      </c>
      <c r="NW150" s="0">
        <f>NV151</f>
        <v/>
      </c>
      <c r="NX150" s="711">
        <f>NV150-NW150</f>
        <v/>
      </c>
      <c r="NY150" s="0">
        <f>NX150/NW150</f>
        <v/>
      </c>
      <c r="OA150" s="0" t="n"/>
      <c r="OC150" s="0">
        <f>C150</f>
        <v/>
      </c>
      <c r="OD150" s="0" t="n">
        <v>12234.97</v>
      </c>
      <c r="OE150" s="0">
        <f>OD151</f>
        <v/>
      </c>
      <c r="OF150" s="0">
        <f>OD150-OE150</f>
        <v/>
      </c>
      <c r="OG150" s="0">
        <f>OF150/OE150</f>
        <v/>
      </c>
      <c r="OI150" s="0" t="n"/>
      <c r="OK150" s="0">
        <f>C150</f>
        <v/>
      </c>
      <c r="OL150" s="0" t="n">
        <v>11674.65</v>
      </c>
      <c r="OM150" s="0">
        <f>OL151</f>
        <v/>
      </c>
      <c r="ON150" s="0">
        <f>OL150-OM150</f>
        <v/>
      </c>
      <c r="OO150" s="0">
        <f>ON150/OM150</f>
        <v/>
      </c>
      <c r="OQ150" s="0" t="n"/>
      <c r="OT150" s="0">
        <f>OK150</f>
        <v/>
      </c>
      <c r="OU150" s="0" t="n">
        <v>144432.4066</v>
      </c>
      <c r="OV150" s="0">
        <f>OU151</f>
        <v/>
      </c>
      <c r="OW150" s="0">
        <f>OU150-OV150</f>
        <v/>
      </c>
      <c r="OX150" s="0">
        <f>OW150/OV150</f>
        <v/>
      </c>
    </row>
    <row r="151">
      <c r="C151" s="0" t="inlineStr">
        <is>
          <t>2026//4/8</t>
        </is>
      </c>
      <c r="D151" s="0" t="n">
        <v>4516518.77</v>
      </c>
      <c r="E151" s="0">
        <f>D152</f>
        <v/>
      </c>
      <c r="F151" s="0">
        <f>D151-E151</f>
        <v/>
      </c>
      <c r="G151" s="0">
        <f>F151/E151</f>
        <v/>
      </c>
      <c r="I151" s="0" t="n"/>
      <c r="K151" s="0">
        <f>C151</f>
        <v/>
      </c>
      <c r="L151" s="0" t="n">
        <v>3165814.4</v>
      </c>
      <c r="M151" s="0">
        <f>L152</f>
        <v/>
      </c>
      <c r="N151" s="0">
        <f>L151-M151</f>
        <v/>
      </c>
      <c r="O151" s="0">
        <f>N151/M151</f>
        <v/>
      </c>
      <c r="Q151" s="0" t="n"/>
      <c r="S151" s="0">
        <f>C151</f>
        <v/>
      </c>
      <c r="T151" s="0" t="n">
        <v>2315226.68</v>
      </c>
      <c r="U151" s="0">
        <f>T152</f>
        <v/>
      </c>
      <c r="V151" s="0">
        <f>T151-U151</f>
        <v/>
      </c>
      <c r="W151" s="0">
        <f>V151/U151</f>
        <v/>
      </c>
      <c r="Y151" s="0" t="n"/>
      <c r="AA151" s="0">
        <f>S151</f>
        <v/>
      </c>
      <c r="AB151" s="0" t="n">
        <v>1057576.86</v>
      </c>
      <c r="AC151" s="0">
        <f>AB152</f>
        <v/>
      </c>
      <c r="AD151" s="0">
        <f>AB151-AC151</f>
        <v/>
      </c>
      <c r="AE151" s="0">
        <f>AD151/AC151</f>
        <v/>
      </c>
      <c r="AG151" s="0" t="n"/>
      <c r="AI151" s="0">
        <f>C151</f>
        <v/>
      </c>
      <c r="AJ151" s="0" t="n">
        <v>877521.76</v>
      </c>
      <c r="AK151" s="0">
        <f>AJ152</f>
        <v/>
      </c>
      <c r="AL151" s="0">
        <f>AJ151-AK151</f>
        <v/>
      </c>
      <c r="AM151" s="0">
        <f>AL151/AK151</f>
        <v/>
      </c>
      <c r="AO151" s="0" t="n"/>
      <c r="AQ151" s="0">
        <f>C151</f>
        <v/>
      </c>
      <c r="AR151" s="0" t="n">
        <v>1522845.49</v>
      </c>
      <c r="AS151" s="0">
        <f>AR152</f>
        <v/>
      </c>
      <c r="AT151" s="0">
        <f>AR151-AS151</f>
        <v/>
      </c>
      <c r="AU151" s="0">
        <f>AT151/AS151</f>
        <v/>
      </c>
      <c r="AW151" s="0" t="n"/>
      <c r="AY151" s="0" t="n"/>
      <c r="AZ151" s="0">
        <f>C151</f>
        <v/>
      </c>
      <c r="BA151" s="0" t="n">
        <v>1986861.66</v>
      </c>
      <c r="BB151" s="0">
        <f>BA152</f>
        <v/>
      </c>
      <c r="BC151" s="0">
        <f>BA151-BB151</f>
        <v/>
      </c>
      <c r="BD151" s="0">
        <f>BC151/BB151</f>
        <v/>
      </c>
      <c r="BF151" s="0" t="n"/>
      <c r="BH151" s="0">
        <f>C151</f>
        <v/>
      </c>
      <c r="BI151" s="0" t="n">
        <v>1582426.55</v>
      </c>
      <c r="BJ151" s="0">
        <f>BI152</f>
        <v/>
      </c>
      <c r="BK151" s="0">
        <f>BI151-BJ151</f>
        <v/>
      </c>
      <c r="BL151" s="0">
        <f>BK151/BJ151</f>
        <v/>
      </c>
      <c r="BN151" s="0" t="n"/>
      <c r="BP151" s="0">
        <f>C151</f>
        <v/>
      </c>
      <c r="BQ151" s="0" t="n">
        <v>1119562.39</v>
      </c>
      <c r="BR151" s="0">
        <f>BQ152</f>
        <v/>
      </c>
      <c r="BS151" s="0">
        <f>BQ151-BR151</f>
        <v/>
      </c>
      <c r="BT151" s="0">
        <f>BS151/BR151</f>
        <v/>
      </c>
      <c r="BV151" s="0" t="n"/>
      <c r="BX151" s="0">
        <f>C151</f>
        <v/>
      </c>
      <c r="BY151" s="0" t="n">
        <v>3233760.7</v>
      </c>
      <c r="BZ151" s="0">
        <f>BY152</f>
        <v/>
      </c>
      <c r="CA151" s="0">
        <f>BY151-BZ151</f>
        <v/>
      </c>
      <c r="CB151" s="0">
        <f>CA151/BZ151</f>
        <v/>
      </c>
      <c r="CD151" s="0" t="n"/>
      <c r="CF151" s="0">
        <f>C151</f>
        <v/>
      </c>
      <c r="CG151" s="0" t="n">
        <v>1409803.9</v>
      </c>
      <c r="CH151" s="0">
        <f>CG152</f>
        <v/>
      </c>
      <c r="CI151" s="0">
        <f>CG151-CH151</f>
        <v/>
      </c>
      <c r="CJ151" s="0">
        <f>CI151/CH151</f>
        <v/>
      </c>
      <c r="CL151" s="0" t="n"/>
      <c r="CN151" s="0">
        <f>C151</f>
        <v/>
      </c>
      <c r="CO151" s="0" t="n">
        <v>672646.48</v>
      </c>
      <c r="CP151" s="0">
        <f>CO152</f>
        <v/>
      </c>
      <c r="CQ151" s="0">
        <f>CO151-CP151</f>
        <v/>
      </c>
      <c r="CR151" s="0">
        <f>CQ151/CP151</f>
        <v/>
      </c>
      <c r="CS151" s="0" t="n"/>
      <c r="CT151" s="0" t="n"/>
      <c r="CV151" s="0">
        <f>C151</f>
        <v/>
      </c>
      <c r="CW151" s="0" t="n">
        <v>585440.4</v>
      </c>
      <c r="CX151" s="0">
        <f>CW152</f>
        <v/>
      </c>
      <c r="CY151" s="0">
        <f>CW151-CX151</f>
        <v/>
      </c>
      <c r="CZ151" s="0">
        <f>CY151/CX151</f>
        <v/>
      </c>
      <c r="DB151" s="0" t="n"/>
      <c r="DC151" s="0" t="n"/>
      <c r="DD151" s="0">
        <f>C151</f>
        <v/>
      </c>
      <c r="DE151" s="0" t="n">
        <v>2437517.99</v>
      </c>
      <c r="DF151" s="0">
        <f>DE152</f>
        <v/>
      </c>
      <c r="DG151" s="0">
        <f>DE151-DF151</f>
        <v/>
      </c>
      <c r="DH151" s="0">
        <f>DG151/DF151</f>
        <v/>
      </c>
      <c r="DJ151" s="0" t="n"/>
      <c r="DL151" s="0">
        <f>C151</f>
        <v/>
      </c>
      <c r="DM151" s="0" t="n">
        <v>1341500.36</v>
      </c>
      <c r="DN151" s="0">
        <f>DM152</f>
        <v/>
      </c>
      <c r="DO151" s="0">
        <f>DM151-DN151</f>
        <v/>
      </c>
      <c r="DP151" s="0">
        <f>DO151/DN151</f>
        <v/>
      </c>
      <c r="DR151" s="0" t="n"/>
      <c r="DT151" s="0">
        <f>C151</f>
        <v/>
      </c>
      <c r="DU151" s="0" t="n">
        <v>1630889.48</v>
      </c>
      <c r="DV151" s="0">
        <f>DU152</f>
        <v/>
      </c>
      <c r="DW151" s="0">
        <f>DU151-DV151</f>
        <v/>
      </c>
      <c r="DX151" s="0">
        <f>DW151/DV151</f>
        <v/>
      </c>
      <c r="DZ151" s="0" t="n"/>
      <c r="EB151" s="0">
        <f>C151</f>
        <v/>
      </c>
      <c r="EC151" s="0" t="n">
        <v>5096966.82</v>
      </c>
      <c r="ED151" s="0">
        <f>EC152</f>
        <v/>
      </c>
      <c r="EE151" s="0">
        <f>EC151-ED151</f>
        <v/>
      </c>
      <c r="EF151" s="0">
        <f>EE151/ED151</f>
        <v/>
      </c>
      <c r="EH151" s="0" t="n"/>
      <c r="EJ151" s="0">
        <f>C151</f>
        <v/>
      </c>
      <c r="EK151" s="0" t="n">
        <v>1513322.96</v>
      </c>
      <c r="EL151" s="0">
        <f>EK152</f>
        <v/>
      </c>
      <c r="EM151" s="0">
        <f>EK151-EL151</f>
        <v/>
      </c>
      <c r="EN151" s="0">
        <f>EM151/EL151</f>
        <v/>
      </c>
      <c r="EP151" s="0" t="n"/>
      <c r="ER151" s="0">
        <f>C151</f>
        <v/>
      </c>
      <c r="ES151" s="0" t="n">
        <v>524747.02</v>
      </c>
      <c r="ET151" s="0">
        <f>ES152</f>
        <v/>
      </c>
      <c r="EU151" s="0">
        <f>ES151-ET151</f>
        <v/>
      </c>
      <c r="EV151" s="0">
        <f>EU151/ET151</f>
        <v/>
      </c>
      <c r="EX151" s="0" t="n"/>
      <c r="EZ151" s="0">
        <f>C151</f>
        <v/>
      </c>
      <c r="FA151" s="0" t="n">
        <v>735508</v>
      </c>
      <c r="FB151" s="0">
        <f>FA152</f>
        <v/>
      </c>
      <c r="FC151" s="0">
        <f>FA151-FB151</f>
        <v/>
      </c>
      <c r="FD151" s="0">
        <f>FC151/FB151</f>
        <v/>
      </c>
      <c r="FF151" s="0" t="n"/>
      <c r="FH151" s="0">
        <f>C151</f>
        <v/>
      </c>
      <c r="FI151" s="0" t="n">
        <v>1071395.33</v>
      </c>
      <c r="FJ151" s="0">
        <f>FI152</f>
        <v/>
      </c>
      <c r="FK151" s="0">
        <f>FI151-FJ151</f>
        <v/>
      </c>
      <c r="FL151" s="518">
        <f>FK151/FJ151</f>
        <v/>
      </c>
      <c r="FN151" s="0" t="n"/>
      <c r="FP151" s="0">
        <f>C151</f>
        <v/>
      </c>
      <c r="FQ151" s="0" t="n">
        <v>2239018.73</v>
      </c>
      <c r="FR151" s="0">
        <f>FQ152</f>
        <v/>
      </c>
      <c r="FS151" s="0">
        <f>FQ151-FR151</f>
        <v/>
      </c>
      <c r="FT151" s="0">
        <f>FS151/FR151</f>
        <v/>
      </c>
      <c r="FV151" s="0" t="n"/>
      <c r="FX151" s="0">
        <f>C151</f>
        <v/>
      </c>
      <c r="FY151" s="0" t="n">
        <v>8363382.05</v>
      </c>
      <c r="FZ151" s="0">
        <f>FY152</f>
        <v/>
      </c>
      <c r="GA151" s="0">
        <f>FY151-FZ151</f>
        <v/>
      </c>
      <c r="GB151" s="0">
        <f>GA151/FZ151</f>
        <v/>
      </c>
      <c r="GD151" s="0" t="n"/>
      <c r="GF151" s="0">
        <f>C151</f>
        <v/>
      </c>
      <c r="GG151" s="0" t="n">
        <v>4626869.49</v>
      </c>
      <c r="GH151" s="0">
        <f>GG152</f>
        <v/>
      </c>
      <c r="GI151" s="0">
        <f>GG151-GH151</f>
        <v/>
      </c>
      <c r="GJ151" s="0">
        <f>GI151/GH151</f>
        <v/>
      </c>
      <c r="GL151" s="0" t="n"/>
      <c r="GN151" s="0">
        <f>C151</f>
        <v/>
      </c>
      <c r="GO151" s="0" t="n">
        <v>1779418.12</v>
      </c>
      <c r="GP151" s="0">
        <f>GO152</f>
        <v/>
      </c>
      <c r="GQ151" s="0">
        <f>GO151-GP151</f>
        <v/>
      </c>
      <c r="GR151" s="0">
        <f>GQ151/GP151</f>
        <v/>
      </c>
      <c r="GT151" s="0" t="n"/>
      <c r="GV151" s="0">
        <f>C151</f>
        <v/>
      </c>
      <c r="GW151" s="0" t="n">
        <v>986749.4</v>
      </c>
      <c r="GX151" s="0">
        <f>GW152</f>
        <v/>
      </c>
      <c r="GY151" s="0">
        <f>GW151-GX151</f>
        <v/>
      </c>
      <c r="GZ151" s="0">
        <f>GY151/GX151</f>
        <v/>
      </c>
      <c r="HB151" s="0" t="n"/>
      <c r="HD151" s="0">
        <f>C151</f>
        <v/>
      </c>
      <c r="HE151" s="0" t="n">
        <v>1109164.67</v>
      </c>
      <c r="HF151" s="0">
        <f>HE152</f>
        <v/>
      </c>
      <c r="HG151" s="0">
        <f>HE151-HF151</f>
        <v/>
      </c>
      <c r="HH151" s="0">
        <f>HG151/HF151</f>
        <v/>
      </c>
      <c r="HJ151" s="0" t="n"/>
      <c r="HL151" s="0">
        <f>C151</f>
        <v/>
      </c>
      <c r="HM151" s="0" t="n">
        <v>153704.25</v>
      </c>
      <c r="HN151" s="0">
        <f>HM152</f>
        <v/>
      </c>
      <c r="HO151" s="0">
        <f>HM151-HN151</f>
        <v/>
      </c>
      <c r="HP151" s="0">
        <f>HO151/HN151</f>
        <v/>
      </c>
      <c r="HR151" s="0" t="n"/>
      <c r="HT151" s="0">
        <f>C151</f>
        <v/>
      </c>
      <c r="HU151" s="0" t="n">
        <v>262268.82</v>
      </c>
      <c r="HV151" s="0">
        <f>HU152</f>
        <v/>
      </c>
      <c r="HW151" s="0">
        <f>HU151-HV151</f>
        <v/>
      </c>
      <c r="HX151" s="0">
        <f>HW151/HV151</f>
        <v/>
      </c>
      <c r="HZ151" s="0" t="n"/>
      <c r="IB151" s="0">
        <f>C151</f>
        <v/>
      </c>
      <c r="IC151" s="0" t="n">
        <v>399134.79</v>
      </c>
      <c r="ID151" s="0">
        <f>IC152</f>
        <v/>
      </c>
      <c r="IE151" s="0">
        <f>IC151-ID151</f>
        <v/>
      </c>
      <c r="IF151" s="0">
        <f>IE151/ID151</f>
        <v/>
      </c>
      <c r="IH151" s="0" t="n"/>
      <c r="IJ151" s="0">
        <f>C151</f>
        <v/>
      </c>
      <c r="IK151" s="0" t="n">
        <v>568156.29</v>
      </c>
      <c r="IL151" s="0">
        <f>IK152</f>
        <v/>
      </c>
      <c r="IM151" s="0">
        <f>IK151-IL151</f>
        <v/>
      </c>
      <c r="IN151" s="0">
        <f>IM151/IL151</f>
        <v/>
      </c>
      <c r="IP151" s="0" t="n"/>
      <c r="IR151" s="0">
        <f>C151</f>
        <v/>
      </c>
      <c r="IS151" s="0" t="n">
        <v>140489</v>
      </c>
      <c r="IT151" s="0">
        <f>IS152</f>
        <v/>
      </c>
      <c r="IU151" s="0">
        <f>IS151-IT151</f>
        <v/>
      </c>
      <c r="IV151" s="0">
        <f>IU151/IT151</f>
        <v/>
      </c>
      <c r="IX151" s="0" t="n"/>
      <c r="IZ151" s="0">
        <f>C151</f>
        <v/>
      </c>
      <c r="JA151" s="0" t="n">
        <v>4996729.15</v>
      </c>
      <c r="JB151" s="0">
        <f>JA152</f>
        <v/>
      </c>
      <c r="JC151" s="0">
        <f>JA151-JB151</f>
        <v/>
      </c>
      <c r="JD151" s="0">
        <f>JC151/JB151</f>
        <v/>
      </c>
      <c r="JF151" s="0" t="n"/>
      <c r="JH151" s="0">
        <f>C151</f>
        <v/>
      </c>
      <c r="JI151" s="0" t="n">
        <v>1429887.99</v>
      </c>
      <c r="JJ151" s="0">
        <f>JI152</f>
        <v/>
      </c>
      <c r="JK151" s="0">
        <f>JI151-JJ151</f>
        <v/>
      </c>
      <c r="JL151" s="0">
        <f>JK151/JJ151</f>
        <v/>
      </c>
      <c r="JN151" s="0" t="n"/>
      <c r="JP151" s="0">
        <f>C151</f>
        <v/>
      </c>
      <c r="JQ151" s="0" t="n">
        <v>1028090.41</v>
      </c>
      <c r="JR151" s="0">
        <f>JQ152</f>
        <v/>
      </c>
      <c r="JS151" s="0">
        <f>JQ151-JR151</f>
        <v/>
      </c>
      <c r="JT151" s="0">
        <f>JS151/JR151</f>
        <v/>
      </c>
      <c r="JV151" s="0" t="n"/>
      <c r="JX151" s="0">
        <f>C151</f>
        <v/>
      </c>
      <c r="JY151" s="0" t="n">
        <v>1212648.8</v>
      </c>
      <c r="JZ151" s="0">
        <f>JY152</f>
        <v/>
      </c>
      <c r="KA151" s="0">
        <f>JY151-JZ151</f>
        <v/>
      </c>
      <c r="KB151" s="0">
        <f>KA151/JZ151</f>
        <v/>
      </c>
      <c r="KD151" s="0" t="n"/>
      <c r="KF151" s="0">
        <f>C151</f>
        <v/>
      </c>
      <c r="KG151" s="0" t="n">
        <v>732555.92</v>
      </c>
      <c r="KH151" s="711">
        <f>KG152</f>
        <v/>
      </c>
      <c r="KI151" s="0">
        <f>KG151-KH151</f>
        <v/>
      </c>
      <c r="KJ151" s="711">
        <f>KI151/KH151</f>
        <v/>
      </c>
      <c r="KL151" s="0" t="n"/>
      <c r="KN151" s="0">
        <f>C151</f>
        <v/>
      </c>
      <c r="KO151" s="0" t="n">
        <v>8320675.95</v>
      </c>
      <c r="KP151" s="0">
        <f>KO152</f>
        <v/>
      </c>
      <c r="KQ151" s="0">
        <f>KO151-KP151</f>
        <v/>
      </c>
      <c r="KR151" s="0">
        <f>KQ151/KP151</f>
        <v/>
      </c>
      <c r="KT151" s="0" t="n"/>
      <c r="KV151" s="0">
        <f>C151</f>
        <v/>
      </c>
      <c r="KW151" s="0" t="n">
        <v>963472.97</v>
      </c>
      <c r="KX151" s="0">
        <f>KW152</f>
        <v/>
      </c>
      <c r="KY151" s="0">
        <f>KW151-KX151</f>
        <v/>
      </c>
      <c r="KZ151" s="0">
        <f>KY151/KX151</f>
        <v/>
      </c>
      <c r="LB151" s="0" t="n"/>
      <c r="LD151" s="0">
        <f>C151</f>
        <v/>
      </c>
      <c r="LE151" s="0" t="n">
        <v>452907.7</v>
      </c>
      <c r="LF151" s="0">
        <f>LE152</f>
        <v/>
      </c>
      <c r="LG151" s="0">
        <f>LE151-LF151</f>
        <v/>
      </c>
      <c r="LH151" s="0">
        <f>LG151/LF151</f>
        <v/>
      </c>
      <c r="LJ151" s="0" t="n"/>
      <c r="LL151" s="0">
        <f>C151</f>
        <v/>
      </c>
      <c r="LM151" s="0" t="n">
        <v>3501655.02</v>
      </c>
      <c r="LN151" s="0">
        <f>LM152</f>
        <v/>
      </c>
      <c r="LO151" s="0">
        <f>LM151-LN151</f>
        <v/>
      </c>
      <c r="LP151" s="0">
        <f>LO151/LN151</f>
        <v/>
      </c>
      <c r="LR151" s="0" t="n"/>
      <c r="LT151" s="0">
        <f>C151</f>
        <v/>
      </c>
      <c r="LU151" s="0" t="n">
        <v>2664262.9</v>
      </c>
      <c r="LV151" s="0">
        <f>LU152</f>
        <v/>
      </c>
      <c r="LW151" s="0">
        <f>LU151-LV151</f>
        <v/>
      </c>
      <c r="LX151" s="0">
        <f>LW151/LV151</f>
        <v/>
      </c>
      <c r="LZ151" s="0" t="n"/>
      <c r="MB151" s="0">
        <f>C151</f>
        <v/>
      </c>
      <c r="MC151" s="0" t="n">
        <v>756667.6899999999</v>
      </c>
      <c r="MD151" s="0">
        <f>MC152</f>
        <v/>
      </c>
      <c r="ME151" s="0">
        <f>MC151-MD151</f>
        <v/>
      </c>
      <c r="MF151" s="0">
        <f>ME151/MD151</f>
        <v/>
      </c>
      <c r="MH151" s="0" t="n"/>
      <c r="MJ151" s="711" t="n"/>
      <c r="MK151" s="0">
        <f>C151</f>
        <v/>
      </c>
      <c r="ML151" s="711" t="n">
        <v>216705.53</v>
      </c>
      <c r="MM151" s="0">
        <f>ML152</f>
        <v/>
      </c>
      <c r="MN151" s="711">
        <f>ML151-MM151</f>
        <v/>
      </c>
      <c r="MO151" s="0">
        <f>MN151/MM151</f>
        <v/>
      </c>
      <c r="MQ151" s="0" t="n"/>
      <c r="MS151" s="0" t="n"/>
      <c r="MT151" s="0">
        <f>C151</f>
        <v/>
      </c>
      <c r="MU151" s="0" t="n">
        <v>265914.8</v>
      </c>
      <c r="MV151" s="0">
        <f>MU152</f>
        <v/>
      </c>
      <c r="MW151" s="0">
        <f>MU151-MV151</f>
        <v/>
      </c>
      <c r="MX151" s="0">
        <f>MW151/MV151</f>
        <v/>
      </c>
      <c r="MZ151" s="0" t="n"/>
      <c r="NB151" s="0" t="n"/>
      <c r="NC151" s="0">
        <f>C151</f>
        <v/>
      </c>
      <c r="ND151" s="0" t="n">
        <v>44891.48</v>
      </c>
      <c r="NE151" s="0">
        <f>ND152</f>
        <v/>
      </c>
      <c r="NF151" s="0">
        <f>ND151-NE151</f>
        <v/>
      </c>
      <c r="NG151" s="0">
        <f>NF151/NE151</f>
        <v/>
      </c>
      <c r="NI151" s="0" t="n"/>
      <c r="NL151" s="0" t="n"/>
      <c r="NM151" s="0">
        <f>C151</f>
        <v/>
      </c>
      <c r="NN151" s="0" t="n">
        <v>2634111.08</v>
      </c>
      <c r="NO151" s="0">
        <f>NN152</f>
        <v/>
      </c>
      <c r="NP151" s="0">
        <f>NN151-NO151</f>
        <v/>
      </c>
      <c r="NQ151" s="0">
        <f>NP151/NO151</f>
        <v/>
      </c>
      <c r="NS151" s="0" t="n"/>
      <c r="NU151" s="0">
        <f>C151</f>
        <v/>
      </c>
      <c r="NV151" s="711" t="n">
        <v>249426.5</v>
      </c>
      <c r="NW151" s="0">
        <f>NV152</f>
        <v/>
      </c>
      <c r="NX151" s="711">
        <f>NV151-NW151</f>
        <v/>
      </c>
      <c r="NY151" s="0">
        <f>NX151/NW151</f>
        <v/>
      </c>
      <c r="OA151" s="0" t="n"/>
      <c r="OC151" s="0">
        <f>C151</f>
        <v/>
      </c>
      <c r="OD151" s="0" t="n">
        <v>12246.97</v>
      </c>
      <c r="OE151" s="0">
        <f>OD152</f>
        <v/>
      </c>
      <c r="OF151" s="0">
        <f>OD151-OE151</f>
        <v/>
      </c>
      <c r="OG151" s="0">
        <f>OF151/OE151</f>
        <v/>
      </c>
      <c r="OI151" s="0" t="n"/>
      <c r="OK151" s="0">
        <f>C151</f>
        <v/>
      </c>
      <c r="OL151" s="0" t="n">
        <v>11644.65</v>
      </c>
      <c r="OM151" s="0">
        <f>OL152</f>
        <v/>
      </c>
      <c r="ON151" s="0">
        <f>OL151-OM151</f>
        <v/>
      </c>
      <c r="OO151" s="0">
        <f>ON151/OM151</f>
        <v/>
      </c>
      <c r="OQ151" s="0" t="n"/>
      <c r="OT151" s="0">
        <f>OK151</f>
        <v/>
      </c>
      <c r="OU151" s="0" t="n">
        <v>144312.4066</v>
      </c>
      <c r="OV151" s="0">
        <f>OU152</f>
        <v/>
      </c>
      <c r="OW151" s="0">
        <f>OU151-OV151</f>
        <v/>
      </c>
      <c r="OX151" s="0">
        <f>OW151/OV151</f>
        <v/>
      </c>
    </row>
    <row r="152">
      <c r="C152" s="0" t="inlineStr">
        <is>
          <t>2026//4/7</t>
        </is>
      </c>
      <c r="D152" s="0" t="n">
        <v>4505268.77</v>
      </c>
      <c r="E152" s="0">
        <f>D153</f>
        <v/>
      </c>
      <c r="F152" s="0">
        <f>D152-E152</f>
        <v/>
      </c>
      <c r="G152" s="0">
        <f>F152/E152</f>
        <v/>
      </c>
      <c r="I152" s="0" t="n"/>
      <c r="K152" s="0">
        <f>C152</f>
        <v/>
      </c>
      <c r="L152" s="0" t="n">
        <v>3164014.4</v>
      </c>
      <c r="M152" s="0">
        <f>L153</f>
        <v/>
      </c>
      <c r="N152" s="0">
        <f>L152-M152</f>
        <v/>
      </c>
      <c r="O152" s="0">
        <f>N152/M152</f>
        <v/>
      </c>
      <c r="Q152" s="0" t="n"/>
      <c r="S152" s="0">
        <f>C152</f>
        <v/>
      </c>
      <c r="T152" s="0" t="n">
        <v>2300466.68</v>
      </c>
      <c r="U152" s="0">
        <f>T153</f>
        <v/>
      </c>
      <c r="V152" s="0">
        <f>T152-U152</f>
        <v/>
      </c>
      <c r="W152" s="0">
        <f>V152/U152</f>
        <v/>
      </c>
      <c r="Y152" s="0" t="n"/>
      <c r="AA152" s="0">
        <f>S152</f>
        <v/>
      </c>
      <c r="AB152" s="0" t="n">
        <v>963816.86</v>
      </c>
      <c r="AC152" s="0">
        <f>AB153</f>
        <v/>
      </c>
      <c r="AD152" s="0">
        <f>AB152-AC152</f>
        <v/>
      </c>
      <c r="AE152" s="0">
        <f>AD152/AC152</f>
        <v/>
      </c>
      <c r="AG152" s="0" t="n"/>
      <c r="AI152" s="0">
        <f>C152</f>
        <v/>
      </c>
      <c r="AJ152" s="0" t="n">
        <v>782321.76</v>
      </c>
      <c r="AK152" s="0">
        <f>AJ153</f>
        <v/>
      </c>
      <c r="AL152" s="0">
        <f>AJ152-AK152</f>
        <v/>
      </c>
      <c r="AM152" s="0">
        <f>AL152/AK152</f>
        <v/>
      </c>
      <c r="AO152" s="0" t="n"/>
      <c r="AQ152" s="0">
        <f>C152</f>
        <v/>
      </c>
      <c r="AR152" s="0" t="n">
        <v>1563645.49</v>
      </c>
      <c r="AS152" s="0">
        <f>AR153</f>
        <v/>
      </c>
      <c r="AT152" s="0">
        <f>AR152-AS152</f>
        <v/>
      </c>
      <c r="AU152" s="0">
        <f>AT152/AS152</f>
        <v/>
      </c>
      <c r="AW152" s="0" t="n"/>
      <c r="AY152" s="0" t="n"/>
      <c r="AZ152" s="0">
        <f>C152</f>
        <v/>
      </c>
      <c r="BA152" s="0" t="n">
        <v>1989021.66</v>
      </c>
      <c r="BB152" s="0">
        <f>BA153</f>
        <v/>
      </c>
      <c r="BC152" s="0">
        <f>BA152-BB152</f>
        <v/>
      </c>
      <c r="BD152" s="0">
        <f>BC152/BB152</f>
        <v/>
      </c>
      <c r="BF152" s="0" t="n"/>
      <c r="BH152" s="0">
        <f>C152</f>
        <v/>
      </c>
      <c r="BI152" s="0" t="n">
        <v>1585326.55</v>
      </c>
      <c r="BJ152" s="0">
        <f>BI153</f>
        <v/>
      </c>
      <c r="BK152" s="0">
        <f>BI152-BJ152</f>
        <v/>
      </c>
      <c r="BL152" s="0">
        <f>BK152/BJ152</f>
        <v/>
      </c>
      <c r="BN152" s="0" t="n"/>
      <c r="BP152" s="0">
        <f>C152</f>
        <v/>
      </c>
      <c r="BQ152" s="0" t="n">
        <v>1139262.39</v>
      </c>
      <c r="BR152" s="0">
        <f>BQ153</f>
        <v/>
      </c>
      <c r="BS152" s="0">
        <f>BQ152-BR152</f>
        <v/>
      </c>
      <c r="BT152" s="0">
        <f>BS152/BR152</f>
        <v/>
      </c>
      <c r="BV152" s="0" t="n"/>
      <c r="BX152" s="0">
        <f>C152</f>
        <v/>
      </c>
      <c r="BY152" s="0" t="n">
        <v>3120760.7</v>
      </c>
      <c r="BZ152" s="0">
        <f>BY153</f>
        <v/>
      </c>
      <c r="CA152" s="0">
        <f>BY152-BZ152</f>
        <v/>
      </c>
      <c r="CB152" s="0">
        <f>CA152/BZ152</f>
        <v/>
      </c>
      <c r="CD152" s="0" t="n"/>
      <c r="CF152" s="0">
        <f>C152</f>
        <v/>
      </c>
      <c r="CG152" s="0" t="n">
        <v>1389853.9</v>
      </c>
      <c r="CH152" s="0">
        <f>CG153</f>
        <v/>
      </c>
      <c r="CI152" s="0">
        <f>CG152-CH152</f>
        <v/>
      </c>
      <c r="CJ152" s="0">
        <f>CI152/CH152</f>
        <v/>
      </c>
      <c r="CL152" s="0" t="n"/>
      <c r="CN152" s="0">
        <f>C152</f>
        <v/>
      </c>
      <c r="CO152" s="0" t="n">
        <v>671546.48</v>
      </c>
      <c r="CP152" s="0">
        <f>CO153</f>
        <v/>
      </c>
      <c r="CQ152" s="0">
        <f>CO152-CP152</f>
        <v/>
      </c>
      <c r="CR152" s="0">
        <f>CQ152/CP152</f>
        <v/>
      </c>
      <c r="CS152" s="0" t="n"/>
      <c r="CT152" s="0" t="n"/>
      <c r="CV152" s="0">
        <f>C152</f>
        <v/>
      </c>
      <c r="CW152" s="0" t="n">
        <v>585590.4</v>
      </c>
      <c r="CX152" s="0">
        <f>CW153</f>
        <v/>
      </c>
      <c r="CY152" s="0">
        <f>CW152-CX152</f>
        <v/>
      </c>
      <c r="CZ152" s="0">
        <f>CY152/CX152</f>
        <v/>
      </c>
      <c r="DB152" s="0" t="n"/>
      <c r="DC152" s="0" t="n"/>
      <c r="DD152" s="0">
        <f>C152</f>
        <v/>
      </c>
      <c r="DE152" s="0" t="n">
        <v>2399917.99</v>
      </c>
      <c r="DF152" s="0">
        <f>DE153</f>
        <v/>
      </c>
      <c r="DG152" s="0">
        <f>DE152-DF152</f>
        <v/>
      </c>
      <c r="DH152" s="0">
        <f>DG152/DF152</f>
        <v/>
      </c>
      <c r="DJ152" s="0" t="n"/>
      <c r="DL152" s="0">
        <f>C152</f>
        <v/>
      </c>
      <c r="DM152" s="0" t="n">
        <v>1368700.36</v>
      </c>
      <c r="DN152" s="0">
        <f>DM153</f>
        <v/>
      </c>
      <c r="DO152" s="0">
        <f>DM152-DN152</f>
        <v/>
      </c>
      <c r="DP152" s="0">
        <f>DO152/DN152</f>
        <v/>
      </c>
      <c r="DR152" s="0" t="n"/>
      <c r="DT152" s="0">
        <f>C152</f>
        <v/>
      </c>
      <c r="DU152" s="0" t="n">
        <v>1642589.48</v>
      </c>
      <c r="DV152" s="0">
        <f>DU153</f>
        <v/>
      </c>
      <c r="DW152" s="0">
        <f>DU152-DV152</f>
        <v/>
      </c>
      <c r="DX152" s="0">
        <f>DW152/DV152</f>
        <v/>
      </c>
      <c r="DZ152" s="0" t="n"/>
      <c r="EB152" s="0">
        <f>C152</f>
        <v/>
      </c>
      <c r="EC152" s="0" t="n">
        <v>5118266.82</v>
      </c>
      <c r="ED152" s="0">
        <f>EC153</f>
        <v/>
      </c>
      <c r="EE152" s="0">
        <f>EC152-ED152</f>
        <v/>
      </c>
      <c r="EF152" s="0">
        <f>EE152/ED152</f>
        <v/>
      </c>
      <c r="EH152" s="0" t="n"/>
      <c r="EJ152" s="0">
        <f>C152</f>
        <v/>
      </c>
      <c r="EK152" s="0" t="n">
        <v>1527522.96</v>
      </c>
      <c r="EL152" s="0">
        <f>EK153</f>
        <v/>
      </c>
      <c r="EM152" s="0">
        <f>EK152-EL152</f>
        <v/>
      </c>
      <c r="EN152" s="0">
        <f>EM152/EL152</f>
        <v/>
      </c>
      <c r="EP152" s="0" t="n"/>
      <c r="ER152" s="0">
        <f>C152</f>
        <v/>
      </c>
      <c r="ES152" s="0" t="n">
        <v>532697.02</v>
      </c>
      <c r="ET152" s="0">
        <f>ES153</f>
        <v/>
      </c>
      <c r="EU152" s="0">
        <f>ES152-ET152</f>
        <v/>
      </c>
      <c r="EV152" s="0">
        <f>EU152/ET152</f>
        <v/>
      </c>
      <c r="EX152" s="0" t="n"/>
      <c r="EZ152" s="0">
        <f>C152</f>
        <v/>
      </c>
      <c r="FA152" s="0" t="n">
        <v>740608</v>
      </c>
      <c r="FB152" s="0">
        <f>FA153</f>
        <v/>
      </c>
      <c r="FC152" s="0">
        <f>FA152-FB152</f>
        <v/>
      </c>
      <c r="FD152" s="0">
        <f>FC152/FB152</f>
        <v/>
      </c>
      <c r="FF152" s="0" t="n"/>
      <c r="FH152" s="0">
        <f>C152</f>
        <v/>
      </c>
      <c r="FI152" s="0" t="n">
        <v>1082795.33</v>
      </c>
      <c r="FJ152" s="0">
        <f>FI153</f>
        <v/>
      </c>
      <c r="FK152" s="0">
        <f>FI152-FJ152</f>
        <v/>
      </c>
      <c r="FL152" s="518">
        <f>FK152/FJ152</f>
        <v/>
      </c>
      <c r="FN152" s="0" t="n"/>
      <c r="FP152" s="0">
        <f>C152</f>
        <v/>
      </c>
      <c r="FQ152" s="0" t="n">
        <v>2273218.73</v>
      </c>
      <c r="FR152" s="0">
        <f>FQ153</f>
        <v/>
      </c>
      <c r="FS152" s="0">
        <f>FQ152-FR152</f>
        <v/>
      </c>
      <c r="FT152" s="0">
        <f>FS152/FR152</f>
        <v/>
      </c>
      <c r="FV152" s="0" t="n"/>
      <c r="FX152" s="0">
        <f>C152</f>
        <v/>
      </c>
      <c r="FY152" s="0" t="n">
        <v>8370582.05</v>
      </c>
      <c r="FZ152" s="0">
        <f>FY153</f>
        <v/>
      </c>
      <c r="GA152" s="0">
        <f>FY152-FZ152</f>
        <v/>
      </c>
      <c r="GB152" s="0">
        <f>GA152/FZ152</f>
        <v/>
      </c>
      <c r="GD152" s="0" t="n"/>
      <c r="GF152" s="0">
        <f>C152</f>
        <v/>
      </c>
      <c r="GG152" s="0" t="n">
        <v>4616369.49</v>
      </c>
      <c r="GH152" s="0">
        <f>GG153</f>
        <v/>
      </c>
      <c r="GI152" s="0">
        <f>GG152-GH152</f>
        <v/>
      </c>
      <c r="GJ152" s="0">
        <f>GI152/GH152</f>
        <v/>
      </c>
      <c r="GL152" s="0" t="n"/>
      <c r="GN152" s="0">
        <f>C152</f>
        <v/>
      </c>
      <c r="GO152" s="0" t="n">
        <v>1764838.12</v>
      </c>
      <c r="GP152" s="0">
        <f>GO153</f>
        <v/>
      </c>
      <c r="GQ152" s="0">
        <f>GO152-GP152</f>
        <v/>
      </c>
      <c r="GR152" s="0">
        <f>GQ152/GP152</f>
        <v/>
      </c>
      <c r="GT152" s="0" t="n"/>
      <c r="GV152" s="0">
        <f>C152</f>
        <v/>
      </c>
      <c r="GW152" s="0" t="n">
        <v>993949.4</v>
      </c>
      <c r="GX152" s="0">
        <f>GW153</f>
        <v/>
      </c>
      <c r="GY152" s="0">
        <f>GW152-GX152</f>
        <v/>
      </c>
      <c r="GZ152" s="0">
        <f>GY152/GX152</f>
        <v/>
      </c>
      <c r="HB152" s="0" t="n"/>
      <c r="HD152" s="0">
        <f>C152</f>
        <v/>
      </c>
      <c r="HE152" s="0" t="n">
        <v>1102164.67</v>
      </c>
      <c r="HF152" s="0">
        <f>HE153</f>
        <v/>
      </c>
      <c r="HG152" s="0">
        <f>HE152-HF152</f>
        <v/>
      </c>
      <c r="HH152" s="0">
        <f>HG152/HF152</f>
        <v/>
      </c>
      <c r="HJ152" s="0" t="n"/>
      <c r="HL152" s="0">
        <f>C152</f>
        <v/>
      </c>
      <c r="HM152" s="0" t="n">
        <v>153354.25</v>
      </c>
      <c r="HN152" s="0">
        <f>HM153</f>
        <v/>
      </c>
      <c r="HO152" s="0">
        <f>HM152-HN152</f>
        <v/>
      </c>
      <c r="HP152" s="0">
        <f>HO152/HN152</f>
        <v/>
      </c>
      <c r="HR152" s="0" t="n"/>
      <c r="HT152" s="0">
        <f>C152</f>
        <v/>
      </c>
      <c r="HU152" s="0" t="n">
        <v>257468.82</v>
      </c>
      <c r="HV152" s="0">
        <f>HU153</f>
        <v/>
      </c>
      <c r="HW152" s="0">
        <f>HU152-HV152</f>
        <v/>
      </c>
      <c r="HX152" s="0">
        <f>HW152/HV152</f>
        <v/>
      </c>
      <c r="HZ152" s="0" t="n"/>
      <c r="IB152" s="0">
        <f>C152</f>
        <v/>
      </c>
      <c r="IC152" s="0" t="n">
        <v>400084.79</v>
      </c>
      <c r="ID152" s="0">
        <f>IC153</f>
        <v/>
      </c>
      <c r="IE152" s="0">
        <f>IC152-ID152</f>
        <v/>
      </c>
      <c r="IF152" s="0">
        <f>IE152/ID152</f>
        <v/>
      </c>
      <c r="IH152" s="0" t="n"/>
      <c r="IJ152" s="0">
        <f>C152</f>
        <v/>
      </c>
      <c r="IK152" s="0" t="n">
        <v>564316.29</v>
      </c>
      <c r="IL152" s="0">
        <f>IK153</f>
        <v/>
      </c>
      <c r="IM152" s="0">
        <f>IK152-IL152</f>
        <v/>
      </c>
      <c r="IN152" s="0">
        <f>IM152/IL152</f>
        <v/>
      </c>
      <c r="IP152" s="0" t="n"/>
      <c r="IR152" s="0">
        <f>C152</f>
        <v/>
      </c>
      <c r="IS152" s="0" t="n">
        <v>141989</v>
      </c>
      <c r="IT152" s="0">
        <f>IS153</f>
        <v/>
      </c>
      <c r="IU152" s="0">
        <f>IS152-IT152</f>
        <v/>
      </c>
      <c r="IV152" s="0">
        <f>IU152/IT152</f>
        <v/>
      </c>
      <c r="IX152" s="0" t="n"/>
      <c r="IZ152" s="0">
        <f>C152</f>
        <v/>
      </c>
      <c r="JA152" s="0" t="n">
        <v>5035929.15</v>
      </c>
      <c r="JB152" s="0">
        <f>JA153</f>
        <v/>
      </c>
      <c r="JC152" s="0">
        <f>JA152-JB152</f>
        <v/>
      </c>
      <c r="JD152" s="0">
        <f>JC152/JB152</f>
        <v/>
      </c>
      <c r="JF152" s="0" t="n"/>
      <c r="JH152" s="0">
        <f>C152</f>
        <v/>
      </c>
      <c r="JI152" s="0" t="n">
        <v>1479447.99</v>
      </c>
      <c r="JJ152" s="0">
        <f>JI153</f>
        <v/>
      </c>
      <c r="JK152" s="0">
        <f>JI152-JJ152</f>
        <v/>
      </c>
      <c r="JL152" s="0">
        <f>JK152/JJ152</f>
        <v/>
      </c>
      <c r="JN152" s="0" t="n"/>
      <c r="JP152" s="0">
        <f>C152</f>
        <v/>
      </c>
      <c r="JQ152" s="0" t="n">
        <v>1038890.41</v>
      </c>
      <c r="JR152" s="0">
        <f>JQ153</f>
        <v/>
      </c>
      <c r="JS152" s="0">
        <f>JQ152-JR152</f>
        <v/>
      </c>
      <c r="JT152" s="0">
        <f>JS152/JR152</f>
        <v/>
      </c>
      <c r="JV152" s="0" t="n"/>
      <c r="JX152" s="0">
        <f>C152</f>
        <v/>
      </c>
      <c r="JY152" s="0" t="n">
        <v>1244648.8</v>
      </c>
      <c r="JZ152" s="0">
        <f>JY153</f>
        <v/>
      </c>
      <c r="KA152" s="0">
        <f>JY152-JZ152</f>
        <v/>
      </c>
      <c r="KB152" s="0">
        <f>KA152/JZ152</f>
        <v/>
      </c>
      <c r="KD152" s="0" t="n"/>
      <c r="KF152" s="0">
        <f>C152</f>
        <v/>
      </c>
      <c r="KG152" s="0" t="n">
        <v>732555.92</v>
      </c>
      <c r="KH152" s="711">
        <f>KG153</f>
        <v/>
      </c>
      <c r="KI152" s="0">
        <f>KG152-KH152</f>
        <v/>
      </c>
      <c r="KJ152" s="519">
        <f>KI152/KH152</f>
        <v/>
      </c>
      <c r="KL152" s="0" t="n"/>
      <c r="KN152" s="0">
        <f>C152</f>
        <v/>
      </c>
      <c r="KO152" s="0" t="n">
        <v>8320675.95</v>
      </c>
      <c r="KP152" s="0">
        <f>KO153</f>
        <v/>
      </c>
      <c r="KQ152" s="0">
        <f>KO152-KP152</f>
        <v/>
      </c>
      <c r="KR152" s="0">
        <f>KQ152/KP152</f>
        <v/>
      </c>
      <c r="KT152" s="0" t="n"/>
      <c r="KV152" s="0">
        <f>C152</f>
        <v/>
      </c>
      <c r="KW152" s="0" t="n">
        <v>969572.97</v>
      </c>
      <c r="KX152" s="0">
        <f>KW153</f>
        <v/>
      </c>
      <c r="KY152" s="0">
        <f>KW152-KX152</f>
        <v/>
      </c>
      <c r="KZ152" s="0">
        <f>KY152/KX152</f>
        <v/>
      </c>
      <c r="LB152" s="0" t="n"/>
      <c r="LD152" s="0">
        <f>C152</f>
        <v/>
      </c>
      <c r="LE152" s="0" t="n">
        <v>445607.7</v>
      </c>
      <c r="LF152" s="0">
        <f>LE153</f>
        <v/>
      </c>
      <c r="LG152" s="0">
        <f>LE152-LF152</f>
        <v/>
      </c>
      <c r="LH152" s="0">
        <f>LG152/LF152</f>
        <v/>
      </c>
      <c r="LJ152" s="0" t="n"/>
      <c r="LL152" s="0">
        <f>C152</f>
        <v/>
      </c>
      <c r="LM152" s="0" t="n">
        <v>3535855.02</v>
      </c>
      <c r="LN152" s="0">
        <f>LM153</f>
        <v/>
      </c>
      <c r="LO152" s="0">
        <f>LM152-LN152</f>
        <v/>
      </c>
      <c r="LP152" s="0">
        <f>LO152/LN152</f>
        <v/>
      </c>
      <c r="LR152" s="0" t="n"/>
      <c r="LT152" s="0">
        <f>C152</f>
        <v/>
      </c>
      <c r="LU152" s="0" t="n">
        <v>2667462.9</v>
      </c>
      <c r="LV152" s="0">
        <f>LU153</f>
        <v/>
      </c>
      <c r="LW152" s="0">
        <f>LU152-LV152</f>
        <v/>
      </c>
      <c r="LX152" s="0">
        <f>LW152/LV152</f>
        <v/>
      </c>
      <c r="LZ152" s="0" t="n"/>
      <c r="MB152" s="0">
        <f>C152</f>
        <v/>
      </c>
      <c r="MC152" s="0" t="n">
        <v>787217.6899999999</v>
      </c>
      <c r="MD152" s="0">
        <f>MC153</f>
        <v/>
      </c>
      <c r="ME152" s="0">
        <f>MC152-MD152</f>
        <v/>
      </c>
      <c r="MF152" s="0">
        <f>ME152/MD152</f>
        <v/>
      </c>
      <c r="MH152" s="0" t="n"/>
      <c r="MJ152" s="711" t="n"/>
      <c r="MK152" s="0">
        <f>C152</f>
        <v/>
      </c>
      <c r="ML152" s="711" t="n">
        <v>217425.53</v>
      </c>
      <c r="MM152" s="0">
        <f>ML153</f>
        <v/>
      </c>
      <c r="MN152" s="711">
        <f>ML152-MM152</f>
        <v/>
      </c>
      <c r="MO152" s="0">
        <f>MN152/MM152</f>
        <v/>
      </c>
      <c r="MQ152" s="0" t="n"/>
      <c r="MS152" s="0" t="n"/>
      <c r="MT152" s="0">
        <f>C152</f>
        <v/>
      </c>
      <c r="MU152" s="0" t="n">
        <v>282514.8</v>
      </c>
      <c r="MV152" s="0">
        <f>MU153</f>
        <v/>
      </c>
      <c r="MW152" s="0">
        <f>MU152-MV152</f>
        <v/>
      </c>
      <c r="MX152" s="0">
        <f>MW152/MV152</f>
        <v/>
      </c>
      <c r="MZ152" s="0" t="n"/>
      <c r="NB152" s="0" t="n"/>
      <c r="NC152" s="0">
        <f>C152</f>
        <v/>
      </c>
      <c r="ND152" s="0" t="n">
        <v>44891.48</v>
      </c>
      <c r="NE152" s="0">
        <f>ND153</f>
        <v/>
      </c>
      <c r="NF152" s="0">
        <f>ND152-NE152</f>
        <v/>
      </c>
      <c r="NG152" s="0">
        <f>NF152/NE152</f>
        <v/>
      </c>
      <c r="NI152" s="0" t="n"/>
      <c r="NL152" s="0" t="n"/>
      <c r="NM152" s="0">
        <f>C152</f>
        <v/>
      </c>
      <c r="NN152" s="0" t="n">
        <v>2655311.08</v>
      </c>
      <c r="NO152" s="0">
        <f>NN153</f>
        <v/>
      </c>
      <c r="NP152" s="0">
        <f>NN152-NO152</f>
        <v/>
      </c>
      <c r="NQ152" s="0">
        <f>NP152/NO152</f>
        <v/>
      </c>
      <c r="NS152" s="0" t="n"/>
      <c r="NU152" s="0">
        <f>C152</f>
        <v/>
      </c>
      <c r="NV152" s="711" t="n">
        <v>249326.5</v>
      </c>
      <c r="NW152" s="0">
        <f>NV153</f>
        <v/>
      </c>
      <c r="NX152" s="711">
        <f>NV152-NW152</f>
        <v/>
      </c>
      <c r="NY152" s="0">
        <f>NX152/NW152</f>
        <v/>
      </c>
      <c r="OA152" s="0" t="n"/>
      <c r="OC152" s="0">
        <f>C152</f>
        <v/>
      </c>
      <c r="OD152" s="0" t="n">
        <v>12135.97</v>
      </c>
      <c r="OE152" s="0">
        <f>OD153</f>
        <v/>
      </c>
      <c r="OF152" s="0">
        <f>OD152-OE152</f>
        <v/>
      </c>
      <c r="OG152" s="0">
        <f>OF152/OE152</f>
        <v/>
      </c>
      <c r="OI152" s="0" t="n"/>
      <c r="OK152" s="0">
        <f>C152</f>
        <v/>
      </c>
      <c r="OL152" s="0" t="n">
        <v>11544.65</v>
      </c>
      <c r="OM152" s="0">
        <f>OL153</f>
        <v/>
      </c>
      <c r="ON152" s="0">
        <f>OL152-OM152</f>
        <v/>
      </c>
      <c r="OO152" s="0">
        <f>ON152/OM152</f>
        <v/>
      </c>
      <c r="OQ152" s="0" t="n"/>
      <c r="OT152" s="0">
        <f>OK152</f>
        <v/>
      </c>
      <c r="OU152" s="0" t="n">
        <v>144192.4066</v>
      </c>
      <c r="OV152" s="0">
        <f>OU153</f>
        <v/>
      </c>
      <c r="OW152" s="0">
        <f>OU152-OV152</f>
        <v/>
      </c>
      <c r="OX152" s="0">
        <f>OW152/OV152</f>
        <v/>
      </c>
    </row>
    <row r="153">
      <c r="C153" s="0" t="inlineStr">
        <is>
          <t>2026//4/3</t>
        </is>
      </c>
      <c r="D153" s="0" t="n">
        <v>4486908.77</v>
      </c>
      <c r="E153" s="0">
        <f>D154</f>
        <v/>
      </c>
      <c r="F153" s="0">
        <f>D153-E153</f>
        <v/>
      </c>
      <c r="G153" s="0">
        <f>F153/E153</f>
        <v/>
      </c>
      <c r="I153" s="0" t="n"/>
      <c r="K153" s="0">
        <f>C153</f>
        <v/>
      </c>
      <c r="L153" s="0" t="n">
        <v>3163744.4</v>
      </c>
      <c r="M153" s="0">
        <f>L154</f>
        <v/>
      </c>
      <c r="N153" s="0">
        <f>L153-M153</f>
        <v/>
      </c>
      <c r="O153" s="0">
        <f>N153/M153</f>
        <v/>
      </c>
      <c r="Q153" s="0" t="n"/>
      <c r="S153" s="0">
        <f>C153</f>
        <v/>
      </c>
      <c r="T153" s="0" t="n">
        <v>2297586.68</v>
      </c>
      <c r="U153" s="0">
        <f>T154</f>
        <v/>
      </c>
      <c r="V153" s="0">
        <f>T153-U153</f>
        <v/>
      </c>
      <c r="W153" s="0">
        <f>V153/U153</f>
        <v/>
      </c>
      <c r="Y153" s="0" t="n"/>
      <c r="AA153" s="0">
        <f>S153</f>
        <v/>
      </c>
      <c r="AB153" s="0" t="n">
        <v>944416.86</v>
      </c>
      <c r="AC153" s="0">
        <f>AB154</f>
        <v/>
      </c>
      <c r="AD153" s="0">
        <f>AB153-AC153</f>
        <v/>
      </c>
      <c r="AE153" s="0">
        <f>AD153/AC153</f>
        <v/>
      </c>
      <c r="AG153" s="0" t="n"/>
      <c r="AI153" s="0">
        <f>C153</f>
        <v/>
      </c>
      <c r="AJ153" s="0" t="n">
        <v>755721.76</v>
      </c>
      <c r="AK153" s="0">
        <f>AJ154</f>
        <v/>
      </c>
      <c r="AL153" s="0">
        <f>AJ153-AK153</f>
        <v/>
      </c>
      <c r="AM153" s="0">
        <f>AL153/AK153</f>
        <v/>
      </c>
      <c r="AO153" s="0" t="n"/>
      <c r="AQ153" s="0">
        <f>C153</f>
        <v/>
      </c>
      <c r="AR153" s="0" t="n">
        <v>1584145.49</v>
      </c>
      <c r="AS153" s="0">
        <f>AR154</f>
        <v/>
      </c>
      <c r="AT153" s="0">
        <f>AR153-AS153</f>
        <v/>
      </c>
      <c r="AU153" s="0">
        <f>AT153/AS153</f>
        <v/>
      </c>
      <c r="AW153" s="0" t="n"/>
      <c r="AY153" s="0" t="n"/>
      <c r="AZ153" s="0">
        <f>C153</f>
        <v/>
      </c>
      <c r="BA153" s="0" t="n">
        <v>1984881.66</v>
      </c>
      <c r="BB153" s="0">
        <f>BA154</f>
        <v/>
      </c>
      <c r="BC153" s="0">
        <f>BA153-BB153</f>
        <v/>
      </c>
      <c r="BD153" s="0">
        <f>BC153/BB153</f>
        <v/>
      </c>
      <c r="BF153" s="0" t="n"/>
      <c r="BH153" s="0">
        <f>C153</f>
        <v/>
      </c>
      <c r="BI153" s="0" t="n">
        <v>1614726.55</v>
      </c>
      <c r="BJ153" s="0">
        <f>BI154</f>
        <v/>
      </c>
      <c r="BK153" s="0">
        <f>BI153-BJ153</f>
        <v/>
      </c>
      <c r="BL153" s="0">
        <f>BK153/BJ153</f>
        <v/>
      </c>
      <c r="BN153" s="0" t="n"/>
      <c r="BP153" s="0">
        <f>C153</f>
        <v/>
      </c>
      <c r="BQ153" s="0" t="n">
        <v>1138862.39</v>
      </c>
      <c r="BR153" s="0">
        <f>BQ154</f>
        <v/>
      </c>
      <c r="BS153" s="0">
        <f>BQ153-BR153</f>
        <v/>
      </c>
      <c r="BT153" s="0">
        <f>BS153/BR153</f>
        <v/>
      </c>
      <c r="BV153" s="0" t="n"/>
      <c r="BX153" s="0">
        <f>C153</f>
        <v/>
      </c>
      <c r="BY153" s="0" t="n">
        <v>3117310.7</v>
      </c>
      <c r="BZ153" s="0">
        <f>BY154</f>
        <v/>
      </c>
      <c r="CA153" s="0">
        <f>BY153-BZ153</f>
        <v/>
      </c>
      <c r="CB153" s="0">
        <f>CA153/BZ153</f>
        <v/>
      </c>
      <c r="CD153" s="0" t="n"/>
      <c r="CF153" s="0">
        <f>C153</f>
        <v/>
      </c>
      <c r="CG153" s="0" t="n">
        <v>1393803.9</v>
      </c>
      <c r="CH153" s="0">
        <f>CG154</f>
        <v/>
      </c>
      <c r="CI153" s="0">
        <f>CG153-CH153</f>
        <v/>
      </c>
      <c r="CJ153" s="0">
        <f>CI153/CH153</f>
        <v/>
      </c>
      <c r="CL153" s="0" t="n"/>
      <c r="CN153" s="0">
        <f>C153</f>
        <v/>
      </c>
      <c r="CO153" s="0" t="n">
        <v>673546.48</v>
      </c>
      <c r="CP153" s="0">
        <f>CO154</f>
        <v/>
      </c>
      <c r="CQ153" s="0">
        <f>CO153-CP153</f>
        <v/>
      </c>
      <c r="CR153" s="0">
        <f>CQ153/CP153</f>
        <v/>
      </c>
      <c r="CS153" s="0">
        <f>(CO153-CO158)/CO158</f>
        <v/>
      </c>
      <c r="CT153" s="0" t="n"/>
      <c r="CV153" s="0">
        <f>C153</f>
        <v/>
      </c>
      <c r="CW153" s="0" t="n">
        <v>585590.4</v>
      </c>
      <c r="CX153" s="0">
        <f>CW154</f>
        <v/>
      </c>
      <c r="CY153" s="0">
        <f>CW153-CX153</f>
        <v/>
      </c>
      <c r="CZ153" s="0">
        <f>CY153/CX153</f>
        <v/>
      </c>
      <c r="DB153" s="0" t="n"/>
      <c r="DC153" s="0" t="n"/>
      <c r="DD153" s="0">
        <f>C153</f>
        <v/>
      </c>
      <c r="DE153" s="0" t="n">
        <v>2395717.99</v>
      </c>
      <c r="DF153" s="0">
        <f>DE154</f>
        <v/>
      </c>
      <c r="DG153" s="0">
        <f>DE153-DF153</f>
        <v/>
      </c>
      <c r="DH153" s="0">
        <f>DG153/DF153</f>
        <v/>
      </c>
      <c r="DJ153" s="0" t="n"/>
      <c r="DL153" s="0">
        <f>C153</f>
        <v/>
      </c>
      <c r="DM153" s="0" t="n">
        <v>1388700.36</v>
      </c>
      <c r="DN153" s="0">
        <f>DM154</f>
        <v/>
      </c>
      <c r="DO153" s="0">
        <f>DM153-DN153</f>
        <v/>
      </c>
      <c r="DP153" s="0">
        <f>DO153/DN153</f>
        <v/>
      </c>
      <c r="DR153" s="0" t="n"/>
      <c r="DT153" s="0">
        <f>C153</f>
        <v/>
      </c>
      <c r="DU153" s="0" t="n">
        <v>1655489.48</v>
      </c>
      <c r="DV153" s="0">
        <f>DU154</f>
        <v/>
      </c>
      <c r="DW153" s="0">
        <f>DU153-DV153</f>
        <v/>
      </c>
      <c r="DX153" s="0">
        <f>DW153/DV153</f>
        <v/>
      </c>
      <c r="DZ153" s="0" t="n"/>
      <c r="EB153" s="0">
        <f>C153</f>
        <v/>
      </c>
      <c r="EC153" s="0" t="n">
        <v>5179466.82</v>
      </c>
      <c r="ED153" s="0">
        <f>EC154</f>
        <v/>
      </c>
      <c r="EE153" s="0">
        <f>EC153-ED153</f>
        <v/>
      </c>
      <c r="EF153" s="0">
        <f>EE153/ED153</f>
        <v/>
      </c>
      <c r="EH153" s="0" t="n"/>
      <c r="EJ153" s="0">
        <f>C153</f>
        <v/>
      </c>
      <c r="EK153" s="0" t="n">
        <v>1532522.96</v>
      </c>
      <c r="EL153" s="0">
        <f>EK154</f>
        <v/>
      </c>
      <c r="EM153" s="0">
        <f>EK153-EL153</f>
        <v/>
      </c>
      <c r="EN153" s="0">
        <f>EM153/EL153</f>
        <v/>
      </c>
      <c r="EP153" s="0" t="n"/>
      <c r="ER153" s="0">
        <f>C153</f>
        <v/>
      </c>
      <c r="ES153" s="0" t="n">
        <v>535247.02</v>
      </c>
      <c r="ET153" s="0">
        <f>ES154</f>
        <v/>
      </c>
      <c r="EU153" s="0">
        <f>ES153-ET153</f>
        <v/>
      </c>
      <c r="EV153" s="0">
        <f>EU153/ET153</f>
        <v/>
      </c>
      <c r="EX153" s="0" t="n"/>
      <c r="EZ153" s="0">
        <f>C153</f>
        <v/>
      </c>
      <c r="FA153" s="0" t="n">
        <v>738008</v>
      </c>
      <c r="FB153" s="0">
        <f>FA154</f>
        <v/>
      </c>
      <c r="FC153" s="0">
        <f>FA153-FB153</f>
        <v/>
      </c>
      <c r="FD153" s="0">
        <f>FC153/FB153</f>
        <v/>
      </c>
      <c r="FF153" s="0" t="n"/>
      <c r="FH153" s="0">
        <f>C153</f>
        <v/>
      </c>
      <c r="FI153" s="0" t="n">
        <v>1091695.33</v>
      </c>
      <c r="FJ153" s="0">
        <f>FI154</f>
        <v/>
      </c>
      <c r="FK153" s="0">
        <f>FI153-FJ153</f>
        <v/>
      </c>
      <c r="FL153" s="518">
        <f>FK153/FJ153</f>
        <v/>
      </c>
      <c r="FN153" s="0" t="n"/>
      <c r="FP153" s="0">
        <f>C153</f>
        <v/>
      </c>
      <c r="FQ153" s="0" t="n">
        <v>2270218.73</v>
      </c>
      <c r="FR153" s="0">
        <f>FQ154</f>
        <v/>
      </c>
      <c r="FS153" s="0">
        <f>FQ153-FR153</f>
        <v/>
      </c>
      <c r="FT153" s="0">
        <f>FS153/FR153</f>
        <v/>
      </c>
      <c r="FV153" s="0" t="n"/>
      <c r="FX153" s="0">
        <f>C153</f>
        <v/>
      </c>
      <c r="FY153" s="0" t="n">
        <v>8361682.05</v>
      </c>
      <c r="FZ153" s="0">
        <f>FY154</f>
        <v/>
      </c>
      <c r="GA153" s="0">
        <f>FY153-FZ153</f>
        <v/>
      </c>
      <c r="GB153" s="0">
        <f>GA153/FZ153</f>
        <v/>
      </c>
      <c r="GD153" s="0" t="n"/>
      <c r="GF153" s="0">
        <f>C153</f>
        <v/>
      </c>
      <c r="GG153" s="0" t="n">
        <v>4628069.49</v>
      </c>
      <c r="GH153" s="0">
        <f>GG154</f>
        <v/>
      </c>
      <c r="GI153" s="0">
        <f>GG153-GH153</f>
        <v/>
      </c>
      <c r="GJ153" s="0">
        <f>GI153/GH153</f>
        <v/>
      </c>
      <c r="GL153" s="0" t="n"/>
      <c r="GN153" s="0">
        <f>C153</f>
        <v/>
      </c>
      <c r="GO153" s="0" t="n">
        <v>1762678.12</v>
      </c>
      <c r="GP153" s="0">
        <f>GO154</f>
        <v/>
      </c>
      <c r="GQ153" s="0">
        <f>GO153-GP153</f>
        <v/>
      </c>
      <c r="GR153" s="0">
        <f>GQ153/GP153</f>
        <v/>
      </c>
      <c r="GT153" s="0" t="n"/>
      <c r="GV153" s="0">
        <f>C153</f>
        <v/>
      </c>
      <c r="GW153" s="0" t="n">
        <v>1000149.4</v>
      </c>
      <c r="GX153" s="0">
        <f>GW154</f>
        <v/>
      </c>
      <c r="GY153" s="0">
        <f>GW153-GX153</f>
        <v/>
      </c>
      <c r="GZ153" s="0">
        <f>GY153/GX153</f>
        <v/>
      </c>
      <c r="HB153" s="0" t="n"/>
      <c r="HD153" s="0">
        <f>C153</f>
        <v/>
      </c>
      <c r="HE153" s="0" t="n">
        <v>1105764.67</v>
      </c>
      <c r="HF153" s="0">
        <f>HE154</f>
        <v/>
      </c>
      <c r="HG153" s="0">
        <f>HE153-HF153</f>
        <v/>
      </c>
      <c r="HH153" s="0">
        <f>HG153/HF153</f>
        <v/>
      </c>
      <c r="HJ153" s="0" t="n"/>
      <c r="HL153" s="0">
        <f>C153</f>
        <v/>
      </c>
      <c r="HM153" s="0" t="n">
        <v>152204.25</v>
      </c>
      <c r="HN153" s="0">
        <f>HM154</f>
        <v/>
      </c>
      <c r="HO153" s="0">
        <f>HM153-HN153</f>
        <v/>
      </c>
      <c r="HP153" s="0">
        <f>HO153/HN153</f>
        <v/>
      </c>
      <c r="HR153" s="0" t="n"/>
      <c r="HT153" s="0">
        <f>C153</f>
        <v/>
      </c>
      <c r="HU153" s="0" t="n">
        <v>260668.82</v>
      </c>
      <c r="HV153" s="0">
        <f>HU154</f>
        <v/>
      </c>
      <c r="HW153" s="0">
        <f>HU153-HV153</f>
        <v/>
      </c>
      <c r="HX153" s="0">
        <f>HW153/HV153</f>
        <v/>
      </c>
      <c r="HZ153" s="0" t="n"/>
      <c r="IB153" s="0">
        <f>C153</f>
        <v/>
      </c>
      <c r="IC153" s="0" t="n">
        <v>399934.79</v>
      </c>
      <c r="ID153" s="0">
        <f>IC154</f>
        <v/>
      </c>
      <c r="IE153" s="0">
        <f>IC153-ID153</f>
        <v/>
      </c>
      <c r="IF153" s="0">
        <f>IE153/ID153</f>
        <v/>
      </c>
      <c r="IH153" s="0" t="n"/>
      <c r="IJ153" s="0">
        <f>C153</f>
        <v/>
      </c>
      <c r="IK153" s="0" t="n">
        <v>569596.29</v>
      </c>
      <c r="IL153" s="0">
        <f>IK154</f>
        <v/>
      </c>
      <c r="IM153" s="0">
        <f>IK153-IL153</f>
        <v/>
      </c>
      <c r="IN153" s="0">
        <f>IM153/IL153</f>
        <v/>
      </c>
      <c r="IP153" s="0" t="n"/>
      <c r="IR153" s="0">
        <f>C153</f>
        <v/>
      </c>
      <c r="IS153" s="0" t="n">
        <v>142089</v>
      </c>
      <c r="IT153" s="0">
        <f>IS154</f>
        <v/>
      </c>
      <c r="IU153" s="0">
        <f>IS153-IT153</f>
        <v/>
      </c>
      <c r="IV153" s="0">
        <f>IU153/IT153</f>
        <v/>
      </c>
      <c r="IX153" s="0" t="n"/>
      <c r="IZ153" s="0">
        <f>C153</f>
        <v/>
      </c>
      <c r="JA153" s="0" t="n">
        <v>5028829.15</v>
      </c>
      <c r="JB153" s="0">
        <f>JA154</f>
        <v/>
      </c>
      <c r="JC153" s="0">
        <f>JA153-JB153</f>
        <v/>
      </c>
      <c r="JD153" s="0">
        <f>JC153/JB153</f>
        <v/>
      </c>
      <c r="JF153" s="0" t="n"/>
      <c r="JH153" s="0">
        <f>C153</f>
        <v/>
      </c>
      <c r="JI153" s="0" t="n">
        <v>1503207.99</v>
      </c>
      <c r="JJ153" s="0">
        <f>JI154</f>
        <v/>
      </c>
      <c r="JK153" s="0">
        <f>JI153-JJ153</f>
        <v/>
      </c>
      <c r="JL153" s="0">
        <f>JK153/JJ153</f>
        <v/>
      </c>
      <c r="JN153" s="0" t="n"/>
      <c r="JP153" s="0">
        <f>C153</f>
        <v/>
      </c>
      <c r="JQ153" s="0" t="n">
        <v>1045890.41</v>
      </c>
      <c r="JR153" s="0">
        <f>JQ154</f>
        <v/>
      </c>
      <c r="JS153" s="0">
        <f>JQ153-JR153</f>
        <v/>
      </c>
      <c r="JT153" s="0">
        <f>JS153/JR153</f>
        <v/>
      </c>
      <c r="JV153" s="0" t="n"/>
      <c r="JX153" s="0">
        <f>C153</f>
        <v/>
      </c>
      <c r="JY153" s="0" t="n">
        <v>1244648.8</v>
      </c>
      <c r="JZ153" s="0">
        <f>JY154</f>
        <v/>
      </c>
      <c r="KA153" s="0">
        <f>JY153-JZ153</f>
        <v/>
      </c>
      <c r="KB153" s="0">
        <f>KA153/JZ153</f>
        <v/>
      </c>
      <c r="KD153" s="0" t="n"/>
      <c r="KF153" s="0">
        <f>C153</f>
        <v/>
      </c>
      <c r="KG153" s="0" t="n">
        <v>732555.92</v>
      </c>
      <c r="KH153" s="711">
        <f>KG154</f>
        <v/>
      </c>
      <c r="KI153" s="0">
        <f>KG153-KH153</f>
        <v/>
      </c>
      <c r="KJ153" s="519">
        <f>KI153/KH153</f>
        <v/>
      </c>
      <c r="KL153" s="0" t="n"/>
      <c r="KN153" s="0">
        <f>C153</f>
        <v/>
      </c>
      <c r="KO153" s="0" t="n">
        <v>8320675.95</v>
      </c>
      <c r="KP153" s="0">
        <f>KO154</f>
        <v/>
      </c>
      <c r="KQ153" s="0">
        <f>KO153-KP153</f>
        <v/>
      </c>
      <c r="KR153" s="0">
        <f>KQ153/KP153</f>
        <v/>
      </c>
      <c r="KT153" s="0" t="n"/>
      <c r="KV153" s="0">
        <f>C153</f>
        <v/>
      </c>
      <c r="KW153" s="0" t="n">
        <v>969572.97</v>
      </c>
      <c r="KX153" s="0">
        <f>KW154</f>
        <v/>
      </c>
      <c r="KY153" s="0">
        <f>KW153-KX153</f>
        <v/>
      </c>
      <c r="KZ153" s="0">
        <f>KY153/KX153</f>
        <v/>
      </c>
      <c r="LB153" s="0" t="n"/>
      <c r="LD153" s="0">
        <f>C153</f>
        <v/>
      </c>
      <c r="LE153" s="0" t="n">
        <v>445607.7</v>
      </c>
      <c r="LF153" s="0">
        <f>LE154</f>
        <v/>
      </c>
      <c r="LG153" s="0">
        <f>LE153-LF153</f>
        <v/>
      </c>
      <c r="LH153" s="0">
        <f>LG153/LF153</f>
        <v/>
      </c>
      <c r="LJ153" s="0" t="n"/>
      <c r="LL153" s="0">
        <f>C153</f>
        <v/>
      </c>
      <c r="LM153" s="0" t="n">
        <v>3524875.02</v>
      </c>
      <c r="LN153" s="0">
        <f>LM154</f>
        <v/>
      </c>
      <c r="LO153" s="0">
        <f>LM153-LN153</f>
        <v/>
      </c>
      <c r="LP153" s="0">
        <f>LO153/LN153</f>
        <v/>
      </c>
      <c r="LR153" s="0" t="n"/>
      <c r="LT153" s="0">
        <f>C153</f>
        <v/>
      </c>
      <c r="LU153" s="0" t="n">
        <v>2673862.9</v>
      </c>
      <c r="LV153" s="0">
        <f>LU154</f>
        <v/>
      </c>
      <c r="LW153" s="0">
        <f>LU153-LV153</f>
        <v/>
      </c>
      <c r="LX153" s="0">
        <f>LW153/LV153</f>
        <v/>
      </c>
      <c r="LZ153" s="0" t="n"/>
      <c r="MB153" s="0">
        <f>C153</f>
        <v/>
      </c>
      <c r="MC153" s="0" t="n">
        <v>783317.6899999999</v>
      </c>
      <c r="MD153" s="0">
        <f>MC154</f>
        <v/>
      </c>
      <c r="ME153" s="0">
        <f>MC153-MD153</f>
        <v/>
      </c>
      <c r="MF153" s="0">
        <f>ME153/MD153</f>
        <v/>
      </c>
      <c r="MH153" s="0" t="n"/>
      <c r="MJ153" s="711" t="n"/>
      <c r="MK153" s="0">
        <f>C153</f>
        <v/>
      </c>
      <c r="ML153" s="711" t="n">
        <v>220665.53</v>
      </c>
      <c r="MM153" s="0">
        <f>ML154</f>
        <v/>
      </c>
      <c r="MN153" s="711">
        <f>ML153-MM153</f>
        <v/>
      </c>
      <c r="MO153" s="0">
        <f>MN153/MM153</f>
        <v/>
      </c>
      <c r="MQ153" s="0" t="n"/>
      <c r="MS153" s="0" t="n"/>
      <c r="MT153" s="0">
        <f>C153</f>
        <v/>
      </c>
      <c r="MU153" s="0" t="n">
        <v>283414.8</v>
      </c>
      <c r="MV153" s="0">
        <f>MU154</f>
        <v/>
      </c>
      <c r="MW153" s="0">
        <f>MU153-MV153</f>
        <v/>
      </c>
      <c r="MX153" s="0">
        <f>MW153/MV153</f>
        <v/>
      </c>
      <c r="MZ153" s="0" t="n"/>
      <c r="NB153" s="0" t="n"/>
      <c r="NC153" s="0">
        <f>C153</f>
        <v/>
      </c>
      <c r="ND153" s="0" t="n">
        <v>44491.48</v>
      </c>
      <c r="NE153" s="0">
        <f>ND154</f>
        <v/>
      </c>
      <c r="NF153" s="0">
        <f>ND153-NE153</f>
        <v/>
      </c>
      <c r="NG153" s="0">
        <f>NF153/NE153</f>
        <v/>
      </c>
      <c r="NI153" s="0" t="n"/>
      <c r="NL153" s="0" t="n"/>
      <c r="NM153" s="0">
        <f>C153</f>
        <v/>
      </c>
      <c r="NN153" s="0" t="n">
        <v>2642711.08</v>
      </c>
      <c r="NO153" s="0">
        <f>NN154</f>
        <v/>
      </c>
      <c r="NP153" s="0">
        <f>NN153-NO153</f>
        <v/>
      </c>
      <c r="NQ153" s="0">
        <f>NP153/NO153</f>
        <v/>
      </c>
      <c r="NS153" s="0" t="n"/>
      <c r="NU153" s="0">
        <f>C153</f>
        <v/>
      </c>
      <c r="NV153" s="711" t="n">
        <v>251676.5</v>
      </c>
      <c r="NW153" s="0">
        <f>NV154</f>
        <v/>
      </c>
      <c r="NX153" s="711">
        <f>NV153-NW153</f>
        <v/>
      </c>
      <c r="NY153" s="0">
        <f>NX153/NW153</f>
        <v/>
      </c>
      <c r="OA153" s="0" t="n"/>
      <c r="OC153" s="0">
        <f>C153</f>
        <v/>
      </c>
      <c r="OD153" s="0" t="n">
        <v>11945.97</v>
      </c>
      <c r="OE153" s="0">
        <f>OD154</f>
        <v/>
      </c>
      <c r="OF153" s="0">
        <f>OD153-OE153</f>
        <v/>
      </c>
      <c r="OG153" s="0">
        <f>OF153/OE153</f>
        <v/>
      </c>
      <c r="OI153" s="0" t="n"/>
      <c r="OK153" s="0">
        <f>C153</f>
        <v/>
      </c>
      <c r="OL153" s="0" t="n">
        <v>11344.65</v>
      </c>
      <c r="OM153" s="0">
        <f>OL154</f>
        <v/>
      </c>
      <c r="ON153" s="0">
        <f>OL153-OM153</f>
        <v/>
      </c>
      <c r="OO153" s="0">
        <f>ON153/OM153</f>
        <v/>
      </c>
      <c r="OQ153" s="0" t="n"/>
      <c r="OT153" s="0">
        <f>OK153</f>
        <v/>
      </c>
      <c r="OU153" s="0" t="n">
        <v>144072.4066</v>
      </c>
      <c r="OV153" s="0">
        <f>OU154</f>
        <v/>
      </c>
      <c r="OW153" s="0">
        <f>OU153-OV153</f>
        <v/>
      </c>
      <c r="OX153" s="0">
        <f>OW153/OV153</f>
        <v/>
      </c>
    </row>
    <row r="154">
      <c r="C154" s="0" t="inlineStr">
        <is>
          <t>2026//4/2</t>
        </is>
      </c>
      <c r="D154" s="0" t="n">
        <v>4471878.77</v>
      </c>
      <c r="E154" s="0">
        <f>D155</f>
        <v/>
      </c>
      <c r="F154" s="0">
        <f>D154-E154</f>
        <v/>
      </c>
      <c r="G154" s="0">
        <f>F154/E154</f>
        <v/>
      </c>
      <c r="I154" s="0" t="n"/>
      <c r="K154" s="0">
        <f>C154</f>
        <v/>
      </c>
      <c r="L154" s="0" t="n">
        <v>3163384.4</v>
      </c>
      <c r="M154" s="0">
        <f>L155</f>
        <v/>
      </c>
      <c r="N154" s="0">
        <f>L154-M154</f>
        <v/>
      </c>
      <c r="O154" s="0">
        <f>N154/M154</f>
        <v/>
      </c>
      <c r="Q154" s="0" t="n"/>
      <c r="S154" s="0">
        <f>C154</f>
        <v/>
      </c>
      <c r="T154" s="0" t="n">
        <v>2286246.68</v>
      </c>
      <c r="U154" s="0">
        <f>T155</f>
        <v/>
      </c>
      <c r="V154" s="0">
        <f>T154-U154</f>
        <v/>
      </c>
      <c r="W154" s="0">
        <f>V154/U154</f>
        <v/>
      </c>
      <c r="Y154" s="0" t="n"/>
      <c r="AA154" s="0">
        <f>S154</f>
        <v/>
      </c>
      <c r="AB154" s="0" t="n">
        <v>931536.86</v>
      </c>
      <c r="AC154" s="0">
        <f>AB155</f>
        <v/>
      </c>
      <c r="AD154" s="0">
        <f>AB154-AC154</f>
        <v/>
      </c>
      <c r="AE154" s="0">
        <f>AD154/AC154</f>
        <v/>
      </c>
      <c r="AG154" s="0" t="n"/>
      <c r="AI154" s="0">
        <f>C154</f>
        <v/>
      </c>
      <c r="AJ154" s="0" t="n">
        <v>741921.76</v>
      </c>
      <c r="AK154" s="0">
        <f>AJ155</f>
        <v/>
      </c>
      <c r="AL154" s="0">
        <f>AJ154-AK154</f>
        <v/>
      </c>
      <c r="AM154" s="0">
        <f>AL154/AK154</f>
        <v/>
      </c>
      <c r="AO154" s="0" t="n"/>
      <c r="AQ154" s="0">
        <f>C154</f>
        <v/>
      </c>
      <c r="AR154" s="0" t="n">
        <v>1591745.49</v>
      </c>
      <c r="AS154" s="0">
        <f>AR155</f>
        <v/>
      </c>
      <c r="AT154" s="0">
        <f>AR154-AS154</f>
        <v/>
      </c>
      <c r="AU154" s="0">
        <f>AT154/AS154</f>
        <v/>
      </c>
      <c r="AW154" s="0" t="n"/>
      <c r="AY154" s="0" t="n"/>
      <c r="AZ154" s="0">
        <f>C154</f>
        <v/>
      </c>
      <c r="BA154" s="0" t="n">
        <v>1983981.66</v>
      </c>
      <c r="BB154" s="0">
        <f>BA155</f>
        <v/>
      </c>
      <c r="BC154" s="0">
        <f>BA154-BB154</f>
        <v/>
      </c>
      <c r="BD154" s="0">
        <f>BC154/BB154</f>
        <v/>
      </c>
      <c r="BF154" s="0" t="n"/>
      <c r="BH154" s="0">
        <f>C154</f>
        <v/>
      </c>
      <c r="BI154" s="0" t="n">
        <v>1620226.55</v>
      </c>
      <c r="BJ154" s="0">
        <f>BI155</f>
        <v/>
      </c>
      <c r="BK154" s="0">
        <f>BI154-BJ154</f>
        <v/>
      </c>
      <c r="BL154" s="0">
        <f>BK154/BJ154</f>
        <v/>
      </c>
      <c r="BN154" s="0" t="n"/>
      <c r="BP154" s="0">
        <f>C154</f>
        <v/>
      </c>
      <c r="BQ154" s="0" t="n">
        <v>1133162.39</v>
      </c>
      <c r="BR154" s="0">
        <f>BQ155</f>
        <v/>
      </c>
      <c r="BS154" s="0">
        <f>BQ154-BR154</f>
        <v/>
      </c>
      <c r="BT154" s="0">
        <f>BS154/BR154</f>
        <v/>
      </c>
      <c r="BV154" s="0" t="n"/>
      <c r="BX154" s="0">
        <f>C154</f>
        <v/>
      </c>
      <c r="BY154" s="0" t="n">
        <v>3135010.7</v>
      </c>
      <c r="BZ154" s="0">
        <f>BY155</f>
        <v/>
      </c>
      <c r="CA154" s="0">
        <f>BY154-BZ154</f>
        <v/>
      </c>
      <c r="CB154" s="0">
        <f>CA154/BZ154</f>
        <v/>
      </c>
      <c r="CD154" s="0" t="n"/>
      <c r="CF154" s="0">
        <f>C154</f>
        <v/>
      </c>
      <c r="CG154" s="0" t="n">
        <v>1402903.9</v>
      </c>
      <c r="CH154" s="0">
        <f>CG155</f>
        <v/>
      </c>
      <c r="CI154" s="0">
        <f>CG154-CH154</f>
        <v/>
      </c>
      <c r="CJ154" s="0">
        <f>CI154/CH154</f>
        <v/>
      </c>
      <c r="CL154" s="0" t="n"/>
      <c r="CN154" s="0">
        <f>C154</f>
        <v/>
      </c>
      <c r="CO154" s="0" t="n">
        <v>675046.48</v>
      </c>
      <c r="CP154" s="0">
        <f>CO155</f>
        <v/>
      </c>
      <c r="CQ154" s="0">
        <f>CO154-CP154</f>
        <v/>
      </c>
      <c r="CR154" s="0">
        <f>CQ154/CP154</f>
        <v/>
      </c>
      <c r="CS154" s="0" t="n"/>
      <c r="CT154" s="0" t="n"/>
      <c r="CV154" s="0">
        <f>C154</f>
        <v/>
      </c>
      <c r="CW154" s="0" t="n">
        <v>585590.4</v>
      </c>
      <c r="CX154" s="0">
        <f>CW155</f>
        <v/>
      </c>
      <c r="CY154" s="0">
        <f>CW154-CX154</f>
        <v/>
      </c>
      <c r="CZ154" s="0">
        <f>CY154/CX154</f>
        <v/>
      </c>
      <c r="DB154" s="0" t="n"/>
      <c r="DC154" s="0" t="n"/>
      <c r="DD154" s="0">
        <f>C154</f>
        <v/>
      </c>
      <c r="DE154" s="0" t="n">
        <v>2394717.99</v>
      </c>
      <c r="DF154" s="0">
        <f>DE155</f>
        <v/>
      </c>
      <c r="DG154" s="0">
        <f>DE154-DF154</f>
        <v/>
      </c>
      <c r="DH154" s="0">
        <f>DG154/DF154</f>
        <v/>
      </c>
      <c r="DJ154" s="0" t="n"/>
      <c r="DL154" s="0">
        <f>C154</f>
        <v/>
      </c>
      <c r="DM154" s="0" t="n">
        <v>1394700.36</v>
      </c>
      <c r="DN154" s="0">
        <f>DM155</f>
        <v/>
      </c>
      <c r="DO154" s="0">
        <f>DM154-DN154</f>
        <v/>
      </c>
      <c r="DP154" s="0">
        <f>DO154/DN154</f>
        <v/>
      </c>
      <c r="DR154" s="0" t="n"/>
      <c r="DT154" s="0">
        <f>C154</f>
        <v/>
      </c>
      <c r="DU154" s="0" t="n">
        <v>1664789.48</v>
      </c>
      <c r="DV154" s="0">
        <f>DU155</f>
        <v/>
      </c>
      <c r="DW154" s="0">
        <f>DU154-DV154</f>
        <v/>
      </c>
      <c r="DX154" s="0">
        <f>DW154/DV154</f>
        <v/>
      </c>
      <c r="DZ154" s="0" t="n"/>
      <c r="EB154" s="0">
        <f>C154</f>
        <v/>
      </c>
      <c r="EC154" s="0" t="n">
        <v>5156666.82</v>
      </c>
      <c r="ED154" s="0">
        <f>EC155</f>
        <v/>
      </c>
      <c r="EE154" s="0">
        <f>EC154-ED154</f>
        <v/>
      </c>
      <c r="EF154" s="0">
        <f>EE154/ED154</f>
        <v/>
      </c>
      <c r="EH154" s="0" t="n"/>
      <c r="EJ154" s="0">
        <f>C154</f>
        <v/>
      </c>
      <c r="EK154" s="0" t="n">
        <v>1541722.96</v>
      </c>
      <c r="EL154" s="0">
        <f>EK155</f>
        <v/>
      </c>
      <c r="EM154" s="0">
        <f>EK154-EL154</f>
        <v/>
      </c>
      <c r="EN154" s="0">
        <f>EM154/EL154</f>
        <v/>
      </c>
      <c r="EP154" s="0" t="n"/>
      <c r="ER154" s="0">
        <f>C154</f>
        <v/>
      </c>
      <c r="ES154" s="0" t="n">
        <v>535847.02</v>
      </c>
      <c r="ET154" s="0">
        <f>ES155</f>
        <v/>
      </c>
      <c r="EU154" s="0">
        <f>ES154-ET154</f>
        <v/>
      </c>
      <c r="EV154" s="0">
        <f>EU154/ET154</f>
        <v/>
      </c>
      <c r="EX154" s="0" t="n"/>
      <c r="EZ154" s="0">
        <f>C154</f>
        <v/>
      </c>
      <c r="FA154" s="0" t="n">
        <v>722608</v>
      </c>
      <c r="FB154" s="0">
        <f>FA155</f>
        <v/>
      </c>
      <c r="FC154" s="0">
        <f>FA154-FB154</f>
        <v/>
      </c>
      <c r="FD154" s="0">
        <f>FC154/FB154</f>
        <v/>
      </c>
      <c r="FF154" s="0" t="n"/>
      <c r="FH154" s="0">
        <f>C154</f>
        <v/>
      </c>
      <c r="FI154" s="0" t="n">
        <v>1095195.33</v>
      </c>
      <c r="FJ154" s="0">
        <f>FI155</f>
        <v/>
      </c>
      <c r="FK154" s="0">
        <f>FI154-FJ154</f>
        <v/>
      </c>
      <c r="FL154" s="711">
        <f>FK154/FJ154</f>
        <v/>
      </c>
      <c r="FN154" s="0" t="n"/>
      <c r="FP154" s="0">
        <f>C154</f>
        <v/>
      </c>
      <c r="FQ154" s="0" t="n">
        <v>2267668.73</v>
      </c>
      <c r="FR154" s="0">
        <f>FQ155</f>
        <v/>
      </c>
      <c r="FS154" s="0">
        <f>FQ154-FR154</f>
        <v/>
      </c>
      <c r="FT154" s="0">
        <f>FS154/FR154</f>
        <v/>
      </c>
      <c r="FV154" s="0" t="n"/>
      <c r="FX154" s="0">
        <f>C154</f>
        <v/>
      </c>
      <c r="FY154" s="0" t="n">
        <v>8344982.05</v>
      </c>
      <c r="FZ154" s="0">
        <f>FY155</f>
        <v/>
      </c>
      <c r="GA154" s="0">
        <f>FY154-FZ154</f>
        <v/>
      </c>
      <c r="GB154" s="0">
        <f>GA154/FZ154</f>
        <v/>
      </c>
      <c r="GD154" s="0" t="n"/>
      <c r="GF154" s="0">
        <f>C154</f>
        <v/>
      </c>
      <c r="GG154" s="0" t="n">
        <v>4628169.49</v>
      </c>
      <c r="GH154" s="0">
        <f>GG155</f>
        <v/>
      </c>
      <c r="GI154" s="0">
        <f>GG154-GH154</f>
        <v/>
      </c>
      <c r="GJ154" s="0">
        <f>GI154/GH154</f>
        <v/>
      </c>
      <c r="GL154" s="0" t="n"/>
      <c r="GN154" s="0">
        <f>C154</f>
        <v/>
      </c>
      <c r="GO154" s="0" t="n">
        <v>1761058.12</v>
      </c>
      <c r="GP154" s="0">
        <f>GO155</f>
        <v/>
      </c>
      <c r="GQ154" s="0">
        <f>GO154-GP154</f>
        <v/>
      </c>
      <c r="GR154" s="0">
        <f>GQ154/GP154</f>
        <v/>
      </c>
      <c r="GT154" s="0" t="n"/>
      <c r="GV154" s="0">
        <f>C154</f>
        <v/>
      </c>
      <c r="GW154" s="0" t="n">
        <v>1018549.4</v>
      </c>
      <c r="GX154" s="0">
        <f>GW155</f>
        <v/>
      </c>
      <c r="GY154" s="0">
        <f>GW154-GX154</f>
        <v/>
      </c>
      <c r="GZ154" s="0">
        <f>GY154/GX154</f>
        <v/>
      </c>
      <c r="HB154" s="0" t="n"/>
      <c r="HD154" s="0">
        <f>C154</f>
        <v/>
      </c>
      <c r="HE154" s="0" t="n">
        <v>1106664.67</v>
      </c>
      <c r="HF154" s="0">
        <f>HE155</f>
        <v/>
      </c>
      <c r="HG154" s="0">
        <f>HE154-HF154</f>
        <v/>
      </c>
      <c r="HH154" s="0">
        <f>HG154/HF154</f>
        <v/>
      </c>
      <c r="HJ154" s="0" t="n"/>
      <c r="HL154" s="0">
        <f>C154</f>
        <v/>
      </c>
      <c r="HM154" s="0" t="n">
        <v>152954.25</v>
      </c>
      <c r="HN154" s="0">
        <f>HM155</f>
        <v/>
      </c>
      <c r="HO154" s="0">
        <f>HM154-HN154</f>
        <v/>
      </c>
      <c r="HP154" s="0">
        <f>HO154/HN154</f>
        <v/>
      </c>
      <c r="HR154" s="0" t="n"/>
      <c r="HT154" s="0">
        <f>C154</f>
        <v/>
      </c>
      <c r="HU154" s="0" t="n">
        <v>261568.82</v>
      </c>
      <c r="HV154" s="0">
        <f>HU155</f>
        <v/>
      </c>
      <c r="HW154" s="0">
        <f>HU154-HV154</f>
        <v/>
      </c>
      <c r="HX154" s="0">
        <f>HW154/HV154</f>
        <v/>
      </c>
      <c r="HZ154" s="0" t="n"/>
      <c r="IB154" s="0">
        <f>C154</f>
        <v/>
      </c>
      <c r="IC154" s="0" t="n">
        <v>400234.79</v>
      </c>
      <c r="ID154" s="0">
        <f>IC155</f>
        <v/>
      </c>
      <c r="IE154" s="0">
        <f>IC154-ID154</f>
        <v/>
      </c>
      <c r="IF154" s="0">
        <f>IE154/ID154</f>
        <v/>
      </c>
      <c r="IH154" s="0" t="n"/>
      <c r="IJ154" s="0">
        <f>C154</f>
        <v/>
      </c>
      <c r="IK154" s="0" t="n">
        <v>582396.29</v>
      </c>
      <c r="IL154" s="0">
        <f>IK155</f>
        <v/>
      </c>
      <c r="IM154" s="0">
        <f>IK154-IL154</f>
        <v/>
      </c>
      <c r="IN154" s="0">
        <f>IM154/IL154</f>
        <v/>
      </c>
      <c r="IP154" s="0" t="n"/>
      <c r="IR154" s="0">
        <f>C154</f>
        <v/>
      </c>
      <c r="IS154" s="0" t="n">
        <v>141989</v>
      </c>
      <c r="IT154" s="0">
        <f>IS155</f>
        <v/>
      </c>
      <c r="IU154" s="0">
        <f>IS154-IT154</f>
        <v/>
      </c>
      <c r="IV154" s="0">
        <f>IU154/IT154</f>
        <v/>
      </c>
      <c r="IX154" s="0" t="n"/>
      <c r="IZ154" s="0">
        <f>C154</f>
        <v/>
      </c>
      <c r="JA154" s="0" t="n">
        <v>5026729.15</v>
      </c>
      <c r="JB154" s="0">
        <f>JA155</f>
        <v/>
      </c>
      <c r="JC154" s="0">
        <f>JA154-JB154</f>
        <v/>
      </c>
      <c r="JD154" s="0">
        <f>JC154/JB154</f>
        <v/>
      </c>
      <c r="JF154" s="0" t="n"/>
      <c r="JH154" s="0">
        <f>C154</f>
        <v/>
      </c>
      <c r="JI154" s="0" t="n">
        <v>1493067.99</v>
      </c>
      <c r="JJ154" s="0">
        <f>JI155</f>
        <v/>
      </c>
      <c r="JK154" s="0">
        <f>JI154-JJ154</f>
        <v/>
      </c>
      <c r="JL154" s="0">
        <f>JK154/JJ154</f>
        <v/>
      </c>
      <c r="JN154" s="0" t="n"/>
      <c r="JP154" s="0">
        <f>C154</f>
        <v/>
      </c>
      <c r="JQ154" s="0" t="n">
        <v>1045890.41</v>
      </c>
      <c r="JR154" s="0">
        <f>JQ155</f>
        <v/>
      </c>
      <c r="JS154" s="0">
        <f>JQ154-JR154</f>
        <v/>
      </c>
      <c r="JT154" s="0">
        <f>JS154/JR154</f>
        <v/>
      </c>
      <c r="JV154" s="0" t="n"/>
      <c r="JX154" s="0">
        <f>C154</f>
        <v/>
      </c>
      <c r="JY154" s="0" t="n">
        <v>1244648.8</v>
      </c>
      <c r="JZ154" s="0">
        <f>JY155</f>
        <v/>
      </c>
      <c r="KA154" s="0">
        <f>JY154-JZ154</f>
        <v/>
      </c>
      <c r="KB154" s="0">
        <f>KA154/JZ154</f>
        <v/>
      </c>
      <c r="KD154" s="0" t="n"/>
      <c r="KF154" s="0">
        <f>C154</f>
        <v/>
      </c>
      <c r="KG154" s="0" t="n">
        <v>732555.92</v>
      </c>
      <c r="KH154" s="711">
        <f>KG155</f>
        <v/>
      </c>
      <c r="KI154" s="0">
        <f>KG154-KH154</f>
        <v/>
      </c>
      <c r="KJ154" s="519">
        <f>KI154/KH154</f>
        <v/>
      </c>
      <c r="KL154" s="0" t="n"/>
      <c r="KN154" s="0">
        <f>C154</f>
        <v/>
      </c>
      <c r="KO154" s="0" t="n">
        <v>8320675.95</v>
      </c>
      <c r="KP154" s="0">
        <f>KO155</f>
        <v/>
      </c>
      <c r="KQ154" s="0">
        <f>KO154-KP154</f>
        <v/>
      </c>
      <c r="KR154" s="0">
        <f>KQ154/KP154</f>
        <v/>
      </c>
      <c r="KT154" s="0" t="n"/>
      <c r="KV154" s="0">
        <f>C154</f>
        <v/>
      </c>
      <c r="KW154" s="0" t="n">
        <v>969572.97</v>
      </c>
      <c r="KX154" s="0">
        <f>KW155</f>
        <v/>
      </c>
      <c r="KY154" s="0">
        <f>KW154-KX154</f>
        <v/>
      </c>
      <c r="KZ154" s="0">
        <f>KY154/KX154</f>
        <v/>
      </c>
      <c r="LB154" s="0" t="n"/>
      <c r="LD154" s="0">
        <f>C154</f>
        <v/>
      </c>
      <c r="LE154" s="0" t="n">
        <v>443607.7</v>
      </c>
      <c r="LF154" s="0">
        <f>LE155</f>
        <v/>
      </c>
      <c r="LG154" s="0">
        <f>LE154-LF154</f>
        <v/>
      </c>
      <c r="LH154" s="0">
        <f>LG154/LF154</f>
        <v/>
      </c>
      <c r="LJ154" s="0" t="n"/>
      <c r="LL154" s="0">
        <f>C154</f>
        <v/>
      </c>
      <c r="LM154" s="0" t="n">
        <v>3529375.02</v>
      </c>
      <c r="LN154" s="0">
        <f>LM155</f>
        <v/>
      </c>
      <c r="LO154" s="0">
        <f>LM154-LN154</f>
        <v/>
      </c>
      <c r="LP154" s="0">
        <f>LO154/LN154</f>
        <v/>
      </c>
      <c r="LR154" s="0" t="n"/>
      <c r="LT154" s="0">
        <f>C154</f>
        <v/>
      </c>
      <c r="LU154" s="0" t="n">
        <v>2676262.9</v>
      </c>
      <c r="LV154" s="0">
        <f>LU155</f>
        <v/>
      </c>
      <c r="LW154" s="0">
        <f>LU154-LV154</f>
        <v/>
      </c>
      <c r="LX154" s="0">
        <f>LW154/LV154</f>
        <v/>
      </c>
      <c r="LZ154" s="0" t="n"/>
      <c r="MB154" s="0">
        <f>C154</f>
        <v/>
      </c>
      <c r="MC154" s="0" t="n">
        <v>792467.6899999999</v>
      </c>
      <c r="MD154" s="0">
        <f>MC155</f>
        <v/>
      </c>
      <c r="ME154" s="0">
        <f>MC154-MD154</f>
        <v/>
      </c>
      <c r="MF154" s="0">
        <f>ME154/MD154</f>
        <v/>
      </c>
      <c r="MH154" s="0" t="n"/>
      <c r="MJ154" s="711" t="n"/>
      <c r="MK154" s="0">
        <f>C154</f>
        <v/>
      </c>
      <c r="ML154" s="711" t="n">
        <v>221025.53</v>
      </c>
      <c r="MM154" s="0">
        <f>ML155</f>
        <v/>
      </c>
      <c r="MN154" s="711">
        <f>ML154-MM154</f>
        <v/>
      </c>
      <c r="MO154" s="0">
        <f>MN154/MM154</f>
        <v/>
      </c>
      <c r="MQ154" s="0" t="n"/>
      <c r="MS154" s="0" t="n"/>
      <c r="MT154" s="0">
        <f>C154</f>
        <v/>
      </c>
      <c r="MU154" s="0" t="n">
        <v>284014.8</v>
      </c>
      <c r="MV154" s="0">
        <f>MU155</f>
        <v/>
      </c>
      <c r="MW154" s="0">
        <f>MU154-MV154</f>
        <v/>
      </c>
      <c r="MX154" s="0">
        <f>MW154/MV154</f>
        <v/>
      </c>
      <c r="MZ154" s="0" t="n"/>
      <c r="NB154" s="0" t="n"/>
      <c r="NC154" s="0">
        <f>C154</f>
        <v/>
      </c>
      <c r="ND154" s="0" t="n">
        <v>44491.48</v>
      </c>
      <c r="NE154" s="0">
        <f>ND155</f>
        <v/>
      </c>
      <c r="NF154" s="0">
        <f>ND154-NE154</f>
        <v/>
      </c>
      <c r="NG154" s="0">
        <f>NF154/NE154</f>
        <v/>
      </c>
      <c r="NI154" s="0" t="n"/>
      <c r="NL154" s="0" t="n"/>
      <c r="NM154" s="0">
        <f>C154</f>
        <v/>
      </c>
      <c r="NN154" s="0" t="n">
        <v>2624211.08</v>
      </c>
      <c r="NO154" s="0">
        <f>NN155</f>
        <v/>
      </c>
      <c r="NP154" s="0">
        <f>NN154-NO154</f>
        <v/>
      </c>
      <c r="NQ154" s="0">
        <f>NP154/NO154</f>
        <v/>
      </c>
      <c r="NS154" s="0" t="n"/>
      <c r="NU154" s="0">
        <f>C154</f>
        <v/>
      </c>
      <c r="NV154" s="711" t="n">
        <v>252826.5</v>
      </c>
      <c r="NW154" s="0">
        <f>NV155</f>
        <v/>
      </c>
      <c r="NX154" s="711">
        <f>NV154-NW154</f>
        <v/>
      </c>
      <c r="NY154" s="0">
        <f>NX154/NW154</f>
        <v/>
      </c>
      <c r="OA154" s="0" t="n"/>
      <c r="OC154" s="0">
        <f>C154</f>
        <v/>
      </c>
      <c r="OD154" s="0" t="n">
        <v>11750.97</v>
      </c>
      <c r="OE154" s="0">
        <f>OD155</f>
        <v/>
      </c>
      <c r="OF154" s="0">
        <f>OD154-OE154</f>
        <v/>
      </c>
      <c r="OG154" s="0">
        <f>OF154/OE154</f>
        <v/>
      </c>
      <c r="OI154" s="0" t="n"/>
      <c r="OK154" s="0">
        <f>C154</f>
        <v/>
      </c>
      <c r="OL154" s="0" t="n">
        <v>11053.65</v>
      </c>
      <c r="OM154" s="0">
        <f>OL155</f>
        <v/>
      </c>
      <c r="ON154" s="0">
        <f>OL154-OM154</f>
        <v/>
      </c>
      <c r="OO154" s="0">
        <f>ON154/OM154</f>
        <v/>
      </c>
      <c r="OQ154" s="0" t="n"/>
      <c r="OT154" s="0">
        <f>OK154</f>
        <v/>
      </c>
      <c r="OU154" s="0" t="n">
        <v>143952.4066</v>
      </c>
      <c r="OV154" s="0">
        <f>OU155</f>
        <v/>
      </c>
      <c r="OW154" s="0">
        <f>OU154-OV154</f>
        <v/>
      </c>
      <c r="OX154" s="0">
        <f>OW154/OV154</f>
        <v/>
      </c>
    </row>
    <row r="155">
      <c r="C155" s="0" t="inlineStr">
        <is>
          <t>2026//4/1</t>
        </is>
      </c>
      <c r="D155" s="0" t="n">
        <v>4481238.77</v>
      </c>
      <c r="E155" s="0">
        <f>D156</f>
        <v/>
      </c>
      <c r="F155" s="0">
        <f>D155-E155</f>
        <v/>
      </c>
      <c r="G155" s="0">
        <f>F155/E155</f>
        <v/>
      </c>
      <c r="I155" s="0" t="n"/>
      <c r="K155" s="0">
        <f>C155</f>
        <v/>
      </c>
      <c r="L155" s="0" t="n">
        <v>3167344.4</v>
      </c>
      <c r="M155" s="0">
        <f>L156</f>
        <v/>
      </c>
      <c r="N155" s="0">
        <f>L155-M155</f>
        <v/>
      </c>
      <c r="O155" s="0">
        <f>N155/M155</f>
        <v/>
      </c>
      <c r="Q155" s="0" t="n"/>
      <c r="S155" s="0">
        <f>C155</f>
        <v/>
      </c>
      <c r="T155" s="0" t="n">
        <v>2301006.68</v>
      </c>
      <c r="U155" s="0">
        <f>T156</f>
        <v/>
      </c>
      <c r="V155" s="0">
        <f>T155-U155</f>
        <v/>
      </c>
      <c r="W155" s="0">
        <f>V155/U155</f>
        <v/>
      </c>
      <c r="Y155" s="0" t="n"/>
      <c r="AA155" s="0">
        <f>S155</f>
        <v/>
      </c>
      <c r="AB155" s="0" t="n">
        <v>960696.86</v>
      </c>
      <c r="AC155" s="0">
        <f>AB156</f>
        <v/>
      </c>
      <c r="AD155" s="0">
        <f>AB155-AC155</f>
        <v/>
      </c>
      <c r="AE155" s="0">
        <f>AD155/AC155</f>
        <v/>
      </c>
      <c r="AG155" s="0" t="n"/>
      <c r="AI155" s="0">
        <f>C155</f>
        <v/>
      </c>
      <c r="AJ155" s="0" t="n">
        <v>765121.76</v>
      </c>
      <c r="AK155" s="0">
        <f>AJ156</f>
        <v/>
      </c>
      <c r="AL155" s="0">
        <f>AJ155-AK155</f>
        <v/>
      </c>
      <c r="AM155" s="0">
        <f>AL155/AK155</f>
        <v/>
      </c>
      <c r="AO155" s="0" t="n"/>
      <c r="AQ155" s="0">
        <f>C155</f>
        <v/>
      </c>
      <c r="AR155" s="0" t="n">
        <v>1577745.49</v>
      </c>
      <c r="AS155" s="0">
        <f>AR156</f>
        <v/>
      </c>
      <c r="AT155" s="0">
        <f>AR155-AS155</f>
        <v/>
      </c>
      <c r="AU155" s="0">
        <f>AT155/AS155</f>
        <v/>
      </c>
      <c r="AW155" s="0" t="n"/>
      <c r="AY155" s="0" t="n"/>
      <c r="AZ155" s="0">
        <f>C155</f>
        <v/>
      </c>
      <c r="BA155" s="0" t="n">
        <v>1994331.66</v>
      </c>
      <c r="BB155" s="0">
        <f>BA156</f>
        <v/>
      </c>
      <c r="BC155" s="0">
        <f>BA155-BB155</f>
        <v/>
      </c>
      <c r="BD155" s="0">
        <f>BC155/BB155</f>
        <v/>
      </c>
      <c r="BF155" s="0" t="n"/>
      <c r="BH155" s="0">
        <f>C155</f>
        <v/>
      </c>
      <c r="BI155" s="0" t="n">
        <v>1629126.55</v>
      </c>
      <c r="BJ155" s="0">
        <f>BI156</f>
        <v/>
      </c>
      <c r="BK155" s="0">
        <f>BI155-BJ155</f>
        <v/>
      </c>
      <c r="BL155" s="0">
        <f>BK155/BJ155</f>
        <v/>
      </c>
      <c r="BN155" s="0" t="n"/>
      <c r="BP155" s="0">
        <f>C155</f>
        <v/>
      </c>
      <c r="BQ155" s="0" t="n">
        <v>1148862.39</v>
      </c>
      <c r="BR155" s="0">
        <f>BQ156</f>
        <v/>
      </c>
      <c r="BS155" s="0">
        <f>BQ155-BR155</f>
        <v/>
      </c>
      <c r="BT155" s="0">
        <f>BS155/BR155</f>
        <v/>
      </c>
      <c r="BV155" s="0" t="n"/>
      <c r="BX155" s="0">
        <f>C155</f>
        <v/>
      </c>
      <c r="BY155" s="0" t="n">
        <v>3153460.7</v>
      </c>
      <c r="BZ155" s="0">
        <f>BY156</f>
        <v/>
      </c>
      <c r="CA155" s="0">
        <f>BY155-BZ155</f>
        <v/>
      </c>
      <c r="CB155" s="0">
        <f>CA155/BZ155</f>
        <v/>
      </c>
      <c r="CD155" s="0" t="n"/>
      <c r="CF155" s="0">
        <f>C155</f>
        <v/>
      </c>
      <c r="CG155" s="0" t="n">
        <v>1402653.9</v>
      </c>
      <c r="CH155" s="0">
        <f>CG156</f>
        <v/>
      </c>
      <c r="CI155" s="0">
        <f>CG155-CH155</f>
        <v/>
      </c>
      <c r="CJ155" s="0">
        <f>CI155/CH155</f>
        <v/>
      </c>
      <c r="CL155" s="0" t="n"/>
      <c r="CN155" s="0">
        <f>C155</f>
        <v/>
      </c>
      <c r="CO155" s="0" t="n">
        <v>672346.48</v>
      </c>
      <c r="CP155" s="0">
        <f>CO156</f>
        <v/>
      </c>
      <c r="CQ155" s="0">
        <f>CO155-CP155</f>
        <v/>
      </c>
      <c r="CR155" s="0">
        <f>CQ155/CP155</f>
        <v/>
      </c>
      <c r="CS155" s="0" t="n"/>
      <c r="CT155" s="0" t="n"/>
      <c r="CV155" s="0">
        <f>C155</f>
        <v/>
      </c>
      <c r="CW155" s="0" t="n">
        <v>565690.4</v>
      </c>
      <c r="CX155" s="0">
        <f>CW156</f>
        <v/>
      </c>
      <c r="CY155" s="0">
        <f>CW155-CX155</f>
        <v/>
      </c>
      <c r="CZ155" s="0">
        <f>CY155/CX155</f>
        <v/>
      </c>
      <c r="DB155" s="0" t="n"/>
      <c r="DC155" s="0" t="n"/>
      <c r="DD155" s="0">
        <f>C155</f>
        <v/>
      </c>
      <c r="DE155" s="0" t="n">
        <v>2349917.99</v>
      </c>
      <c r="DF155" s="0">
        <f>DE156</f>
        <v/>
      </c>
      <c r="DG155" s="0">
        <f>DE155-DF155</f>
        <v/>
      </c>
      <c r="DH155" s="0">
        <f>DG155/DF155</f>
        <v/>
      </c>
      <c r="DJ155" s="0" t="n"/>
      <c r="DL155" s="0">
        <f>C155</f>
        <v/>
      </c>
      <c r="DM155" s="0" t="n">
        <v>1367700.36</v>
      </c>
      <c r="DN155" s="0">
        <f>DM156</f>
        <v/>
      </c>
      <c r="DO155" s="0">
        <f>DM155-DN155</f>
        <v/>
      </c>
      <c r="DP155" s="0">
        <f>DO155/DN155</f>
        <v/>
      </c>
      <c r="DR155" s="0" t="n"/>
      <c r="DT155" s="0">
        <f>C155</f>
        <v/>
      </c>
      <c r="DU155" s="0" t="n">
        <v>1651289.48</v>
      </c>
      <c r="DV155" s="0">
        <f>DU156</f>
        <v/>
      </c>
      <c r="DW155" s="0">
        <f>DU155-DV155</f>
        <v/>
      </c>
      <c r="DX155" s="0">
        <f>DW155/DV155</f>
        <v/>
      </c>
      <c r="DZ155" s="0" t="n"/>
      <c r="EB155" s="0">
        <f>C155</f>
        <v/>
      </c>
      <c r="EC155" s="0" t="n">
        <v>5059466.82</v>
      </c>
      <c r="ED155" s="0">
        <f>EC156</f>
        <v/>
      </c>
      <c r="EE155" s="0">
        <f>EC155-ED155</f>
        <v/>
      </c>
      <c r="EF155" s="0">
        <f>EE155/ED155</f>
        <v/>
      </c>
      <c r="EH155" s="0" t="n"/>
      <c r="EJ155" s="0">
        <f>C155</f>
        <v/>
      </c>
      <c r="EK155" s="0" t="n">
        <v>1532322.96</v>
      </c>
      <c r="EL155" s="0">
        <f>EK156</f>
        <v/>
      </c>
      <c r="EM155" s="0">
        <f>EK155-EL155</f>
        <v/>
      </c>
      <c r="EN155" s="0">
        <f>EM155/EL155</f>
        <v/>
      </c>
      <c r="EP155" s="0" t="n"/>
      <c r="ER155" s="0">
        <f>C155</f>
        <v/>
      </c>
      <c r="ES155" s="0" t="n">
        <v>533297.02</v>
      </c>
      <c r="ET155" s="0">
        <f>ES156</f>
        <v/>
      </c>
      <c r="EU155" s="0">
        <f>ES155-ET155</f>
        <v/>
      </c>
      <c r="EV155" s="0">
        <f>EU155/ET155</f>
        <v/>
      </c>
      <c r="EX155" s="0" t="n"/>
      <c r="EZ155" s="0">
        <f>C155</f>
        <v/>
      </c>
      <c r="FA155" s="0" t="n">
        <v>720608</v>
      </c>
      <c r="FB155" s="0">
        <f>FA156</f>
        <v/>
      </c>
      <c r="FC155" s="0">
        <f>FA155-FB155</f>
        <v/>
      </c>
      <c r="FD155" s="0">
        <f>FC155/FB155</f>
        <v/>
      </c>
      <c r="FF155" s="0" t="n"/>
      <c r="FH155" s="0">
        <f>C155</f>
        <v/>
      </c>
      <c r="FI155" s="0" t="n">
        <v>1100195.33</v>
      </c>
      <c r="FJ155" s="0">
        <f>FI156</f>
        <v/>
      </c>
      <c r="FK155" s="0">
        <f>FI155-FJ155</f>
        <v/>
      </c>
      <c r="FL155" s="711">
        <f>FK155/FJ155</f>
        <v/>
      </c>
      <c r="FN155" s="0" t="n"/>
      <c r="FP155" s="0">
        <f>C155</f>
        <v/>
      </c>
      <c r="FQ155" s="0" t="n">
        <v>2263168.73</v>
      </c>
      <c r="FR155" s="0">
        <f>FQ156</f>
        <v/>
      </c>
      <c r="FS155" s="0">
        <f>FQ155-FR155</f>
        <v/>
      </c>
      <c r="FT155" s="0">
        <f>FS155/FR155</f>
        <v/>
      </c>
      <c r="FV155" s="0" t="n"/>
      <c r="FX155" s="0">
        <f>C155</f>
        <v/>
      </c>
      <c r="FY155" s="0" t="n">
        <v>8417082.050000001</v>
      </c>
      <c r="FZ155" s="0">
        <f>FY156</f>
        <v/>
      </c>
      <c r="GA155" s="0">
        <f>FY155-FZ155</f>
        <v/>
      </c>
      <c r="GB155" s="0">
        <f>GA155/FZ155</f>
        <v/>
      </c>
      <c r="GD155" s="0" t="n"/>
      <c r="GF155" s="0">
        <f>C155</f>
        <v/>
      </c>
      <c r="GG155" s="0" t="n">
        <v>4672269.49</v>
      </c>
      <c r="GH155" s="0">
        <f>GG156</f>
        <v/>
      </c>
      <c r="GI155" s="0">
        <f>GG155-GH155</f>
        <v/>
      </c>
      <c r="GJ155" s="0">
        <f>GI155/GH155</f>
        <v/>
      </c>
      <c r="GL155" s="0" t="n"/>
      <c r="GN155" s="0">
        <f>C155</f>
        <v/>
      </c>
      <c r="GO155" s="0" t="n">
        <v>1803598.12</v>
      </c>
      <c r="GP155" s="0">
        <f>GO156</f>
        <v/>
      </c>
      <c r="GQ155" s="0">
        <f>GO155-GP155</f>
        <v/>
      </c>
      <c r="GR155" s="0">
        <f>GQ155/GP155</f>
        <v/>
      </c>
      <c r="GT155" s="0" t="n"/>
      <c r="GV155" s="0">
        <f>C155</f>
        <v/>
      </c>
      <c r="GW155" s="0" t="n">
        <v>1026349.4</v>
      </c>
      <c r="GX155" s="0">
        <f>GW156</f>
        <v/>
      </c>
      <c r="GY155" s="0">
        <f>GW155-GX155</f>
        <v/>
      </c>
      <c r="GZ155" s="0">
        <f>GY155/GX155</f>
        <v/>
      </c>
      <c r="HB155" s="0" t="n"/>
      <c r="HD155" s="0">
        <f>C155</f>
        <v/>
      </c>
      <c r="HE155" s="0" t="n">
        <v>1103264.67</v>
      </c>
      <c r="HF155" s="0">
        <f>HE156</f>
        <v/>
      </c>
      <c r="HG155" s="0">
        <f>HE155-HF155</f>
        <v/>
      </c>
      <c r="HH155" s="0">
        <f>HG155/HF155</f>
        <v/>
      </c>
      <c r="HJ155" s="0" t="n"/>
      <c r="HL155" s="0">
        <f>C155</f>
        <v/>
      </c>
      <c r="HM155" s="0" t="n">
        <v>152754.25</v>
      </c>
      <c r="HN155" s="0">
        <f>HM156</f>
        <v/>
      </c>
      <c r="HO155" s="0">
        <f>HM155-HN155</f>
        <v/>
      </c>
      <c r="HP155" s="0">
        <f>HO155/HN155</f>
        <v/>
      </c>
      <c r="HR155" s="0" t="n"/>
      <c r="HT155" s="0">
        <f>C155</f>
        <v/>
      </c>
      <c r="HU155" s="0" t="n">
        <v>256268.82</v>
      </c>
      <c r="HV155" s="0">
        <f>HU156</f>
        <v/>
      </c>
      <c r="HW155" s="0">
        <f>HU155-HV155</f>
        <v/>
      </c>
      <c r="HX155" s="0">
        <f>HW155/HV155</f>
        <v/>
      </c>
      <c r="HZ155" s="0" t="n"/>
      <c r="IB155" s="0">
        <f>C155</f>
        <v/>
      </c>
      <c r="IC155" s="0" t="n">
        <v>435384.79</v>
      </c>
      <c r="ID155" s="0">
        <f>IC156</f>
        <v/>
      </c>
      <c r="IE155" s="0">
        <f>IC155-ID155</f>
        <v/>
      </c>
      <c r="IF155" s="0">
        <f>IE155/ID155</f>
        <v/>
      </c>
      <c r="IH155" s="0" t="n"/>
      <c r="IJ155" s="0">
        <f>C155</f>
        <v/>
      </c>
      <c r="IK155" s="0" t="n">
        <v>597836.29</v>
      </c>
      <c r="IL155" s="0">
        <f>IK156</f>
        <v/>
      </c>
      <c r="IM155" s="0">
        <f>IK155-IL155</f>
        <v/>
      </c>
      <c r="IN155" s="0">
        <f>IM155/IL155</f>
        <v/>
      </c>
      <c r="IP155" s="0" t="n"/>
      <c r="IR155" s="0">
        <f>C155</f>
        <v/>
      </c>
      <c r="IS155" s="0" t="n">
        <v>141289</v>
      </c>
      <c r="IT155" s="0">
        <f>IS156</f>
        <v/>
      </c>
      <c r="IU155" s="0">
        <f>IS155-IT155</f>
        <v/>
      </c>
      <c r="IV155" s="0">
        <f>IU155/IT155</f>
        <v/>
      </c>
      <c r="IX155" s="0" t="n"/>
      <c r="IZ155" s="0">
        <f>C155</f>
        <v/>
      </c>
      <c r="JA155" s="0" t="n">
        <v>5006429.15</v>
      </c>
      <c r="JB155" s="0">
        <f>JA156</f>
        <v/>
      </c>
      <c r="JC155" s="0">
        <f>JA155-JB155</f>
        <v/>
      </c>
      <c r="JD155" s="0">
        <f>JC155/JB155</f>
        <v/>
      </c>
      <c r="JF155" s="0" t="n"/>
      <c r="JH155" s="0">
        <f>C155</f>
        <v/>
      </c>
      <c r="JI155" s="0" t="n">
        <v>1481427.99</v>
      </c>
      <c r="JJ155" s="0">
        <f>JI156</f>
        <v/>
      </c>
      <c r="JK155" s="0">
        <f>JI155-JJ155</f>
        <v/>
      </c>
      <c r="JL155" s="0">
        <f>JK155/JJ155</f>
        <v/>
      </c>
      <c r="JN155" s="0" t="n"/>
      <c r="JP155" s="0">
        <f>C155</f>
        <v/>
      </c>
      <c r="JQ155" s="0" t="n">
        <v>1040190.41</v>
      </c>
      <c r="JR155" s="0">
        <f>JQ156</f>
        <v/>
      </c>
      <c r="JS155" s="0">
        <f>JQ155-JR155</f>
        <v/>
      </c>
      <c r="JT155" s="0">
        <f>JS155/JR155</f>
        <v/>
      </c>
      <c r="JV155" s="0" t="n"/>
      <c r="JX155" s="0">
        <f>C155</f>
        <v/>
      </c>
      <c r="JY155" s="0" t="n">
        <v>1244848.8</v>
      </c>
      <c r="JZ155" s="0">
        <f>JY156</f>
        <v/>
      </c>
      <c r="KA155" s="0">
        <f>JY155-JZ155</f>
        <v/>
      </c>
      <c r="KB155" s="0">
        <f>KA155/JZ155</f>
        <v/>
      </c>
      <c r="KD155" s="0" t="n"/>
      <c r="KF155" s="0">
        <f>C155</f>
        <v/>
      </c>
      <c r="KG155" s="0" t="n">
        <v>732555.92</v>
      </c>
      <c r="KH155" s="711">
        <f>KG156</f>
        <v/>
      </c>
      <c r="KI155" s="0">
        <f>KG155-KH155</f>
        <v/>
      </c>
      <c r="KJ155" s="519">
        <f>KI155/KH155</f>
        <v/>
      </c>
      <c r="KL155" s="0" t="n"/>
      <c r="KN155" s="0">
        <f>C155</f>
        <v/>
      </c>
      <c r="KO155" s="0" t="n">
        <v>8253975.95</v>
      </c>
      <c r="KP155" s="0">
        <f>KO156</f>
        <v/>
      </c>
      <c r="KQ155" s="0">
        <f>KO155-KP155</f>
        <v/>
      </c>
      <c r="KR155" s="0">
        <f>KQ155/KP155</f>
        <v/>
      </c>
      <c r="KT155" s="0" t="n"/>
      <c r="KV155" s="0">
        <f>C155</f>
        <v/>
      </c>
      <c r="KW155" s="0" t="n">
        <v>971772.97</v>
      </c>
      <c r="KX155" s="0">
        <f>KW156</f>
        <v/>
      </c>
      <c r="KY155" s="0">
        <f>KW155-KX155</f>
        <v/>
      </c>
      <c r="KZ155" s="0">
        <f>KY155/KX155</f>
        <v/>
      </c>
      <c r="LB155" s="0" t="n"/>
      <c r="LD155" s="0">
        <f>C155</f>
        <v/>
      </c>
      <c r="LE155" s="0" t="n">
        <v>446207.7</v>
      </c>
      <c r="LF155" s="0">
        <f>LE156</f>
        <v/>
      </c>
      <c r="LG155" s="0">
        <f>LE155-LF155</f>
        <v/>
      </c>
      <c r="LH155" s="0">
        <f>LG155/LF155</f>
        <v/>
      </c>
      <c r="LJ155" s="0" t="n"/>
      <c r="LL155" s="0">
        <f>C155</f>
        <v/>
      </c>
      <c r="LM155" s="0" t="n">
        <v>3556915.02</v>
      </c>
      <c r="LN155" s="0">
        <f>LM156</f>
        <v/>
      </c>
      <c r="LO155" s="0">
        <f>LM155-LN155</f>
        <v/>
      </c>
      <c r="LP155" s="0">
        <f>LO155/LN155</f>
        <v/>
      </c>
      <c r="LR155" s="0" t="n"/>
      <c r="LT155" s="0">
        <f>C155</f>
        <v/>
      </c>
      <c r="LU155" s="0" t="n">
        <v>2682062.9</v>
      </c>
      <c r="LV155" s="0">
        <f>LU156</f>
        <v/>
      </c>
      <c r="LW155" s="0">
        <f>LU155-LV155</f>
        <v/>
      </c>
      <c r="LX155" s="0">
        <f>LW155/LV155</f>
        <v/>
      </c>
      <c r="LZ155" s="0" t="n"/>
      <c r="MB155" s="0">
        <f>C155</f>
        <v/>
      </c>
      <c r="MC155" s="0" t="n">
        <v>802417.6899999999</v>
      </c>
      <c r="MD155" s="0">
        <f>MC156</f>
        <v/>
      </c>
      <c r="ME155" s="0">
        <f>MC155-MD155</f>
        <v/>
      </c>
      <c r="MF155" s="0">
        <f>ME155/MD155</f>
        <v/>
      </c>
      <c r="MH155" s="0" t="n"/>
      <c r="MJ155" s="711" t="n"/>
      <c r="MK155" s="0">
        <f>C155</f>
        <v/>
      </c>
      <c r="ML155" s="711" t="n">
        <v>220905.53</v>
      </c>
      <c r="MM155" s="0">
        <f>ML156</f>
        <v/>
      </c>
      <c r="MN155" s="711">
        <f>ML155-MM155</f>
        <v/>
      </c>
      <c r="MO155" s="0">
        <f>MN155/MM155</f>
        <v/>
      </c>
      <c r="MQ155" s="0" t="n"/>
      <c r="MS155" s="0" t="n"/>
      <c r="MT155" s="0">
        <f>C155</f>
        <v/>
      </c>
      <c r="MU155" s="0" t="n">
        <v>291814.8</v>
      </c>
      <c r="MV155" s="0">
        <f>MU156</f>
        <v/>
      </c>
      <c r="MW155" s="0">
        <f>MU155-MV155</f>
        <v/>
      </c>
      <c r="MX155" s="0">
        <f>MW155/MV155</f>
        <v/>
      </c>
      <c r="MZ155" s="0" t="n"/>
      <c r="NB155" s="0" t="n"/>
      <c r="NC155" s="0">
        <f>C155</f>
        <v/>
      </c>
      <c r="ND155" s="0" t="n">
        <v>45091.48</v>
      </c>
      <c r="NE155" s="0">
        <f>ND156</f>
        <v/>
      </c>
      <c r="NF155" s="0">
        <f>ND155-NE155</f>
        <v/>
      </c>
      <c r="NG155" s="0">
        <f>NF155/NE155</f>
        <v/>
      </c>
      <c r="NI155" s="0" t="n"/>
      <c r="NL155" s="0" t="n"/>
      <c r="NM155" s="0">
        <f>C155</f>
        <v/>
      </c>
      <c r="NN155" s="0" t="n">
        <v>2613411.08</v>
      </c>
      <c r="NO155" s="0">
        <f>NN156</f>
        <v/>
      </c>
      <c r="NP155" s="0">
        <f>NN155-NO155</f>
        <v/>
      </c>
      <c r="NQ155" s="0">
        <f>NP155/NO155</f>
        <v/>
      </c>
      <c r="NS155" s="0" t="n"/>
      <c r="NU155" s="0">
        <f>C155</f>
        <v/>
      </c>
      <c r="NV155" s="711" t="n">
        <v>254526.5</v>
      </c>
      <c r="NW155" s="0">
        <f>NV156</f>
        <v/>
      </c>
      <c r="NX155" s="711">
        <f>NV155-NW155</f>
        <v/>
      </c>
      <c r="NY155" s="0">
        <f>NX155/NW155</f>
        <v/>
      </c>
      <c r="OA155" s="0" t="n"/>
      <c r="OC155" s="0">
        <f>C155</f>
        <v/>
      </c>
      <c r="OD155" s="0" t="n">
        <v>11614.97</v>
      </c>
      <c r="OE155" s="0">
        <f>OD156</f>
        <v/>
      </c>
      <c r="OF155" s="0">
        <f>OD155-OE155</f>
        <v/>
      </c>
      <c r="OG155" s="0">
        <f>OF155/OE155</f>
        <v/>
      </c>
      <c r="OI155" s="0" t="n"/>
      <c r="OK155" s="0">
        <f>C155</f>
        <v/>
      </c>
      <c r="OL155" s="0" t="n">
        <v>11043.65</v>
      </c>
      <c r="OM155" s="0">
        <f>OL156</f>
        <v/>
      </c>
      <c r="ON155" s="0">
        <f>OL155-OM155</f>
        <v/>
      </c>
      <c r="OO155" s="0">
        <f>ON155/OM155</f>
        <v/>
      </c>
      <c r="OQ155" s="0" t="n"/>
      <c r="OT155" s="0">
        <f>OK155</f>
        <v/>
      </c>
      <c r="OU155" s="0" t="n">
        <v>143832.4066</v>
      </c>
      <c r="OV155" s="0">
        <f>OU156</f>
        <v/>
      </c>
      <c r="OW155" s="0">
        <f>OU155-OV155</f>
        <v/>
      </c>
      <c r="OX155" s="0">
        <f>OW155/OV155</f>
        <v/>
      </c>
    </row>
    <row r="156">
      <c r="C156" s="0" t="inlineStr">
        <is>
          <t>2026//3/31</t>
        </is>
      </c>
      <c r="D156" s="0" t="n">
        <v>4482858.77</v>
      </c>
      <c r="E156" s="0">
        <f>D157</f>
        <v/>
      </c>
      <c r="F156" s="0">
        <f>D156-E156</f>
        <v/>
      </c>
      <c r="G156" s="0">
        <f>F156/E156</f>
        <v/>
      </c>
      <c r="I156" s="0" t="n"/>
      <c r="K156" s="0">
        <f>C156</f>
        <v/>
      </c>
      <c r="L156" s="0" t="n">
        <v>3169954.4</v>
      </c>
      <c r="M156" s="0">
        <f>L157</f>
        <v/>
      </c>
      <c r="N156" s="0">
        <f>L156-M156</f>
        <v/>
      </c>
      <c r="O156" s="0">
        <f>N156/M156</f>
        <v/>
      </c>
      <c r="Q156" s="0" t="n"/>
      <c r="S156" s="0">
        <f>C156</f>
        <v/>
      </c>
      <c r="T156" s="0" t="n">
        <v>2302266.68</v>
      </c>
      <c r="U156" s="0">
        <f>T157</f>
        <v/>
      </c>
      <c r="V156" s="0">
        <f>T156-U156</f>
        <v/>
      </c>
      <c r="W156" s="0">
        <f>V156/U156</f>
        <v/>
      </c>
      <c r="Y156" s="0" t="n"/>
      <c r="AA156" s="0">
        <f>S156</f>
        <v/>
      </c>
      <c r="AB156" s="0" t="n">
        <v>943656.86</v>
      </c>
      <c r="AC156" s="0">
        <f>AB157</f>
        <v/>
      </c>
      <c r="AD156" s="0">
        <f>AB156-AC156</f>
        <v/>
      </c>
      <c r="AE156" s="0">
        <f>AD156/AC156</f>
        <v/>
      </c>
      <c r="AG156" s="0" t="n"/>
      <c r="AI156" s="0">
        <f>C156</f>
        <v/>
      </c>
      <c r="AJ156" s="0" t="n">
        <v>756521.76</v>
      </c>
      <c r="AK156" s="0">
        <f>AJ157</f>
        <v/>
      </c>
      <c r="AL156" s="0">
        <f>AJ156-AK156</f>
        <v/>
      </c>
      <c r="AM156" s="0">
        <f>AL156/AK156</f>
        <v/>
      </c>
      <c r="AO156" s="0" t="n"/>
      <c r="AQ156" s="0">
        <f>C156</f>
        <v/>
      </c>
      <c r="AR156" s="0" t="n">
        <v>1605845.49</v>
      </c>
      <c r="AS156" s="0">
        <f>AR157</f>
        <v/>
      </c>
      <c r="AT156" s="0">
        <f>AR156-AS156</f>
        <v/>
      </c>
      <c r="AU156" s="0">
        <f>AT156/AS156</f>
        <v/>
      </c>
      <c r="AW156" s="0" t="n"/>
      <c r="AY156" s="0" t="n"/>
      <c r="AZ156" s="0">
        <f>C156</f>
        <v/>
      </c>
      <c r="BA156" s="0" t="n">
        <v>1996491.66</v>
      </c>
      <c r="BB156" s="0">
        <f>BA157</f>
        <v/>
      </c>
      <c r="BC156" s="0">
        <f>BA156-BB156</f>
        <v/>
      </c>
      <c r="BD156" s="0">
        <f>BC156/BB156</f>
        <v/>
      </c>
      <c r="BF156" s="0" t="n"/>
      <c r="BH156" s="0">
        <f>C156</f>
        <v/>
      </c>
      <c r="BI156" s="0" t="n">
        <v>1635226.55</v>
      </c>
      <c r="BJ156" s="0">
        <f>BI157</f>
        <v/>
      </c>
      <c r="BK156" s="0">
        <f>BI156-BJ156</f>
        <v/>
      </c>
      <c r="BL156" s="0">
        <f>BK156/BJ156</f>
        <v/>
      </c>
      <c r="BN156" s="0">
        <f>(BI156-BI178)/BI178</f>
        <v/>
      </c>
      <c r="BP156" s="0">
        <f>C156</f>
        <v/>
      </c>
      <c r="BQ156" s="0" t="n">
        <v>1162862.39</v>
      </c>
      <c r="BR156" s="0">
        <f>BQ157</f>
        <v/>
      </c>
      <c r="BS156" s="0">
        <f>BQ156-BR156</f>
        <v/>
      </c>
      <c r="BT156" s="0">
        <f>BS156/BR156</f>
        <v/>
      </c>
      <c r="BV156" s="0">
        <f>(BQ156-BQ178)/BQ178</f>
        <v/>
      </c>
      <c r="BX156" s="0">
        <f>C156</f>
        <v/>
      </c>
      <c r="BY156" s="0" t="n">
        <v>3108060.7</v>
      </c>
      <c r="BZ156" s="0">
        <f>BY157</f>
        <v/>
      </c>
      <c r="CA156" s="0">
        <f>BY156-BZ156</f>
        <v/>
      </c>
      <c r="CB156" s="0">
        <f>CA156/BZ156</f>
        <v/>
      </c>
      <c r="CD156" s="0">
        <f>(BY156-BY178)/BY178</f>
        <v/>
      </c>
      <c r="CF156" s="0">
        <f>C156</f>
        <v/>
      </c>
      <c r="CG156" s="0" t="n">
        <v>1393853.9</v>
      </c>
      <c r="CH156" s="0">
        <f>CG157</f>
        <v/>
      </c>
      <c r="CI156" s="0">
        <f>CG156-CH156</f>
        <v/>
      </c>
      <c r="CJ156" s="0">
        <f>CI156/CH156</f>
        <v/>
      </c>
      <c r="CL156" s="0">
        <f>(CG156-CG178)/CG178</f>
        <v/>
      </c>
      <c r="CN156" s="0">
        <f>C156</f>
        <v/>
      </c>
      <c r="CO156" s="0" t="n">
        <v>666046.48</v>
      </c>
      <c r="CP156" s="0">
        <f>CO157</f>
        <v/>
      </c>
      <c r="CQ156" s="0">
        <f>CO156-CP156</f>
        <v/>
      </c>
      <c r="CR156" s="0">
        <f>CQ156/CP156</f>
        <v/>
      </c>
      <c r="CS156" s="0" t="n"/>
      <c r="CT156" s="0">
        <f>(CO156-CO178)/CO178</f>
        <v/>
      </c>
      <c r="CV156" s="0">
        <f>C156</f>
        <v/>
      </c>
      <c r="CW156" s="0" t="n">
        <v>569640.4</v>
      </c>
      <c r="CX156" s="0">
        <f>CW157</f>
        <v/>
      </c>
      <c r="CY156" s="0">
        <f>CW156-CX156</f>
        <v/>
      </c>
      <c r="CZ156" s="0">
        <f>CY156/CX156</f>
        <v/>
      </c>
      <c r="DB156" s="0">
        <f>(CW156-CW178)/CW178</f>
        <v/>
      </c>
      <c r="DC156" s="0" t="n"/>
      <c r="DD156" s="0">
        <f>C156</f>
        <v/>
      </c>
      <c r="DE156" s="0" t="n">
        <v>2364517.99</v>
      </c>
      <c r="DF156" s="0">
        <f>DE157</f>
        <v/>
      </c>
      <c r="DG156" s="0">
        <f>DE156-DF156</f>
        <v/>
      </c>
      <c r="DH156" s="0">
        <f>DG156/DF156</f>
        <v/>
      </c>
      <c r="DJ156" s="0">
        <f>(DE156-DE178)/DE178</f>
        <v/>
      </c>
      <c r="DL156" s="0">
        <f>C156</f>
        <v/>
      </c>
      <c r="DM156" s="0" t="n">
        <v>1407900.36</v>
      </c>
      <c r="DN156" s="0">
        <f>DM157</f>
        <v/>
      </c>
      <c r="DO156" s="0">
        <f>DM156-DN156</f>
        <v/>
      </c>
      <c r="DP156" s="0">
        <f>DO156/DN156</f>
        <v/>
      </c>
      <c r="DR156" s="0">
        <f>(DM156-DM178)/DM178</f>
        <v/>
      </c>
      <c r="DT156" s="0">
        <f>C156</f>
        <v/>
      </c>
      <c r="DU156" s="0" t="n">
        <v>1685189.48</v>
      </c>
      <c r="DV156" s="0">
        <f>DU157</f>
        <v/>
      </c>
      <c r="DW156" s="0">
        <f>DU156-DV156</f>
        <v/>
      </c>
      <c r="DX156" s="0">
        <f>DW156/DV156</f>
        <v/>
      </c>
      <c r="DZ156" s="0">
        <f>(DU156-DU178)/DU178</f>
        <v/>
      </c>
      <c r="EB156" s="0">
        <f>C156</f>
        <v/>
      </c>
      <c r="EC156" s="0" t="n">
        <v>5178866.82</v>
      </c>
      <c r="ED156" s="0">
        <f>EC157</f>
        <v/>
      </c>
      <c r="EE156" s="0">
        <f>EC156-ED156</f>
        <v/>
      </c>
      <c r="EF156" s="0">
        <f>EE156/ED156</f>
        <v/>
      </c>
      <c r="EH156" s="0">
        <f>(EC156-EC178)/EC178</f>
        <v/>
      </c>
      <c r="EJ156" s="0">
        <f>C156</f>
        <v/>
      </c>
      <c r="EK156" s="0" t="n">
        <v>1544722.96</v>
      </c>
      <c r="EL156" s="0">
        <f>EK157</f>
        <v/>
      </c>
      <c r="EM156" s="0">
        <f>EK156-EL156</f>
        <v/>
      </c>
      <c r="EN156" s="0">
        <f>EM156/EL156</f>
        <v/>
      </c>
      <c r="EP156" s="0">
        <f>(EK156-EK178)/EK178</f>
        <v/>
      </c>
      <c r="ER156" s="0">
        <f>C156</f>
        <v/>
      </c>
      <c r="ES156" s="0" t="n">
        <v>536597.02</v>
      </c>
      <c r="ET156" s="0">
        <f>ES157</f>
        <v/>
      </c>
      <c r="EU156" s="0">
        <f>ES156-ET156</f>
        <v/>
      </c>
      <c r="EV156" s="0">
        <f>EU156/ET156</f>
        <v/>
      </c>
      <c r="EX156" s="0">
        <f>(ES156-ES178)/ES178</f>
        <v/>
      </c>
      <c r="EZ156" s="0">
        <f>C156</f>
        <v/>
      </c>
      <c r="FA156" s="0" t="n">
        <v>722408</v>
      </c>
      <c r="FB156" s="0">
        <f>FA157</f>
        <v/>
      </c>
      <c r="FC156" s="0">
        <f>FA156-FB156</f>
        <v/>
      </c>
      <c r="FD156" s="0">
        <f>FC156/FB156</f>
        <v/>
      </c>
      <c r="FF156" s="0">
        <f>(FA156-FA178)/FA178</f>
        <v/>
      </c>
      <c r="FH156" s="0">
        <f>C156</f>
        <v/>
      </c>
      <c r="FI156" s="0" t="n">
        <v>1088695.33</v>
      </c>
      <c r="FJ156" s="0">
        <f>FI157</f>
        <v/>
      </c>
      <c r="FK156" s="0">
        <f>FI156-FJ156</f>
        <v/>
      </c>
      <c r="FL156" s="519">
        <f>FK156/FJ156</f>
        <v/>
      </c>
      <c r="FN156" s="0">
        <f>(FI156-FI178)/FI178</f>
        <v/>
      </c>
      <c r="FP156" s="0">
        <f>C156</f>
        <v/>
      </c>
      <c r="FQ156" s="0" t="n">
        <v>2283568.73</v>
      </c>
      <c r="FR156" s="0">
        <f>FQ157</f>
        <v/>
      </c>
      <c r="FS156" s="0">
        <f>FQ156-FR156</f>
        <v/>
      </c>
      <c r="FT156" s="0">
        <f>FS156/FR156</f>
        <v/>
      </c>
      <c r="FV156" s="0">
        <f>(FQ156-FQ178)/FQ178</f>
        <v/>
      </c>
      <c r="FX156" s="0">
        <f>C156</f>
        <v/>
      </c>
      <c r="FY156" s="0" t="n">
        <v>8497482.050000001</v>
      </c>
      <c r="FZ156" s="0">
        <f>FY157</f>
        <v/>
      </c>
      <c r="GA156" s="0">
        <f>FY156-FZ156</f>
        <v/>
      </c>
      <c r="GB156" s="0">
        <f>GA156/FZ156</f>
        <v/>
      </c>
      <c r="GD156" s="0">
        <f>(FY156-FY178)/FY178</f>
        <v/>
      </c>
      <c r="GF156" s="0">
        <f>C156</f>
        <v/>
      </c>
      <c r="GG156" s="0" t="n">
        <v>4735369.49</v>
      </c>
      <c r="GH156" s="0">
        <f>GG157</f>
        <v/>
      </c>
      <c r="GI156" s="0">
        <f>GG156-GH156</f>
        <v/>
      </c>
      <c r="GJ156" s="0">
        <f>GI156/GH156</f>
        <v/>
      </c>
      <c r="GL156" s="0">
        <f>(GG156-GG178)/GG178</f>
        <v/>
      </c>
      <c r="GN156" s="0">
        <f>C156</f>
        <v/>
      </c>
      <c r="GO156" s="0" t="n">
        <v>1850698.12</v>
      </c>
      <c r="GP156" s="0">
        <f>GO157</f>
        <v/>
      </c>
      <c r="GQ156" s="0">
        <f>GO156-GP156</f>
        <v/>
      </c>
      <c r="GR156" s="0">
        <f>GQ156/GP156</f>
        <v/>
      </c>
      <c r="GT156" s="0">
        <f>(GO156-GO178)/GO178</f>
        <v/>
      </c>
      <c r="GV156" s="0">
        <f>C156</f>
        <v/>
      </c>
      <c r="GW156" s="0" t="n">
        <v>1030949.4</v>
      </c>
      <c r="GX156" s="0">
        <f>GW157</f>
        <v/>
      </c>
      <c r="GY156" s="0">
        <f>GW156-GX156</f>
        <v/>
      </c>
      <c r="GZ156" s="0">
        <f>GY156/GX156</f>
        <v/>
      </c>
      <c r="HB156" s="0">
        <f>(GW156-GW178)/GW178</f>
        <v/>
      </c>
      <c r="HD156" s="0">
        <f>C156</f>
        <v/>
      </c>
      <c r="HE156" s="0" t="n">
        <v>1102164.67</v>
      </c>
      <c r="HF156" s="0">
        <f>HE157</f>
        <v/>
      </c>
      <c r="HG156" s="0">
        <f>HE156-HF156</f>
        <v/>
      </c>
      <c r="HH156" s="0">
        <f>HG156/HF156</f>
        <v/>
      </c>
      <c r="HJ156" s="0">
        <f>(HE156-HE178)/HE178</f>
        <v/>
      </c>
      <c r="HL156" s="0">
        <f>C156</f>
        <v/>
      </c>
      <c r="HM156" s="0" t="n">
        <v>152604.25</v>
      </c>
      <c r="HN156" s="0">
        <f>HM157</f>
        <v/>
      </c>
      <c r="HO156" s="0">
        <f>HM156-HN156</f>
        <v/>
      </c>
      <c r="HP156" s="0">
        <f>HO156/HN156</f>
        <v/>
      </c>
      <c r="HR156" s="0">
        <f>(HM156-HM178)/HM178</f>
        <v/>
      </c>
      <c r="HT156" s="0">
        <f>C156</f>
        <v/>
      </c>
      <c r="HU156" s="0" t="n">
        <v>254068.82</v>
      </c>
      <c r="HV156" s="0">
        <f>HU157</f>
        <v/>
      </c>
      <c r="HW156" s="0">
        <f>HU156-HV156</f>
        <v/>
      </c>
      <c r="HX156" s="0">
        <f>HW156/HV156</f>
        <v/>
      </c>
      <c r="HZ156" s="0">
        <f>(HU156-HU178)/HU178</f>
        <v/>
      </c>
      <c r="IB156" s="0">
        <f>C156</f>
        <v/>
      </c>
      <c r="IC156" s="0" t="n">
        <v>436534.79</v>
      </c>
      <c r="ID156" s="0">
        <f>IC157</f>
        <v/>
      </c>
      <c r="IE156" s="0">
        <f>IC156-ID156</f>
        <v/>
      </c>
      <c r="IF156" s="0">
        <f>IE156/ID156</f>
        <v/>
      </c>
      <c r="IH156" s="0">
        <f>(IC156-IC178)/IC178</f>
        <v/>
      </c>
      <c r="IJ156" s="0">
        <f>C156</f>
        <v/>
      </c>
      <c r="IK156" s="0" t="n">
        <v>605836.29</v>
      </c>
      <c r="IL156" s="0">
        <f>IK157</f>
        <v/>
      </c>
      <c r="IM156" s="0">
        <f>IK156-IL156</f>
        <v/>
      </c>
      <c r="IN156" s="0">
        <f>IM156/IL156</f>
        <v/>
      </c>
      <c r="IP156" s="0">
        <f>(IK156-IK178)/IK178</f>
        <v/>
      </c>
      <c r="IR156" s="0">
        <f>C156</f>
        <v/>
      </c>
      <c r="IS156" s="0" t="n">
        <v>142689</v>
      </c>
      <c r="IT156" s="0">
        <f>IS157</f>
        <v/>
      </c>
      <c r="IU156" s="0">
        <f>IS156-IT156</f>
        <v/>
      </c>
      <c r="IV156" s="0">
        <f>IU156/IT156</f>
        <v/>
      </c>
      <c r="IX156" s="0">
        <f>(IS156-IS178)/IS178</f>
        <v/>
      </c>
      <c r="IZ156" s="0">
        <f>C156</f>
        <v/>
      </c>
      <c r="JA156" s="0" t="n">
        <v>5020729.15</v>
      </c>
      <c r="JB156" s="0">
        <f>JA157</f>
        <v/>
      </c>
      <c r="JC156" s="0">
        <f>JA156-JB156</f>
        <v/>
      </c>
      <c r="JD156" s="0">
        <f>JC156/JB156</f>
        <v/>
      </c>
      <c r="JF156" s="0">
        <f>(JA156-JA178)/JA178</f>
        <v/>
      </c>
      <c r="JH156" s="0">
        <f>C156</f>
        <v/>
      </c>
      <c r="JI156" s="0" t="n">
        <v>1495467.99</v>
      </c>
      <c r="JJ156" s="0">
        <f>JI157</f>
        <v/>
      </c>
      <c r="JK156" s="0">
        <f>JI156-JJ156</f>
        <v/>
      </c>
      <c r="JL156" s="0">
        <f>JK156/JJ156</f>
        <v/>
      </c>
      <c r="JN156" s="0">
        <f>(JI156-JI178)/JI178</f>
        <v/>
      </c>
      <c r="JP156" s="0">
        <f>C156</f>
        <v/>
      </c>
      <c r="JQ156" s="0" t="n">
        <v>1042790.41</v>
      </c>
      <c r="JR156" s="0">
        <f>JQ157</f>
        <v/>
      </c>
      <c r="JS156" s="0">
        <f>JQ156-JR156</f>
        <v/>
      </c>
      <c r="JT156" s="0">
        <f>JS156/JR156</f>
        <v/>
      </c>
      <c r="JV156" s="0">
        <f>(JQ156-JQ178)/JQ178</f>
        <v/>
      </c>
      <c r="JX156" s="0">
        <f>C156</f>
        <v/>
      </c>
      <c r="JY156" s="0" t="n">
        <v>1266448.8</v>
      </c>
      <c r="JZ156" s="0">
        <f>JY157</f>
        <v/>
      </c>
      <c r="KA156" s="0">
        <f>JY156-JZ156</f>
        <v/>
      </c>
      <c r="KB156" s="0">
        <f>KA156/JZ156</f>
        <v/>
      </c>
      <c r="KD156" s="0">
        <f>(JY156-JY178)/JY178</f>
        <v/>
      </c>
      <c r="KF156" s="0">
        <f>C156</f>
        <v/>
      </c>
      <c r="KG156" s="0" t="n">
        <v>732555.92</v>
      </c>
      <c r="KH156" s="711">
        <f>KG157</f>
        <v/>
      </c>
      <c r="KI156" s="0">
        <f>KG156-KH156</f>
        <v/>
      </c>
      <c r="KJ156" s="519">
        <f>KI156/KH156</f>
        <v/>
      </c>
      <c r="KL156" s="0">
        <f>(KG156-KG178)/KG178</f>
        <v/>
      </c>
      <c r="KN156" s="0">
        <f>C156</f>
        <v/>
      </c>
      <c r="KO156" s="0" t="n">
        <v>8254875.95</v>
      </c>
      <c r="KP156" s="0">
        <f>KO157</f>
        <v/>
      </c>
      <c r="KQ156" s="0">
        <f>KO156-KP156</f>
        <v/>
      </c>
      <c r="KR156" s="0">
        <f>KQ156/KP156</f>
        <v/>
      </c>
      <c r="KT156" s="0">
        <f>(KO156-KO178)/KO178</f>
        <v/>
      </c>
      <c r="KV156" s="0">
        <f>C156</f>
        <v/>
      </c>
      <c r="KW156" s="0" t="n">
        <v>1006772.97</v>
      </c>
      <c r="KX156" s="0">
        <f>KW157</f>
        <v/>
      </c>
      <c r="KY156" s="0">
        <f>KW156-KX156</f>
        <v/>
      </c>
      <c r="KZ156" s="0">
        <f>KY156/KX156</f>
        <v/>
      </c>
      <c r="LB156" s="0">
        <f>(KW156-KW178)/KW178</f>
        <v/>
      </c>
      <c r="LD156" s="0">
        <f>C156</f>
        <v/>
      </c>
      <c r="LE156" s="0" t="n">
        <v>444757.7</v>
      </c>
      <c r="LF156" s="0">
        <f>LE157</f>
        <v/>
      </c>
      <c r="LG156" s="0">
        <f>LE156-LF156</f>
        <v/>
      </c>
      <c r="LH156" s="0">
        <f>LG156/LF156</f>
        <v/>
      </c>
      <c r="LJ156" s="0">
        <f>(LE156-LE178)/LE178</f>
        <v/>
      </c>
      <c r="LL156" s="0">
        <f>C156</f>
        <v/>
      </c>
      <c r="LM156" s="0" t="n">
        <v>3561055.02</v>
      </c>
      <c r="LN156" s="0">
        <f>LM157</f>
        <v/>
      </c>
      <c r="LO156" s="0">
        <f>LM156-LN156</f>
        <v/>
      </c>
      <c r="LP156" s="0">
        <f>LO156/LN156</f>
        <v/>
      </c>
      <c r="LR156" s="0">
        <f>(LM156-LM178)/LM178</f>
        <v/>
      </c>
      <c r="LT156" s="0">
        <f>C156</f>
        <v/>
      </c>
      <c r="LU156" s="0" t="n">
        <v>2686062.9</v>
      </c>
      <c r="LV156" s="0">
        <f>LU157</f>
        <v/>
      </c>
      <c r="LW156" s="0">
        <f>LU156-LV156</f>
        <v/>
      </c>
      <c r="LX156" s="0">
        <f>LW156/LV156</f>
        <v/>
      </c>
      <c r="LZ156" s="0">
        <f>(LU156-LU178)/LU178</f>
        <v/>
      </c>
      <c r="MB156" s="0">
        <f>C156</f>
        <v/>
      </c>
      <c r="MC156" s="0" t="n">
        <v>829767.6899999999</v>
      </c>
      <c r="MD156" s="0">
        <f>MC157</f>
        <v/>
      </c>
      <c r="ME156" s="0">
        <f>MC156-MD156</f>
        <v/>
      </c>
      <c r="MF156" s="0">
        <f>ME156/MD156</f>
        <v/>
      </c>
      <c r="MH156" s="0">
        <f>(MC156-MC178)/MC178</f>
        <v/>
      </c>
      <c r="MJ156" s="519" t="n"/>
      <c r="MK156" s="0">
        <f>C156</f>
        <v/>
      </c>
      <c r="ML156" s="711" t="n">
        <v>221265.53</v>
      </c>
      <c r="MM156" s="0">
        <f>ML157</f>
        <v/>
      </c>
      <c r="MN156" s="711">
        <f>ML156-MM156</f>
        <v/>
      </c>
      <c r="MO156" s="0">
        <f>MN156/MM156</f>
        <v/>
      </c>
      <c r="MQ156" s="0">
        <f>(ML156-ML178)/ML178</f>
        <v/>
      </c>
      <c r="MS156" s="0" t="n"/>
      <c r="MT156" s="0">
        <f>C156</f>
        <v/>
      </c>
      <c r="MU156" s="0" t="n">
        <v>301214.8</v>
      </c>
      <c r="MV156" s="0">
        <f>MU157</f>
        <v/>
      </c>
      <c r="MW156" s="0">
        <f>MU156-MV156</f>
        <v/>
      </c>
      <c r="MX156" s="0">
        <f>MW156/MV156</f>
        <v/>
      </c>
      <c r="MZ156" s="0">
        <f>(MU156-MU178)/MU178</f>
        <v/>
      </c>
      <c r="NB156" s="0" t="n"/>
      <c r="NC156" s="0">
        <f>C156</f>
        <v/>
      </c>
      <c r="ND156" s="0" t="n">
        <v>45291.48</v>
      </c>
      <c r="NE156" s="0">
        <f>ND157</f>
        <v/>
      </c>
      <c r="NF156" s="0">
        <f>ND156-NE156</f>
        <v/>
      </c>
      <c r="NG156" s="0">
        <f>NF156/NE156</f>
        <v/>
      </c>
      <c r="NI156" s="0">
        <f>(ND156-ND178)/ND178</f>
        <v/>
      </c>
      <c r="NL156" s="0" t="n"/>
      <c r="NM156" s="0">
        <f>C156</f>
        <v/>
      </c>
      <c r="NN156" s="0" t="n">
        <v>2607011.08</v>
      </c>
      <c r="NO156" s="0">
        <f>NN157</f>
        <v/>
      </c>
      <c r="NP156" s="0">
        <f>NN156-NO156</f>
        <v/>
      </c>
      <c r="NQ156" s="0">
        <f>NP156/NO156</f>
        <v/>
      </c>
      <c r="NS156" s="0">
        <f>(NN156-NN178)/NN178</f>
        <v/>
      </c>
      <c r="NU156" s="0">
        <f>C156</f>
        <v/>
      </c>
      <c r="NV156" s="711" t="n">
        <v>248526.5</v>
      </c>
      <c r="NW156" s="0">
        <f>NV157</f>
        <v/>
      </c>
      <c r="NX156" s="711">
        <f>NV156-NW156</f>
        <v/>
      </c>
      <c r="NY156" s="0">
        <f>NX156/NW156</f>
        <v/>
      </c>
      <c r="OA156" s="0">
        <f>(NV156-NV178)/NV178</f>
        <v/>
      </c>
      <c r="OC156" s="0">
        <f>C156</f>
        <v/>
      </c>
      <c r="OD156" s="0" t="n">
        <v>11630.97</v>
      </c>
      <c r="OE156" s="0">
        <f>OD157</f>
        <v/>
      </c>
      <c r="OF156" s="0">
        <f>OD156-OE156</f>
        <v/>
      </c>
      <c r="OG156" s="0">
        <f>OF156/OE156</f>
        <v/>
      </c>
      <c r="OI156" s="0">
        <f>(OD156-OD178)/OD178</f>
        <v/>
      </c>
      <c r="OK156" s="0">
        <f>C156</f>
        <v/>
      </c>
      <c r="OL156" s="0" t="n">
        <v>11043.65</v>
      </c>
      <c r="OM156" s="0">
        <f>OL157</f>
        <v/>
      </c>
      <c r="ON156" s="0">
        <f>OL156-OM156</f>
        <v/>
      </c>
      <c r="OO156" s="0">
        <f>ON156/OM156</f>
        <v/>
      </c>
      <c r="OQ156" s="0">
        <f>(OL156-OL178)/OL178</f>
        <v/>
      </c>
      <c r="OT156" s="0">
        <f>OK156</f>
        <v/>
      </c>
      <c r="OU156" s="0" t="n">
        <v>143712.4066</v>
      </c>
      <c r="OV156" s="0">
        <f>OU157</f>
        <v/>
      </c>
      <c r="OW156" s="0">
        <f>OU156-OV156</f>
        <v/>
      </c>
      <c r="OX156" s="0">
        <f>OW156/OV156</f>
        <v/>
      </c>
    </row>
    <row r="157">
      <c r="C157" s="0" t="inlineStr">
        <is>
          <t>2026//3/30</t>
        </is>
      </c>
      <c r="D157" s="0" t="n">
        <v>4491318.77</v>
      </c>
      <c r="E157" s="0">
        <f>D158</f>
        <v/>
      </c>
      <c r="F157" s="0">
        <f>D157-E157</f>
        <v/>
      </c>
      <c r="G157" s="0">
        <f>F157/E157</f>
        <v/>
      </c>
      <c r="I157" s="0" t="n"/>
      <c r="K157" s="0">
        <f>C157</f>
        <v/>
      </c>
      <c r="L157" s="0" t="n">
        <v>3179764.4</v>
      </c>
      <c r="M157" s="0">
        <f>L158</f>
        <v/>
      </c>
      <c r="N157" s="0">
        <f>L157-M157</f>
        <v/>
      </c>
      <c r="O157" s="0">
        <f>N157/M157</f>
        <v/>
      </c>
      <c r="Q157" s="0" t="n"/>
      <c r="S157" s="0">
        <f>C157</f>
        <v/>
      </c>
      <c r="T157" s="0" t="n">
        <v>2326386.68</v>
      </c>
      <c r="U157" s="0">
        <f>T158</f>
        <v/>
      </c>
      <c r="V157" s="0">
        <f>T157-U157</f>
        <v/>
      </c>
      <c r="W157" s="0">
        <f>V157/U157</f>
        <v/>
      </c>
      <c r="Y157" s="0" t="n"/>
      <c r="AA157" s="0">
        <f>S157</f>
        <v/>
      </c>
      <c r="AB157" s="0" t="n">
        <v>938336.86</v>
      </c>
      <c r="AC157" s="0">
        <f>AB158</f>
        <v/>
      </c>
      <c r="AD157" s="0">
        <f>AB157-AC157</f>
        <v/>
      </c>
      <c r="AE157" s="0">
        <f>AD157/AC157</f>
        <v/>
      </c>
      <c r="AG157" s="0" t="n"/>
      <c r="AI157" s="0">
        <f>C157</f>
        <v/>
      </c>
      <c r="AJ157" s="0" t="n">
        <v>752721.76</v>
      </c>
      <c r="AK157" s="0">
        <f>AJ158</f>
        <v/>
      </c>
      <c r="AL157" s="0">
        <f>AJ157-AK157</f>
        <v/>
      </c>
      <c r="AM157" s="0">
        <f>AL157/AK157</f>
        <v/>
      </c>
      <c r="AO157" s="0" t="n"/>
      <c r="AQ157" s="0">
        <f>C157</f>
        <v/>
      </c>
      <c r="AR157" s="0" t="n">
        <v>1580145.49</v>
      </c>
      <c r="AS157" s="0">
        <f>AR158</f>
        <v/>
      </c>
      <c r="AT157" s="0">
        <f>AR157-AS157</f>
        <v/>
      </c>
      <c r="AU157" s="0">
        <f>AT157/AS157</f>
        <v/>
      </c>
      <c r="AW157" s="0" t="n"/>
      <c r="AY157" s="0" t="n"/>
      <c r="AZ157" s="0">
        <f>C157</f>
        <v/>
      </c>
      <c r="BA157" s="0" t="n">
        <v>1999821.66</v>
      </c>
      <c r="BB157" s="0">
        <f>BA158</f>
        <v/>
      </c>
      <c r="BC157" s="0">
        <f>BA157-BB157</f>
        <v/>
      </c>
      <c r="BD157" s="0">
        <f>BC157/BB157</f>
        <v/>
      </c>
      <c r="BF157" s="0" t="n"/>
      <c r="BH157" s="0">
        <f>C157</f>
        <v/>
      </c>
      <c r="BI157" s="0" t="n">
        <v>1645626.55</v>
      </c>
      <c r="BJ157" s="0">
        <f>BI158</f>
        <v/>
      </c>
      <c r="BK157" s="0">
        <f>BI157-BJ157</f>
        <v/>
      </c>
      <c r="BL157" s="0">
        <f>BK157/BJ157</f>
        <v/>
      </c>
      <c r="BN157" s="0" t="n"/>
      <c r="BP157" s="0">
        <f>C157</f>
        <v/>
      </c>
      <c r="BQ157" s="0" t="n">
        <v>1166962.39</v>
      </c>
      <c r="BR157" s="0">
        <f>BQ158</f>
        <v/>
      </c>
      <c r="BS157" s="0">
        <f>BQ157-BR157</f>
        <v/>
      </c>
      <c r="BT157" s="0">
        <f>BS157/BR157</f>
        <v/>
      </c>
      <c r="BV157" s="0" t="n"/>
      <c r="BX157" s="0">
        <f>C157</f>
        <v/>
      </c>
      <c r="BY157" s="0" t="n">
        <v>3113260.7</v>
      </c>
      <c r="BZ157" s="0">
        <f>BY158</f>
        <v/>
      </c>
      <c r="CA157" s="0">
        <f>BY157-BZ157</f>
        <v/>
      </c>
      <c r="CB157" s="0">
        <f>CA157/BZ157</f>
        <v/>
      </c>
      <c r="CD157" s="0" t="n"/>
      <c r="CF157" s="0">
        <f>C157</f>
        <v/>
      </c>
      <c r="CG157" s="0" t="n">
        <v>1389753.9</v>
      </c>
      <c r="CH157" s="0">
        <f>CG158</f>
        <v/>
      </c>
      <c r="CI157" s="0">
        <f>CG157-CH157</f>
        <v/>
      </c>
      <c r="CJ157" s="0">
        <f>CI157/CH157</f>
        <v/>
      </c>
      <c r="CL157" s="0" t="n"/>
      <c r="CN157" s="0">
        <f>C157</f>
        <v/>
      </c>
      <c r="CO157" s="0" t="n">
        <v>661946.48</v>
      </c>
      <c r="CP157" s="0">
        <f>CO158</f>
        <v/>
      </c>
      <c r="CQ157" s="0">
        <f>CO157-CP157</f>
        <v/>
      </c>
      <c r="CR157" s="0">
        <f>CQ157/CP157</f>
        <v/>
      </c>
      <c r="CS157" s="0" t="n"/>
      <c r="CT157" s="0" t="n"/>
      <c r="CV157" s="0">
        <f>C157</f>
        <v/>
      </c>
      <c r="CW157" s="0" t="n">
        <v>545940.4</v>
      </c>
      <c r="CX157" s="0">
        <f>CW158</f>
        <v/>
      </c>
      <c r="CY157" s="0">
        <f>CW157-CX157</f>
        <v/>
      </c>
      <c r="CZ157" s="0">
        <f>CY157/CX157</f>
        <v/>
      </c>
      <c r="DB157" s="0" t="n"/>
      <c r="DC157" s="0" t="n"/>
      <c r="DD157" s="0">
        <f>C157</f>
        <v/>
      </c>
      <c r="DE157" s="0" t="n">
        <v>2361517.99</v>
      </c>
      <c r="DF157" s="0">
        <f>DE158</f>
        <v/>
      </c>
      <c r="DG157" s="0">
        <f>DE157-DF157</f>
        <v/>
      </c>
      <c r="DH157" s="0">
        <f>DG157/DF157</f>
        <v/>
      </c>
      <c r="DJ157" s="0" t="n"/>
      <c r="DL157" s="0">
        <f>C157</f>
        <v/>
      </c>
      <c r="DM157" s="0" t="n">
        <v>1392300.36</v>
      </c>
      <c r="DN157" s="0">
        <f>DM158</f>
        <v/>
      </c>
      <c r="DO157" s="0">
        <f>DM157-DN157</f>
        <v/>
      </c>
      <c r="DP157" s="0">
        <f>DO157/DN157</f>
        <v/>
      </c>
      <c r="DR157" s="0" t="n"/>
      <c r="DT157" s="0">
        <f>C157</f>
        <v/>
      </c>
      <c r="DU157" s="0" t="n">
        <v>1676489.48</v>
      </c>
      <c r="DV157" s="0">
        <f>DU158</f>
        <v/>
      </c>
      <c r="DW157" s="0">
        <f>DU157-DV157</f>
        <v/>
      </c>
      <c r="DX157" s="0">
        <f>DW157/DV157</f>
        <v/>
      </c>
      <c r="DZ157" s="0" t="n"/>
      <c r="EB157" s="0">
        <f>C157</f>
        <v/>
      </c>
      <c r="EC157" s="0" t="n">
        <v>5144366.82</v>
      </c>
      <c r="ED157" s="0">
        <f>EC158</f>
        <v/>
      </c>
      <c r="EE157" s="0">
        <f>EC157-ED157</f>
        <v/>
      </c>
      <c r="EF157" s="0">
        <f>EE157/ED157</f>
        <v/>
      </c>
      <c r="EH157" s="0" t="n"/>
      <c r="EJ157" s="0">
        <f>C157</f>
        <v/>
      </c>
      <c r="EK157" s="0" t="n">
        <v>1545122.96</v>
      </c>
      <c r="EL157" s="0">
        <f>EK158</f>
        <v/>
      </c>
      <c r="EM157" s="0">
        <f>EK157-EL157</f>
        <v/>
      </c>
      <c r="EN157" s="0">
        <f>EM157/EL157</f>
        <v/>
      </c>
      <c r="EP157" s="0" t="n"/>
      <c r="ER157" s="0">
        <f>C157</f>
        <v/>
      </c>
      <c r="ES157" s="0" t="n">
        <v>535547.02</v>
      </c>
      <c r="ET157" s="0">
        <f>ES158</f>
        <v/>
      </c>
      <c r="EU157" s="0">
        <f>ES157-ET157</f>
        <v/>
      </c>
      <c r="EV157" s="0">
        <f>EU157/ET157</f>
        <v/>
      </c>
      <c r="EX157" s="0" t="n"/>
      <c r="EZ157" s="0">
        <f>C157</f>
        <v/>
      </c>
      <c r="FA157" s="0" t="n">
        <v>731108</v>
      </c>
      <c r="FB157" s="0">
        <f>FA158</f>
        <v/>
      </c>
      <c r="FC157" s="0">
        <f>FA157-FB157</f>
        <v/>
      </c>
      <c r="FD157" s="0">
        <f>FC157/FB157</f>
        <v/>
      </c>
      <c r="FF157" s="0" t="n"/>
      <c r="FH157" s="0">
        <f>C157</f>
        <v/>
      </c>
      <c r="FI157" s="0" t="n">
        <v>1076295.33</v>
      </c>
      <c r="FJ157" s="0">
        <f>FI158</f>
        <v/>
      </c>
      <c r="FK157" s="0">
        <f>FI157-FJ157</f>
        <v/>
      </c>
      <c r="FL157" s="519">
        <f>FK157/FJ157</f>
        <v/>
      </c>
      <c r="FN157" s="0" t="n"/>
      <c r="FP157" s="0">
        <f>C157</f>
        <v/>
      </c>
      <c r="FQ157" s="0" t="n">
        <v>2288818.73</v>
      </c>
      <c r="FR157" s="0">
        <f>FQ158</f>
        <v/>
      </c>
      <c r="FS157" s="0">
        <f>FQ157-FR157</f>
        <v/>
      </c>
      <c r="FT157" s="0">
        <f>FS157/FR157</f>
        <v/>
      </c>
      <c r="FV157" s="0" t="n"/>
      <c r="FX157" s="0">
        <f>C157</f>
        <v/>
      </c>
      <c r="FY157" s="0" t="n">
        <v>8530682.050000001</v>
      </c>
      <c r="FZ157" s="0">
        <f>FY158</f>
        <v/>
      </c>
      <c r="GA157" s="0">
        <f>FY157-FZ157</f>
        <v/>
      </c>
      <c r="GB157" s="0">
        <f>GA157/FZ157</f>
        <v/>
      </c>
      <c r="GD157" s="0" t="n"/>
      <c r="GF157" s="0">
        <f>C157</f>
        <v/>
      </c>
      <c r="GG157" s="0" t="n">
        <v>4750669.49</v>
      </c>
      <c r="GH157" s="0">
        <f>GG158</f>
        <v/>
      </c>
      <c r="GI157" s="0">
        <f>GG157-GH157</f>
        <v/>
      </c>
      <c r="GJ157" s="0">
        <f>GI157/GH157</f>
        <v/>
      </c>
      <c r="GL157" s="0" t="n"/>
      <c r="GN157" s="0">
        <f>C157</f>
        <v/>
      </c>
      <c r="GO157" s="0" t="n">
        <v>1850818.12</v>
      </c>
      <c r="GP157" s="0">
        <f>GO158</f>
        <v/>
      </c>
      <c r="GQ157" s="0">
        <f>GO157-GP157</f>
        <v/>
      </c>
      <c r="GR157" s="0">
        <f>GQ157/GP157</f>
        <v/>
      </c>
      <c r="GT157" s="0" t="n"/>
      <c r="GV157" s="0">
        <f>C157</f>
        <v/>
      </c>
      <c r="GW157" s="0" t="n">
        <v>1047749.4</v>
      </c>
      <c r="GX157" s="0">
        <f>GW158</f>
        <v/>
      </c>
      <c r="GY157" s="0">
        <f>GW157-GX157</f>
        <v/>
      </c>
      <c r="GZ157" s="0">
        <f>GY157/GX157</f>
        <v/>
      </c>
      <c r="HB157" s="0" t="n"/>
      <c r="HD157" s="0">
        <f>C157</f>
        <v/>
      </c>
      <c r="HE157" s="0" t="n">
        <v>1087064.67</v>
      </c>
      <c r="HF157" s="0">
        <f>HE158</f>
        <v/>
      </c>
      <c r="HG157" s="0">
        <f>HE157-HF157</f>
        <v/>
      </c>
      <c r="HH157" s="0">
        <f>HG157/HF157</f>
        <v/>
      </c>
      <c r="HJ157" s="0" t="n"/>
      <c r="HL157" s="0">
        <f>C157</f>
        <v/>
      </c>
      <c r="HM157" s="0" t="n">
        <v>156404.25</v>
      </c>
      <c r="HN157" s="0">
        <f>HM158</f>
        <v/>
      </c>
      <c r="HO157" s="0">
        <f>HM157-HN157</f>
        <v/>
      </c>
      <c r="HP157" s="0">
        <f>HO157/HN157</f>
        <v/>
      </c>
      <c r="HR157" s="0" t="n"/>
      <c r="HT157" s="0">
        <f>C157</f>
        <v/>
      </c>
      <c r="HU157" s="0" t="n">
        <v>252768.82</v>
      </c>
      <c r="HV157" s="0">
        <f>HU158</f>
        <v/>
      </c>
      <c r="HW157" s="0">
        <f>HU157-HV157</f>
        <v/>
      </c>
      <c r="HX157" s="0">
        <f>HW157/HV157</f>
        <v/>
      </c>
      <c r="HZ157" s="0" t="n"/>
      <c r="IB157" s="0">
        <f>C157</f>
        <v/>
      </c>
      <c r="IC157" s="0" t="n">
        <v>440559.79</v>
      </c>
      <c r="ID157" s="0">
        <f>IC158</f>
        <v/>
      </c>
      <c r="IE157" s="0">
        <f>IC157-ID157</f>
        <v/>
      </c>
      <c r="IF157" s="0">
        <f>IE157/ID157</f>
        <v/>
      </c>
      <c r="IH157" s="0" t="n"/>
      <c r="IJ157" s="0">
        <f>C157</f>
        <v/>
      </c>
      <c r="IK157" s="0" t="n">
        <v>617836.29</v>
      </c>
      <c r="IL157" s="0">
        <f>IK158</f>
        <v/>
      </c>
      <c r="IM157" s="0">
        <f>IK157-IL157</f>
        <v/>
      </c>
      <c r="IN157" s="0">
        <f>IM157/IL157</f>
        <v/>
      </c>
      <c r="IP157" s="0" t="n"/>
      <c r="IR157" s="0">
        <f>C157</f>
        <v/>
      </c>
      <c r="IS157" s="0" t="n">
        <v>142389</v>
      </c>
      <c r="IT157" s="0">
        <f>IS158</f>
        <v/>
      </c>
      <c r="IU157" s="0">
        <f>IS157-IT157</f>
        <v/>
      </c>
      <c r="IV157" s="0">
        <f>IU157/IT157</f>
        <v/>
      </c>
      <c r="IX157" s="0" t="n"/>
      <c r="IZ157" s="0">
        <f>C157</f>
        <v/>
      </c>
      <c r="JA157" s="0" t="n">
        <v>5034329.15</v>
      </c>
      <c r="JB157" s="0">
        <f>JA158</f>
        <v/>
      </c>
      <c r="JC157" s="0">
        <f>JA157-JB157</f>
        <v/>
      </c>
      <c r="JD157" s="0">
        <f>JC157/JB157</f>
        <v/>
      </c>
      <c r="JF157" s="0" t="n"/>
      <c r="JH157" s="0">
        <f>C157</f>
        <v/>
      </c>
      <c r="JI157" s="0" t="n">
        <v>1508007.99</v>
      </c>
      <c r="JJ157" s="0">
        <f>JI158</f>
        <v/>
      </c>
      <c r="JK157" s="0">
        <f>JI157-JJ157</f>
        <v/>
      </c>
      <c r="JL157" s="0">
        <f>JK157/JJ157</f>
        <v/>
      </c>
      <c r="JN157" s="0" t="n"/>
      <c r="JP157" s="0">
        <f>C157</f>
        <v/>
      </c>
      <c r="JQ157" s="0" t="n">
        <v>1044090.41</v>
      </c>
      <c r="JR157" s="0">
        <f>JQ158</f>
        <v/>
      </c>
      <c r="JS157" s="0">
        <f>JQ157-JR157</f>
        <v/>
      </c>
      <c r="JT157" s="0">
        <f>JS157/JR157</f>
        <v/>
      </c>
      <c r="JV157" s="0" t="n"/>
      <c r="JX157" s="0">
        <f>C157</f>
        <v/>
      </c>
      <c r="JY157" s="0" t="n">
        <v>1266448.8</v>
      </c>
      <c r="JZ157" s="0">
        <f>JY158</f>
        <v/>
      </c>
      <c r="KA157" s="0">
        <f>JY157-JZ157</f>
        <v/>
      </c>
      <c r="KB157" s="0">
        <f>KA157/JZ157</f>
        <v/>
      </c>
      <c r="KD157" s="0" t="n"/>
      <c r="KF157" s="0">
        <f>C157</f>
        <v/>
      </c>
      <c r="KG157" s="0" t="n">
        <v>732555.92</v>
      </c>
      <c r="KH157" s="711">
        <f>KG158</f>
        <v/>
      </c>
      <c r="KI157" s="0">
        <f>KG157-KH157</f>
        <v/>
      </c>
      <c r="KJ157" s="519">
        <f>KI157/KH157</f>
        <v/>
      </c>
      <c r="KL157" s="0" t="n"/>
      <c r="KN157" s="0">
        <f>C157</f>
        <v/>
      </c>
      <c r="KO157" s="0" t="n">
        <v>8201775.95</v>
      </c>
      <c r="KP157" s="0">
        <f>KO158</f>
        <v/>
      </c>
      <c r="KQ157" s="0">
        <f>KO157-KP157</f>
        <v/>
      </c>
      <c r="KR157" s="0">
        <f>KQ157/KP157</f>
        <v/>
      </c>
      <c r="KT157" s="0" t="n"/>
      <c r="KV157" s="0">
        <f>C157</f>
        <v/>
      </c>
      <c r="KW157" s="0" t="n">
        <v>1012372.97</v>
      </c>
      <c r="KX157" s="0">
        <f>KW158</f>
        <v/>
      </c>
      <c r="KY157" s="0">
        <f>KW157-KX157</f>
        <v/>
      </c>
      <c r="KZ157" s="0">
        <f>KY157/KX157</f>
        <v/>
      </c>
      <c r="LB157" s="0" t="n"/>
      <c r="LD157" s="0">
        <f>C157</f>
        <v/>
      </c>
      <c r="LE157" s="0" t="n">
        <v>442407.7</v>
      </c>
      <c r="LF157" s="0">
        <f>LE158</f>
        <v/>
      </c>
      <c r="LG157" s="0">
        <f>LE157-LF157</f>
        <v/>
      </c>
      <c r="LH157" s="0">
        <f>LG157/LF157</f>
        <v/>
      </c>
      <c r="LJ157" s="0" t="n"/>
      <c r="LL157" s="0">
        <f>C157</f>
        <v/>
      </c>
      <c r="LM157" s="0" t="n">
        <v>3574735.02</v>
      </c>
      <c r="LN157" s="0">
        <f>LM158</f>
        <v/>
      </c>
      <c r="LO157" s="0">
        <f>LM157-LN157</f>
        <v/>
      </c>
      <c r="LP157" s="0">
        <f>LO157/LN157</f>
        <v/>
      </c>
      <c r="LR157" s="0" t="n"/>
      <c r="LT157" s="0">
        <f>C157</f>
        <v/>
      </c>
      <c r="LU157" s="0" t="n">
        <v>2708062.9</v>
      </c>
      <c r="LV157" s="0">
        <f>LU158</f>
        <v/>
      </c>
      <c r="LW157" s="0">
        <f>LU157-LV157</f>
        <v/>
      </c>
      <c r="LX157" s="0">
        <f>LW157/LV157</f>
        <v/>
      </c>
      <c r="LZ157" s="0" t="n"/>
      <c r="MB157" s="0">
        <f>C157</f>
        <v/>
      </c>
      <c r="MC157" s="0" t="n">
        <v>861217.6899999999</v>
      </c>
      <c r="MD157" s="0">
        <f>MC158</f>
        <v/>
      </c>
      <c r="ME157" s="0">
        <f>MC157-MD157</f>
        <v/>
      </c>
      <c r="MF157" s="0">
        <f>ME157/MD157</f>
        <v/>
      </c>
      <c r="MH157" s="0" t="n"/>
      <c r="MJ157" s="519" t="n"/>
      <c r="MK157" s="0">
        <f>C157</f>
        <v/>
      </c>
      <c r="ML157" s="711" t="n">
        <v>221625.53</v>
      </c>
      <c r="MM157" s="0">
        <f>ML158</f>
        <v/>
      </c>
      <c r="MN157" s="711">
        <f>ML157-MM157</f>
        <v/>
      </c>
      <c r="MO157" s="0">
        <f>MN157/MM157</f>
        <v/>
      </c>
      <c r="MQ157" s="0" t="n"/>
      <c r="MS157" s="0" t="n"/>
      <c r="MT157" s="0">
        <f>C157</f>
        <v/>
      </c>
      <c r="MU157" s="0" t="n">
        <v>304114.8</v>
      </c>
      <c r="MV157" s="0">
        <f>MU158</f>
        <v/>
      </c>
      <c r="MW157" s="0">
        <f>MU157-MV157</f>
        <v/>
      </c>
      <c r="MX157" s="0">
        <f>MW157/MV157</f>
        <v/>
      </c>
      <c r="MZ157" s="0" t="n"/>
      <c r="NB157" s="0" t="n"/>
      <c r="NC157" s="0">
        <f>C157</f>
        <v/>
      </c>
      <c r="ND157" s="0" t="n">
        <v>44491.48</v>
      </c>
      <c r="NE157" s="0">
        <f>ND158</f>
        <v/>
      </c>
      <c r="NF157" s="0">
        <f>ND157-NE157</f>
        <v/>
      </c>
      <c r="NG157" s="0">
        <f>NF157/NE157</f>
        <v/>
      </c>
      <c r="NI157" s="0" t="n"/>
      <c r="NL157" s="0" t="n"/>
      <c r="NM157" s="0">
        <f>C157</f>
        <v/>
      </c>
      <c r="NN157" s="0" t="n">
        <v>2603811.08</v>
      </c>
      <c r="NO157" s="0">
        <f>NN158</f>
        <v/>
      </c>
      <c r="NP157" s="0">
        <f>NN157-NO157</f>
        <v/>
      </c>
      <c r="NQ157" s="0">
        <f>NP157/NO157</f>
        <v/>
      </c>
      <c r="NS157" s="0" t="n"/>
      <c r="NU157" s="0">
        <f>C157</f>
        <v/>
      </c>
      <c r="NV157" s="711" t="n">
        <v>248726.5</v>
      </c>
      <c r="NW157" s="0">
        <f>NV158</f>
        <v/>
      </c>
      <c r="NX157" s="711">
        <f>NV157-NW157</f>
        <v/>
      </c>
      <c r="NY157" s="0">
        <f>NX157/NW157</f>
        <v/>
      </c>
      <c r="OC157" s="0">
        <f>C157</f>
        <v/>
      </c>
      <c r="OD157" s="0" t="n">
        <v>11553.97</v>
      </c>
      <c r="OE157" s="0">
        <f>OD158</f>
        <v/>
      </c>
      <c r="OF157" s="0">
        <f>OD157-OE157</f>
        <v/>
      </c>
      <c r="OG157" s="0">
        <f>OF157/OE157</f>
        <v/>
      </c>
      <c r="OI157" s="0" t="n"/>
      <c r="OK157" s="0">
        <f>C157</f>
        <v/>
      </c>
      <c r="OL157" s="0" t="n">
        <v>11042.65</v>
      </c>
      <c r="OM157" s="0">
        <f>OL158</f>
        <v/>
      </c>
      <c r="ON157" s="0">
        <f>OL157-OM157</f>
        <v/>
      </c>
      <c r="OO157" s="0">
        <f>ON157/OM157</f>
        <v/>
      </c>
      <c r="OQ157" s="0" t="n"/>
      <c r="OT157" s="0">
        <f>OK157</f>
        <v/>
      </c>
      <c r="OU157" s="0" t="n">
        <v>143592.4066</v>
      </c>
      <c r="OV157" s="0">
        <f>OU158</f>
        <v/>
      </c>
      <c r="OW157" s="0">
        <f>OU157-OV157</f>
        <v/>
      </c>
      <c r="OX157" s="0">
        <f>OW157/OV157</f>
        <v/>
      </c>
    </row>
    <row r="158">
      <c r="C158" s="0" t="inlineStr">
        <is>
          <t>2026//3/27</t>
        </is>
      </c>
      <c r="D158" s="0" t="n">
        <v>4516068.77</v>
      </c>
      <c r="E158" s="0">
        <f>D159</f>
        <v/>
      </c>
      <c r="F158" s="0">
        <f>D158-E158</f>
        <v/>
      </c>
      <c r="G158" s="0">
        <f>F158/E158</f>
        <v/>
      </c>
      <c r="I158" s="0" t="n"/>
      <c r="K158" s="0">
        <f>C158</f>
        <v/>
      </c>
      <c r="L158" s="0" t="n">
        <v>3183994.4</v>
      </c>
      <c r="M158" s="0">
        <f>L159</f>
        <v/>
      </c>
      <c r="N158" s="0">
        <f>L158-M158</f>
        <v/>
      </c>
      <c r="O158" s="0">
        <f>N158/M158</f>
        <v/>
      </c>
      <c r="Q158" s="0" t="n"/>
      <c r="S158" s="0">
        <f>C158</f>
        <v/>
      </c>
      <c r="T158" s="0" t="n">
        <v>2344206.68</v>
      </c>
      <c r="U158" s="0">
        <f>T159</f>
        <v/>
      </c>
      <c r="V158" s="0">
        <f>T158-U158</f>
        <v/>
      </c>
      <c r="W158" s="0">
        <f>V158/U158</f>
        <v/>
      </c>
      <c r="Y158" s="0" t="n"/>
      <c r="AA158" s="0">
        <f>S158</f>
        <v/>
      </c>
      <c r="AB158" s="0" t="n">
        <v>961296.86</v>
      </c>
      <c r="AC158" s="0">
        <f>AB159</f>
        <v/>
      </c>
      <c r="AD158" s="0">
        <f>AB158-AC158</f>
        <v/>
      </c>
      <c r="AE158" s="0">
        <f>AD158/AC158</f>
        <v/>
      </c>
      <c r="AG158" s="0" t="n"/>
      <c r="AI158" s="0">
        <f>C158</f>
        <v/>
      </c>
      <c r="AJ158" s="0" t="n">
        <v>773721.76</v>
      </c>
      <c r="AK158" s="0">
        <f>AJ159</f>
        <v/>
      </c>
      <c r="AL158" s="0">
        <f>AJ158-AK158</f>
        <v/>
      </c>
      <c r="AM158" s="0">
        <f>AL158/AK158</f>
        <v/>
      </c>
      <c r="AO158" s="0" t="n"/>
      <c r="AQ158" s="0">
        <f>C158</f>
        <v/>
      </c>
      <c r="AR158" s="0" t="n">
        <v>1561845.49</v>
      </c>
      <c r="AS158" s="0">
        <f>AR159</f>
        <v/>
      </c>
      <c r="AT158" s="0">
        <f>AR158-AS158</f>
        <v/>
      </c>
      <c r="AU158" s="0">
        <f>AT158/AS158</f>
        <v/>
      </c>
      <c r="AW158" s="0" t="n"/>
      <c r="AY158" s="0" t="n"/>
      <c r="AZ158" s="0">
        <f>C158</f>
        <v/>
      </c>
      <c r="BA158" s="0" t="n">
        <v>2003511.66</v>
      </c>
      <c r="BB158" s="0">
        <f>BA159</f>
        <v/>
      </c>
      <c r="BC158" s="0">
        <f>BA158-BB158</f>
        <v/>
      </c>
      <c r="BD158" s="0">
        <f>BC158/BB158</f>
        <v/>
      </c>
      <c r="BF158" s="0" t="n"/>
      <c r="BH158" s="0">
        <f>C158</f>
        <v/>
      </c>
      <c r="BI158" s="0" t="n">
        <v>1651826.55</v>
      </c>
      <c r="BJ158" s="0">
        <f>BI159</f>
        <v/>
      </c>
      <c r="BK158" s="0">
        <f>BI158-BJ158</f>
        <v/>
      </c>
      <c r="BL158" s="0">
        <f>BK158/BJ158</f>
        <v/>
      </c>
      <c r="BN158" s="0" t="n"/>
      <c r="BP158" s="0">
        <f>C158</f>
        <v/>
      </c>
      <c r="BQ158" s="0" t="n">
        <v>1173862.39</v>
      </c>
      <c r="BR158" s="0">
        <f>BQ159</f>
        <v/>
      </c>
      <c r="BS158" s="0">
        <f>BQ158-BR158</f>
        <v/>
      </c>
      <c r="BT158" s="0">
        <f>BS158/BR158</f>
        <v/>
      </c>
      <c r="BV158" s="0" t="n"/>
      <c r="BX158" s="0">
        <f>C158</f>
        <v/>
      </c>
      <c r="BY158" s="0" t="n">
        <v>3116110.7</v>
      </c>
      <c r="BZ158" s="0">
        <f>BY159</f>
        <v/>
      </c>
      <c r="CA158" s="0">
        <f>BY158-BZ158</f>
        <v/>
      </c>
      <c r="CB158" s="0">
        <f>CA158/BZ158</f>
        <v/>
      </c>
      <c r="CD158" s="0" t="n"/>
      <c r="CF158" s="0">
        <f>C158</f>
        <v/>
      </c>
      <c r="CG158" s="0" t="n">
        <v>1397803.9</v>
      </c>
      <c r="CH158" s="0">
        <f>CG159</f>
        <v/>
      </c>
      <c r="CI158" s="0">
        <f>CG158-CH158</f>
        <v/>
      </c>
      <c r="CJ158" s="0">
        <f>CI158/CH158</f>
        <v/>
      </c>
      <c r="CL158" s="0" t="n"/>
      <c r="CN158" s="0">
        <f>C158</f>
        <v/>
      </c>
      <c r="CO158" s="0" t="n">
        <v>661346.48</v>
      </c>
      <c r="CP158" s="0">
        <f>CO159</f>
        <v/>
      </c>
      <c r="CQ158" s="0">
        <f>CO158-CP158</f>
        <v/>
      </c>
      <c r="CR158" s="0">
        <f>CQ158/CP158</f>
        <v/>
      </c>
      <c r="CS158" s="0">
        <f>(CO158-CO163)/CO163</f>
        <v/>
      </c>
      <c r="CT158" s="0" t="n"/>
      <c r="CV158" s="0">
        <f>C158</f>
        <v/>
      </c>
      <c r="CW158" s="0" t="n">
        <v>545040.4</v>
      </c>
      <c r="CX158" s="0">
        <f>CW159</f>
        <v/>
      </c>
      <c r="CY158" s="0">
        <f>CW158-CX158</f>
        <v/>
      </c>
      <c r="CZ158" s="0">
        <f>CY158/CX158</f>
        <v/>
      </c>
      <c r="DB158" s="0" t="n"/>
      <c r="DC158" s="0" t="inlineStr">
        <is>
          <t>拆分1:2</t>
        </is>
      </c>
      <c r="DD158" s="0">
        <f>C158</f>
        <v/>
      </c>
      <c r="DE158" s="0" t="n">
        <v>2357117.99</v>
      </c>
      <c r="DF158" s="0">
        <f>DE159</f>
        <v/>
      </c>
      <c r="DG158" s="0">
        <f>DE158-DF158</f>
        <v/>
      </c>
      <c r="DH158" s="0">
        <f>DG158/DF158</f>
        <v/>
      </c>
      <c r="DJ158" s="0" t="n"/>
      <c r="DL158" s="0">
        <f>C158</f>
        <v/>
      </c>
      <c r="DM158" s="0" t="n">
        <v>1399500.36</v>
      </c>
      <c r="DN158" s="0">
        <f>DM159</f>
        <v/>
      </c>
      <c r="DO158" s="0">
        <f>DM158-DN158</f>
        <v/>
      </c>
      <c r="DP158" s="0">
        <f>DO158/DN158</f>
        <v/>
      </c>
      <c r="DR158" s="0" t="n"/>
      <c r="DT158" s="0">
        <f>C158</f>
        <v/>
      </c>
      <c r="DU158" s="0" t="n">
        <v>1680089.48</v>
      </c>
      <c r="DV158" s="0">
        <f>DU159</f>
        <v/>
      </c>
      <c r="DW158" s="0">
        <f>DU158-DV158</f>
        <v/>
      </c>
      <c r="DX158" s="0">
        <f>DW158/DV158</f>
        <v/>
      </c>
      <c r="DZ158" s="0" t="n"/>
      <c r="EB158" s="0">
        <f>C158</f>
        <v/>
      </c>
      <c r="EC158" s="0" t="n">
        <v>5140766.82</v>
      </c>
      <c r="ED158" s="0">
        <f>EC159</f>
        <v/>
      </c>
      <c r="EE158" s="0">
        <f>EC158-ED158</f>
        <v/>
      </c>
      <c r="EF158" s="0">
        <f>EE158/ED158</f>
        <v/>
      </c>
      <c r="EH158" s="0" t="n"/>
      <c r="EJ158" s="0">
        <f>C158</f>
        <v/>
      </c>
      <c r="EK158" s="0" t="n">
        <v>1549122.96</v>
      </c>
      <c r="EL158" s="0">
        <f>EK159</f>
        <v/>
      </c>
      <c r="EM158" s="0">
        <f>EK158-EL158</f>
        <v/>
      </c>
      <c r="EN158" s="0">
        <f>EM158/EL158</f>
        <v/>
      </c>
      <c r="EP158" s="0" t="n"/>
      <c r="ER158" s="0">
        <f>C158</f>
        <v/>
      </c>
      <c r="ES158" s="0" t="n">
        <v>536447.02</v>
      </c>
      <c r="ET158" s="0">
        <f>ES159</f>
        <v/>
      </c>
      <c r="EU158" s="0">
        <f>ES158-ET158</f>
        <v/>
      </c>
      <c r="EV158" s="0">
        <f>EU158/ET158</f>
        <v/>
      </c>
      <c r="EX158" s="0" t="n"/>
      <c r="EZ158" s="0">
        <f>C158</f>
        <v/>
      </c>
      <c r="FA158" s="0" t="n">
        <v>747208</v>
      </c>
      <c r="FB158" s="0">
        <f>FA159</f>
        <v/>
      </c>
      <c r="FC158" s="0">
        <f>FA158-FB158</f>
        <v/>
      </c>
      <c r="FD158" s="0">
        <f>FC158/FB158</f>
        <v/>
      </c>
      <c r="FF158" s="0" t="n"/>
      <c r="FH158" s="0">
        <f>C158</f>
        <v/>
      </c>
      <c r="FI158" s="0" t="n">
        <v>1090695.33</v>
      </c>
      <c r="FJ158" s="0">
        <f>FI159</f>
        <v/>
      </c>
      <c r="FK158" s="0">
        <f>FI158-FJ158</f>
        <v/>
      </c>
      <c r="FL158" s="519">
        <f>FK158/FJ158</f>
        <v/>
      </c>
      <c r="FN158" s="0" t="n"/>
      <c r="FP158" s="0">
        <f>C158</f>
        <v/>
      </c>
      <c r="FQ158" s="0" t="n">
        <v>2294668.73</v>
      </c>
      <c r="FR158" s="0">
        <f>FQ159</f>
        <v/>
      </c>
      <c r="FS158" s="0">
        <f>FQ158-FR158</f>
        <v/>
      </c>
      <c r="FT158" s="0">
        <f>FS158/FR158</f>
        <v/>
      </c>
      <c r="FV158" s="0" t="n"/>
      <c r="FX158" s="0">
        <f>C158</f>
        <v/>
      </c>
      <c r="FY158" s="0" t="n">
        <v>8541082.050000001</v>
      </c>
      <c r="FZ158" s="0">
        <f>FY159</f>
        <v/>
      </c>
      <c r="GA158" s="0">
        <f>FY158-FZ158</f>
        <v/>
      </c>
      <c r="GB158" s="0">
        <f>GA158/FZ158</f>
        <v/>
      </c>
      <c r="GD158" s="0" t="n"/>
      <c r="GF158" s="0">
        <f>C158</f>
        <v/>
      </c>
      <c r="GG158" s="0" t="n">
        <v>4758269.49</v>
      </c>
      <c r="GH158" s="0">
        <f>GG159</f>
        <v/>
      </c>
      <c r="GI158" s="0">
        <f>GG158-GH158</f>
        <v/>
      </c>
      <c r="GJ158" s="0">
        <f>GI158/GH158</f>
        <v/>
      </c>
      <c r="GL158" s="0" t="n"/>
      <c r="GN158" s="0">
        <f>C158</f>
        <v/>
      </c>
      <c r="GO158" s="0" t="n">
        <v>1839718.12</v>
      </c>
      <c r="GP158" s="0">
        <f>GO159</f>
        <v/>
      </c>
      <c r="GQ158" s="0">
        <f>GO158-GP158</f>
        <v/>
      </c>
      <c r="GR158" s="0">
        <f>GQ158/GP158</f>
        <v/>
      </c>
      <c r="GT158" s="0" t="n"/>
      <c r="GV158" s="0">
        <f>C158</f>
        <v/>
      </c>
      <c r="GW158" s="0" t="n">
        <v>1053749.4</v>
      </c>
      <c r="GX158" s="0">
        <f>GW159</f>
        <v/>
      </c>
      <c r="GY158" s="0">
        <f>GW158-GX158</f>
        <v/>
      </c>
      <c r="GZ158" s="0">
        <f>GY158/GX158</f>
        <v/>
      </c>
      <c r="HB158" s="0" t="n"/>
      <c r="HD158" s="0">
        <f>C158</f>
        <v/>
      </c>
      <c r="HE158" s="0" t="n">
        <v>1065764.67</v>
      </c>
      <c r="HF158" s="0">
        <f>HE159</f>
        <v/>
      </c>
      <c r="HG158" s="0">
        <f>HE158-HF158</f>
        <v/>
      </c>
      <c r="HH158" s="0">
        <f>HG158/HF158</f>
        <v/>
      </c>
      <c r="HJ158" s="0" t="n"/>
      <c r="HL158" s="0">
        <f>C158</f>
        <v/>
      </c>
      <c r="HM158" s="0" t="n">
        <v>159054.25</v>
      </c>
      <c r="HN158" s="0">
        <f>HM159</f>
        <v/>
      </c>
      <c r="HO158" s="0">
        <f>HM158-HN158</f>
        <v/>
      </c>
      <c r="HP158" s="0">
        <f>HO158/HN158</f>
        <v/>
      </c>
      <c r="HR158" s="0" t="n"/>
      <c r="HT158" s="0">
        <f>C158</f>
        <v/>
      </c>
      <c r="HU158" s="0" t="n">
        <v>237868.82</v>
      </c>
      <c r="HV158" s="0">
        <f>HU159</f>
        <v/>
      </c>
      <c r="HW158" s="0">
        <f>HU158-HV158</f>
        <v/>
      </c>
      <c r="HX158" s="0">
        <f>HW158/HV158</f>
        <v/>
      </c>
      <c r="HZ158" s="0" t="n"/>
      <c r="IB158" s="0">
        <f>C158</f>
        <v/>
      </c>
      <c r="IC158" s="0" t="n">
        <v>457184.79</v>
      </c>
      <c r="ID158" s="0">
        <f>IC159</f>
        <v/>
      </c>
      <c r="IE158" s="0">
        <f>IC158-ID158</f>
        <v/>
      </c>
      <c r="IF158" s="0">
        <f>IE158/ID158</f>
        <v/>
      </c>
      <c r="IH158" s="0" t="n"/>
      <c r="IJ158" s="0">
        <f>C158</f>
        <v/>
      </c>
      <c r="IK158" s="0" t="n">
        <v>616636.29</v>
      </c>
      <c r="IL158" s="0">
        <f>IK159</f>
        <v/>
      </c>
      <c r="IM158" s="0">
        <f>IK158-IL158</f>
        <v/>
      </c>
      <c r="IN158" s="0">
        <f>IM158/IL158</f>
        <v/>
      </c>
      <c r="IP158" s="0" t="n"/>
      <c r="IR158" s="0">
        <f>C158</f>
        <v/>
      </c>
      <c r="IS158" s="0" t="n">
        <v>142789</v>
      </c>
      <c r="IT158" s="0">
        <f>IS159</f>
        <v/>
      </c>
      <c r="IU158" s="0">
        <f>IS158-IT158</f>
        <v/>
      </c>
      <c r="IV158" s="0">
        <f>IU158/IT158</f>
        <v/>
      </c>
      <c r="IX158" s="0" t="n"/>
      <c r="IZ158" s="0">
        <f>C158</f>
        <v/>
      </c>
      <c r="JA158" s="0" t="n">
        <v>5041629.15</v>
      </c>
      <c r="JB158" s="0">
        <f>JA159</f>
        <v/>
      </c>
      <c r="JC158" s="0">
        <f>JA158-JB158</f>
        <v/>
      </c>
      <c r="JD158" s="0">
        <f>JC158/JB158</f>
        <v/>
      </c>
      <c r="JF158" s="0" t="n"/>
      <c r="JH158" s="0">
        <f>C158</f>
        <v/>
      </c>
      <c r="JI158" s="0" t="n">
        <v>1532247.99</v>
      </c>
      <c r="JJ158" s="0">
        <f>JI159</f>
        <v/>
      </c>
      <c r="JK158" s="0">
        <f>JI158-JJ158</f>
        <v/>
      </c>
      <c r="JL158" s="0">
        <f>JK158/JJ158</f>
        <v/>
      </c>
      <c r="JN158" s="0" t="n"/>
      <c r="JP158" s="0">
        <f>C158</f>
        <v/>
      </c>
      <c r="JQ158" s="0" t="n">
        <v>1054490.41</v>
      </c>
      <c r="JR158" s="0">
        <f>JQ159</f>
        <v/>
      </c>
      <c r="JS158" s="0">
        <f>JQ158-JR158</f>
        <v/>
      </c>
      <c r="JT158" s="0">
        <f>JS158/JR158</f>
        <v/>
      </c>
      <c r="JV158" s="0" t="n"/>
      <c r="JX158" s="0">
        <f>C158</f>
        <v/>
      </c>
      <c r="JY158" s="0" t="n">
        <v>1266998.8</v>
      </c>
      <c r="JZ158" s="0">
        <f>JY159</f>
        <v/>
      </c>
      <c r="KA158" s="0">
        <f>JY158-JZ158</f>
        <v/>
      </c>
      <c r="KB158" s="0">
        <f>KA158/JZ158</f>
        <v/>
      </c>
      <c r="KD158" s="0" t="n"/>
      <c r="KF158" s="0">
        <f>C158</f>
        <v/>
      </c>
      <c r="KG158" s="0" t="n">
        <v>732555.92</v>
      </c>
      <c r="KH158" s="711">
        <f>KG159</f>
        <v/>
      </c>
      <c r="KI158" s="0">
        <f>KG158-KH158</f>
        <v/>
      </c>
      <c r="KJ158" s="519">
        <f>KI158/KH158</f>
        <v/>
      </c>
      <c r="KL158" s="0" t="n"/>
      <c r="KN158" s="0">
        <f>C158</f>
        <v/>
      </c>
      <c r="KO158" s="0" t="n">
        <v>8184775.95</v>
      </c>
      <c r="KP158" s="0">
        <f>KO159</f>
        <v/>
      </c>
      <c r="KQ158" s="0">
        <f>KO158-KP158</f>
        <v/>
      </c>
      <c r="KR158" s="0">
        <f>KQ158/KP158</f>
        <v/>
      </c>
      <c r="KT158" s="0" t="n"/>
      <c r="KV158" s="0">
        <f>C158</f>
        <v/>
      </c>
      <c r="KW158" s="0" t="n">
        <v>1013972.97</v>
      </c>
      <c r="KX158" s="0">
        <f>KW159</f>
        <v/>
      </c>
      <c r="KY158" s="0">
        <f>KW158-KX158</f>
        <v/>
      </c>
      <c r="KZ158" s="0">
        <f>KY158/KX158</f>
        <v/>
      </c>
      <c r="LB158" s="0" t="n"/>
      <c r="LD158" s="0">
        <f>C158</f>
        <v/>
      </c>
      <c r="LE158" s="0" t="n">
        <v>449557.7</v>
      </c>
      <c r="LF158" s="0">
        <f>LE159</f>
        <v/>
      </c>
      <c r="LG158" s="0">
        <f>LE158-LF158</f>
        <v/>
      </c>
      <c r="LH158" s="0">
        <f>LG158/LF158</f>
        <v/>
      </c>
      <c r="LJ158" s="0" t="n"/>
      <c r="LL158" s="0">
        <f>C158</f>
        <v/>
      </c>
      <c r="LM158" s="0" t="n">
        <v>3595435.02</v>
      </c>
      <c r="LN158" s="0">
        <f>LM159</f>
        <v/>
      </c>
      <c r="LO158" s="0">
        <f>LM158-LN158</f>
        <v/>
      </c>
      <c r="LP158" s="0">
        <f>LO158/LN158</f>
        <v/>
      </c>
      <c r="LR158" s="0" t="n"/>
      <c r="LT158" s="0">
        <f>C158</f>
        <v/>
      </c>
      <c r="LU158" s="0" t="n">
        <v>2713262.9</v>
      </c>
      <c r="LV158" s="0">
        <f>LU159</f>
        <v/>
      </c>
      <c r="LW158" s="0">
        <f>LU158-LV158</f>
        <v/>
      </c>
      <c r="LX158" s="0">
        <f>LW158/LV158</f>
        <v/>
      </c>
      <c r="LZ158" s="0" t="n"/>
      <c r="MB158" s="0">
        <f>C158</f>
        <v/>
      </c>
      <c r="MC158" s="0" t="n">
        <v>856617.6899999999</v>
      </c>
      <c r="MD158" s="0">
        <f>MC159</f>
        <v/>
      </c>
      <c r="ME158" s="0">
        <f>MC158-MD158</f>
        <v/>
      </c>
      <c r="MF158" s="0">
        <f>ME158/MD158</f>
        <v/>
      </c>
      <c r="MH158" s="0" t="n"/>
      <c r="MJ158" s="519" t="n"/>
      <c r="MK158" s="0">
        <f>C158</f>
        <v/>
      </c>
      <c r="ML158" s="711" t="n">
        <v>222105.53</v>
      </c>
      <c r="MM158" s="0">
        <f>ML159</f>
        <v/>
      </c>
      <c r="MN158" s="711">
        <f>ML158-MM158</f>
        <v/>
      </c>
      <c r="MO158" s="0">
        <f>MN158/MM158</f>
        <v/>
      </c>
      <c r="MQ158" s="0" t="n"/>
      <c r="MS158" s="0" t="n"/>
      <c r="MT158" s="0">
        <f>C158</f>
        <v/>
      </c>
      <c r="MU158" s="0" t="n">
        <v>307214.8</v>
      </c>
      <c r="MV158" s="0">
        <f>MU159</f>
        <v/>
      </c>
      <c r="MW158" s="0">
        <f>MU158-MV158</f>
        <v/>
      </c>
      <c r="MX158" s="0">
        <f>MW158/MV158</f>
        <v/>
      </c>
      <c r="MZ158" s="0" t="n"/>
      <c r="NB158" s="0" t="n"/>
      <c r="NC158" s="0">
        <f>C158</f>
        <v/>
      </c>
      <c r="ND158" s="0" t="n">
        <v>44091.48</v>
      </c>
      <c r="NE158" s="0">
        <f>ND159</f>
        <v/>
      </c>
      <c r="NF158" s="0">
        <f>ND158-NE158</f>
        <v/>
      </c>
      <c r="NG158" s="0">
        <f>NF158/NE158</f>
        <v/>
      </c>
      <c r="NI158" s="0" t="n"/>
      <c r="NL158" s="0" t="n"/>
      <c r="NM158" s="0">
        <f>C158</f>
        <v/>
      </c>
      <c r="NN158" s="0" t="n">
        <v>2613411.08</v>
      </c>
      <c r="NO158" s="0">
        <f>NN159</f>
        <v/>
      </c>
      <c r="NP158" s="0">
        <f>NN158-NO158</f>
        <v/>
      </c>
      <c r="NQ158" s="0">
        <f>NP158/NO158</f>
        <v/>
      </c>
      <c r="NS158" s="0" t="n"/>
      <c r="NU158" s="0">
        <f>C158</f>
        <v/>
      </c>
      <c r="NV158" s="711" t="n">
        <v>248326.5</v>
      </c>
      <c r="NW158" s="0">
        <f>NV159</f>
        <v/>
      </c>
      <c r="NX158" s="711">
        <f>NV158-NW158</f>
        <v/>
      </c>
      <c r="NY158" s="0">
        <f>NX158/NW158</f>
        <v/>
      </c>
      <c r="OC158" s="0">
        <f>C158</f>
        <v/>
      </c>
      <c r="OD158" s="0" t="n">
        <v>11294.97</v>
      </c>
      <c r="OE158" s="0">
        <f>OD159</f>
        <v/>
      </c>
      <c r="OF158" s="0">
        <f>OD158-OE158</f>
        <v/>
      </c>
      <c r="OG158" s="0">
        <f>OF158/OE158</f>
        <v/>
      </c>
      <c r="OI158" s="0" t="n"/>
      <c r="OK158" s="0">
        <f>C158</f>
        <v/>
      </c>
      <c r="OL158" s="0" t="n">
        <v>11032.65</v>
      </c>
      <c r="OM158" s="0">
        <f>OL159</f>
        <v/>
      </c>
      <c r="ON158" s="0">
        <f>OL158-OM158</f>
        <v/>
      </c>
      <c r="OO158" s="0">
        <f>ON158/OM158</f>
        <v/>
      </c>
      <c r="OQ158" s="0" t="n"/>
      <c r="OT158" s="0">
        <f>OK158</f>
        <v/>
      </c>
      <c r="OU158" s="0" t="n">
        <v>143472.4066</v>
      </c>
      <c r="OV158" s="0">
        <f>OU159</f>
        <v/>
      </c>
      <c r="OW158" s="0">
        <f>OU158-OV158</f>
        <v/>
      </c>
      <c r="OX158" s="0">
        <f>OW158/OV158</f>
        <v/>
      </c>
    </row>
    <row r="159">
      <c r="C159" s="0" t="inlineStr">
        <is>
          <t>2026//3/26</t>
        </is>
      </c>
      <c r="D159" s="0" t="n">
        <v>4515168.77</v>
      </c>
      <c r="E159" s="0">
        <f>D160</f>
        <v/>
      </c>
      <c r="F159" s="0">
        <f>D159-E159</f>
        <v/>
      </c>
      <c r="G159" s="0">
        <f>F159/E159</f>
        <v/>
      </c>
      <c r="I159" s="0" t="n"/>
      <c r="K159" s="0">
        <f>C159</f>
        <v/>
      </c>
      <c r="L159" s="0" t="n">
        <v>3179944.4</v>
      </c>
      <c r="M159" s="0">
        <f>L160</f>
        <v/>
      </c>
      <c r="N159" s="0">
        <f>L159-M159</f>
        <v/>
      </c>
      <c r="O159" s="0">
        <f>N159/M159</f>
        <v/>
      </c>
      <c r="Q159" s="0" t="n"/>
      <c r="S159" s="0">
        <f>C159</f>
        <v/>
      </c>
      <c r="T159" s="0" t="n">
        <v>2351046.68</v>
      </c>
      <c r="U159" s="0">
        <f>T160</f>
        <v/>
      </c>
      <c r="V159" s="0">
        <f>T159-U159</f>
        <v/>
      </c>
      <c r="W159" s="0">
        <f>V159/U159</f>
        <v/>
      </c>
      <c r="Y159" s="0" t="n"/>
      <c r="AA159" s="0">
        <f>S159</f>
        <v/>
      </c>
      <c r="AB159" s="0" t="n">
        <v>947656.86</v>
      </c>
      <c r="AC159" s="0">
        <f>AB160</f>
        <v/>
      </c>
      <c r="AD159" s="0">
        <f>AB159-AC159</f>
        <v/>
      </c>
      <c r="AE159" s="0">
        <f>AD159/AC159</f>
        <v/>
      </c>
      <c r="AG159" s="0" t="n"/>
      <c r="AI159" s="0">
        <f>C159</f>
        <v/>
      </c>
      <c r="AJ159" s="0" t="n">
        <v>763921.76</v>
      </c>
      <c r="AK159" s="0">
        <f>AJ160</f>
        <v/>
      </c>
      <c r="AL159" s="0">
        <f>AJ159-AK159</f>
        <v/>
      </c>
      <c r="AM159" s="0">
        <f>AL159/AK159</f>
        <v/>
      </c>
      <c r="AO159" s="0" t="n"/>
      <c r="AQ159" s="0">
        <f>C159</f>
        <v/>
      </c>
      <c r="AR159" s="0" t="n">
        <v>1569445.49</v>
      </c>
      <c r="AS159" s="0">
        <f>AR160</f>
        <v/>
      </c>
      <c r="AT159" s="0">
        <f>AR159-AS159</f>
        <v/>
      </c>
      <c r="AU159" s="0">
        <f>AT159/AS159</f>
        <v/>
      </c>
      <c r="AW159" s="0" t="n"/>
      <c r="AY159" s="0" t="n"/>
      <c r="AZ159" s="0">
        <f>C159</f>
        <v/>
      </c>
      <c r="BA159" s="0" t="n">
        <v>2003241.66</v>
      </c>
      <c r="BB159" s="0">
        <f>BA160</f>
        <v/>
      </c>
      <c r="BC159" s="0">
        <f>BA159-BB159</f>
        <v/>
      </c>
      <c r="BD159" s="0">
        <f>BC159/BB159</f>
        <v/>
      </c>
      <c r="BF159" s="0" t="n"/>
      <c r="BH159" s="0">
        <f>C159</f>
        <v/>
      </c>
      <c r="BI159" s="0" t="n">
        <v>1647926.55</v>
      </c>
      <c r="BJ159" s="0">
        <f>BI160</f>
        <v/>
      </c>
      <c r="BK159" s="0">
        <f>BI159-BJ159</f>
        <v/>
      </c>
      <c r="BL159" s="0">
        <f>BK159/BJ159</f>
        <v/>
      </c>
      <c r="BN159" s="0" t="n"/>
      <c r="BP159" s="0">
        <f>C159</f>
        <v/>
      </c>
      <c r="BQ159" s="0" t="n">
        <v>1179362.39</v>
      </c>
      <c r="BR159" s="0">
        <f>BQ160</f>
        <v/>
      </c>
      <c r="BS159" s="0">
        <f>BQ159-BR159</f>
        <v/>
      </c>
      <c r="BT159" s="0">
        <f>BS159/BR159</f>
        <v/>
      </c>
      <c r="BV159" s="0" t="n"/>
      <c r="BX159" s="0">
        <f>C159</f>
        <v/>
      </c>
      <c r="BY159" s="0" t="n">
        <v>3114610.7</v>
      </c>
      <c r="BZ159" s="0">
        <f>BY160</f>
        <v/>
      </c>
      <c r="CA159" s="0">
        <f>BY159-BZ159</f>
        <v/>
      </c>
      <c r="CB159" s="0">
        <f>CA159/BZ159</f>
        <v/>
      </c>
      <c r="CD159" s="0" t="n"/>
      <c r="CF159" s="0">
        <f>C159</f>
        <v/>
      </c>
      <c r="CG159" s="0" t="n">
        <v>1411903.9</v>
      </c>
      <c r="CH159" s="0">
        <f>CG160</f>
        <v/>
      </c>
      <c r="CI159" s="0">
        <f>CG159-CH159</f>
        <v/>
      </c>
      <c r="CJ159" s="0">
        <f>CI159/CH159</f>
        <v/>
      </c>
      <c r="CL159" s="0" t="n"/>
      <c r="CN159" s="0">
        <f>C159</f>
        <v/>
      </c>
      <c r="CO159" s="0" t="n">
        <v>661346.48</v>
      </c>
      <c r="CP159" s="0">
        <f>CO160</f>
        <v/>
      </c>
      <c r="CQ159" s="0">
        <f>CO159-CP159</f>
        <v/>
      </c>
      <c r="CR159" s="0">
        <f>CQ159/CP159</f>
        <v/>
      </c>
      <c r="CS159" s="0" t="n"/>
      <c r="CT159" s="0" t="n"/>
      <c r="CV159" s="0">
        <f>C159</f>
        <v/>
      </c>
      <c r="CW159" s="0" t="n">
        <v>546440.4</v>
      </c>
      <c r="CX159" s="0">
        <f>CW160</f>
        <v/>
      </c>
      <c r="CY159" s="0">
        <f>CW159-CX159</f>
        <v/>
      </c>
      <c r="CZ159" s="0">
        <f>CY159/CX159</f>
        <v/>
      </c>
      <c r="DB159" s="0" t="n"/>
      <c r="DD159" s="0">
        <f>C159</f>
        <v/>
      </c>
      <c r="DE159" s="0">
        <f>1200858.99*2</f>
        <v/>
      </c>
      <c r="DF159" s="0">
        <f>DE160</f>
        <v/>
      </c>
      <c r="DG159" s="0">
        <f>DE159-DF159</f>
        <v/>
      </c>
      <c r="DH159" s="0">
        <f>DG159/DF159</f>
        <v/>
      </c>
      <c r="DJ159" s="0" t="n"/>
      <c r="DL159" s="0">
        <f>C159</f>
        <v/>
      </c>
      <c r="DM159" s="0" t="n">
        <v>1406900.36</v>
      </c>
      <c r="DN159" s="0">
        <f>DM160</f>
        <v/>
      </c>
      <c r="DO159" s="0">
        <f>DM159-DN159</f>
        <v/>
      </c>
      <c r="DP159" s="0">
        <f>DO159/DN159</f>
        <v/>
      </c>
      <c r="DR159" s="0" t="n"/>
      <c r="DT159" s="0">
        <f>C159</f>
        <v/>
      </c>
      <c r="DU159" s="0" t="n">
        <v>1684589.48</v>
      </c>
      <c r="DV159" s="0">
        <f>DU160</f>
        <v/>
      </c>
      <c r="DW159" s="0">
        <f>DU159-DV159</f>
        <v/>
      </c>
      <c r="DX159" s="0">
        <f>DW159/DV159</f>
        <v/>
      </c>
      <c r="DZ159" s="0" t="n"/>
      <c r="EB159" s="0">
        <f>C159</f>
        <v/>
      </c>
      <c r="EC159" s="0" t="n">
        <v>5140766.82</v>
      </c>
      <c r="ED159" s="0">
        <f>EC160</f>
        <v/>
      </c>
      <c r="EE159" s="0">
        <f>EC159-ED159</f>
        <v/>
      </c>
      <c r="EF159" s="0">
        <f>EE159/ED159</f>
        <v/>
      </c>
      <c r="EH159" s="0" t="n"/>
      <c r="EJ159" s="0">
        <f>C159</f>
        <v/>
      </c>
      <c r="EK159" s="0" t="n">
        <v>1543922.96</v>
      </c>
      <c r="EL159" s="0">
        <f>EK160</f>
        <v/>
      </c>
      <c r="EM159" s="0">
        <f>EK159-EL159</f>
        <v/>
      </c>
      <c r="EN159" s="0">
        <f>EM159/EL159</f>
        <v/>
      </c>
      <c r="EP159" s="0" t="n"/>
      <c r="ER159" s="0">
        <f>C159</f>
        <v/>
      </c>
      <c r="ES159" s="0" t="n">
        <v>535847.02</v>
      </c>
      <c r="ET159" s="0">
        <f>ES160</f>
        <v/>
      </c>
      <c r="EU159" s="0">
        <f>ES159-ET159</f>
        <v/>
      </c>
      <c r="EV159" s="0">
        <f>EU159/ET159</f>
        <v/>
      </c>
      <c r="EX159" s="0" t="n"/>
      <c r="EZ159" s="0">
        <f>C159</f>
        <v/>
      </c>
      <c r="FA159" s="0" t="n">
        <v>748808</v>
      </c>
      <c r="FB159" s="0">
        <f>FA160</f>
        <v/>
      </c>
      <c r="FC159" s="0">
        <f>FA159-FB159</f>
        <v/>
      </c>
      <c r="FD159" s="0">
        <f>FC159/FB159</f>
        <v/>
      </c>
      <c r="FF159" s="0" t="n"/>
      <c r="FH159" s="0">
        <f>C159</f>
        <v/>
      </c>
      <c r="FI159" s="0" t="n">
        <v>1102595.33</v>
      </c>
      <c r="FJ159" s="0">
        <f>FI160</f>
        <v/>
      </c>
      <c r="FK159" s="0">
        <f>FI159-FJ159</f>
        <v/>
      </c>
      <c r="FL159" s="519">
        <f>FK159/FJ159</f>
        <v/>
      </c>
      <c r="FN159" s="0" t="n"/>
      <c r="FP159" s="0">
        <f>C159</f>
        <v/>
      </c>
      <c r="FQ159" s="0" t="n">
        <v>2296768.73</v>
      </c>
      <c r="FR159" s="0">
        <f>FQ160</f>
        <v/>
      </c>
      <c r="FS159" s="0">
        <f>FQ159-FR159</f>
        <v/>
      </c>
      <c r="FT159" s="0">
        <f>FS159/FR159</f>
        <v/>
      </c>
      <c r="FV159" s="0" t="n"/>
      <c r="FX159" s="0">
        <f>C159</f>
        <v/>
      </c>
      <c r="FY159" s="0" t="n">
        <v>8577882.050000001</v>
      </c>
      <c r="FZ159" s="0">
        <f>FY160</f>
        <v/>
      </c>
      <c r="GA159" s="0">
        <f>FY159-FZ159</f>
        <v/>
      </c>
      <c r="GB159" s="0">
        <f>GA159/FZ159</f>
        <v/>
      </c>
      <c r="GD159" s="0" t="n"/>
      <c r="GF159" s="0">
        <f>C159</f>
        <v/>
      </c>
      <c r="GG159" s="0" t="n">
        <v>4802469.49</v>
      </c>
      <c r="GH159" s="0">
        <f>GG160</f>
        <v/>
      </c>
      <c r="GI159" s="0">
        <f>GG159-GH159</f>
        <v/>
      </c>
      <c r="GJ159" s="0">
        <f>GI159/GH159</f>
        <v/>
      </c>
      <c r="GL159" s="0" t="n"/>
      <c r="GN159" s="0">
        <f>C159</f>
        <v/>
      </c>
      <c r="GO159" s="0" t="n">
        <v>1838998.12</v>
      </c>
      <c r="GP159" s="0">
        <f>GO160</f>
        <v/>
      </c>
      <c r="GQ159" s="0">
        <f>GO159-GP159</f>
        <v/>
      </c>
      <c r="GR159" s="0">
        <f>GQ159/GP159</f>
        <v/>
      </c>
      <c r="GT159" s="0" t="n"/>
      <c r="GV159" s="0">
        <f>C159</f>
        <v/>
      </c>
      <c r="GW159" s="0" t="n">
        <v>1049349.4</v>
      </c>
      <c r="GX159" s="0">
        <f>GW160</f>
        <v/>
      </c>
      <c r="GY159" s="0">
        <f>GW159-GX159</f>
        <v/>
      </c>
      <c r="GZ159" s="0">
        <f>GY159/GX159</f>
        <v/>
      </c>
      <c r="HB159" s="0" t="n"/>
      <c r="HD159" s="0">
        <f>C159</f>
        <v/>
      </c>
      <c r="HE159" s="0" t="n">
        <v>1057064.67</v>
      </c>
      <c r="HF159" s="0">
        <f>HE160</f>
        <v/>
      </c>
      <c r="HG159" s="0">
        <f>HE159-HF159</f>
        <v/>
      </c>
      <c r="HH159" s="0">
        <f>HG159/HF159</f>
        <v/>
      </c>
      <c r="HJ159" s="0" t="n"/>
      <c r="HL159" s="0">
        <f>C159</f>
        <v/>
      </c>
      <c r="HM159" s="0" t="n">
        <v>159054.25</v>
      </c>
      <c r="HN159" s="0">
        <f>HM160</f>
        <v/>
      </c>
      <c r="HO159" s="0">
        <f>HM159-HN159</f>
        <v/>
      </c>
      <c r="HP159" s="0">
        <f>HO159/HN159</f>
        <v/>
      </c>
      <c r="HR159" s="0" t="n"/>
      <c r="HT159" s="0">
        <f>C159</f>
        <v/>
      </c>
      <c r="HU159" s="0" t="n">
        <v>236468.82</v>
      </c>
      <c r="HV159" s="0">
        <f>HU160</f>
        <v/>
      </c>
      <c r="HW159" s="0">
        <f>HU159-HV159</f>
        <v/>
      </c>
      <c r="HX159" s="0">
        <f>HW159/HV159</f>
        <v/>
      </c>
      <c r="HZ159" s="0" t="n"/>
      <c r="IB159" s="0">
        <f>C159</f>
        <v/>
      </c>
      <c r="IC159" s="0" t="n">
        <v>458434.79</v>
      </c>
      <c r="ID159" s="0">
        <f>IC160</f>
        <v/>
      </c>
      <c r="IE159" s="0">
        <f>IC159-ID159</f>
        <v/>
      </c>
      <c r="IF159" s="0">
        <f>IE159/ID159</f>
        <v/>
      </c>
      <c r="IH159" s="0" t="n"/>
      <c r="IJ159" s="0">
        <f>C159</f>
        <v/>
      </c>
      <c r="IK159" s="0" t="n">
        <v>574316.29</v>
      </c>
      <c r="IL159" s="0">
        <f>IK160</f>
        <v/>
      </c>
      <c r="IM159" s="0">
        <f>IK159-IL159</f>
        <v/>
      </c>
      <c r="IN159" s="0">
        <f>IM159/IL159</f>
        <v/>
      </c>
      <c r="IP159" s="0" t="n"/>
      <c r="IR159" s="0">
        <f>C159</f>
        <v/>
      </c>
      <c r="IS159" s="0" t="n">
        <v>142889</v>
      </c>
      <c r="IT159" s="0">
        <f>IS160</f>
        <v/>
      </c>
      <c r="IU159" s="0">
        <f>IS159-IT159</f>
        <v/>
      </c>
      <c r="IV159" s="0">
        <f>IU159/IT159</f>
        <v/>
      </c>
      <c r="IX159" s="0" t="n"/>
      <c r="IZ159" s="0">
        <f>C159</f>
        <v/>
      </c>
      <c r="JA159" s="0" t="n">
        <v>5046829.15</v>
      </c>
      <c r="JB159" s="0">
        <f>JA160</f>
        <v/>
      </c>
      <c r="JC159" s="0">
        <f>JA159-JB159</f>
        <v/>
      </c>
      <c r="JD159" s="0">
        <f>JC159/JB159</f>
        <v/>
      </c>
      <c r="JF159" s="0" t="n"/>
      <c r="JH159" s="0">
        <f>C159</f>
        <v/>
      </c>
      <c r="JI159" s="0" t="n">
        <v>1542987.99</v>
      </c>
      <c r="JJ159" s="0">
        <f>JI160</f>
        <v/>
      </c>
      <c r="JK159" s="0">
        <f>JI159-JJ159</f>
        <v/>
      </c>
      <c r="JL159" s="0">
        <f>JK159/JJ159</f>
        <v/>
      </c>
      <c r="JN159" s="0" t="n"/>
      <c r="JP159" s="0">
        <f>C159</f>
        <v/>
      </c>
      <c r="JQ159" s="0" t="n">
        <v>1060090.41</v>
      </c>
      <c r="JR159" s="0">
        <f>JQ160</f>
        <v/>
      </c>
      <c r="JS159" s="0">
        <f>JQ159-JR159</f>
        <v/>
      </c>
      <c r="JT159" s="0">
        <f>JS159/JR159</f>
        <v/>
      </c>
      <c r="JV159" s="0" t="n"/>
      <c r="JX159" s="0">
        <f>C159</f>
        <v/>
      </c>
      <c r="JY159" s="0" t="n">
        <v>1272448.8</v>
      </c>
      <c r="JZ159" s="0">
        <f>JY160</f>
        <v/>
      </c>
      <c r="KA159" s="0">
        <f>JY159-JZ159</f>
        <v/>
      </c>
      <c r="KB159" s="0">
        <f>KA159/JZ159</f>
        <v/>
      </c>
      <c r="KD159" s="0" t="n"/>
      <c r="KF159" s="0">
        <f>C159</f>
        <v/>
      </c>
      <c r="KG159" s="0" t="n">
        <v>734555.92</v>
      </c>
      <c r="KH159" s="711">
        <f>KG160</f>
        <v/>
      </c>
      <c r="KI159" s="0">
        <f>KG159-KH159</f>
        <v/>
      </c>
      <c r="KJ159" s="711">
        <f>KI159/KH159</f>
        <v/>
      </c>
      <c r="KL159" s="0" t="n"/>
      <c r="KN159" s="0">
        <f>C159</f>
        <v/>
      </c>
      <c r="KO159" s="0" t="n">
        <v>8184775.95</v>
      </c>
      <c r="KP159" s="0">
        <f>KO160</f>
        <v/>
      </c>
      <c r="KQ159" s="0">
        <f>KO159-KP159</f>
        <v/>
      </c>
      <c r="KR159" s="0">
        <f>KQ159/KP159</f>
        <v/>
      </c>
      <c r="KT159" s="0" t="n"/>
      <c r="KV159" s="0">
        <f>C159</f>
        <v/>
      </c>
      <c r="KW159" s="0" t="n">
        <v>1034572.97</v>
      </c>
      <c r="KX159" s="0">
        <f>KW160</f>
        <v/>
      </c>
      <c r="KY159" s="0">
        <f>KW159-KX159</f>
        <v/>
      </c>
      <c r="KZ159" s="0">
        <f>KY159/KX159</f>
        <v/>
      </c>
      <c r="LB159" s="0" t="n"/>
      <c r="LD159" s="0">
        <f>C159</f>
        <v/>
      </c>
      <c r="LE159" s="0" t="n">
        <v>448157.7</v>
      </c>
      <c r="LF159" s="0">
        <f>LE160</f>
        <v/>
      </c>
      <c r="LG159" s="0">
        <f>LE159-LF159</f>
        <v/>
      </c>
      <c r="LH159" s="0">
        <f>LG159/LF159</f>
        <v/>
      </c>
      <c r="LJ159" s="0" t="n"/>
      <c r="LL159" s="0">
        <f>C159</f>
        <v/>
      </c>
      <c r="LM159" s="0" t="n">
        <v>3601735.02</v>
      </c>
      <c r="LN159" s="0">
        <f>LM160</f>
        <v/>
      </c>
      <c r="LO159" s="0">
        <f>LM159-LN159</f>
        <v/>
      </c>
      <c r="LP159" s="0">
        <f>LO159/LN159</f>
        <v/>
      </c>
      <c r="LR159" s="0" t="n"/>
      <c r="LT159" s="0">
        <f>C159</f>
        <v/>
      </c>
      <c r="LU159" s="0" t="n">
        <v>2727062.9</v>
      </c>
      <c r="LV159" s="0">
        <f>LU160</f>
        <v/>
      </c>
      <c r="LW159" s="0">
        <f>LU159-LV159</f>
        <v/>
      </c>
      <c r="LX159" s="0">
        <f>LW159/LV159</f>
        <v/>
      </c>
      <c r="LZ159" s="0" t="n"/>
      <c r="MB159" s="0">
        <f>C159</f>
        <v/>
      </c>
      <c r="MC159" s="0" t="n">
        <v>848867.6899999999</v>
      </c>
      <c r="MD159" s="0">
        <f>MC160</f>
        <v/>
      </c>
      <c r="ME159" s="0">
        <f>MC159-MD159</f>
        <v/>
      </c>
      <c r="MF159" s="0">
        <f>ME159/MD159</f>
        <v/>
      </c>
      <c r="MH159" s="0" t="n"/>
      <c r="MJ159" s="711" t="n"/>
      <c r="MK159" s="0">
        <f>C159</f>
        <v/>
      </c>
      <c r="ML159" s="711" t="n">
        <v>223185.53</v>
      </c>
      <c r="MM159" s="0">
        <f>ML160</f>
        <v/>
      </c>
      <c r="MN159" s="711">
        <f>ML159-MM159</f>
        <v/>
      </c>
      <c r="MO159" s="0">
        <f>MN159/MM159</f>
        <v/>
      </c>
      <c r="MQ159" s="0" t="n"/>
      <c r="MS159" s="0" t="n"/>
      <c r="MT159" s="0">
        <f>C159</f>
        <v/>
      </c>
      <c r="MU159" s="0" t="n">
        <v>313814.8</v>
      </c>
      <c r="MV159" s="0">
        <f>MU160</f>
        <v/>
      </c>
      <c r="MW159" s="0">
        <f>MU159-MV159</f>
        <v/>
      </c>
      <c r="MX159" s="0">
        <f>MW159/MV159</f>
        <v/>
      </c>
      <c r="MZ159" s="0" t="n"/>
      <c r="NB159" s="0" t="n"/>
      <c r="NC159" s="0">
        <f>C159</f>
        <v/>
      </c>
      <c r="ND159" s="0" t="n">
        <v>44091.48</v>
      </c>
      <c r="NE159" s="0">
        <f>ND160</f>
        <v/>
      </c>
      <c r="NF159" s="0">
        <f>ND159-NE159</f>
        <v/>
      </c>
      <c r="NG159" s="0">
        <f>NF159/NE159</f>
        <v/>
      </c>
      <c r="NI159" s="0" t="n"/>
      <c r="NL159" s="0" t="n"/>
      <c r="NM159" s="0">
        <f>C159</f>
        <v/>
      </c>
      <c r="NN159" s="0" t="n">
        <v>2622011.08</v>
      </c>
      <c r="NO159" s="0">
        <f>NN160</f>
        <v/>
      </c>
      <c r="NP159" s="0">
        <f>NN159-NO159</f>
        <v/>
      </c>
      <c r="NQ159" s="0">
        <f>NP159/NO159</f>
        <v/>
      </c>
      <c r="NS159" s="0" t="n"/>
      <c r="NU159" s="0">
        <f>C159</f>
        <v/>
      </c>
      <c r="NV159" s="711" t="n">
        <v>249926.5</v>
      </c>
      <c r="NW159" s="0">
        <f>NV160</f>
        <v/>
      </c>
      <c r="NX159" s="711">
        <f>NV159-NW159</f>
        <v/>
      </c>
      <c r="NY159" s="0">
        <f>NX159/NW159</f>
        <v/>
      </c>
      <c r="OC159" s="0">
        <f>C159</f>
        <v/>
      </c>
      <c r="OD159" s="0" t="n">
        <v>11356.97</v>
      </c>
      <c r="OE159" s="0">
        <f>OD160</f>
        <v/>
      </c>
      <c r="OF159" s="0">
        <f>OD159-OE159</f>
        <v/>
      </c>
      <c r="OG159" s="0">
        <f>OF159/OE159</f>
        <v/>
      </c>
      <c r="OI159" s="0" t="n"/>
      <c r="OK159" s="0">
        <f>C159</f>
        <v/>
      </c>
      <c r="OL159" s="0" t="n">
        <v>11033.65</v>
      </c>
      <c r="OM159" s="0">
        <f>OL160</f>
        <v/>
      </c>
      <c r="ON159" s="0">
        <f>OL159-OM159</f>
        <v/>
      </c>
      <c r="OO159" s="0">
        <f>ON159/OM159</f>
        <v/>
      </c>
      <c r="OQ159" s="0" t="n"/>
      <c r="OT159" s="0">
        <f>OK159</f>
        <v/>
      </c>
      <c r="OU159" s="0" t="n">
        <v>143352.4066</v>
      </c>
      <c r="OV159" s="0">
        <f>OU160</f>
        <v/>
      </c>
      <c r="OW159" s="0">
        <f>OU159-OV159</f>
        <v/>
      </c>
      <c r="OX159" s="0">
        <f>OW159/OV159</f>
        <v/>
      </c>
    </row>
    <row r="160">
      <c r="C160" s="0" t="inlineStr">
        <is>
          <t>2026//3/25</t>
        </is>
      </c>
      <c r="D160" s="0" t="n">
        <v>4523178.77</v>
      </c>
      <c r="E160" s="0">
        <f>D161</f>
        <v/>
      </c>
      <c r="F160" s="0">
        <f>D160-E160</f>
        <v/>
      </c>
      <c r="G160" s="0">
        <f>F160/E160</f>
        <v/>
      </c>
      <c r="I160" s="0" t="n"/>
      <c r="K160" s="0">
        <f>C160</f>
        <v/>
      </c>
      <c r="L160" s="0" t="n">
        <v>3183634.4</v>
      </c>
      <c r="M160" s="0">
        <f>L161</f>
        <v/>
      </c>
      <c r="N160" s="0">
        <f>L160-M160</f>
        <v/>
      </c>
      <c r="O160" s="0">
        <f>N160/M160</f>
        <v/>
      </c>
      <c r="Q160" s="0" t="n"/>
      <c r="S160" s="0">
        <f>C160</f>
        <v/>
      </c>
      <c r="T160" s="0" t="n">
        <v>2349426.68</v>
      </c>
      <c r="U160" s="0">
        <f>T161</f>
        <v/>
      </c>
      <c r="V160" s="0">
        <f>T160-U160</f>
        <v/>
      </c>
      <c r="W160" s="0">
        <f>V160/U160</f>
        <v/>
      </c>
      <c r="Y160" s="0" t="n"/>
      <c r="AA160" s="0">
        <f>S160</f>
        <v/>
      </c>
      <c r="AB160" s="0" t="n">
        <v>961016.86</v>
      </c>
      <c r="AC160" s="0">
        <f>AB161</f>
        <v/>
      </c>
      <c r="AD160" s="0">
        <f>AB160-AC160</f>
        <v/>
      </c>
      <c r="AE160" s="0">
        <f>AD160/AC160</f>
        <v/>
      </c>
      <c r="AG160" s="0" t="n"/>
      <c r="AI160" s="0">
        <f>C160</f>
        <v/>
      </c>
      <c r="AJ160" s="0" t="n">
        <v>782121.76</v>
      </c>
      <c r="AK160" s="0">
        <f>AJ161</f>
        <v/>
      </c>
      <c r="AL160" s="0">
        <f>AJ160-AK160</f>
        <v/>
      </c>
      <c r="AM160" s="0">
        <f>AL160/AK160</f>
        <v/>
      </c>
      <c r="AO160" s="0" t="n"/>
      <c r="AQ160" s="0">
        <f>C160</f>
        <v/>
      </c>
      <c r="AR160" s="0" t="n">
        <v>1556845.49</v>
      </c>
      <c r="AS160" s="0">
        <f>AR161</f>
        <v/>
      </c>
      <c r="AT160" s="0">
        <f>AR160-AS160</f>
        <v/>
      </c>
      <c r="AU160" s="0">
        <f>AT160/AS160</f>
        <v/>
      </c>
      <c r="AW160" s="0" t="n"/>
      <c r="AY160" s="0" t="n"/>
      <c r="AZ160" s="0">
        <f>C160</f>
        <v/>
      </c>
      <c r="BA160" s="0" t="n">
        <v>2004051.66</v>
      </c>
      <c r="BB160" s="0">
        <f>BA161</f>
        <v/>
      </c>
      <c r="BC160" s="0">
        <f>BA160-BB160</f>
        <v/>
      </c>
      <c r="BD160" s="0">
        <f>BC160/BB160</f>
        <v/>
      </c>
      <c r="BF160" s="0" t="n"/>
      <c r="BH160" s="0">
        <f>C160</f>
        <v/>
      </c>
      <c r="BI160" s="0" t="n">
        <v>1624526.55</v>
      </c>
      <c r="BJ160" s="0">
        <f>BI161</f>
        <v/>
      </c>
      <c r="BK160" s="0">
        <f>BI160-BJ160</f>
        <v/>
      </c>
      <c r="BL160" s="0">
        <f>BK160/BJ160</f>
        <v/>
      </c>
      <c r="BN160" s="0" t="n"/>
      <c r="BP160" s="0">
        <f>C160</f>
        <v/>
      </c>
      <c r="BQ160" s="0" t="n">
        <v>1177762.39</v>
      </c>
      <c r="BR160" s="0">
        <f>BQ161</f>
        <v/>
      </c>
      <c r="BS160" s="0">
        <f>BQ160-BR160</f>
        <v/>
      </c>
      <c r="BT160" s="0">
        <f>BS160/BR160</f>
        <v/>
      </c>
      <c r="BV160" s="0" t="n"/>
      <c r="BX160" s="0">
        <f>C160</f>
        <v/>
      </c>
      <c r="BY160" s="0" t="n">
        <v>3111660.7</v>
      </c>
      <c r="BZ160" s="0">
        <f>BY161</f>
        <v/>
      </c>
      <c r="CA160" s="0">
        <f>BY160-BZ160</f>
        <v/>
      </c>
      <c r="CB160" s="0">
        <f>CA160/BZ160</f>
        <v/>
      </c>
      <c r="CD160" s="0" t="n"/>
      <c r="CF160" s="0">
        <f>C160</f>
        <v/>
      </c>
      <c r="CG160" s="0" t="n">
        <v>1416553.9</v>
      </c>
      <c r="CH160" s="0">
        <f>CG161</f>
        <v/>
      </c>
      <c r="CI160" s="0">
        <f>CG160-CH160</f>
        <v/>
      </c>
      <c r="CJ160" s="0">
        <f>CI160/CH160</f>
        <v/>
      </c>
      <c r="CL160" s="0" t="n"/>
      <c r="CN160" s="0">
        <f>C160</f>
        <v/>
      </c>
      <c r="CO160" s="0" t="n">
        <v>662246.48</v>
      </c>
      <c r="CP160" s="0">
        <f>CO161</f>
        <v/>
      </c>
      <c r="CQ160" s="0">
        <f>CO160-CP160</f>
        <v/>
      </c>
      <c r="CR160" s="0">
        <f>CQ160/CP160</f>
        <v/>
      </c>
      <c r="CS160" s="0" t="n"/>
      <c r="CT160" s="0" t="n"/>
      <c r="CV160" s="0">
        <f>C160</f>
        <v/>
      </c>
      <c r="CW160" s="0" t="n">
        <v>552740.4</v>
      </c>
      <c r="CX160" s="0">
        <f>CW161</f>
        <v/>
      </c>
      <c r="CY160" s="0">
        <f>CW160-CX160</f>
        <v/>
      </c>
      <c r="CZ160" s="0">
        <f>CY160/CX160</f>
        <v/>
      </c>
      <c r="DB160" s="0" t="n"/>
      <c r="DD160" s="0">
        <f>C160</f>
        <v/>
      </c>
      <c r="DE160" s="0" t="n">
        <v>2402317.98</v>
      </c>
      <c r="DF160" s="0">
        <f>DE161</f>
        <v/>
      </c>
      <c r="DG160" s="0">
        <f>DE160-DF160</f>
        <v/>
      </c>
      <c r="DH160" s="0">
        <f>DG160/DF160</f>
        <v/>
      </c>
      <c r="DJ160" s="0" t="n"/>
      <c r="DL160" s="0">
        <f>C160</f>
        <v/>
      </c>
      <c r="DM160" s="0" t="n">
        <v>1397300.36</v>
      </c>
      <c r="DN160" s="0">
        <f>DM161</f>
        <v/>
      </c>
      <c r="DO160" s="0">
        <f>DM160-DN160</f>
        <v/>
      </c>
      <c r="DP160" s="0">
        <f>DO160/DN160</f>
        <v/>
      </c>
      <c r="DR160" s="0" t="n"/>
      <c r="DT160" s="0">
        <f>C160</f>
        <v/>
      </c>
      <c r="DU160" s="0" t="n">
        <v>1688189.48</v>
      </c>
      <c r="DV160" s="0">
        <f>DU161</f>
        <v/>
      </c>
      <c r="DW160" s="0">
        <f>DU160-DV160</f>
        <v/>
      </c>
      <c r="DX160" s="0">
        <f>DW160/DV160</f>
        <v/>
      </c>
      <c r="DZ160" s="0" t="n"/>
      <c r="EB160" s="0">
        <f>C160</f>
        <v/>
      </c>
      <c r="EC160" s="0" t="n">
        <v>5101166.82</v>
      </c>
      <c r="ED160" s="0">
        <f>EC161</f>
        <v/>
      </c>
      <c r="EE160" s="0">
        <f>EC160-ED160</f>
        <v/>
      </c>
      <c r="EF160" s="0">
        <f>EE160/ED160</f>
        <v/>
      </c>
      <c r="EH160" s="0" t="n"/>
      <c r="EJ160" s="0">
        <f>C160</f>
        <v/>
      </c>
      <c r="EK160" s="0" t="n">
        <v>1543522.96</v>
      </c>
      <c r="EL160" s="0">
        <f>EK161</f>
        <v/>
      </c>
      <c r="EM160" s="0">
        <f>EK160-EL160</f>
        <v/>
      </c>
      <c r="EN160" s="0">
        <f>EM160/EL160</f>
        <v/>
      </c>
      <c r="EP160" s="0" t="n"/>
      <c r="ER160" s="0">
        <f>C160</f>
        <v/>
      </c>
      <c r="ES160" s="0" t="n">
        <v>535697.02</v>
      </c>
      <c r="ET160" s="0">
        <f>ES161</f>
        <v/>
      </c>
      <c r="EU160" s="0">
        <f>ES160-ET160</f>
        <v/>
      </c>
      <c r="EV160" s="0">
        <f>EU160/ET160</f>
        <v/>
      </c>
      <c r="EX160" s="0" t="n"/>
      <c r="EZ160" s="0">
        <f>C160</f>
        <v/>
      </c>
      <c r="FA160" s="0" t="n">
        <v>749108</v>
      </c>
      <c r="FB160" s="0">
        <f>FA161</f>
        <v/>
      </c>
      <c r="FC160" s="0">
        <f>FA160-FB160</f>
        <v/>
      </c>
      <c r="FD160" s="0">
        <f>FC160/FB160</f>
        <v/>
      </c>
      <c r="FF160" s="0" t="n"/>
      <c r="FH160" s="0">
        <f>C160</f>
        <v/>
      </c>
      <c r="FI160" s="0" t="n">
        <v>1100095.33</v>
      </c>
      <c r="FJ160" s="0">
        <f>FI161</f>
        <v/>
      </c>
      <c r="FK160" s="0">
        <f>FI160-FJ160</f>
        <v/>
      </c>
      <c r="FL160" s="519">
        <f>FK160/FJ160</f>
        <v/>
      </c>
      <c r="FN160" s="0" t="n"/>
      <c r="FP160" s="0">
        <f>C160</f>
        <v/>
      </c>
      <c r="FQ160" s="0" t="n">
        <v>2300968.73</v>
      </c>
      <c r="FR160" s="0">
        <f>FQ161</f>
        <v/>
      </c>
      <c r="FS160" s="0">
        <f>FQ160-FR160</f>
        <v/>
      </c>
      <c r="FT160" s="0">
        <f>FS160/FR160</f>
        <v/>
      </c>
      <c r="FV160" s="0" t="n"/>
      <c r="FX160" s="0">
        <f>C160</f>
        <v/>
      </c>
      <c r="FY160" s="0" t="n">
        <v>8576682.050000001</v>
      </c>
      <c r="FZ160" s="0">
        <f>FY161</f>
        <v/>
      </c>
      <c r="GA160" s="0">
        <f>FY160-FZ160</f>
        <v/>
      </c>
      <c r="GB160" s="0">
        <f>GA160/FZ160</f>
        <v/>
      </c>
      <c r="GD160" s="0" t="n"/>
      <c r="GF160" s="0">
        <f>C160</f>
        <v/>
      </c>
      <c r="GG160" s="0" t="n">
        <v>4785869.49</v>
      </c>
      <c r="GH160" s="0">
        <f>GG161</f>
        <v/>
      </c>
      <c r="GI160" s="0">
        <f>GG160-GH160</f>
        <v/>
      </c>
      <c r="GJ160" s="0">
        <f>GI160/GH160</f>
        <v/>
      </c>
      <c r="GL160" s="0" t="n"/>
      <c r="GN160" s="0">
        <f>C160</f>
        <v/>
      </c>
      <c r="GO160" s="0" t="n">
        <v>1841998.12</v>
      </c>
      <c r="GP160" s="0">
        <f>GO161</f>
        <v/>
      </c>
      <c r="GQ160" s="0">
        <f>GO160-GP160</f>
        <v/>
      </c>
      <c r="GR160" s="0">
        <f>GQ160/GP160</f>
        <v/>
      </c>
      <c r="GT160" s="0" t="n"/>
      <c r="GV160" s="0">
        <f>C160</f>
        <v/>
      </c>
      <c r="GW160" s="0" t="n">
        <v>1052149.4</v>
      </c>
      <c r="GX160" s="0">
        <f>GW161</f>
        <v/>
      </c>
      <c r="GY160" s="0">
        <f>GW160-GX160</f>
        <v/>
      </c>
      <c r="GZ160" s="0">
        <f>GY160/GX160</f>
        <v/>
      </c>
      <c r="HB160" s="0" t="n"/>
      <c r="HD160" s="0">
        <f>C160</f>
        <v/>
      </c>
      <c r="HE160" s="0" t="n">
        <v>1052764.67</v>
      </c>
      <c r="HF160" s="0">
        <f>HE161</f>
        <v/>
      </c>
      <c r="HG160" s="0">
        <f>HE160-HF160</f>
        <v/>
      </c>
      <c r="HH160" s="0">
        <f>HG160/HF160</f>
        <v/>
      </c>
      <c r="HJ160" s="0" t="n"/>
      <c r="HL160" s="0">
        <f>C160</f>
        <v/>
      </c>
      <c r="HM160" s="0" t="n">
        <v>164904.25</v>
      </c>
      <c r="HN160" s="0">
        <f>HM161</f>
        <v/>
      </c>
      <c r="HO160" s="0">
        <f>HM160-HN160</f>
        <v/>
      </c>
      <c r="HP160" s="0">
        <f>HO160/HN160</f>
        <v/>
      </c>
      <c r="HR160" s="0" t="n"/>
      <c r="HT160" s="0">
        <f>C160</f>
        <v/>
      </c>
      <c r="HU160" s="0" t="n">
        <v>242268.82</v>
      </c>
      <c r="HV160" s="0">
        <f>HU161</f>
        <v/>
      </c>
      <c r="HW160" s="0">
        <f>HU160-HV160</f>
        <v/>
      </c>
      <c r="HX160" s="0">
        <f>HW160/HV160</f>
        <v/>
      </c>
      <c r="HZ160" s="0" t="n"/>
      <c r="IB160" s="0">
        <f>C160</f>
        <v/>
      </c>
      <c r="IC160" s="0" t="n">
        <v>459959.79</v>
      </c>
      <c r="ID160" s="0">
        <f>IC161</f>
        <v/>
      </c>
      <c r="IE160" s="0">
        <f>IC160-ID160</f>
        <v/>
      </c>
      <c r="IF160" s="0">
        <f>IE160/ID160</f>
        <v/>
      </c>
      <c r="IH160" s="0" t="n"/>
      <c r="IJ160" s="0">
        <f>C160</f>
        <v/>
      </c>
      <c r="IK160" s="0" t="n">
        <v>568716.29</v>
      </c>
      <c r="IL160" s="0">
        <f>IK161</f>
        <v/>
      </c>
      <c r="IM160" s="0">
        <f>IK160-IL160</f>
        <v/>
      </c>
      <c r="IN160" s="0">
        <f>IM160/IL160</f>
        <v/>
      </c>
      <c r="IP160" s="0" t="n"/>
      <c r="IR160" s="0">
        <f>C160</f>
        <v/>
      </c>
      <c r="IS160" s="0" t="n">
        <v>143689</v>
      </c>
      <c r="IT160" s="0">
        <f>IS161</f>
        <v/>
      </c>
      <c r="IU160" s="0">
        <f>IS160-IT160</f>
        <v/>
      </c>
      <c r="IV160" s="0">
        <f>IU160/IT160</f>
        <v/>
      </c>
      <c r="IX160" s="0" t="n"/>
      <c r="IZ160" s="0">
        <f>C160</f>
        <v/>
      </c>
      <c r="JA160" s="0" t="n">
        <v>5034229.15</v>
      </c>
      <c r="JB160" s="0">
        <f>JA161</f>
        <v/>
      </c>
      <c r="JC160" s="0">
        <f>JA160-JB160</f>
        <v/>
      </c>
      <c r="JD160" s="0">
        <f>JC160/JB160</f>
        <v/>
      </c>
      <c r="JF160" s="0" t="n"/>
      <c r="JH160" s="0">
        <f>C160</f>
        <v/>
      </c>
      <c r="JI160" s="0" t="n">
        <v>1540827.99</v>
      </c>
      <c r="JJ160" s="0">
        <f>JI161</f>
        <v/>
      </c>
      <c r="JK160" s="0">
        <f>JI160-JJ160</f>
        <v/>
      </c>
      <c r="JL160" s="0">
        <f>JK160/JJ160</f>
        <v/>
      </c>
      <c r="JN160" s="0" t="n"/>
      <c r="JP160" s="0">
        <f>C160</f>
        <v/>
      </c>
      <c r="JQ160" s="0" t="n">
        <v>1057490.41</v>
      </c>
      <c r="JR160" s="0">
        <f>JQ161</f>
        <v/>
      </c>
      <c r="JS160" s="0">
        <f>JQ160-JR160</f>
        <v/>
      </c>
      <c r="JT160" s="0">
        <f>JS160/JR160</f>
        <v/>
      </c>
      <c r="JV160" s="0" t="n"/>
      <c r="JX160" s="0">
        <f>C160</f>
        <v/>
      </c>
      <c r="JY160" s="0" t="n">
        <v>1273148.8</v>
      </c>
      <c r="JZ160" s="0">
        <f>JY161</f>
        <v/>
      </c>
      <c r="KA160" s="0">
        <f>JY160-JZ160</f>
        <v/>
      </c>
      <c r="KB160" s="0">
        <f>KA160/JZ160</f>
        <v/>
      </c>
      <c r="KD160" s="0" t="n"/>
      <c r="KF160" s="0">
        <f>C160</f>
        <v/>
      </c>
      <c r="KG160" s="0" t="n">
        <v>737355.92</v>
      </c>
      <c r="KH160" s="711">
        <f>KG161</f>
        <v/>
      </c>
      <c r="KI160" s="0">
        <f>KG160-KH160</f>
        <v/>
      </c>
      <c r="KJ160" s="711">
        <f>KI160/KH160</f>
        <v/>
      </c>
      <c r="KL160" s="0" t="n"/>
      <c r="KN160" s="0">
        <f>C160</f>
        <v/>
      </c>
      <c r="KO160" s="0" t="n">
        <v>8179475.95</v>
      </c>
      <c r="KP160" s="0">
        <f>KO161</f>
        <v/>
      </c>
      <c r="KQ160" s="0">
        <f>KO160-KP160</f>
        <v/>
      </c>
      <c r="KR160" s="0">
        <f>KQ160/KP160</f>
        <v/>
      </c>
      <c r="KT160" s="0" t="n"/>
      <c r="KV160" s="0">
        <f>C160</f>
        <v/>
      </c>
      <c r="KW160" s="0" t="n">
        <v>1035572.97</v>
      </c>
      <c r="KX160" s="0">
        <f>KW161</f>
        <v/>
      </c>
      <c r="KY160" s="0">
        <f>KW160-KX160</f>
        <v/>
      </c>
      <c r="KZ160" s="0">
        <f>KY160/KX160</f>
        <v/>
      </c>
      <c r="LB160" s="0" t="n"/>
      <c r="LD160" s="0">
        <f>C160</f>
        <v/>
      </c>
      <c r="LE160" s="0" t="n">
        <v>446757.7</v>
      </c>
      <c r="LF160" s="0">
        <f>LE161</f>
        <v/>
      </c>
      <c r="LG160" s="0">
        <f>LE160-LF160</f>
        <v/>
      </c>
      <c r="LH160" s="0">
        <f>LG160/LF160</f>
        <v/>
      </c>
      <c r="LJ160" s="0" t="n"/>
      <c r="LL160" s="0">
        <f>C160</f>
        <v/>
      </c>
      <c r="LM160" s="0" t="n">
        <v>3611455.02</v>
      </c>
      <c r="LN160" s="0">
        <f>LM161</f>
        <v/>
      </c>
      <c r="LO160" s="0">
        <f>LM160-LN160</f>
        <v/>
      </c>
      <c r="LP160" s="0">
        <f>LO160/LN160</f>
        <v/>
      </c>
      <c r="LR160" s="0" t="n"/>
      <c r="LT160" s="0">
        <f>C160</f>
        <v/>
      </c>
      <c r="LU160" s="0" t="n">
        <v>2754662.9</v>
      </c>
      <c r="LV160" s="0">
        <f>LU161</f>
        <v/>
      </c>
      <c r="LW160" s="0">
        <f>LU160-LV160</f>
        <v/>
      </c>
      <c r="LX160" s="0">
        <f>LW160/LV160</f>
        <v/>
      </c>
      <c r="LZ160" s="0" t="n"/>
      <c r="MB160" s="0">
        <f>C160</f>
        <v/>
      </c>
      <c r="MC160" s="0" t="n">
        <v>851917.6899999999</v>
      </c>
      <c r="MD160" s="0">
        <f>MC161</f>
        <v/>
      </c>
      <c r="ME160" s="0">
        <f>MC160-MD160</f>
        <v/>
      </c>
      <c r="MF160" s="0">
        <f>ME160/MD160</f>
        <v/>
      </c>
      <c r="MH160" s="0" t="n"/>
      <c r="MJ160" s="711" t="n"/>
      <c r="MK160" s="0">
        <f>C160</f>
        <v/>
      </c>
      <c r="ML160" s="711" t="n">
        <v>223425.53</v>
      </c>
      <c r="MM160" s="0">
        <f>ML161</f>
        <v/>
      </c>
      <c r="MN160" s="711">
        <f>ML160-MM160</f>
        <v/>
      </c>
      <c r="MO160" s="0">
        <f>MN160/MM160</f>
        <v/>
      </c>
      <c r="MQ160" s="0" t="n"/>
      <c r="MS160" s="0" t="n"/>
      <c r="MT160" s="0">
        <f>C160</f>
        <v/>
      </c>
      <c r="MU160" s="0" t="n">
        <v>323314.8</v>
      </c>
      <c r="MV160" s="0">
        <f>MU161</f>
        <v/>
      </c>
      <c r="MW160" s="0">
        <f>MU160-MV160</f>
        <v/>
      </c>
      <c r="MX160" s="0">
        <f>MW160/MV160</f>
        <v/>
      </c>
      <c r="MZ160" s="0" t="n"/>
      <c r="NB160" s="0" t="n"/>
      <c r="NC160" s="0">
        <f>C160</f>
        <v/>
      </c>
      <c r="ND160" s="0" t="n">
        <v>44291.48</v>
      </c>
      <c r="NE160" s="0">
        <f>ND161</f>
        <v/>
      </c>
      <c r="NF160" s="0">
        <f>ND160-NE160</f>
        <v/>
      </c>
      <c r="NG160" s="0">
        <f>NF160/NE160</f>
        <v/>
      </c>
      <c r="NI160" s="0" t="n"/>
      <c r="NL160" s="0" t="n"/>
      <c r="NM160" s="0">
        <f>C160</f>
        <v/>
      </c>
      <c r="NN160" s="0" t="n">
        <v>2638211.08</v>
      </c>
      <c r="NO160" s="0">
        <f>NN161</f>
        <v/>
      </c>
      <c r="NP160" s="0">
        <f>NN160-NO160</f>
        <v/>
      </c>
      <c r="NQ160" s="0">
        <f>NP160/NO160</f>
        <v/>
      </c>
      <c r="NS160" s="0" t="n"/>
      <c r="NU160" s="0">
        <f>C160</f>
        <v/>
      </c>
      <c r="NV160" s="711" t="n">
        <v>249976.5</v>
      </c>
      <c r="NW160" s="0">
        <f>NV161</f>
        <v/>
      </c>
      <c r="NX160" s="711">
        <f>NV160-NW160</f>
        <v/>
      </c>
      <c r="NY160" s="0">
        <f>NX160/NW160</f>
        <v/>
      </c>
      <c r="OC160" s="0">
        <f>C160</f>
        <v/>
      </c>
      <c r="OD160" s="0" t="n">
        <v>11132.97</v>
      </c>
      <c r="OE160" s="0">
        <f>OD161</f>
        <v/>
      </c>
      <c r="OF160" s="0">
        <f>OD160-OE160</f>
        <v/>
      </c>
      <c r="OG160" s="0">
        <f>OF160/OE160</f>
        <v/>
      </c>
      <c r="OI160" s="0" t="n"/>
      <c r="OK160" s="0">
        <f>C160</f>
        <v/>
      </c>
      <c r="OL160" s="0" t="n">
        <v>11033.65</v>
      </c>
      <c r="OM160" s="0">
        <f>OL161</f>
        <v/>
      </c>
      <c r="ON160" s="0">
        <f>OL160-OM160</f>
        <v/>
      </c>
      <c r="OO160" s="0">
        <f>ON160/OM160</f>
        <v/>
      </c>
      <c r="OQ160" s="0" t="n"/>
      <c r="OT160" s="0">
        <f>OK160</f>
        <v/>
      </c>
      <c r="OU160" s="0" t="n">
        <v>143232.4066</v>
      </c>
      <c r="OV160" s="0">
        <f>OU161</f>
        <v/>
      </c>
      <c r="OW160" s="0">
        <f>OU160-OV160</f>
        <v/>
      </c>
      <c r="OX160" s="0">
        <f>OW160/OV160</f>
        <v/>
      </c>
    </row>
    <row r="161">
      <c r="C161" s="0" t="inlineStr">
        <is>
          <t>2026//3/24</t>
        </is>
      </c>
      <c r="D161" s="0" t="n">
        <v>4567098.77</v>
      </c>
      <c r="E161" s="0">
        <f>D162</f>
        <v/>
      </c>
      <c r="F161" s="0">
        <f>D161-E161</f>
        <v/>
      </c>
      <c r="G161" s="0">
        <f>F161/E161</f>
        <v/>
      </c>
      <c r="I161" s="0" t="n"/>
      <c r="K161" s="0">
        <f>C161</f>
        <v/>
      </c>
      <c r="L161" s="0" t="n">
        <v>3187504.4</v>
      </c>
      <c r="M161" s="0">
        <f>L162</f>
        <v/>
      </c>
      <c r="N161" s="0">
        <f>L161-M161</f>
        <v/>
      </c>
      <c r="O161" s="0">
        <f>N161/M161</f>
        <v/>
      </c>
      <c r="Q161" s="0" t="n"/>
      <c r="S161" s="0">
        <f>C161</f>
        <v/>
      </c>
      <c r="T161" s="0" t="n">
        <v>2425116.68</v>
      </c>
      <c r="U161" s="0">
        <f>T162</f>
        <v/>
      </c>
      <c r="V161" s="0">
        <f>T161-U161</f>
        <v/>
      </c>
      <c r="W161" s="0">
        <f>V161/U161</f>
        <v/>
      </c>
      <c r="Y161" s="0" t="n"/>
      <c r="AA161" s="0">
        <f>S161</f>
        <v/>
      </c>
      <c r="AB161" s="0" t="n">
        <v>967016.86</v>
      </c>
      <c r="AC161" s="0">
        <f>AB162</f>
        <v/>
      </c>
      <c r="AD161" s="0">
        <f>AB161-AC161</f>
        <v/>
      </c>
      <c r="AE161" s="0">
        <f>AD161/AC161</f>
        <v/>
      </c>
      <c r="AG161" s="0" t="n"/>
      <c r="AI161" s="0">
        <f>C161</f>
        <v/>
      </c>
      <c r="AJ161" s="0" t="n">
        <v>824321.76</v>
      </c>
      <c r="AK161" s="0">
        <f>AJ162</f>
        <v/>
      </c>
      <c r="AL161" s="0">
        <f>AJ161-AK161</f>
        <v/>
      </c>
      <c r="AM161" s="0">
        <f>AL161/AK161</f>
        <v/>
      </c>
      <c r="AO161" s="0" t="n"/>
      <c r="AQ161" s="0">
        <f>C161</f>
        <v/>
      </c>
      <c r="AR161" s="0" t="n">
        <v>1604345.49</v>
      </c>
      <c r="AS161" s="0">
        <f>AR162</f>
        <v/>
      </c>
      <c r="AT161" s="0">
        <f>AR161-AS161</f>
        <v/>
      </c>
      <c r="AU161" s="0">
        <f>AT161/AS161</f>
        <v/>
      </c>
      <c r="AW161" s="0" t="n"/>
      <c r="AY161" s="0" t="n"/>
      <c r="AZ161" s="0">
        <f>C161</f>
        <v/>
      </c>
      <c r="BA161" s="0" t="n">
        <v>2008281.66</v>
      </c>
      <c r="BB161" s="0">
        <f>BA162</f>
        <v/>
      </c>
      <c r="BC161" s="0">
        <f>BA161-BB161</f>
        <v/>
      </c>
      <c r="BD161" s="0">
        <f>BC161/BB161</f>
        <v/>
      </c>
      <c r="BF161" s="0" t="n"/>
      <c r="BH161" s="0">
        <f>C161</f>
        <v/>
      </c>
      <c r="BI161" s="0" t="n">
        <v>1600626.55</v>
      </c>
      <c r="BJ161" s="0">
        <f>BI162</f>
        <v/>
      </c>
      <c r="BK161" s="0">
        <f>BI161-BJ161</f>
        <v/>
      </c>
      <c r="BL161" s="0">
        <f>BK161/BJ161</f>
        <v/>
      </c>
      <c r="BN161" s="0" t="n"/>
      <c r="BP161" s="0">
        <f>C161</f>
        <v/>
      </c>
      <c r="BQ161" s="0" t="n">
        <v>1221862.39</v>
      </c>
      <c r="BR161" s="0">
        <f>BQ162</f>
        <v/>
      </c>
      <c r="BS161" s="0">
        <f>BQ161-BR161</f>
        <v/>
      </c>
      <c r="BT161" s="0">
        <f>BS161/BR161</f>
        <v/>
      </c>
      <c r="BV161" s="0" t="n"/>
      <c r="BX161" s="0">
        <f>C161</f>
        <v/>
      </c>
      <c r="BY161" s="0" t="n">
        <v>3077060.7</v>
      </c>
      <c r="BZ161" s="0">
        <f>BY162</f>
        <v/>
      </c>
      <c r="CA161" s="0">
        <f>BY161-BZ161</f>
        <v/>
      </c>
      <c r="CB161" s="0">
        <f>CA161/BZ161</f>
        <v/>
      </c>
      <c r="CD161" s="0" t="n"/>
      <c r="CF161" s="0">
        <f>C161</f>
        <v/>
      </c>
      <c r="CG161" s="0" t="n">
        <v>1404403.9</v>
      </c>
      <c r="CH161" s="0">
        <f>CG162</f>
        <v/>
      </c>
      <c r="CI161" s="0">
        <f>CG161-CH161</f>
        <v/>
      </c>
      <c r="CJ161" s="0">
        <f>CI161/CH161</f>
        <v/>
      </c>
      <c r="CL161" s="0" t="n"/>
      <c r="CN161" s="0">
        <f>C161</f>
        <v/>
      </c>
      <c r="CO161" s="0" t="n">
        <v>664046.48</v>
      </c>
      <c r="CP161" s="0">
        <f>CO162</f>
        <v/>
      </c>
      <c r="CQ161" s="0">
        <f>CO161-CP161</f>
        <v/>
      </c>
      <c r="CR161" s="0">
        <f>CQ161/CP161</f>
        <v/>
      </c>
      <c r="CS161" s="0" t="n"/>
      <c r="CT161" s="0" t="n"/>
      <c r="CV161" s="0">
        <f>C161</f>
        <v/>
      </c>
      <c r="CW161" s="0" t="n">
        <v>552240.4</v>
      </c>
      <c r="CX161" s="0">
        <f>CW162</f>
        <v/>
      </c>
      <c r="CY161" s="0">
        <f>CW161-CX161</f>
        <v/>
      </c>
      <c r="CZ161" s="0">
        <f>CY161/CX161</f>
        <v/>
      </c>
      <c r="DB161" s="0" t="n"/>
      <c r="DD161" s="0">
        <f>C161</f>
        <v/>
      </c>
      <c r="DE161" s="0" t="n">
        <v>2458317.98</v>
      </c>
      <c r="DF161" s="0">
        <f>DE162</f>
        <v/>
      </c>
      <c r="DG161" s="0">
        <f>DE161-DF161</f>
        <v/>
      </c>
      <c r="DH161" s="0">
        <f>DG161/DF161</f>
        <v/>
      </c>
      <c r="DJ161" s="0" t="n"/>
      <c r="DL161" s="0">
        <f>C161</f>
        <v/>
      </c>
      <c r="DM161" s="0" t="n">
        <v>1436500.36</v>
      </c>
      <c r="DN161" s="0">
        <f>DM162</f>
        <v/>
      </c>
      <c r="DO161" s="0">
        <f>DM161-DN161</f>
        <v/>
      </c>
      <c r="DP161" s="0">
        <f>DO161/DN161</f>
        <v/>
      </c>
      <c r="DR161" s="0" t="n"/>
      <c r="DT161" s="0">
        <f>C161</f>
        <v/>
      </c>
      <c r="DU161" s="0" t="n">
        <v>1725089.48</v>
      </c>
      <c r="DV161" s="0">
        <f>DU162</f>
        <v/>
      </c>
      <c r="DW161" s="0">
        <f>DU161-DV161</f>
        <v/>
      </c>
      <c r="DX161" s="0">
        <f>DW161/DV161</f>
        <v/>
      </c>
      <c r="DZ161" s="0" t="n"/>
      <c r="EB161" s="0">
        <f>C161</f>
        <v/>
      </c>
      <c r="EC161" s="0" t="n">
        <v>5201666.82</v>
      </c>
      <c r="ED161" s="0">
        <f>EC162</f>
        <v/>
      </c>
      <c r="EE161" s="0">
        <f>EC161-ED161</f>
        <v/>
      </c>
      <c r="EF161" s="0">
        <f>EE161/ED161</f>
        <v/>
      </c>
      <c r="EH161" s="0" t="n"/>
      <c r="EJ161" s="0">
        <f>C161</f>
        <v/>
      </c>
      <c r="EK161" s="0" t="n">
        <v>1561522.96</v>
      </c>
      <c r="EL161" s="0">
        <f>EK162</f>
        <v/>
      </c>
      <c r="EM161" s="0">
        <f>EK161-EL161</f>
        <v/>
      </c>
      <c r="EN161" s="0">
        <f>EM161/EL161</f>
        <v/>
      </c>
      <c r="EP161" s="0" t="n"/>
      <c r="ER161" s="0">
        <f>C161</f>
        <v/>
      </c>
      <c r="ES161" s="0" t="n">
        <v>543347.02</v>
      </c>
      <c r="ET161" s="0">
        <f>ES162</f>
        <v/>
      </c>
      <c r="EU161" s="0">
        <f>ES161-ET161</f>
        <v/>
      </c>
      <c r="EV161" s="0">
        <f>EU161/ET161</f>
        <v/>
      </c>
      <c r="EX161" s="0" t="n"/>
      <c r="EZ161" s="0">
        <f>C161</f>
        <v/>
      </c>
      <c r="FA161" s="0" t="n">
        <v>751608</v>
      </c>
      <c r="FB161" s="0">
        <f>FA162</f>
        <v/>
      </c>
      <c r="FC161" s="0">
        <f>FA161-FB161</f>
        <v/>
      </c>
      <c r="FD161" s="0">
        <f>FC161/FB161</f>
        <v/>
      </c>
      <c r="FF161" s="0" t="n"/>
      <c r="FH161" s="0">
        <f>C161</f>
        <v/>
      </c>
      <c r="FI161" s="0" t="n">
        <v>1113495.33</v>
      </c>
      <c r="FJ161" s="0">
        <f>FI162</f>
        <v/>
      </c>
      <c r="FK161" s="0">
        <f>FI161-FJ161</f>
        <v/>
      </c>
      <c r="FL161" s="519">
        <f>FK161/FJ161</f>
        <v/>
      </c>
      <c r="FN161" s="0" t="n"/>
      <c r="FP161" s="0">
        <f>C161</f>
        <v/>
      </c>
      <c r="FQ161" s="0" t="n">
        <v>2323318.73</v>
      </c>
      <c r="FR161" s="0">
        <f>FQ162</f>
        <v/>
      </c>
      <c r="FS161" s="0">
        <f>FQ161-FR161</f>
        <v/>
      </c>
      <c r="FT161" s="0">
        <f>FS161/FR161</f>
        <v/>
      </c>
      <c r="FV161" s="0" t="n"/>
      <c r="FX161" s="0">
        <f>C161</f>
        <v/>
      </c>
      <c r="FY161" s="0" t="n">
        <v>8616082.050000001</v>
      </c>
      <c r="FZ161" s="0">
        <f>FY162</f>
        <v/>
      </c>
      <c r="GA161" s="0">
        <f>FY161-FZ161</f>
        <v/>
      </c>
      <c r="GB161" s="0">
        <f>GA161/FZ161</f>
        <v/>
      </c>
      <c r="GD161" s="0" t="n"/>
      <c r="GF161" s="0">
        <f>C161</f>
        <v/>
      </c>
      <c r="GG161" s="0" t="n">
        <v>4784969.49</v>
      </c>
      <c r="GH161" s="0">
        <f>GG162</f>
        <v/>
      </c>
      <c r="GI161" s="0">
        <f>GG161-GH161</f>
        <v/>
      </c>
      <c r="GJ161" s="0">
        <f>GI161/GH161</f>
        <v/>
      </c>
      <c r="GL161" s="0" t="n"/>
      <c r="GN161" s="0">
        <f>C161</f>
        <v/>
      </c>
      <c r="GO161" s="0" t="n">
        <v>1836298.12</v>
      </c>
      <c r="GP161" s="0">
        <f>GO162</f>
        <v/>
      </c>
      <c r="GQ161" s="0">
        <f>GO161-GP161</f>
        <v/>
      </c>
      <c r="GR161" s="0">
        <f>GQ161/GP161</f>
        <v/>
      </c>
      <c r="GT161" s="0" t="n"/>
      <c r="GV161" s="0">
        <f>C161</f>
        <v/>
      </c>
      <c r="GW161" s="0" t="n">
        <v>1068749.4</v>
      </c>
      <c r="GX161" s="0">
        <f>GW162</f>
        <v/>
      </c>
      <c r="GY161" s="0">
        <f>GW161-GX161</f>
        <v/>
      </c>
      <c r="GZ161" s="0">
        <f>GY161/GX161</f>
        <v/>
      </c>
      <c r="HB161" s="0" t="n"/>
      <c r="HD161" s="0">
        <f>C161</f>
        <v/>
      </c>
      <c r="HE161" s="0" t="n">
        <v>1055064.67</v>
      </c>
      <c r="HF161" s="0">
        <f>HE162</f>
        <v/>
      </c>
      <c r="HG161" s="0">
        <f>HE161-HF161</f>
        <v/>
      </c>
      <c r="HH161" s="0">
        <f>HG161/HF161</f>
        <v/>
      </c>
      <c r="HJ161" s="0" t="n"/>
      <c r="HL161" s="0">
        <f>C161</f>
        <v/>
      </c>
      <c r="HM161" s="0" t="n">
        <v>156804.25</v>
      </c>
      <c r="HN161" s="0">
        <f>HM162</f>
        <v/>
      </c>
      <c r="HO161" s="0">
        <f>HM161-HN161</f>
        <v/>
      </c>
      <c r="HP161" s="0">
        <f>HO161/HN161</f>
        <v/>
      </c>
      <c r="HR161" s="0" t="n"/>
      <c r="HT161" s="0">
        <f>C161</f>
        <v/>
      </c>
      <c r="HU161" s="0" t="n">
        <v>240168.82</v>
      </c>
      <c r="HV161" s="0">
        <f>HU162</f>
        <v/>
      </c>
      <c r="HW161" s="0">
        <f>HU161-HV161</f>
        <v/>
      </c>
      <c r="HX161" s="0">
        <f>HW161/HV161</f>
        <v/>
      </c>
      <c r="HZ161" s="0" t="n"/>
      <c r="IB161" s="0">
        <f>C161</f>
        <v/>
      </c>
      <c r="IC161" s="0" t="n">
        <v>468259.79</v>
      </c>
      <c r="ID161" s="0">
        <f>IC162</f>
        <v/>
      </c>
      <c r="IE161" s="0">
        <f>IC161-ID161</f>
        <v/>
      </c>
      <c r="IF161" s="0">
        <f>IE161/ID161</f>
        <v/>
      </c>
      <c r="IH161" s="0" t="n"/>
      <c r="IJ161" s="0">
        <f>C161</f>
        <v/>
      </c>
      <c r="IK161" s="0" t="n">
        <v>561356.29</v>
      </c>
      <c r="IL161" s="0">
        <f>IK162</f>
        <v/>
      </c>
      <c r="IM161" s="0">
        <f>IK161-IL161</f>
        <v/>
      </c>
      <c r="IN161" s="0">
        <f>IM161/IL161</f>
        <v/>
      </c>
      <c r="IP161" s="0" t="n"/>
      <c r="IR161" s="0">
        <f>C161</f>
        <v/>
      </c>
      <c r="IS161" s="0" t="n">
        <v>144989</v>
      </c>
      <c r="IT161" s="0">
        <f>IS162</f>
        <v/>
      </c>
      <c r="IU161" s="0">
        <f>IS161-IT161</f>
        <v/>
      </c>
      <c r="IV161" s="0">
        <f>IU161/IT161</f>
        <v/>
      </c>
      <c r="IX161" s="0" t="n"/>
      <c r="IZ161" s="0">
        <f>C161</f>
        <v/>
      </c>
      <c r="JA161" s="0" t="n">
        <v>5069729.15</v>
      </c>
      <c r="JB161" s="0">
        <f>JA162</f>
        <v/>
      </c>
      <c r="JC161" s="0">
        <f>JA161-JB161</f>
        <v/>
      </c>
      <c r="JD161" s="0">
        <f>JC161/JB161</f>
        <v/>
      </c>
      <c r="JF161" s="0" t="n"/>
      <c r="JH161" s="0">
        <f>C161</f>
        <v/>
      </c>
      <c r="JI161" s="0" t="n">
        <v>1540467.99</v>
      </c>
      <c r="JJ161" s="0">
        <f>JI162</f>
        <v/>
      </c>
      <c r="JK161" s="0">
        <f>JI161-JJ161</f>
        <v/>
      </c>
      <c r="JL161" s="0">
        <f>JK161/JJ161</f>
        <v/>
      </c>
      <c r="JN161" s="0" t="n"/>
      <c r="JP161" s="0">
        <f>C161</f>
        <v/>
      </c>
      <c r="JQ161" s="0" t="n">
        <v>1067290.41</v>
      </c>
      <c r="JR161" s="0">
        <f>JQ162</f>
        <v/>
      </c>
      <c r="JS161" s="0">
        <f>JQ161-JR161</f>
        <v/>
      </c>
      <c r="JT161" s="0">
        <f>JS161/JR161</f>
        <v/>
      </c>
      <c r="JV161" s="0" t="n"/>
      <c r="JX161" s="0">
        <f>C161</f>
        <v/>
      </c>
      <c r="JY161" s="0" t="n">
        <v>1273248.8</v>
      </c>
      <c r="JZ161" s="0">
        <f>JY162</f>
        <v/>
      </c>
      <c r="KA161" s="0">
        <f>JY161-JZ161</f>
        <v/>
      </c>
      <c r="KB161" s="0">
        <f>KA161/JZ161</f>
        <v/>
      </c>
      <c r="KD161" s="0" t="n"/>
      <c r="KF161" s="0">
        <f>C161</f>
        <v/>
      </c>
      <c r="KG161" s="0" t="n">
        <v>742955.92</v>
      </c>
      <c r="KH161" s="711">
        <f>KG162</f>
        <v/>
      </c>
      <c r="KI161" s="0">
        <f>KG161-KH161</f>
        <v/>
      </c>
      <c r="KJ161" s="519">
        <f>KI161/KH161</f>
        <v/>
      </c>
      <c r="KL161" s="0" t="n"/>
      <c r="KN161" s="0">
        <f>C161</f>
        <v/>
      </c>
      <c r="KO161" s="0" t="n">
        <v>8179075.95</v>
      </c>
      <c r="KP161" s="0">
        <f>KO162</f>
        <v/>
      </c>
      <c r="KQ161" s="0">
        <f>KO161-KP161</f>
        <v/>
      </c>
      <c r="KR161" s="0">
        <f>KQ161/KP161</f>
        <v/>
      </c>
      <c r="KT161" s="0" t="n"/>
      <c r="KV161" s="0">
        <f>C161</f>
        <v/>
      </c>
      <c r="KW161" s="0" t="n">
        <v>1035572.97</v>
      </c>
      <c r="KX161" s="0">
        <f>KW162</f>
        <v/>
      </c>
      <c r="KY161" s="0">
        <f>KW161-KX161</f>
        <v/>
      </c>
      <c r="KZ161" s="0">
        <f>KY161/KX161</f>
        <v/>
      </c>
      <c r="LB161" s="0" t="n"/>
      <c r="LD161" s="0">
        <f>C161</f>
        <v/>
      </c>
      <c r="LE161" s="0" t="n">
        <v>447107.7</v>
      </c>
      <c r="LF161" s="0">
        <f>LE162</f>
        <v/>
      </c>
      <c r="LG161" s="0">
        <f>LE161-LF161</f>
        <v/>
      </c>
      <c r="LH161" s="0">
        <f>LG161/LF161</f>
        <v/>
      </c>
      <c r="LJ161" s="0" t="n"/>
      <c r="LL161" s="0">
        <f>C161</f>
        <v/>
      </c>
      <c r="LM161" s="0" t="n">
        <v>3616135.02</v>
      </c>
      <c r="LN161" s="0">
        <f>LM162</f>
        <v/>
      </c>
      <c r="LO161" s="0">
        <f>LM161-LN161</f>
        <v/>
      </c>
      <c r="LP161" s="0">
        <f>LO161/LN161</f>
        <v/>
      </c>
      <c r="LR161" s="0" t="n"/>
      <c r="LT161" s="0">
        <f>C161</f>
        <v/>
      </c>
      <c r="LU161" s="0" t="n">
        <v>2755862.9</v>
      </c>
      <c r="LV161" s="0">
        <f>LU162</f>
        <v/>
      </c>
      <c r="LW161" s="0">
        <f>LU161-LV161</f>
        <v/>
      </c>
      <c r="LX161" s="0">
        <f>LW161/LV161</f>
        <v/>
      </c>
      <c r="LZ161" s="0" t="n"/>
      <c r="MB161" s="0">
        <f>C161</f>
        <v/>
      </c>
      <c r="MC161" s="0" t="n">
        <v>830867.6899999999</v>
      </c>
      <c r="MD161" s="0">
        <f>MC162</f>
        <v/>
      </c>
      <c r="ME161" s="0">
        <f>MC161-MD161</f>
        <v/>
      </c>
      <c r="MF161" s="0">
        <f>ME161/MD161</f>
        <v/>
      </c>
      <c r="MH161" s="0" t="n"/>
      <c r="MJ161" s="711" t="n"/>
      <c r="MK161" s="0">
        <f>C161</f>
        <v/>
      </c>
      <c r="ML161" s="711" t="n">
        <v>227025.53</v>
      </c>
      <c r="MM161" s="0">
        <f>ML162</f>
        <v/>
      </c>
      <c r="MN161" s="711">
        <f>ML161-MM161</f>
        <v/>
      </c>
      <c r="MO161" s="0">
        <f>MN161/MM161</f>
        <v/>
      </c>
      <c r="MQ161" s="0" t="n"/>
      <c r="MS161" s="0" t="n"/>
      <c r="MT161" s="0">
        <f>C161</f>
        <v/>
      </c>
      <c r="MU161" s="0" t="n">
        <v>333114.8</v>
      </c>
      <c r="MV161" s="0">
        <f>MU162</f>
        <v/>
      </c>
      <c r="MW161" s="0">
        <f>MU161-MV161</f>
        <v/>
      </c>
      <c r="MX161" s="0">
        <f>MW161/MV161</f>
        <v/>
      </c>
      <c r="MZ161" s="0" t="n"/>
      <c r="NB161" s="0" t="n"/>
      <c r="NC161" s="0">
        <f>C161</f>
        <v/>
      </c>
      <c r="ND161" s="0" t="n">
        <v>44891.48</v>
      </c>
      <c r="NE161" s="0">
        <f>ND162</f>
        <v/>
      </c>
      <c r="NF161" s="0">
        <f>ND161-NE161</f>
        <v/>
      </c>
      <c r="NG161" s="0">
        <f>NF161/NE161</f>
        <v/>
      </c>
      <c r="NI161" s="0" t="n"/>
      <c r="NL161" s="0" t="n"/>
      <c r="NM161" s="0">
        <f>C161</f>
        <v/>
      </c>
      <c r="NN161" s="0" t="n">
        <v>2634311.08</v>
      </c>
      <c r="NO161" s="0">
        <f>NN162</f>
        <v/>
      </c>
      <c r="NP161" s="0">
        <f>NN161-NO161</f>
        <v/>
      </c>
      <c r="NQ161" s="0">
        <f>NP161/NO161</f>
        <v/>
      </c>
      <c r="NS161" s="0" t="n"/>
      <c r="NU161" s="0">
        <f>C161</f>
        <v/>
      </c>
      <c r="NV161" s="711" t="n">
        <v>249376.5</v>
      </c>
      <c r="NW161" s="0">
        <f>NV162</f>
        <v/>
      </c>
      <c r="NX161" s="711">
        <f>NV161-NW161</f>
        <v/>
      </c>
      <c r="NY161" s="0">
        <f>NX161/NW161</f>
        <v/>
      </c>
      <c r="OC161" s="0">
        <f>C161</f>
        <v/>
      </c>
      <c r="OD161" s="0" t="n">
        <v>11182.97</v>
      </c>
      <c r="OE161" s="0">
        <f>OD162</f>
        <v/>
      </c>
      <c r="OF161" s="0">
        <f>OD161-OE161</f>
        <v/>
      </c>
      <c r="OG161" s="0">
        <f>OF161/OE161</f>
        <v/>
      </c>
      <c r="OI161" s="0" t="n"/>
      <c r="OK161" s="0">
        <f>C161</f>
        <v/>
      </c>
      <c r="OL161" s="0" t="n">
        <v>10943.65</v>
      </c>
      <c r="OM161" s="0">
        <f>OL162</f>
        <v/>
      </c>
      <c r="ON161" s="0">
        <f>OL161-OM161</f>
        <v/>
      </c>
      <c r="OO161" s="0">
        <f>ON161/OM161</f>
        <v/>
      </c>
      <c r="OQ161" s="0" t="n"/>
      <c r="OT161" s="0">
        <f>OK161</f>
        <v/>
      </c>
      <c r="OU161" s="0" t="n">
        <v>143112.4066</v>
      </c>
      <c r="OV161" s="0">
        <f>OU162</f>
        <v/>
      </c>
      <c r="OW161" s="0">
        <f>OU161-OV161</f>
        <v/>
      </c>
      <c r="OX161" s="0">
        <f>OW161/OV161</f>
        <v/>
      </c>
    </row>
    <row r="162">
      <c r="C162" s="0" t="inlineStr">
        <is>
          <t>2026//3/23</t>
        </is>
      </c>
      <c r="D162" s="0" t="n">
        <v>4574928.77</v>
      </c>
      <c r="E162" s="0">
        <f>D163</f>
        <v/>
      </c>
      <c r="F162" s="0">
        <f>D162-E162</f>
        <v/>
      </c>
      <c r="G162" s="0">
        <f>F162/E162</f>
        <v/>
      </c>
      <c r="I162" s="0" t="n"/>
      <c r="K162" s="0">
        <f>C162</f>
        <v/>
      </c>
      <c r="L162" s="0" t="n">
        <v>3187054.4</v>
      </c>
      <c r="M162" s="0">
        <f>L163</f>
        <v/>
      </c>
      <c r="N162" s="0">
        <f>L162-M162</f>
        <v/>
      </c>
      <c r="O162" s="0">
        <f>N162/M162</f>
        <v/>
      </c>
      <c r="Q162" s="0" t="n"/>
      <c r="S162" s="0">
        <f>C162</f>
        <v/>
      </c>
      <c r="T162" s="0" t="n">
        <v>2440056.68</v>
      </c>
      <c r="U162" s="0">
        <f>T163</f>
        <v/>
      </c>
      <c r="V162" s="0">
        <f>T162-U162</f>
        <v/>
      </c>
      <c r="W162" s="0">
        <f>V162/U162</f>
        <v/>
      </c>
      <c r="Y162" s="0" t="n"/>
      <c r="AA162" s="0">
        <f>S162</f>
        <v/>
      </c>
      <c r="AB162" s="0" t="n">
        <v>963136.86</v>
      </c>
      <c r="AC162" s="0">
        <f>AB163</f>
        <v/>
      </c>
      <c r="AD162" s="0">
        <f>AB162-AC162</f>
        <v/>
      </c>
      <c r="AE162" s="0">
        <f>AD162/AC162</f>
        <v/>
      </c>
      <c r="AG162" s="0" t="n"/>
      <c r="AI162" s="0">
        <f>C162</f>
        <v/>
      </c>
      <c r="AJ162" s="0" t="n">
        <v>813121.76</v>
      </c>
      <c r="AK162" s="0">
        <f>AJ163</f>
        <v/>
      </c>
      <c r="AL162" s="0">
        <f>AJ162-AK162</f>
        <v/>
      </c>
      <c r="AM162" s="0">
        <f>AL162/AK162</f>
        <v/>
      </c>
      <c r="AO162" s="0" t="n"/>
      <c r="AQ162" s="0">
        <f>C162</f>
        <v/>
      </c>
      <c r="AR162" s="0" t="n">
        <v>1598845.49</v>
      </c>
      <c r="AS162" s="0">
        <f>AR163</f>
        <v/>
      </c>
      <c r="AT162" s="0">
        <f>AR162-AS162</f>
        <v/>
      </c>
      <c r="AU162" s="0">
        <f>AT162/AS162</f>
        <v/>
      </c>
      <c r="AW162" s="0" t="n"/>
      <c r="AY162" s="0" t="n"/>
      <c r="AZ162" s="0">
        <f>C162</f>
        <v/>
      </c>
      <c r="BA162" s="0" t="n">
        <v>2008641.66</v>
      </c>
      <c r="BB162" s="0">
        <f>BA163</f>
        <v/>
      </c>
      <c r="BC162" s="0">
        <f>BA162-BB162</f>
        <v/>
      </c>
      <c r="BD162" s="0">
        <f>BC162/BB162</f>
        <v/>
      </c>
      <c r="BF162" s="0" t="n"/>
      <c r="BH162" s="0">
        <f>C162</f>
        <v/>
      </c>
      <c r="BI162" s="0" t="n">
        <v>1627826.55</v>
      </c>
      <c r="BJ162" s="0">
        <f>BI163</f>
        <v/>
      </c>
      <c r="BK162" s="0">
        <f>BI162-BJ162</f>
        <v/>
      </c>
      <c r="BL162" s="0">
        <f>BK162/BJ162</f>
        <v/>
      </c>
      <c r="BN162" s="0" t="n"/>
      <c r="BP162" s="0">
        <f>C162</f>
        <v/>
      </c>
      <c r="BQ162" s="0" t="n">
        <v>1244662.39</v>
      </c>
      <c r="BR162" s="0">
        <f>BQ163</f>
        <v/>
      </c>
      <c r="BS162" s="0">
        <f>BQ162-BR162</f>
        <v/>
      </c>
      <c r="BT162" s="0">
        <f>BS162/BR162</f>
        <v/>
      </c>
      <c r="BV162" s="0" t="n"/>
      <c r="BX162" s="0">
        <f>C162</f>
        <v/>
      </c>
      <c r="BY162" s="0" t="n">
        <v>3099310.7</v>
      </c>
      <c r="BZ162" s="0">
        <f>BY163</f>
        <v/>
      </c>
      <c r="CA162" s="0">
        <f>BY162-BZ162</f>
        <v/>
      </c>
      <c r="CB162" s="0">
        <f>CA162/BZ162</f>
        <v/>
      </c>
      <c r="CD162" s="0" t="n"/>
      <c r="CF162" s="0">
        <f>C162</f>
        <v/>
      </c>
      <c r="CG162" s="0" t="n">
        <v>1434453.9</v>
      </c>
      <c r="CH162" s="0">
        <f>CG163</f>
        <v/>
      </c>
      <c r="CI162" s="0">
        <f>CG162-CH162</f>
        <v/>
      </c>
      <c r="CJ162" s="0">
        <f>CI162/CH162</f>
        <v/>
      </c>
      <c r="CL162" s="0" t="n"/>
      <c r="CN162" s="0">
        <f>C162</f>
        <v/>
      </c>
      <c r="CO162" s="0" t="n">
        <v>707046.48</v>
      </c>
      <c r="CP162" s="0">
        <f>CO163</f>
        <v/>
      </c>
      <c r="CQ162" s="0">
        <f>CO162-CP162</f>
        <v/>
      </c>
      <c r="CR162" s="0">
        <f>CQ162/CP162</f>
        <v/>
      </c>
      <c r="CS162" s="0" t="n"/>
      <c r="CT162" s="0" t="n"/>
      <c r="CV162" s="0">
        <f>C162</f>
        <v/>
      </c>
      <c r="CW162" s="0" t="n">
        <v>562890.4</v>
      </c>
      <c r="CX162" s="0">
        <f>CW163</f>
        <v/>
      </c>
      <c r="CY162" s="0">
        <f>CW162-CX162</f>
        <v/>
      </c>
      <c r="CZ162" s="0">
        <f>CY162/CX162</f>
        <v/>
      </c>
      <c r="DB162" s="0" t="n"/>
      <c r="DD162" s="0">
        <f>C162</f>
        <v/>
      </c>
      <c r="DE162" s="0" t="n">
        <v>2459917.98</v>
      </c>
      <c r="DF162" s="0">
        <f>DE163</f>
        <v/>
      </c>
      <c r="DG162" s="0">
        <f>DE162-DF162</f>
        <v/>
      </c>
      <c r="DH162" s="0">
        <f>DG162/DF162</f>
        <v/>
      </c>
      <c r="DJ162" s="0" t="n"/>
      <c r="DL162" s="0">
        <f>C162</f>
        <v/>
      </c>
      <c r="DM162" s="0" t="n">
        <v>1442300.36</v>
      </c>
      <c r="DN162" s="0">
        <f>DM163</f>
        <v/>
      </c>
      <c r="DO162" s="0">
        <f>DM162-DN162</f>
        <v/>
      </c>
      <c r="DP162" s="0">
        <f>DO162/DN162</f>
        <v/>
      </c>
      <c r="DR162" s="0" t="n"/>
      <c r="DT162" s="0">
        <f>C162</f>
        <v/>
      </c>
      <c r="DU162" s="0" t="n">
        <v>1729589.48</v>
      </c>
      <c r="DV162" s="0">
        <f>DU163</f>
        <v/>
      </c>
      <c r="DW162" s="0">
        <f>DU162-DV162</f>
        <v/>
      </c>
      <c r="DX162" s="0">
        <f>DW162/DV162</f>
        <v/>
      </c>
      <c r="DZ162" s="0" t="n"/>
      <c r="EB162" s="0">
        <f>C162</f>
        <v/>
      </c>
      <c r="EC162" s="0" t="n">
        <v>5179466.82</v>
      </c>
      <c r="ED162" s="0">
        <f>EC163</f>
        <v/>
      </c>
      <c r="EE162" s="0">
        <f>EC162-ED162</f>
        <v/>
      </c>
      <c r="EF162" s="0">
        <f>EE162/ED162</f>
        <v/>
      </c>
      <c r="EH162" s="0" t="n"/>
      <c r="EJ162" s="0">
        <f>C162</f>
        <v/>
      </c>
      <c r="EK162" s="0" t="n">
        <v>1569522.96</v>
      </c>
      <c r="EL162" s="0">
        <f>EK163</f>
        <v/>
      </c>
      <c r="EM162" s="0">
        <f>EK162-EL162</f>
        <v/>
      </c>
      <c r="EN162" s="0">
        <f>EM162/EL162</f>
        <v/>
      </c>
      <c r="EP162" s="0" t="n"/>
      <c r="ER162" s="0">
        <f>C162</f>
        <v/>
      </c>
      <c r="ES162" s="0" t="n">
        <v>545747.02</v>
      </c>
      <c r="ET162" s="0">
        <f>ES163</f>
        <v/>
      </c>
      <c r="EU162" s="0">
        <f>ES162-ET162</f>
        <v/>
      </c>
      <c r="EV162" s="0">
        <f>EU162/ET162</f>
        <v/>
      </c>
      <c r="EX162" s="0" t="n"/>
      <c r="EZ162" s="0">
        <f>C162</f>
        <v/>
      </c>
      <c r="FA162" s="0" t="n">
        <v>756008</v>
      </c>
      <c r="FB162" s="0">
        <f>FA163</f>
        <v/>
      </c>
      <c r="FC162" s="0">
        <f>FA162-FB162</f>
        <v/>
      </c>
      <c r="FD162" s="0">
        <f>FC162/FB162</f>
        <v/>
      </c>
      <c r="FF162" s="0" t="n"/>
      <c r="FH162" s="0">
        <f>C162</f>
        <v/>
      </c>
      <c r="FI162" s="0" t="n">
        <v>1126195.33</v>
      </c>
      <c r="FJ162" s="0">
        <f>FI163</f>
        <v/>
      </c>
      <c r="FK162" s="0">
        <f>FI162-FJ162</f>
        <v/>
      </c>
      <c r="FL162" s="711">
        <f>FK162/FJ162</f>
        <v/>
      </c>
      <c r="FN162" s="0" t="n"/>
      <c r="FP162" s="0">
        <f>C162</f>
        <v/>
      </c>
      <c r="FQ162" s="0" t="n">
        <v>2318068.73</v>
      </c>
      <c r="FR162" s="0">
        <f>FQ163</f>
        <v/>
      </c>
      <c r="FS162" s="0">
        <f>FQ162-FR162</f>
        <v/>
      </c>
      <c r="FT162" s="0">
        <f>FS162/FR162</f>
        <v/>
      </c>
      <c r="FV162" s="0" t="n"/>
      <c r="FX162" s="0">
        <f>C162</f>
        <v/>
      </c>
      <c r="FY162" s="0" t="n">
        <v>8568582.050000001</v>
      </c>
      <c r="FZ162" s="0">
        <f>FY163</f>
        <v/>
      </c>
      <c r="GA162" s="0">
        <f>FY162-FZ162</f>
        <v/>
      </c>
      <c r="GB162" s="0">
        <f>GA162/FZ162</f>
        <v/>
      </c>
      <c r="GD162" s="0" t="n"/>
      <c r="GF162" s="0">
        <f>C162</f>
        <v/>
      </c>
      <c r="GG162" s="0" t="n">
        <v>4830069.49</v>
      </c>
      <c r="GH162" s="0">
        <f>GG163</f>
        <v/>
      </c>
      <c r="GI162" s="0">
        <f>GG162-GH162</f>
        <v/>
      </c>
      <c r="GJ162" s="0">
        <f>GI162/GH162</f>
        <v/>
      </c>
      <c r="GL162" s="0" t="n"/>
      <c r="GN162" s="0">
        <f>C162</f>
        <v/>
      </c>
      <c r="GO162" s="0" t="n">
        <v>1842538.12</v>
      </c>
      <c r="GP162" s="0">
        <f>GO163</f>
        <v/>
      </c>
      <c r="GQ162" s="0">
        <f>GO162-GP162</f>
        <v/>
      </c>
      <c r="GR162" s="0">
        <f>GQ162/GP162</f>
        <v/>
      </c>
      <c r="GT162" s="0" t="n"/>
      <c r="GV162" s="0">
        <f>C162</f>
        <v/>
      </c>
      <c r="GW162" s="0" t="n">
        <v>1071749.4</v>
      </c>
      <c r="GX162" s="0">
        <f>GW163</f>
        <v/>
      </c>
      <c r="GY162" s="0">
        <f>GW162-GX162</f>
        <v/>
      </c>
      <c r="GZ162" s="0">
        <f>GY162/GX162</f>
        <v/>
      </c>
      <c r="HB162" s="0" t="n"/>
      <c r="HD162" s="0">
        <f>C162</f>
        <v/>
      </c>
      <c r="HE162" s="0" t="n">
        <v>1051064.67</v>
      </c>
      <c r="HF162" s="0">
        <f>HE163</f>
        <v/>
      </c>
      <c r="HG162" s="0">
        <f>HE162-HF162</f>
        <v/>
      </c>
      <c r="HH162" s="0">
        <f>HG162/HF162</f>
        <v/>
      </c>
      <c r="HJ162" s="0" t="n"/>
      <c r="HL162" s="0">
        <f>C162</f>
        <v/>
      </c>
      <c r="HM162" s="0" t="n">
        <v>154304.25</v>
      </c>
      <c r="HN162" s="0">
        <f>HM163</f>
        <v/>
      </c>
      <c r="HO162" s="0">
        <f>HM162-HN162</f>
        <v/>
      </c>
      <c r="HP162" s="0">
        <f>HO162/HN162</f>
        <v/>
      </c>
      <c r="HR162" s="0" t="n"/>
      <c r="HT162" s="0">
        <f>C162</f>
        <v/>
      </c>
      <c r="HU162" s="0" t="n">
        <v>239568.82</v>
      </c>
      <c r="HV162" s="0">
        <f>HU163</f>
        <v/>
      </c>
      <c r="HW162" s="0">
        <f>HU162-HV162</f>
        <v/>
      </c>
      <c r="HX162" s="0">
        <f>HW162/HV162</f>
        <v/>
      </c>
      <c r="HZ162" s="0" t="n"/>
      <c r="IB162" s="0">
        <f>C162</f>
        <v/>
      </c>
      <c r="IC162" s="0" t="n">
        <v>468809.79</v>
      </c>
      <c r="ID162" s="0">
        <f>IC163</f>
        <v/>
      </c>
      <c r="IE162" s="0">
        <f>IC162-ID162</f>
        <v/>
      </c>
      <c r="IF162" s="0">
        <f>IE162/ID162</f>
        <v/>
      </c>
      <c r="IH162" s="0" t="n"/>
      <c r="IJ162" s="0">
        <f>C162</f>
        <v/>
      </c>
      <c r="IK162" s="0" t="n">
        <v>544156.29</v>
      </c>
      <c r="IL162" s="0">
        <f>IK163</f>
        <v/>
      </c>
      <c r="IM162" s="0">
        <f>IK162-IL162</f>
        <v/>
      </c>
      <c r="IN162" s="0">
        <f>IM162/IL162</f>
        <v/>
      </c>
      <c r="IP162" s="0" t="n"/>
      <c r="IR162" s="0">
        <f>C162</f>
        <v/>
      </c>
      <c r="IS162" s="0" t="n">
        <v>146489</v>
      </c>
      <c r="IT162" s="0">
        <f>IS163</f>
        <v/>
      </c>
      <c r="IU162" s="0">
        <f>IS162-IT162</f>
        <v/>
      </c>
      <c r="IV162" s="0">
        <f>IU162/IT162</f>
        <v/>
      </c>
      <c r="IX162" s="0" t="n"/>
      <c r="IZ162" s="0">
        <f>C162</f>
        <v/>
      </c>
      <c r="JA162" s="0" t="n">
        <v>5090829.15</v>
      </c>
      <c r="JB162" s="0">
        <f>JA163</f>
        <v/>
      </c>
      <c r="JC162" s="0">
        <f>JA162-JB162</f>
        <v/>
      </c>
      <c r="JD162" s="0">
        <f>JC162/JB162</f>
        <v/>
      </c>
      <c r="JF162" s="0" t="n"/>
      <c r="JH162" s="0">
        <f>C162</f>
        <v/>
      </c>
      <c r="JI162" s="0" t="n">
        <v>1540347.99</v>
      </c>
      <c r="JJ162" s="0">
        <f>JI163</f>
        <v/>
      </c>
      <c r="JK162" s="0">
        <f>JI162-JJ162</f>
        <v/>
      </c>
      <c r="JL162" s="0">
        <f>JK162/JJ162</f>
        <v/>
      </c>
      <c r="JN162" s="0" t="n"/>
      <c r="JP162" s="0">
        <f>C162</f>
        <v/>
      </c>
      <c r="JQ162" s="0" t="n">
        <v>1078290.41</v>
      </c>
      <c r="JR162" s="0">
        <f>JQ163</f>
        <v/>
      </c>
      <c r="JS162" s="0">
        <f>JQ162-JR162</f>
        <v/>
      </c>
      <c r="JT162" s="0">
        <f>JS162/JR162</f>
        <v/>
      </c>
      <c r="JV162" s="0" t="n"/>
      <c r="JX162" s="0">
        <f>C162</f>
        <v/>
      </c>
      <c r="JY162" s="0" t="n">
        <v>1307148.8</v>
      </c>
      <c r="JZ162" s="0">
        <f>JY163</f>
        <v/>
      </c>
      <c r="KA162" s="0">
        <f>JY162-JZ162</f>
        <v/>
      </c>
      <c r="KB162" s="0">
        <f>KA162/JZ162</f>
        <v/>
      </c>
      <c r="KD162" s="0" t="n"/>
      <c r="KF162" s="0">
        <f>C162</f>
        <v/>
      </c>
      <c r="KG162" s="0" t="n">
        <v>751755.92</v>
      </c>
      <c r="KH162" s="711">
        <f>KG163</f>
        <v/>
      </c>
      <c r="KI162" s="0">
        <f>KG162-KH162</f>
        <v/>
      </c>
      <c r="KJ162" s="519">
        <f>KI162/KH162</f>
        <v/>
      </c>
      <c r="KL162" s="0" t="n"/>
      <c r="KN162" s="0">
        <f>C162</f>
        <v/>
      </c>
      <c r="KO162" s="0" t="n">
        <v>8179075.95</v>
      </c>
      <c r="KP162" s="0">
        <f>KO163</f>
        <v/>
      </c>
      <c r="KQ162" s="0">
        <f>KO162-KP162</f>
        <v/>
      </c>
      <c r="KR162" s="0">
        <f>KQ162/KP162</f>
        <v/>
      </c>
      <c r="KT162" s="0" t="n"/>
      <c r="KV162" s="0">
        <f>C162</f>
        <v/>
      </c>
      <c r="KW162" s="0" t="n">
        <v>1038572.97</v>
      </c>
      <c r="KX162" s="0">
        <f>KW163</f>
        <v/>
      </c>
      <c r="KY162" s="0">
        <f>KW162-KX162</f>
        <v/>
      </c>
      <c r="KZ162" s="0">
        <f>KY162/KX162</f>
        <v/>
      </c>
      <c r="LB162" s="0" t="n"/>
      <c r="LD162" s="0">
        <f>C162</f>
        <v/>
      </c>
      <c r="LE162" s="0" t="n">
        <v>463407.7</v>
      </c>
      <c r="LF162" s="0">
        <f>LE163</f>
        <v/>
      </c>
      <c r="LG162" s="0">
        <f>LE162-LF162</f>
        <v/>
      </c>
      <c r="LH162" s="0">
        <f>LG162/LF162</f>
        <v/>
      </c>
      <c r="LJ162" s="0" t="n"/>
      <c r="LL162" s="0">
        <f>C162</f>
        <v/>
      </c>
      <c r="LM162" s="0" t="n">
        <v>3603355.02</v>
      </c>
      <c r="LN162" s="0">
        <f>LM163</f>
        <v/>
      </c>
      <c r="LO162" s="0">
        <f>LM162-LN162</f>
        <v/>
      </c>
      <c r="LP162" s="0">
        <f>LO162/LN162</f>
        <v/>
      </c>
      <c r="LR162" s="0" t="n"/>
      <c r="LT162" s="0">
        <f>C162</f>
        <v/>
      </c>
      <c r="LU162" s="0" t="n">
        <v>2749062.9</v>
      </c>
      <c r="LV162" s="0">
        <f>LU163</f>
        <v/>
      </c>
      <c r="LW162" s="0">
        <f>LU162-LV162</f>
        <v/>
      </c>
      <c r="LX162" s="0">
        <f>LW162/LV162</f>
        <v/>
      </c>
      <c r="LZ162" s="0" t="n"/>
      <c r="MB162" s="0">
        <f>C162</f>
        <v/>
      </c>
      <c r="MC162" s="0" t="n">
        <v>804267.6899999999</v>
      </c>
      <c r="MD162" s="0">
        <f>MC163</f>
        <v/>
      </c>
      <c r="ME162" s="0">
        <f>MC162-MD162</f>
        <v/>
      </c>
      <c r="MF162" s="0">
        <f>ME162/MD162</f>
        <v/>
      </c>
      <c r="MH162" s="0" t="n"/>
      <c r="MJ162" s="711" t="n"/>
      <c r="MK162" s="0">
        <f>C162</f>
        <v/>
      </c>
      <c r="ML162" s="711" t="n">
        <v>228105.53</v>
      </c>
      <c r="MM162" s="0">
        <f>ML163</f>
        <v/>
      </c>
      <c r="MN162" s="711">
        <f>ML162-MM162</f>
        <v/>
      </c>
      <c r="MO162" s="0">
        <f>MN162/MM162</f>
        <v/>
      </c>
      <c r="MQ162" s="0" t="n"/>
      <c r="MS162" s="0" t="n"/>
      <c r="MT162" s="0">
        <f>C162</f>
        <v/>
      </c>
      <c r="MU162" s="0" t="n">
        <v>350214.8</v>
      </c>
      <c r="MV162" s="0">
        <f>MU163</f>
        <v/>
      </c>
      <c r="MW162" s="0">
        <f>MU162-MV162</f>
        <v/>
      </c>
      <c r="MX162" s="0">
        <f>MW162/MV162</f>
        <v/>
      </c>
      <c r="MZ162" s="0" t="n"/>
      <c r="NB162" s="0" t="n"/>
      <c r="NC162" s="0">
        <f>C162</f>
        <v/>
      </c>
      <c r="ND162" s="0" t="n">
        <v>46491.48</v>
      </c>
      <c r="NE162" s="0">
        <f>ND163</f>
        <v/>
      </c>
      <c r="NF162" s="0">
        <f>ND162-NE162</f>
        <v/>
      </c>
      <c r="NG162" s="0">
        <f>NF162/NE162</f>
        <v/>
      </c>
      <c r="NI162" s="0" t="n"/>
      <c r="NL162" s="0" t="n"/>
      <c r="NM162" s="0">
        <f>C162</f>
        <v/>
      </c>
      <c r="NN162" s="0" t="n">
        <v>2638611.08</v>
      </c>
      <c r="NO162" s="0">
        <f>NN163</f>
        <v/>
      </c>
      <c r="NP162" s="0">
        <f>NN162-NO162</f>
        <v/>
      </c>
      <c r="NQ162" s="0">
        <f>NP162/NO162</f>
        <v/>
      </c>
      <c r="NS162" s="0" t="n"/>
      <c r="NU162" s="0">
        <f>C162</f>
        <v/>
      </c>
      <c r="NV162" s="711" t="n">
        <v>248826.5</v>
      </c>
      <c r="NW162" s="0">
        <f>NV163</f>
        <v/>
      </c>
      <c r="NX162" s="711">
        <f>NV162-NW162</f>
        <v/>
      </c>
      <c r="NY162" s="0">
        <f>NX162/NW162</f>
        <v/>
      </c>
      <c r="OC162" s="0">
        <f>C162</f>
        <v/>
      </c>
      <c r="OD162" s="0" t="n">
        <v>11239.97</v>
      </c>
      <c r="OE162" s="0">
        <f>OD163</f>
        <v/>
      </c>
      <c r="OF162" s="0">
        <f>OD162-OE162</f>
        <v/>
      </c>
      <c r="OG162" s="0">
        <f>OF162/OE162</f>
        <v/>
      </c>
      <c r="OI162" s="0" t="n"/>
      <c r="OK162" s="0">
        <f>C162</f>
        <v/>
      </c>
      <c r="OL162" s="0" t="n">
        <v>10944.65</v>
      </c>
      <c r="OM162" s="0">
        <f>OL163</f>
        <v/>
      </c>
      <c r="ON162" s="0">
        <f>OL162-OM162</f>
        <v/>
      </c>
      <c r="OO162" s="0">
        <f>ON162/OM162</f>
        <v/>
      </c>
      <c r="OQ162" s="0" t="n"/>
      <c r="OT162" s="0">
        <f>OK162</f>
        <v/>
      </c>
      <c r="OU162" s="0" t="n">
        <v>142992.4066</v>
      </c>
      <c r="OV162" s="0">
        <f>OU163</f>
        <v/>
      </c>
      <c r="OW162" s="0">
        <f>OU162-OV162</f>
        <v/>
      </c>
      <c r="OX162" s="0">
        <f>OW162/OV162</f>
        <v/>
      </c>
    </row>
    <row r="163">
      <c r="C163" s="0" t="inlineStr">
        <is>
          <t>2026//3/20</t>
        </is>
      </c>
      <c r="D163" s="0" t="n">
        <v>4491858.77</v>
      </c>
      <c r="E163" s="0">
        <f>D164</f>
        <v/>
      </c>
      <c r="F163" s="0">
        <f>D163-E163</f>
        <v/>
      </c>
      <c r="G163" s="0">
        <f>F163/E163</f>
        <v/>
      </c>
      <c r="I163" s="0" t="n"/>
      <c r="K163" s="0">
        <f>C163</f>
        <v/>
      </c>
      <c r="L163" s="0" t="n">
        <v>3170584.4</v>
      </c>
      <c r="M163" s="0">
        <f>L164</f>
        <v/>
      </c>
      <c r="N163" s="0">
        <f>L163-M163</f>
        <v/>
      </c>
      <c r="O163" s="0">
        <f>N163/M163</f>
        <v/>
      </c>
      <c r="Q163" s="0" t="n"/>
      <c r="S163" s="0">
        <f>C163</f>
        <v/>
      </c>
      <c r="T163" s="0" t="n">
        <v>2385156.68</v>
      </c>
      <c r="U163" s="0">
        <f>T164</f>
        <v/>
      </c>
      <c r="V163" s="0">
        <f>T163-U163</f>
        <v/>
      </c>
      <c r="W163" s="0">
        <f>V163/U163</f>
        <v/>
      </c>
      <c r="Y163" s="0" t="n"/>
      <c r="AA163" s="0">
        <f>S163</f>
        <v/>
      </c>
      <c r="AB163" s="0" t="n">
        <v>967176.86</v>
      </c>
      <c r="AC163" s="0">
        <f>AB164</f>
        <v/>
      </c>
      <c r="AD163" s="0">
        <f>AB163-AC163</f>
        <v/>
      </c>
      <c r="AE163" s="0">
        <f>AD163/AC163</f>
        <v/>
      </c>
      <c r="AG163" s="0" t="n"/>
      <c r="AI163" s="0">
        <f>C163</f>
        <v/>
      </c>
      <c r="AJ163" s="0" t="n">
        <v>769321.76</v>
      </c>
      <c r="AK163" s="0">
        <f>AJ164</f>
        <v/>
      </c>
      <c r="AL163" s="0">
        <f>AJ163-AK163</f>
        <v/>
      </c>
      <c r="AM163" s="0">
        <f>AL163/AK163</f>
        <v/>
      </c>
      <c r="AO163" s="0" t="n"/>
      <c r="AQ163" s="0">
        <f>C163</f>
        <v/>
      </c>
      <c r="AR163" s="0" t="n">
        <v>1561545.49</v>
      </c>
      <c r="AS163" s="0">
        <f>AR164</f>
        <v/>
      </c>
      <c r="AT163" s="0">
        <f>AR163-AS163</f>
        <v/>
      </c>
      <c r="AU163" s="0">
        <f>AT163/AS163</f>
        <v/>
      </c>
      <c r="AW163" s="0" t="n"/>
      <c r="AY163" s="0" t="n"/>
      <c r="AZ163" s="0">
        <f>C163</f>
        <v/>
      </c>
      <c r="BA163" s="0" t="n">
        <v>1990011.66</v>
      </c>
      <c r="BB163" s="0">
        <f>BA164</f>
        <v/>
      </c>
      <c r="BC163" s="0">
        <f>BA163-BB163</f>
        <v/>
      </c>
      <c r="BD163" s="0">
        <f>BC163/BB163</f>
        <v/>
      </c>
      <c r="BF163" s="0" t="n"/>
      <c r="BH163" s="0">
        <f>C163</f>
        <v/>
      </c>
      <c r="BI163" s="0" t="n">
        <v>1635226.55</v>
      </c>
      <c r="BJ163" s="0">
        <f>BI164</f>
        <v/>
      </c>
      <c r="BK163" s="0">
        <f>BI163-BJ163</f>
        <v/>
      </c>
      <c r="BL163" s="0">
        <f>BK163/BJ163</f>
        <v/>
      </c>
      <c r="BN163" s="0" t="n"/>
      <c r="BP163" s="0">
        <f>C163</f>
        <v/>
      </c>
      <c r="BQ163" s="0" t="n">
        <v>1286062.39</v>
      </c>
      <c r="BR163" s="0">
        <f>BQ164</f>
        <v/>
      </c>
      <c r="BS163" s="0">
        <f>BQ163-BR163</f>
        <v/>
      </c>
      <c r="BT163" s="0">
        <f>BS163/BR163</f>
        <v/>
      </c>
      <c r="BV163" s="0" t="n"/>
      <c r="BX163" s="0">
        <f>C163</f>
        <v/>
      </c>
      <c r="BY163" s="0" t="n">
        <v>3205760.7</v>
      </c>
      <c r="BZ163" s="0">
        <f>BY164</f>
        <v/>
      </c>
      <c r="CA163" s="0">
        <f>BY163-BZ163</f>
        <v/>
      </c>
      <c r="CB163" s="0">
        <f>CA163/BZ163</f>
        <v/>
      </c>
      <c r="CD163" s="0" t="n"/>
      <c r="CF163" s="0">
        <f>C163</f>
        <v/>
      </c>
      <c r="CG163" s="0" t="n">
        <v>1487953.9</v>
      </c>
      <c r="CH163" s="0">
        <f>CG164</f>
        <v/>
      </c>
      <c r="CI163" s="0">
        <f>CG163-CH163</f>
        <v/>
      </c>
      <c r="CJ163" s="0">
        <f>CI163/CH163</f>
        <v/>
      </c>
      <c r="CL163" s="0" t="n"/>
      <c r="CN163" s="0">
        <f>C163</f>
        <v/>
      </c>
      <c r="CO163" s="0" t="n">
        <v>725546.48</v>
      </c>
      <c r="CP163" s="0">
        <f>CO164</f>
        <v/>
      </c>
      <c r="CQ163" s="0">
        <f>CO163-CP163</f>
        <v/>
      </c>
      <c r="CR163" s="0">
        <f>CQ163/CP163</f>
        <v/>
      </c>
      <c r="CS163" s="0">
        <f>(CO163-CO168)/CO168</f>
        <v/>
      </c>
      <c r="CT163" s="0" t="n"/>
      <c r="CV163" s="0">
        <f>C163</f>
        <v/>
      </c>
      <c r="CW163" s="0" t="n">
        <v>588890.4</v>
      </c>
      <c r="CX163" s="0">
        <f>CW164</f>
        <v/>
      </c>
      <c r="CY163" s="0">
        <f>CW163-CX163</f>
        <v/>
      </c>
      <c r="CZ163" s="0">
        <f>CY163/CX163</f>
        <v/>
      </c>
      <c r="DB163" s="0" t="n"/>
      <c r="DD163" s="0">
        <f>C163</f>
        <v/>
      </c>
      <c r="DE163" s="0" t="n">
        <v>2412517.98</v>
      </c>
      <c r="DF163" s="0">
        <f>DE164</f>
        <v/>
      </c>
      <c r="DG163" s="0">
        <f>DE163-DF163</f>
        <v/>
      </c>
      <c r="DH163" s="0">
        <f>DG163/DF163</f>
        <v/>
      </c>
      <c r="DJ163" s="0" t="n"/>
      <c r="DL163" s="0">
        <f>C163</f>
        <v/>
      </c>
      <c r="DM163" s="0" t="n">
        <v>1413100.36</v>
      </c>
      <c r="DN163" s="0">
        <f>DM164</f>
        <v/>
      </c>
      <c r="DO163" s="0">
        <f>DM163-DN163</f>
        <v/>
      </c>
      <c r="DP163" s="0">
        <f>DO163/DN163</f>
        <v/>
      </c>
      <c r="DR163" s="0" t="n"/>
      <c r="DT163" s="0">
        <f>C163</f>
        <v/>
      </c>
      <c r="DU163" s="0" t="n">
        <v>1713389.48</v>
      </c>
      <c r="DV163" s="0">
        <f>DU164</f>
        <v/>
      </c>
      <c r="DW163" s="0">
        <f>DU163-DV163</f>
        <v/>
      </c>
      <c r="DX163" s="0">
        <f>DW163/DV163</f>
        <v/>
      </c>
      <c r="DZ163" s="0" t="n"/>
      <c r="EB163" s="0">
        <f>C163</f>
        <v/>
      </c>
      <c r="EC163" s="0" t="n">
        <v>5086766.82</v>
      </c>
      <c r="ED163" s="0">
        <f>EC164</f>
        <v/>
      </c>
      <c r="EE163" s="0">
        <f>EC163-ED163</f>
        <v/>
      </c>
      <c r="EF163" s="0">
        <f>EE163/ED163</f>
        <v/>
      </c>
      <c r="EH163" s="0" t="n"/>
      <c r="EJ163" s="0">
        <f>C163</f>
        <v/>
      </c>
      <c r="EK163" s="0" t="n">
        <v>1567122.96</v>
      </c>
      <c r="EL163" s="0">
        <f>EK164</f>
        <v/>
      </c>
      <c r="EM163" s="0">
        <f>EK163-EL163</f>
        <v/>
      </c>
      <c r="EN163" s="0">
        <f>EM163/EL163</f>
        <v/>
      </c>
      <c r="EP163" s="0" t="n"/>
      <c r="ER163" s="0">
        <f>C163</f>
        <v/>
      </c>
      <c r="ES163" s="0" t="n">
        <v>546047.02</v>
      </c>
      <c r="ET163" s="0">
        <f>ES164</f>
        <v/>
      </c>
      <c r="EU163" s="0">
        <f>ES163-ET163</f>
        <v/>
      </c>
      <c r="EV163" s="0">
        <f>EU163/ET163</f>
        <v/>
      </c>
      <c r="EX163" s="0" t="n"/>
      <c r="EZ163" s="0">
        <f>C163</f>
        <v/>
      </c>
      <c r="FA163" s="0" t="n">
        <v>754508</v>
      </c>
      <c r="FB163" s="0">
        <f>FA164</f>
        <v/>
      </c>
      <c r="FC163" s="0">
        <f>FA163-FB163</f>
        <v/>
      </c>
      <c r="FD163" s="0">
        <f>FC163/FB163</f>
        <v/>
      </c>
      <c r="FF163" s="0" t="n"/>
      <c r="FH163" s="0">
        <f>C163</f>
        <v/>
      </c>
      <c r="FI163" s="0" t="n">
        <v>1125795.33</v>
      </c>
      <c r="FJ163" s="0">
        <f>FI164</f>
        <v/>
      </c>
      <c r="FK163" s="0">
        <f>FI163-FJ163</f>
        <v/>
      </c>
      <c r="FL163" s="519">
        <f>FK163/FJ163</f>
        <v/>
      </c>
      <c r="FN163" s="0" t="n"/>
      <c r="FP163" s="0">
        <f>C163</f>
        <v/>
      </c>
      <c r="FQ163" s="0" t="n">
        <v>2299318.73</v>
      </c>
      <c r="FR163" s="0">
        <f>FQ164</f>
        <v/>
      </c>
      <c r="FS163" s="0">
        <f>FQ163-FR163</f>
        <v/>
      </c>
      <c r="FT163" s="0">
        <f>FS163/FR163</f>
        <v/>
      </c>
      <c r="FV163" s="0" t="n"/>
      <c r="FX163" s="0">
        <f>C163</f>
        <v/>
      </c>
      <c r="FY163" s="0" t="n">
        <v>8389182.050000001</v>
      </c>
      <c r="FZ163" s="0">
        <f>FY164</f>
        <v/>
      </c>
      <c r="GA163" s="0">
        <f>FY163-FZ163</f>
        <v/>
      </c>
      <c r="GB163" s="0">
        <f>GA163/FZ163</f>
        <v/>
      </c>
      <c r="GD163" s="0" t="n"/>
      <c r="GF163" s="0">
        <f>C163</f>
        <v/>
      </c>
      <c r="GG163" s="0" t="n">
        <v>4759269.49</v>
      </c>
      <c r="GH163" s="0">
        <f>GG164</f>
        <v/>
      </c>
      <c r="GI163" s="0">
        <f>GG163-GH163</f>
        <v/>
      </c>
      <c r="GJ163" s="0">
        <f>GI163/GH163</f>
        <v/>
      </c>
      <c r="GL163" s="0" t="n"/>
      <c r="GN163" s="0">
        <f>C163</f>
        <v/>
      </c>
      <c r="GO163" s="0" t="n">
        <v>1829278.12</v>
      </c>
      <c r="GP163" s="0">
        <f>GO164</f>
        <v/>
      </c>
      <c r="GQ163" s="0">
        <f>GO163-GP163</f>
        <v/>
      </c>
      <c r="GR163" s="0">
        <f>GQ163/GP163</f>
        <v/>
      </c>
      <c r="GT163" s="0" t="n"/>
      <c r="GV163" s="0">
        <f>C163</f>
        <v/>
      </c>
      <c r="GW163" s="0" t="n">
        <v>1047349.4</v>
      </c>
      <c r="GX163" s="0">
        <f>GW164</f>
        <v/>
      </c>
      <c r="GY163" s="0">
        <f>GW163-GX163</f>
        <v/>
      </c>
      <c r="GZ163" s="0">
        <f>GY163/GX163</f>
        <v/>
      </c>
      <c r="HB163" s="0" t="n"/>
      <c r="HD163" s="0">
        <f>C163</f>
        <v/>
      </c>
      <c r="HE163" s="0" t="n">
        <v>1041664.67</v>
      </c>
      <c r="HF163" s="0">
        <f>HE164</f>
        <v/>
      </c>
      <c r="HG163" s="0">
        <f>HE163-HF163</f>
        <v/>
      </c>
      <c r="HH163" s="0">
        <f>HG163/HF163</f>
        <v/>
      </c>
      <c r="HJ163" s="0" t="n"/>
      <c r="HL163" s="0">
        <f>C163</f>
        <v/>
      </c>
      <c r="HM163" s="0" t="n">
        <v>155704.25</v>
      </c>
      <c r="HN163" s="0">
        <f>HM164</f>
        <v/>
      </c>
      <c r="HO163" s="0">
        <f>HM163-HN163</f>
        <v/>
      </c>
      <c r="HP163" s="0">
        <f>HO163/HN163</f>
        <v/>
      </c>
      <c r="HR163" s="0" t="n"/>
      <c r="HT163" s="0">
        <f>C163</f>
        <v/>
      </c>
      <c r="HU163" s="0" t="n">
        <v>255668.82</v>
      </c>
      <c r="HV163" s="0">
        <f>HU164</f>
        <v/>
      </c>
      <c r="HW163" s="0">
        <f>HU163-HV163</f>
        <v/>
      </c>
      <c r="HX163" s="0">
        <f>HW163/HV163</f>
        <v/>
      </c>
      <c r="HZ163" s="0" t="n"/>
      <c r="IB163" s="0">
        <f>C163</f>
        <v/>
      </c>
      <c r="IC163" s="0" t="n">
        <v>476509.79</v>
      </c>
      <c r="ID163" s="0">
        <f>IC164</f>
        <v/>
      </c>
      <c r="IE163" s="0">
        <f>IC163-ID163</f>
        <v/>
      </c>
      <c r="IF163" s="0">
        <f>IE163/ID163</f>
        <v/>
      </c>
      <c r="IH163" s="0" t="n"/>
      <c r="IJ163" s="0">
        <f>C163</f>
        <v/>
      </c>
      <c r="IK163" s="0" t="n">
        <v>542476.29</v>
      </c>
      <c r="IL163" s="0">
        <f>IK164</f>
        <v/>
      </c>
      <c r="IM163" s="0">
        <f>IK163-IL163</f>
        <v/>
      </c>
      <c r="IN163" s="0">
        <f>IM163/IL163</f>
        <v/>
      </c>
      <c r="IP163" s="0" t="n"/>
      <c r="IR163" s="0">
        <f>C163</f>
        <v/>
      </c>
      <c r="IS163" s="0" t="n">
        <v>146189</v>
      </c>
      <c r="IT163" s="0">
        <f>IS164</f>
        <v/>
      </c>
      <c r="IU163" s="0">
        <f>IS163-IT163</f>
        <v/>
      </c>
      <c r="IV163" s="0">
        <f>IU163/IT163</f>
        <v/>
      </c>
      <c r="IX163" s="0" t="n"/>
      <c r="IZ163" s="0">
        <f>C163</f>
        <v/>
      </c>
      <c r="JA163" s="0" t="n">
        <v>5029829.15</v>
      </c>
      <c r="JB163" s="0">
        <f>JA164</f>
        <v/>
      </c>
      <c r="JC163" s="0">
        <f>JA163-JB163</f>
        <v/>
      </c>
      <c r="JD163" s="0">
        <f>JC163/JB163</f>
        <v/>
      </c>
      <c r="JF163" s="0" t="n"/>
      <c r="JH163" s="0">
        <f>C163</f>
        <v/>
      </c>
      <c r="JI163" s="0" t="n">
        <v>1524027.99</v>
      </c>
      <c r="JJ163" s="0">
        <f>JI164</f>
        <v/>
      </c>
      <c r="JK163" s="0">
        <f>JI163-JJ163</f>
        <v/>
      </c>
      <c r="JL163" s="0">
        <f>JK163/JJ163</f>
        <v/>
      </c>
      <c r="JN163" s="0" t="n"/>
      <c r="JP163" s="0">
        <f>C163</f>
        <v/>
      </c>
      <c r="JQ163" s="0" t="n">
        <v>1082190.41</v>
      </c>
      <c r="JR163" s="0">
        <f>JQ164</f>
        <v/>
      </c>
      <c r="JS163" s="0">
        <f>JQ163-JR163</f>
        <v/>
      </c>
      <c r="JT163" s="0">
        <f>JS163/JR163</f>
        <v/>
      </c>
      <c r="JV163" s="0" t="n"/>
      <c r="JX163" s="0">
        <f>C163</f>
        <v/>
      </c>
      <c r="JY163" s="0" t="n">
        <v>1276298.8</v>
      </c>
      <c r="JZ163" s="0">
        <f>JY164</f>
        <v/>
      </c>
      <c r="KA163" s="0">
        <f>JY163-JZ163</f>
        <v/>
      </c>
      <c r="KB163" s="0">
        <f>KA163/JZ163</f>
        <v/>
      </c>
      <c r="KD163" s="0" t="n"/>
      <c r="KF163" s="0">
        <f>C163</f>
        <v/>
      </c>
      <c r="KG163" s="0" t="n">
        <v>755755.92</v>
      </c>
      <c r="KH163" s="711">
        <f>KG164</f>
        <v/>
      </c>
      <c r="KI163" s="0">
        <f>KG163-KH163</f>
        <v/>
      </c>
      <c r="KJ163" s="519">
        <f>KI163/KH163</f>
        <v/>
      </c>
      <c r="KL163" s="0" t="n"/>
      <c r="KN163" s="0">
        <f>C163</f>
        <v/>
      </c>
      <c r="KO163" s="0" t="n">
        <v>8129075.95</v>
      </c>
      <c r="KP163" s="0">
        <f>KO164</f>
        <v/>
      </c>
      <c r="KQ163" s="0">
        <f>KO163-KP163</f>
        <v/>
      </c>
      <c r="KR163" s="0">
        <f>KQ163/KP163</f>
        <v/>
      </c>
      <c r="KT163" s="0" t="n"/>
      <c r="KV163" s="0">
        <f>C163</f>
        <v/>
      </c>
      <c r="KW163" s="0" t="n">
        <v>1011272.97</v>
      </c>
      <c r="KX163" s="0">
        <f>KW164</f>
        <v/>
      </c>
      <c r="KY163" s="0">
        <f>KW163-KX163</f>
        <v/>
      </c>
      <c r="KZ163" s="0">
        <f>KY163/KX163</f>
        <v/>
      </c>
      <c r="LB163" s="0" t="n"/>
      <c r="LD163" s="0">
        <f>C163</f>
        <v/>
      </c>
      <c r="LE163" s="0" t="n">
        <v>479807.7</v>
      </c>
      <c r="LF163" s="0">
        <f>LE164</f>
        <v/>
      </c>
      <c r="LG163" s="0">
        <f>LE163-LF163</f>
        <v/>
      </c>
      <c r="LH163" s="0">
        <f>LG163/LF163</f>
        <v/>
      </c>
      <c r="LJ163" s="0" t="n"/>
      <c r="LL163" s="0">
        <f>C163</f>
        <v/>
      </c>
      <c r="LM163" s="0" t="n">
        <v>3576535.02</v>
      </c>
      <c r="LN163" s="0">
        <f>LM164</f>
        <v/>
      </c>
      <c r="LO163" s="0">
        <f>LM163-LN163</f>
        <v/>
      </c>
      <c r="LP163" s="0">
        <f>LO163/LN163</f>
        <v/>
      </c>
      <c r="LR163" s="0" t="n"/>
      <c r="LT163" s="0">
        <f>C163</f>
        <v/>
      </c>
      <c r="LU163" s="0" t="n">
        <v>2746862.9</v>
      </c>
      <c r="LV163" s="0">
        <f>LU164</f>
        <v/>
      </c>
      <c r="LW163" s="0">
        <f>LU163-LV163</f>
        <v/>
      </c>
      <c r="LX163" s="0">
        <f>LW163/LV163</f>
        <v/>
      </c>
      <c r="LZ163" s="0" t="n"/>
      <c r="MB163" s="0">
        <f>C163</f>
        <v/>
      </c>
      <c r="MC163" s="0" t="n">
        <v>791567.6899999999</v>
      </c>
      <c r="MD163" s="0">
        <f>MC164</f>
        <v/>
      </c>
      <c r="ME163" s="0">
        <f>MC163-MD163</f>
        <v/>
      </c>
      <c r="MF163" s="0">
        <f>ME163/MD163</f>
        <v/>
      </c>
      <c r="MH163" s="0" t="n"/>
      <c r="MJ163" s="711" t="n"/>
      <c r="MK163" s="0">
        <f>C163</f>
        <v/>
      </c>
      <c r="ML163" s="711" t="n">
        <v>229065.53</v>
      </c>
      <c r="MM163" s="0">
        <f>ML164</f>
        <v/>
      </c>
      <c r="MN163" s="711">
        <f>ML163-MM163</f>
        <v/>
      </c>
      <c r="MO163" s="0">
        <f>MN163/MM163</f>
        <v/>
      </c>
      <c r="MQ163" s="0" t="n"/>
      <c r="MS163" s="0" t="n"/>
      <c r="MT163" s="0">
        <f>C163</f>
        <v/>
      </c>
      <c r="MU163" s="0" t="n">
        <v>365214.8</v>
      </c>
      <c r="MV163" s="0">
        <f>MU164</f>
        <v/>
      </c>
      <c r="MW163" s="0">
        <f>MU163-MV163</f>
        <v/>
      </c>
      <c r="MX163" s="0">
        <f>MW163/MV163</f>
        <v/>
      </c>
      <c r="MZ163" s="0" t="n"/>
      <c r="NB163" s="0" t="n"/>
      <c r="NC163" s="0">
        <f>C163</f>
        <v/>
      </c>
      <c r="ND163" s="0" t="n">
        <v>47091.48</v>
      </c>
      <c r="NE163" s="0">
        <f>ND164</f>
        <v/>
      </c>
      <c r="NF163" s="0">
        <f>ND163-NE163</f>
        <v/>
      </c>
      <c r="NG163" s="0">
        <f>NF163/NE163</f>
        <v/>
      </c>
      <c r="NI163" s="0" t="n"/>
      <c r="NL163" s="0" t="n"/>
      <c r="NM163" s="0">
        <f>C163</f>
        <v/>
      </c>
      <c r="NN163" s="0" t="n">
        <v>2607411.08</v>
      </c>
      <c r="NO163" s="0">
        <f>NN164</f>
        <v/>
      </c>
      <c r="NP163" s="0">
        <f>NN163-NO163</f>
        <v/>
      </c>
      <c r="NQ163" s="0">
        <f>NP163/NO163</f>
        <v/>
      </c>
      <c r="NS163" s="0" t="n"/>
      <c r="NU163" s="0">
        <f>C163</f>
        <v/>
      </c>
      <c r="NV163" s="711" t="n">
        <v>243926.5</v>
      </c>
      <c r="NW163" s="0">
        <f>NV164</f>
        <v/>
      </c>
      <c r="NX163" s="711">
        <f>NV163-NW163</f>
        <v/>
      </c>
      <c r="NY163" s="0">
        <f>NX163/NW163</f>
        <v/>
      </c>
      <c r="OC163" s="0">
        <f>C163</f>
        <v/>
      </c>
      <c r="OD163" s="0" t="n">
        <v>11442.97</v>
      </c>
      <c r="OE163" s="0">
        <f>OD164</f>
        <v/>
      </c>
      <c r="OF163" s="0">
        <f>OD163-OE163</f>
        <v/>
      </c>
      <c r="OG163" s="0">
        <f>OF163/OE163</f>
        <v/>
      </c>
      <c r="OI163" s="0" t="n"/>
      <c r="OK163" s="0">
        <f>C163</f>
        <v/>
      </c>
      <c r="OL163" s="0" t="n">
        <v>10944.65</v>
      </c>
      <c r="OM163" s="0">
        <f>OL164</f>
        <v/>
      </c>
      <c r="ON163" s="0">
        <f>OL163-OM163</f>
        <v/>
      </c>
      <c r="OO163" s="0">
        <f>ON163/OM163</f>
        <v/>
      </c>
      <c r="OQ163" s="0" t="n"/>
      <c r="OT163" s="0">
        <f>OK163</f>
        <v/>
      </c>
      <c r="OU163" s="0" t="n">
        <v>142872.4066</v>
      </c>
      <c r="OV163" s="0">
        <f>OU164</f>
        <v/>
      </c>
      <c r="OW163" s="0">
        <f>OU163-OV163</f>
        <v/>
      </c>
      <c r="OX163" s="0">
        <f>OW163/OV163</f>
        <v/>
      </c>
    </row>
    <row r="164">
      <c r="C164" s="0" t="inlineStr">
        <is>
          <t>2026//3/19</t>
        </is>
      </c>
      <c r="D164" s="0" t="n">
        <v>4482228.77</v>
      </c>
      <c r="E164" s="0">
        <f>D165</f>
        <v/>
      </c>
      <c r="F164" s="0">
        <f>D164-E164</f>
        <v/>
      </c>
      <c r="G164" s="0">
        <f>F164/E164</f>
        <v/>
      </c>
      <c r="I164" s="0" t="n"/>
      <c r="K164" s="0">
        <f>C164</f>
        <v/>
      </c>
      <c r="L164" s="0" t="n">
        <v>3170224.4</v>
      </c>
      <c r="M164" s="0">
        <f>L165</f>
        <v/>
      </c>
      <c r="N164" s="0">
        <f>L164-M164</f>
        <v/>
      </c>
      <c r="O164" s="0">
        <f>N164/M164</f>
        <v/>
      </c>
      <c r="Q164" s="0" t="n"/>
      <c r="S164" s="0">
        <f>C164</f>
        <v/>
      </c>
      <c r="T164" s="0" t="n">
        <v>2328366.68</v>
      </c>
      <c r="U164" s="0">
        <f>T165</f>
        <v/>
      </c>
      <c r="V164" s="0">
        <f>T164-U164</f>
        <v/>
      </c>
      <c r="W164" s="0">
        <f>V164/U164</f>
        <v/>
      </c>
      <c r="Y164" s="0" t="n"/>
      <c r="AA164" s="0">
        <f>S164</f>
        <v/>
      </c>
      <c r="AB164" s="0" t="n">
        <v>931536.86</v>
      </c>
      <c r="AC164" s="0">
        <f>AB165</f>
        <v/>
      </c>
      <c r="AD164" s="0">
        <f>AB164-AC164</f>
        <v/>
      </c>
      <c r="AE164" s="0">
        <f>AD164/AC164</f>
        <v/>
      </c>
      <c r="AG164" s="0" t="n"/>
      <c r="AI164" s="0">
        <f>C164</f>
        <v/>
      </c>
      <c r="AJ164" s="0" t="n">
        <v>741921.76</v>
      </c>
      <c r="AK164" s="0">
        <f>AJ165</f>
        <v/>
      </c>
      <c r="AL164" s="0">
        <f>AJ164-AK164</f>
        <v/>
      </c>
      <c r="AM164" s="0">
        <f>AL164/AK164</f>
        <v/>
      </c>
      <c r="AO164" s="0" t="n"/>
      <c r="AQ164" s="0">
        <f>C164</f>
        <v/>
      </c>
      <c r="AR164" s="0" t="n">
        <v>1636645.49</v>
      </c>
      <c r="AS164" s="0">
        <f>AR165</f>
        <v/>
      </c>
      <c r="AT164" s="0">
        <f>AR164-AS164</f>
        <v/>
      </c>
      <c r="AU164" s="0">
        <f>AT164/AS164</f>
        <v/>
      </c>
      <c r="AW164" s="0" t="n"/>
      <c r="AY164" s="0" t="n"/>
      <c r="AZ164" s="0">
        <f>C164</f>
        <v/>
      </c>
      <c r="BA164" s="0" t="n">
        <v>1985601.66</v>
      </c>
      <c r="BB164" s="0">
        <f>BA165</f>
        <v/>
      </c>
      <c r="BC164" s="0">
        <f>BA164-BB164</f>
        <v/>
      </c>
      <c r="BD164" s="0">
        <f>BC164/BB164</f>
        <v/>
      </c>
      <c r="BF164" s="0" t="n"/>
      <c r="BH164" s="0">
        <f>C164</f>
        <v/>
      </c>
      <c r="BI164" s="0" t="n">
        <v>1649426.55</v>
      </c>
      <c r="BJ164" s="0">
        <f>BI165</f>
        <v/>
      </c>
      <c r="BK164" s="0">
        <f>BI164-BJ164</f>
        <v/>
      </c>
      <c r="BL164" s="0">
        <f>BK164/BJ164</f>
        <v/>
      </c>
      <c r="BN164" s="0" t="n"/>
      <c r="BP164" s="0">
        <f>C164</f>
        <v/>
      </c>
      <c r="BQ164" s="0" t="n">
        <v>1278662.39</v>
      </c>
      <c r="BR164" s="0">
        <f>BQ165</f>
        <v/>
      </c>
      <c r="BS164" s="0">
        <f>BQ164-BR164</f>
        <v/>
      </c>
      <c r="BT164" s="0">
        <f>BS164/BR164</f>
        <v/>
      </c>
      <c r="BV164" s="0" t="n"/>
      <c r="BX164" s="0">
        <f>C164</f>
        <v/>
      </c>
      <c r="BY164" s="0" t="n">
        <v>3287360.7</v>
      </c>
      <c r="BZ164" s="0">
        <f>BY165</f>
        <v/>
      </c>
      <c r="CA164" s="0">
        <f>BY164-BZ164</f>
        <v/>
      </c>
      <c r="CB164" s="0">
        <f>CA164/BZ164</f>
        <v/>
      </c>
      <c r="CD164" s="0" t="n"/>
      <c r="CF164" s="0">
        <f>C164</f>
        <v/>
      </c>
      <c r="CG164" s="0" t="n">
        <v>1523903.9</v>
      </c>
      <c r="CH164" s="0">
        <f>CG165</f>
        <v/>
      </c>
      <c r="CI164" s="0">
        <f>CG164-CH164</f>
        <v/>
      </c>
      <c r="CJ164" s="0">
        <f>CI164/CH164</f>
        <v/>
      </c>
      <c r="CL164" s="0" t="n"/>
      <c r="CN164" s="0">
        <f>C164</f>
        <v/>
      </c>
      <c r="CO164" s="0" t="n">
        <v>747646.48</v>
      </c>
      <c r="CP164" s="0">
        <f>CO165</f>
        <v/>
      </c>
      <c r="CQ164" s="0">
        <f>CO164-CP164</f>
        <v/>
      </c>
      <c r="CR164" s="0">
        <f>CQ164/CP164</f>
        <v/>
      </c>
      <c r="CS164" s="0" t="n"/>
      <c r="CT164" s="0" t="n"/>
      <c r="CV164" s="0">
        <f>C164</f>
        <v/>
      </c>
      <c r="CW164" s="0" t="n">
        <v>605540.4</v>
      </c>
      <c r="CX164" s="0">
        <f>CW165</f>
        <v/>
      </c>
      <c r="CY164" s="0">
        <f>CW164-CX164</f>
        <v/>
      </c>
      <c r="CZ164" s="0">
        <f>CY164/CX164</f>
        <v/>
      </c>
      <c r="DB164" s="0" t="n"/>
      <c r="DD164" s="0">
        <f>C164</f>
        <v/>
      </c>
      <c r="DE164" s="0" t="n">
        <v>2395717.98</v>
      </c>
      <c r="DF164" s="0">
        <f>DE165</f>
        <v/>
      </c>
      <c r="DG164" s="0">
        <f>DE164-DF164</f>
        <v/>
      </c>
      <c r="DH164" s="0">
        <f>DG164/DF164</f>
        <v/>
      </c>
      <c r="DJ164" s="0" t="n"/>
      <c r="DL164" s="0">
        <f>C164</f>
        <v/>
      </c>
      <c r="DM164" s="0" t="n">
        <v>1401100.36</v>
      </c>
      <c r="DN164" s="0">
        <f>DM165</f>
        <v/>
      </c>
      <c r="DO164" s="0">
        <f>DM164-DN164</f>
        <v/>
      </c>
      <c r="DP164" s="0">
        <f>DO164/DN164</f>
        <v/>
      </c>
      <c r="DR164" s="0" t="n"/>
      <c r="DT164" s="0">
        <f>C164</f>
        <v/>
      </c>
      <c r="DU164" s="0" t="n">
        <v>1722689.48</v>
      </c>
      <c r="DV164" s="0">
        <f>DU165</f>
        <v/>
      </c>
      <c r="DW164" s="0">
        <f>DU164-DV164</f>
        <v/>
      </c>
      <c r="DX164" s="0">
        <f>DW164/DV164</f>
        <v/>
      </c>
      <c r="DZ164" s="0" t="n"/>
      <c r="EB164" s="0">
        <f>C164</f>
        <v/>
      </c>
      <c r="EC164" s="0" t="n">
        <v>5030666.82</v>
      </c>
      <c r="ED164" s="0">
        <f>EC165</f>
        <v/>
      </c>
      <c r="EE164" s="0">
        <f>EC164-ED164</f>
        <v/>
      </c>
      <c r="EF164" s="0">
        <f>EE164/ED164</f>
        <v/>
      </c>
      <c r="EH164" s="0" t="n"/>
      <c r="EJ164" s="0">
        <f>C164</f>
        <v/>
      </c>
      <c r="EK164" s="0" t="n">
        <v>1574922.96</v>
      </c>
      <c r="EL164" s="0">
        <f>EK165</f>
        <v/>
      </c>
      <c r="EM164" s="0">
        <f>EK164-EL164</f>
        <v/>
      </c>
      <c r="EN164" s="0">
        <f>EM164/EL164</f>
        <v/>
      </c>
      <c r="EP164" s="0" t="n"/>
      <c r="ER164" s="0">
        <f>C164</f>
        <v/>
      </c>
      <c r="ES164" s="0" t="n">
        <v>546197.02</v>
      </c>
      <c r="ET164" s="0">
        <f>ES165</f>
        <v/>
      </c>
      <c r="EU164" s="0">
        <f>ES164-ET164</f>
        <v/>
      </c>
      <c r="EV164" s="0">
        <f>EU164/ET164</f>
        <v/>
      </c>
      <c r="EX164" s="0" t="n"/>
      <c r="EZ164" s="0">
        <f>C164</f>
        <v/>
      </c>
      <c r="FA164" s="0" t="n">
        <v>754908</v>
      </c>
      <c r="FB164" s="0">
        <f>FA165</f>
        <v/>
      </c>
      <c r="FC164" s="0">
        <f>FA164-FB164</f>
        <v/>
      </c>
      <c r="FD164" s="0">
        <f>FC164/FB164</f>
        <v/>
      </c>
      <c r="FF164" s="0" t="n"/>
      <c r="FH164" s="0">
        <f>C164</f>
        <v/>
      </c>
      <c r="FI164" s="0" t="n">
        <v>1126595.33</v>
      </c>
      <c r="FJ164" s="0">
        <f>FI165</f>
        <v/>
      </c>
      <c r="FK164" s="0">
        <f>FI164-FJ164</f>
        <v/>
      </c>
      <c r="FL164" s="519">
        <f>FK164/FJ164</f>
        <v/>
      </c>
      <c r="FN164" s="0" t="n"/>
      <c r="FP164" s="0">
        <f>C164</f>
        <v/>
      </c>
      <c r="FQ164" s="0" t="n">
        <v>2300818.73</v>
      </c>
      <c r="FR164" s="0">
        <f>FQ165</f>
        <v/>
      </c>
      <c r="FS164" s="0">
        <f>FQ164-FR164</f>
        <v/>
      </c>
      <c r="FT164" s="0">
        <f>FS164/FR164</f>
        <v/>
      </c>
      <c r="FV164" s="0" t="n"/>
      <c r="FX164" s="0">
        <f>C164</f>
        <v/>
      </c>
      <c r="FY164" s="0" t="n">
        <v>8322182.05</v>
      </c>
      <c r="FZ164" s="0">
        <f>FY165</f>
        <v/>
      </c>
      <c r="GA164" s="0">
        <f>FY164-FZ164</f>
        <v/>
      </c>
      <c r="GB164" s="0">
        <f>GA164/FZ164</f>
        <v/>
      </c>
      <c r="GD164" s="0" t="n"/>
      <c r="GF164" s="0">
        <f>C164</f>
        <v/>
      </c>
      <c r="GG164" s="0" t="n">
        <v>4750969.49</v>
      </c>
      <c r="GH164" s="0">
        <f>GG165</f>
        <v/>
      </c>
      <c r="GI164" s="0">
        <f>GG164-GH164</f>
        <v/>
      </c>
      <c r="GJ164" s="0">
        <f>GI164/GH164</f>
        <v/>
      </c>
      <c r="GL164" s="0" t="n"/>
      <c r="GN164" s="0">
        <f>C164</f>
        <v/>
      </c>
      <c r="GO164" s="0" t="n">
        <v>1835578.12</v>
      </c>
      <c r="GP164" s="0">
        <f>GO165</f>
        <v/>
      </c>
      <c r="GQ164" s="0">
        <f>GO164-GP164</f>
        <v/>
      </c>
      <c r="GR164" s="0">
        <f>GQ164/GP164</f>
        <v/>
      </c>
      <c r="GT164" s="0" t="n"/>
      <c r="GV164" s="0">
        <f>C164</f>
        <v/>
      </c>
      <c r="GW164" s="0" t="n">
        <v>1059749.4</v>
      </c>
      <c r="GX164" s="0">
        <f>GW165</f>
        <v/>
      </c>
      <c r="GY164" s="0">
        <f>GW164-GX164</f>
        <v/>
      </c>
      <c r="GZ164" s="0">
        <f>GY164/GX164</f>
        <v/>
      </c>
      <c r="HB164" s="0" t="n"/>
      <c r="HD164" s="0">
        <f>C164</f>
        <v/>
      </c>
      <c r="HE164" s="0" t="n">
        <v>1059864.67</v>
      </c>
      <c r="HF164" s="0">
        <f>HE165</f>
        <v/>
      </c>
      <c r="HG164" s="0">
        <f>HE164-HF164</f>
        <v/>
      </c>
      <c r="HH164" s="0">
        <f>HG164/HF164</f>
        <v/>
      </c>
      <c r="HJ164" s="0" t="n"/>
      <c r="HL164" s="0">
        <f>C164</f>
        <v/>
      </c>
      <c r="HM164" s="0" t="n">
        <v>155054.25</v>
      </c>
      <c r="HN164" s="0">
        <f>HM165</f>
        <v/>
      </c>
      <c r="HO164" s="0">
        <f>HM164-HN164</f>
        <v/>
      </c>
      <c r="HP164" s="0">
        <f>HO164/HN164</f>
        <v/>
      </c>
      <c r="HR164" s="0" t="n"/>
      <c r="HT164" s="0">
        <f>C164</f>
        <v/>
      </c>
      <c r="HU164" s="0" t="n">
        <v>278268.82</v>
      </c>
      <c r="HV164" s="0">
        <f>HU165</f>
        <v/>
      </c>
      <c r="HW164" s="0">
        <f>HU164-HV164</f>
        <v/>
      </c>
      <c r="HX164" s="0">
        <f>HW164/HV164</f>
        <v/>
      </c>
      <c r="HZ164" s="0" t="n"/>
      <c r="IB164" s="0">
        <f>C164</f>
        <v/>
      </c>
      <c r="IC164" s="0" t="n">
        <v>481409.79</v>
      </c>
      <c r="ID164" s="0">
        <f>IC165</f>
        <v/>
      </c>
      <c r="IE164" s="0">
        <f>IC164-ID164</f>
        <v/>
      </c>
      <c r="IF164" s="0">
        <f>IE164/ID164</f>
        <v/>
      </c>
      <c r="IH164" s="0" t="n"/>
      <c r="IJ164" s="0">
        <f>C164</f>
        <v/>
      </c>
      <c r="IK164" s="0" t="n">
        <v>535356.29</v>
      </c>
      <c r="IL164" s="0">
        <f>IK165</f>
        <v/>
      </c>
      <c r="IM164" s="0">
        <f>IK164-IL164</f>
        <v/>
      </c>
      <c r="IN164" s="0">
        <f>IM164/IL164</f>
        <v/>
      </c>
      <c r="IP164" s="0" t="n"/>
      <c r="IR164" s="0">
        <f>C164</f>
        <v/>
      </c>
      <c r="IS164" s="0" t="n">
        <v>145989</v>
      </c>
      <c r="IT164" s="0">
        <f>IS165</f>
        <v/>
      </c>
      <c r="IU164" s="0">
        <f>IS164-IT164</f>
        <v/>
      </c>
      <c r="IV164" s="0">
        <f>IU164/IT164</f>
        <v/>
      </c>
      <c r="IX164" s="0" t="n"/>
      <c r="IZ164" s="0">
        <f>C164</f>
        <v/>
      </c>
      <c r="JA164" s="0" t="n">
        <v>4995429.15</v>
      </c>
      <c r="JB164" s="0">
        <f>JA165</f>
        <v/>
      </c>
      <c r="JC164" s="0">
        <f>JA164-JB164</f>
        <v/>
      </c>
      <c r="JD164" s="0">
        <f>JC164/JB164</f>
        <v/>
      </c>
      <c r="JF164" s="0" t="n"/>
      <c r="JH164" s="0">
        <f>C164</f>
        <v/>
      </c>
      <c r="JI164" s="0" t="n">
        <v>1540767.99</v>
      </c>
      <c r="JJ164" s="0">
        <f>JI165</f>
        <v/>
      </c>
      <c r="JK164" s="0">
        <f>JI164-JJ164</f>
        <v/>
      </c>
      <c r="JL164" s="0">
        <f>JK164/JJ164</f>
        <v/>
      </c>
      <c r="JN164" s="0" t="n"/>
      <c r="JP164" s="0">
        <f>C164</f>
        <v/>
      </c>
      <c r="JQ164" s="0" t="n">
        <v>1069590.41</v>
      </c>
      <c r="JR164" s="0">
        <f>JQ165</f>
        <v/>
      </c>
      <c r="JS164" s="0">
        <f>JQ164-JR164</f>
        <v/>
      </c>
      <c r="JT164" s="0">
        <f>JS164/JR164</f>
        <v/>
      </c>
      <c r="JV164" s="0" t="n"/>
      <c r="JX164" s="0">
        <f>C164</f>
        <v/>
      </c>
      <c r="JY164" s="0" t="n">
        <v>1275948.8</v>
      </c>
      <c r="JZ164" s="0">
        <f>JY165</f>
        <v/>
      </c>
      <c r="KA164" s="0">
        <f>JY164-JZ164</f>
        <v/>
      </c>
      <c r="KB164" s="0">
        <f>KA164/JZ164</f>
        <v/>
      </c>
      <c r="KD164" s="0" t="n"/>
      <c r="KF164" s="0">
        <f>C164</f>
        <v/>
      </c>
      <c r="KG164" s="0" t="n">
        <v>755755.92</v>
      </c>
      <c r="KH164" s="713">
        <f>KG165</f>
        <v/>
      </c>
      <c r="KI164" s="0">
        <f>KG164-KH164</f>
        <v/>
      </c>
      <c r="KJ164" s="519">
        <f>KI164/KH164</f>
        <v/>
      </c>
      <c r="KL164" s="0" t="n"/>
      <c r="KN164" s="0">
        <f>C164</f>
        <v/>
      </c>
      <c r="KO164" s="0" t="n">
        <v>8098375.95</v>
      </c>
      <c r="KP164" s="0">
        <f>KO165</f>
        <v/>
      </c>
      <c r="KQ164" s="0">
        <f>KO164-KP164</f>
        <v/>
      </c>
      <c r="KR164" s="0">
        <f>KQ164/KP164</f>
        <v/>
      </c>
      <c r="KT164" s="0" t="n"/>
      <c r="KV164" s="0">
        <f>C164</f>
        <v/>
      </c>
      <c r="KW164" s="0" t="n">
        <v>1011272.97</v>
      </c>
      <c r="KX164" s="0">
        <f>KW165</f>
        <v/>
      </c>
      <c r="KY164" s="0">
        <f>KW164-KX164</f>
        <v/>
      </c>
      <c r="KZ164" s="0">
        <f>KY164/KX164</f>
        <v/>
      </c>
      <c r="LB164" s="0" t="n"/>
      <c r="LD164" s="0">
        <f>C164</f>
        <v/>
      </c>
      <c r="LE164" s="0" t="n">
        <v>486907.7</v>
      </c>
      <c r="LF164" s="0">
        <f>LE165</f>
        <v/>
      </c>
      <c r="LG164" s="0">
        <f>LE164-LF164</f>
        <v/>
      </c>
      <c r="LH164" s="0">
        <f>LG164/LF164</f>
        <v/>
      </c>
      <c r="LJ164" s="0" t="n"/>
      <c r="LL164" s="0">
        <f>C164</f>
        <v/>
      </c>
      <c r="LM164" s="0" t="n">
        <v>3568795.02</v>
      </c>
      <c r="LN164" s="0">
        <f>LM165</f>
        <v/>
      </c>
      <c r="LO164" s="0">
        <f>LM164-LN164</f>
        <v/>
      </c>
      <c r="LP164" s="0">
        <f>LO164/LN164</f>
        <v/>
      </c>
      <c r="LR164" s="0" t="n"/>
      <c r="LT164" s="0">
        <f>C164</f>
        <v/>
      </c>
      <c r="LU164" s="0" t="n">
        <v>2753262.9</v>
      </c>
      <c r="LV164" s="0">
        <f>LU165</f>
        <v/>
      </c>
      <c r="LW164" s="0">
        <f>LU164-LV164</f>
        <v/>
      </c>
      <c r="LX164" s="0">
        <f>LW164/LV164</f>
        <v/>
      </c>
      <c r="LZ164" s="0" t="n"/>
      <c r="MB164" s="0">
        <f>C164</f>
        <v/>
      </c>
      <c r="MC164" s="0" t="n">
        <v>775867.6</v>
      </c>
      <c r="MD164" s="0">
        <f>MC165</f>
        <v/>
      </c>
      <c r="ME164" s="0">
        <f>MC164-MD164</f>
        <v/>
      </c>
      <c r="MF164" s="0">
        <f>ME164/MD164</f>
        <v/>
      </c>
      <c r="MH164" s="0" t="n"/>
      <c r="MJ164" s="713" t="n"/>
      <c r="MK164" s="0">
        <f>C164</f>
        <v/>
      </c>
      <c r="ML164" s="713" t="n">
        <v>233265.53</v>
      </c>
      <c r="MM164" s="0">
        <f>ML165</f>
        <v/>
      </c>
      <c r="MN164" s="713">
        <f>ML164-MM164</f>
        <v/>
      </c>
      <c r="MO164" s="0">
        <f>MN164/MM164</f>
        <v/>
      </c>
      <c r="MQ164" s="0" t="n"/>
      <c r="MS164" s="0" t="n"/>
      <c r="MT164" s="0">
        <f>C164</f>
        <v/>
      </c>
      <c r="MU164" s="0" t="n">
        <v>383614.8</v>
      </c>
      <c r="MV164" s="0">
        <f>MU165</f>
        <v/>
      </c>
      <c r="MW164" s="0">
        <f>MU164-MV164</f>
        <v/>
      </c>
      <c r="MX164" s="0">
        <f>MW164/MV164</f>
        <v/>
      </c>
      <c r="MZ164" s="0" t="n"/>
      <c r="NB164" s="0" t="n"/>
      <c r="NC164" s="0">
        <f>C164</f>
        <v/>
      </c>
      <c r="ND164" s="0" t="n">
        <v>47291.48</v>
      </c>
      <c r="NE164" s="0">
        <f>ND165</f>
        <v/>
      </c>
      <c r="NF164" s="0">
        <f>ND164-NE164</f>
        <v/>
      </c>
      <c r="NG164" s="0">
        <f>NF164/NE164</f>
        <v/>
      </c>
      <c r="NI164" s="0" t="n"/>
      <c r="NL164" s="0" t="n"/>
      <c r="NM164" s="0">
        <f>C164</f>
        <v/>
      </c>
      <c r="NN164" s="0" t="n">
        <v>2602411.08</v>
      </c>
      <c r="NO164" s="0">
        <f>NN165</f>
        <v/>
      </c>
      <c r="NP164" s="0">
        <f>NN164-NO164</f>
        <v/>
      </c>
      <c r="NQ164" s="0">
        <f>NP164/NO164</f>
        <v/>
      </c>
      <c r="NS164" s="0" t="n"/>
      <c r="NU164" s="0">
        <f>C164</f>
        <v/>
      </c>
      <c r="NV164" s="713" t="n">
        <v>244726.5</v>
      </c>
      <c r="NW164" s="0">
        <f>NV165</f>
        <v/>
      </c>
      <c r="NX164" s="713">
        <f>NV164-NW164</f>
        <v/>
      </c>
      <c r="NY164" s="0">
        <f>NX164/NW164</f>
        <v/>
      </c>
      <c r="OC164" s="0">
        <f>C164</f>
        <v/>
      </c>
      <c r="OD164" s="0" t="n">
        <v>11533.97</v>
      </c>
      <c r="OE164" s="0">
        <f>OD165</f>
        <v/>
      </c>
      <c r="OF164" s="0">
        <f>OD164-OE164</f>
        <v/>
      </c>
      <c r="OG164" s="0">
        <f>OF164/OE164</f>
        <v/>
      </c>
      <c r="OI164" s="0" t="n"/>
      <c r="OK164" s="0">
        <f>C164</f>
        <v/>
      </c>
      <c r="OL164" s="0" t="n">
        <v>10934.65</v>
      </c>
      <c r="OM164" s="0">
        <f>OL165</f>
        <v/>
      </c>
      <c r="ON164" s="0">
        <f>OL164-OM164</f>
        <v/>
      </c>
      <c r="OO164" s="0">
        <f>ON164/OM164</f>
        <v/>
      </c>
      <c r="OQ164" s="0" t="n"/>
      <c r="OT164" s="0">
        <f>OK164</f>
        <v/>
      </c>
      <c r="OU164" s="0" t="n">
        <v>142752.4066</v>
      </c>
      <c r="OV164" s="0">
        <f>OU165</f>
        <v/>
      </c>
      <c r="OW164" s="0">
        <f>OU164-OV164</f>
        <v/>
      </c>
      <c r="OX164" s="0">
        <f>OW164/OV164</f>
        <v/>
      </c>
    </row>
    <row r="187" ht="22.5" customFormat="1" customHeight="1" s="16">
      <c r="A187" s="631" t="n"/>
      <c r="B187" s="631" t="n"/>
      <c r="C187" s="714" t="inlineStr">
        <is>
          <t>2025//9//30</t>
        </is>
      </c>
      <c r="D187" s="521" t="n">
        <v>8971608.77</v>
      </c>
      <c r="E187" s="522">
        <f>D188</f>
        <v/>
      </c>
      <c r="F187" s="523">
        <f>D187-E187</f>
        <v/>
      </c>
      <c r="G187" s="524">
        <f>F187/E187</f>
        <v/>
      </c>
      <c r="H187" s="525" t="n"/>
      <c r="I187" s="526" t="n"/>
      <c r="J187" s="526" t="n"/>
      <c r="K187" s="522">
        <f>C187</f>
        <v/>
      </c>
      <c r="L187" s="521" t="n">
        <v>6672844.4</v>
      </c>
      <c r="M187" s="522">
        <f>L188</f>
        <v/>
      </c>
      <c r="N187" s="523">
        <f>L187-M187</f>
        <v/>
      </c>
      <c r="O187" s="525">
        <f>N187/M187</f>
        <v/>
      </c>
      <c r="P187" s="525" t="n"/>
      <c r="Q187" s="526" t="n"/>
      <c r="R187" s="523" t="n"/>
      <c r="S187" s="522">
        <f>C187</f>
        <v/>
      </c>
      <c r="T187" s="527" t="n">
        <v>5772396.68</v>
      </c>
      <c r="U187" s="522">
        <f>T188</f>
        <v/>
      </c>
      <c r="V187" s="523">
        <f>T187-U187</f>
        <v/>
      </c>
      <c r="W187" s="525">
        <f>V187/T187</f>
        <v/>
      </c>
      <c r="X187" s="525" t="n"/>
      <c r="Y187" s="526" t="n"/>
      <c r="Z187" s="523" t="n"/>
      <c r="AA187" s="522">
        <f>S187</f>
        <v/>
      </c>
      <c r="AB187" s="521" t="n"/>
      <c r="AC187" s="522" t="n"/>
      <c r="AD187" s="523" t="n"/>
      <c r="AE187" s="528" t="n"/>
      <c r="AF187" s="525" t="n"/>
      <c r="AG187" s="526" t="n"/>
      <c r="AH187" s="523" t="n"/>
      <c r="AI187" s="522">
        <f>C187</f>
        <v/>
      </c>
      <c r="AJ187" s="521" t="n"/>
      <c r="AK187" s="522" t="n"/>
      <c r="AL187" s="523" t="n"/>
      <c r="AM187" s="528" t="n"/>
      <c r="AN187" s="525" t="n"/>
      <c r="AO187" s="526" t="n"/>
      <c r="AP187" s="522" t="n"/>
      <c r="AQ187" s="522">
        <f>C187</f>
        <v/>
      </c>
      <c r="AR187" s="715" t="n"/>
      <c r="AS187" s="522" t="n"/>
      <c r="AT187" s="526" t="n"/>
      <c r="AU187" s="523" t="n"/>
      <c r="AV187" s="526" t="n"/>
      <c r="AW187" s="526" t="n"/>
      <c r="AX187" s="523" t="n"/>
      <c r="AY187" s="523" t="n"/>
      <c r="AZ187" s="523">
        <f>C187</f>
        <v/>
      </c>
      <c r="BA187" s="523" t="n"/>
      <c r="BB187" s="523" t="n"/>
      <c r="BC187" s="523" t="n"/>
      <c r="BD187" s="526" t="n"/>
      <c r="BE187" s="526" t="n"/>
      <c r="BF187" s="526" t="n"/>
      <c r="BG187" s="716" t="n"/>
      <c r="BH187" s="531">
        <f>C187</f>
        <v/>
      </c>
      <c r="BI187" s="531" t="inlineStr">
        <is>
          <t>期末总份额（万份份）</t>
        </is>
      </c>
      <c r="BJ187" s="531" t="inlineStr">
        <is>
          <t>期末总份额（亿份）</t>
        </is>
      </c>
      <c r="BK187" s="532" t="n"/>
      <c r="BL187" s="533" t="n"/>
      <c r="BM187" s="533" t="n"/>
      <c r="BN187" s="534" t="n"/>
      <c r="BO187" s="535" t="n"/>
      <c r="BP187" s="535">
        <f>C187</f>
        <v/>
      </c>
      <c r="BQ187" s="717" t="inlineStr">
        <is>
          <t>期末总份额（万份）</t>
        </is>
      </c>
      <c r="BR187" s="535" t="inlineStr">
        <is>
          <t>期末总份额（亿份）</t>
        </is>
      </c>
      <c r="BT187" s="533" t="n"/>
      <c r="BU187" s="533" t="n"/>
      <c r="BV187" s="534" t="n"/>
      <c r="BW187" s="535" t="n"/>
      <c r="BX187" s="535">
        <f>C187</f>
        <v/>
      </c>
      <c r="BY187" s="535" t="inlineStr">
        <is>
          <t>期末总份额（万份）</t>
        </is>
      </c>
      <c r="BZ187" s="535" t="inlineStr">
        <is>
          <t>期末总份额（亿份）</t>
        </is>
      </c>
      <c r="CB187" s="533" t="n"/>
      <c r="CC187" s="533" t="n"/>
      <c r="CD187" s="534" t="n"/>
      <c r="CE187" s="535" t="n"/>
      <c r="CF187" s="535">
        <f>C187</f>
        <v/>
      </c>
      <c r="CG187" s="537" t="n"/>
      <c r="CH187" s="535" t="inlineStr">
        <is>
          <t>期末总份额（亿份）</t>
        </is>
      </c>
      <c r="CJ187" s="537" t="n"/>
      <c r="CK187" s="533" t="n"/>
      <c r="CL187" s="533" t="n"/>
      <c r="CM187" s="535" t="n"/>
      <c r="CN187" s="535">
        <f>C187</f>
        <v/>
      </c>
      <c r="CO187" s="535" t="inlineStr">
        <is>
          <t>期末总份额（万份）</t>
        </is>
      </c>
      <c r="CP187" s="535" t="inlineStr">
        <is>
          <t>期末总份额（亿份）</t>
        </is>
      </c>
      <c r="CR187" s="533" t="n"/>
      <c r="CS187" s="533" t="n"/>
      <c r="CT187" s="533" t="n"/>
      <c r="CU187" s="535" t="n"/>
      <c r="CV187" s="535">
        <f>C187</f>
        <v/>
      </c>
      <c r="CW187" s="537" t="n"/>
      <c r="CX187" s="535" t="inlineStr">
        <is>
          <t>期末总份额（亿份）</t>
        </is>
      </c>
      <c r="CZ187" s="533" t="n"/>
      <c r="DA187" s="533" t="n"/>
      <c r="DB187" s="534" t="n"/>
      <c r="DC187" s="538" t="n"/>
      <c r="DD187" s="535">
        <f>C187</f>
        <v/>
      </c>
      <c r="DE187" s="535" t="inlineStr">
        <is>
          <t>期末总份额（万份）</t>
        </is>
      </c>
      <c r="DF187" s="535" t="inlineStr">
        <is>
          <t>期末总份额（亿份）</t>
        </is>
      </c>
      <c r="DH187" s="533" t="n"/>
      <c r="DI187" s="533" t="n"/>
      <c r="DJ187" s="534" t="n"/>
      <c r="DK187" s="535" t="n"/>
      <c r="DL187" s="535">
        <f>C187</f>
        <v/>
      </c>
      <c r="DM187" s="535" t="inlineStr">
        <is>
          <t>期末总份额（万份）</t>
        </is>
      </c>
      <c r="DN187" s="535" t="inlineStr">
        <is>
          <t>期末总份额（亿份）</t>
        </is>
      </c>
      <c r="DP187" s="533" t="n"/>
      <c r="DQ187" s="533" t="n"/>
      <c r="DR187" s="534" t="n"/>
      <c r="DS187" s="535" t="n"/>
      <c r="DT187" s="535">
        <f>C187</f>
        <v/>
      </c>
      <c r="DU187" s="535" t="inlineStr">
        <is>
          <t>期末总份额（万份）</t>
        </is>
      </c>
      <c r="DV187" s="535" t="inlineStr">
        <is>
          <t>期末总份额（亿份）</t>
        </is>
      </c>
      <c r="DX187" s="533" t="n"/>
      <c r="DY187" s="533" t="n"/>
      <c r="DZ187" s="534" t="n"/>
      <c r="EA187" s="535" t="n"/>
      <c r="EB187" s="535">
        <f>C187</f>
        <v/>
      </c>
      <c r="EC187" s="535" t="inlineStr">
        <is>
          <t>期末总份额（万份）</t>
        </is>
      </c>
      <c r="ED187" s="535" t="inlineStr">
        <is>
          <t>期末总份额（亿份）</t>
        </is>
      </c>
      <c r="EF187" s="533" t="n"/>
      <c r="EG187" s="533" t="n"/>
      <c r="EH187" s="534" t="n"/>
      <c r="EI187" s="535" t="n"/>
      <c r="EJ187" s="535">
        <f>C187</f>
        <v/>
      </c>
      <c r="EK187" s="535" t="inlineStr">
        <is>
          <t>期末总份额（万份）</t>
        </is>
      </c>
      <c r="EL187" s="535" t="inlineStr">
        <is>
          <t>期末总份额（亿份）</t>
        </is>
      </c>
      <c r="EN187" s="533" t="n"/>
      <c r="EO187" s="533" t="n"/>
      <c r="EP187" s="534" t="n"/>
      <c r="EQ187" s="534" t="n"/>
      <c r="ER187" s="16">
        <f>C187</f>
        <v/>
      </c>
      <c r="ES187" s="534" t="n"/>
      <c r="ET187" s="534" t="n"/>
      <c r="EU187" s="534" t="n"/>
      <c r="EV187" s="534" t="n"/>
      <c r="EW187" s="534" t="n"/>
      <c r="EX187" s="534" t="n"/>
      <c r="EY187" s="535" t="n"/>
      <c r="EZ187" s="535">
        <f>C187</f>
        <v/>
      </c>
      <c r="FA187" s="535" t="inlineStr">
        <is>
          <t>期末总份额（万份）</t>
        </is>
      </c>
      <c r="FB187" s="535" t="inlineStr">
        <is>
          <t>期末总份额（亿份）</t>
        </is>
      </c>
      <c r="FD187" s="533" t="n"/>
      <c r="FE187" s="533" t="n"/>
      <c r="FF187" s="534" t="n"/>
      <c r="FG187" s="534" t="n"/>
      <c r="FH187" s="535">
        <f>C187</f>
        <v/>
      </c>
      <c r="FI187" s="718" t="n"/>
      <c r="FJ187" s="535" t="inlineStr">
        <is>
          <t>期末总份额（亿份）</t>
        </is>
      </c>
      <c r="FL187" s="537" t="n"/>
      <c r="FM187" s="533" t="n"/>
      <c r="FN187" s="534" t="n"/>
      <c r="FO187" s="535" t="n"/>
      <c r="FP187" s="535">
        <f>C187</f>
        <v/>
      </c>
      <c r="FQ187" s="535" t="inlineStr">
        <is>
          <t>期末总份额（万份）</t>
        </is>
      </c>
      <c r="FR187" s="535" t="inlineStr">
        <is>
          <t>期末总份额（亿份）</t>
        </is>
      </c>
      <c r="FT187" s="533" t="n"/>
      <c r="FU187" s="533" t="n"/>
      <c r="FV187" s="534" t="n"/>
      <c r="FW187" s="535" t="n"/>
      <c r="FX187" s="535">
        <f>C187</f>
        <v/>
      </c>
      <c r="FY187" s="535" t="inlineStr">
        <is>
          <t>期末总份额（万份）</t>
        </is>
      </c>
      <c r="FZ187" s="535" t="inlineStr">
        <is>
          <t>期末总份额（亿份）</t>
        </is>
      </c>
      <c r="GB187" s="533" t="n"/>
      <c r="GC187" s="533" t="n"/>
      <c r="GD187" s="534" t="n"/>
      <c r="GE187" s="535" t="n"/>
      <c r="GF187" s="535">
        <f>C187</f>
        <v/>
      </c>
      <c r="GG187" s="535" t="inlineStr">
        <is>
          <t>期末总份额（万份）</t>
        </is>
      </c>
      <c r="GH187" s="535" t="inlineStr">
        <is>
          <t>期末总份额（亿份）</t>
        </is>
      </c>
      <c r="GJ187" s="533" t="n"/>
      <c r="GK187" s="533" t="n"/>
      <c r="GL187" s="534" t="n"/>
      <c r="GM187" s="535" t="n"/>
      <c r="GN187" s="535">
        <f>C187</f>
        <v/>
      </c>
      <c r="GO187" s="535" t="inlineStr">
        <is>
          <t>期末总份额（万份）</t>
        </is>
      </c>
      <c r="GP187" s="535" t="inlineStr">
        <is>
          <t>期末总份额（亿份）</t>
        </is>
      </c>
      <c r="GR187" s="533" t="n"/>
      <c r="GS187" s="533" t="n"/>
      <c r="GT187" s="534" t="n"/>
      <c r="GU187" s="535" t="n"/>
      <c r="GV187" s="535">
        <f>C187</f>
        <v/>
      </c>
      <c r="GW187" s="535" t="inlineStr">
        <is>
          <t>期末总份额（万份）</t>
        </is>
      </c>
      <c r="GX187" s="535" t="inlineStr">
        <is>
          <t>期末总份额（亿份）</t>
        </is>
      </c>
      <c r="GZ187" s="533" t="n"/>
      <c r="HA187" s="533" t="n"/>
      <c r="HB187" s="534" t="n"/>
      <c r="HC187" s="535" t="n"/>
      <c r="HD187" s="535">
        <f>C187</f>
        <v/>
      </c>
      <c r="HE187" s="535" t="inlineStr">
        <is>
          <t>期末总份额（万份）</t>
        </is>
      </c>
      <c r="HF187" s="535" t="inlineStr">
        <is>
          <t>期末总份额（亿份）</t>
        </is>
      </c>
      <c r="HH187" s="533" t="n"/>
      <c r="HI187" s="533" t="n"/>
      <c r="HJ187" s="534" t="n"/>
      <c r="HK187" s="535" t="n"/>
      <c r="HL187" s="535">
        <f>C187</f>
        <v/>
      </c>
      <c r="HM187" s="535" t="inlineStr">
        <is>
          <t>期末总份额（万份）</t>
        </is>
      </c>
      <c r="HN187" s="535" t="inlineStr">
        <is>
          <t>期末总份额（亿份）</t>
        </is>
      </c>
      <c r="HP187" s="534" t="n"/>
      <c r="HQ187" s="534" t="n"/>
      <c r="HR187" s="534" t="n"/>
      <c r="HS187" s="535" t="n"/>
      <c r="HT187" s="535">
        <f>C187</f>
        <v/>
      </c>
      <c r="HU187" s="537" t="n"/>
      <c r="HV187" s="535" t="inlineStr">
        <is>
          <t>期末总份额（亿份）</t>
        </is>
      </c>
      <c r="HX187" s="533" t="n"/>
      <c r="HY187" s="533" t="n"/>
      <c r="HZ187" s="534" t="n"/>
      <c r="IA187" s="535" t="n"/>
      <c r="IB187" s="535">
        <f>C187</f>
        <v/>
      </c>
      <c r="IC187" s="537" t="n"/>
      <c r="ID187" s="535" t="inlineStr">
        <is>
          <t>期末总份额（亿份）</t>
        </is>
      </c>
      <c r="IF187" s="537" t="n"/>
      <c r="IG187" s="533" t="n"/>
      <c r="IH187" s="534" t="n"/>
      <c r="II187" s="535" t="n"/>
      <c r="IJ187" s="535">
        <f>C187</f>
        <v/>
      </c>
      <c r="IK187" s="537" t="n"/>
      <c r="IL187" s="535" t="inlineStr">
        <is>
          <t>期末总份额（亿份）</t>
        </is>
      </c>
      <c r="IN187" s="533" t="n"/>
      <c r="IO187" s="533" t="n"/>
      <c r="IP187" s="534" t="n"/>
      <c r="IQ187" s="535" t="n"/>
      <c r="IR187" s="535">
        <f>C187</f>
        <v/>
      </c>
      <c r="IS187" s="535" t="inlineStr">
        <is>
          <t>期末总份额（万份）</t>
        </is>
      </c>
      <c r="IT187" s="535" t="inlineStr">
        <is>
          <t>期末总份额（亿份）</t>
        </is>
      </c>
      <c r="IV187" s="533" t="n"/>
      <c r="IW187" s="533" t="n"/>
      <c r="IX187" s="534" t="n"/>
      <c r="IY187" s="535" t="n"/>
      <c r="IZ187" s="535">
        <f>C187</f>
        <v/>
      </c>
      <c r="JA187" s="535" t="inlineStr">
        <is>
          <t>期末总份额（万份）</t>
        </is>
      </c>
      <c r="JB187" s="535" t="inlineStr">
        <is>
          <t>期末总份额（亿份）</t>
        </is>
      </c>
      <c r="JD187" s="533" t="n"/>
      <c r="JE187" s="533" t="n"/>
      <c r="JF187" s="534" t="n"/>
      <c r="JG187" s="535" t="n"/>
      <c r="JH187" s="535">
        <f>C187</f>
        <v/>
      </c>
      <c r="JI187" s="535" t="inlineStr">
        <is>
          <t>期末总份额（万份）</t>
        </is>
      </c>
      <c r="JJ187" s="535" t="inlineStr">
        <is>
          <t>期末总份额（亿份）</t>
        </is>
      </c>
      <c r="JL187" s="533" t="n"/>
      <c r="JM187" s="533" t="n"/>
      <c r="JN187" s="533" t="n"/>
      <c r="JO187" s="534" t="n"/>
      <c r="JP187" s="535">
        <f>C187</f>
        <v/>
      </c>
      <c r="JQ187" s="535" t="inlineStr">
        <is>
          <t>期末总份额（万份）</t>
        </is>
      </c>
      <c r="JR187" s="535" t="inlineStr">
        <is>
          <t>期末总份额（亿份）</t>
        </is>
      </c>
      <c r="JT187" s="533" t="n"/>
      <c r="JU187" s="533" t="n"/>
      <c r="JV187" s="533" t="n"/>
      <c r="JW187" s="533" t="n"/>
      <c r="JX187" s="535">
        <f>C187</f>
        <v/>
      </c>
      <c r="JY187" s="535" t="inlineStr">
        <is>
          <t>期末总份额（万份）</t>
        </is>
      </c>
      <c r="JZ187" s="535" t="inlineStr">
        <is>
          <t>期末总份额（亿份）</t>
        </is>
      </c>
      <c r="KB187" s="533" t="n"/>
      <c r="KC187" s="533" t="n"/>
      <c r="KD187" s="533" t="n"/>
      <c r="KE187" s="533" t="n"/>
      <c r="KF187" s="537">
        <f>C187</f>
        <v/>
      </c>
      <c r="KG187" s="537" t="n"/>
      <c r="KH187" s="537" t="n"/>
      <c r="KI187" s="537" t="n"/>
      <c r="KJ187" s="537" t="n"/>
      <c r="KK187" s="533" t="n"/>
      <c r="KL187" s="533" t="n"/>
      <c r="KM187" s="535" t="n"/>
      <c r="KN187" s="535">
        <f>C187</f>
        <v/>
      </c>
      <c r="KO187" s="535" t="inlineStr">
        <is>
          <t>期末总份额（万份）</t>
        </is>
      </c>
      <c r="KP187" s="535" t="inlineStr">
        <is>
          <t>期末总份额（亿份）</t>
        </is>
      </c>
      <c r="KR187" s="533" t="n"/>
      <c r="KS187" s="533" t="n"/>
      <c r="KT187" s="534" t="n"/>
      <c r="KU187" s="535" t="n"/>
      <c r="KV187" s="535">
        <f>C187</f>
        <v/>
      </c>
      <c r="KW187" s="537" t="n"/>
      <c r="KX187" s="535" t="inlineStr">
        <is>
          <t>期末总份额（亿份）</t>
        </is>
      </c>
      <c r="KZ187" s="533" t="n"/>
      <c r="LA187" s="533" t="n"/>
      <c r="LB187" s="534" t="n"/>
      <c r="LC187" s="535" t="n"/>
      <c r="LD187" s="535">
        <f>C187</f>
        <v/>
      </c>
      <c r="LE187" s="535" t="inlineStr">
        <is>
          <t>期末总份额（万份）</t>
        </is>
      </c>
      <c r="LF187" s="535" t="inlineStr">
        <is>
          <t>期末总份额（亿份）</t>
        </is>
      </c>
      <c r="LH187" s="533" t="n"/>
      <c r="LI187" s="533" t="n"/>
      <c r="LJ187" s="534" t="n"/>
      <c r="LK187" s="535" t="n"/>
      <c r="LL187" s="535">
        <f>C187</f>
        <v/>
      </c>
      <c r="LM187" s="718" t="n"/>
      <c r="LN187" s="535" t="inlineStr">
        <is>
          <t>期末总份额（亿份）</t>
        </is>
      </c>
      <c r="LP187" s="533" t="n"/>
      <c r="LQ187" s="533" t="n"/>
      <c r="LR187" s="534" t="n"/>
      <c r="LS187" s="535" t="n"/>
      <c r="LT187" s="535">
        <f>C187</f>
        <v/>
      </c>
      <c r="LU187" s="537" t="n"/>
      <c r="LV187" s="535" t="inlineStr">
        <is>
          <t>期末总份额（亿份）</t>
        </is>
      </c>
      <c r="LX187" s="533" t="n"/>
      <c r="LY187" s="533" t="n"/>
      <c r="LZ187" s="534" t="n"/>
      <c r="MA187" s="535" t="n"/>
      <c r="MB187" s="535">
        <f>C187</f>
        <v/>
      </c>
      <c r="MC187" s="537" t="n"/>
      <c r="MD187" s="535" t="inlineStr">
        <is>
          <t>期末总份额（亿份）</t>
        </is>
      </c>
      <c r="MF187" s="533" t="n"/>
      <c r="MG187" s="533" t="n"/>
      <c r="MH187" s="534" t="n"/>
      <c r="MI187" s="535" t="n"/>
      <c r="MJ187" s="535" t="n"/>
      <c r="MK187" s="535">
        <f>C187</f>
        <v/>
      </c>
      <c r="ML187" s="535" t="n"/>
      <c r="MM187" s="540" t="n"/>
      <c r="MN187" s="535" t="n"/>
      <c r="MO187" s="541" t="n"/>
      <c r="MP187" s="541" t="n"/>
      <c r="MQ187" s="541" t="n"/>
      <c r="MR187" s="541" t="n"/>
      <c r="MS187" s="541" t="n"/>
      <c r="MT187" s="542">
        <f>C187</f>
        <v/>
      </c>
      <c r="MU187" s="543" t="n"/>
      <c r="MV187" s="544" t="inlineStr">
        <is>
          <t>期末总份额（亿份）</t>
        </is>
      </c>
      <c r="MY187" s="545" t="n"/>
      <c r="MZ187" s="534" t="n"/>
      <c r="NA187" s="534" t="n"/>
      <c r="NB187" s="534" t="n"/>
      <c r="NC187" s="16">
        <f>C187</f>
        <v/>
      </c>
      <c r="NG187" s="534" t="n"/>
      <c r="NH187" s="534" t="n"/>
      <c r="NI187" s="534" t="n"/>
      <c r="NJ187" s="534" t="n"/>
      <c r="NK187" s="534" t="n"/>
      <c r="NL187" s="5" t="n"/>
      <c r="NM187" s="5">
        <f>C187</f>
        <v/>
      </c>
      <c r="NN187" s="5" t="n"/>
      <c r="NO187" s="5" t="n"/>
      <c r="NP187" s="5" t="n"/>
      <c r="NQ187" s="19" t="n"/>
      <c r="NR187" s="19" t="n"/>
      <c r="NS187" s="5" t="n"/>
      <c r="NT187" s="5" t="n"/>
      <c r="NU187" s="5">
        <f>C187</f>
        <v/>
      </c>
      <c r="NV187" s="521" t="n"/>
      <c r="NW187" s="521" t="n"/>
      <c r="NX187" s="521" t="n"/>
      <c r="NY187" s="546" t="n"/>
      <c r="NZ187" s="541" t="n"/>
      <c r="OA187" s="535" t="n"/>
      <c r="OB187" s="535" t="n"/>
      <c r="OC187" s="535">
        <f>C187</f>
        <v/>
      </c>
      <c r="OD187" s="537" t="n"/>
      <c r="OE187" s="535" t="inlineStr">
        <is>
          <t>期末总份额（亿份）</t>
        </is>
      </c>
      <c r="OG187" s="533" t="n"/>
      <c r="OH187" s="534" t="n"/>
      <c r="OI187" s="534" t="n"/>
      <c r="OK187" s="16">
        <f>C187</f>
        <v/>
      </c>
      <c r="OO187" s="534" t="n"/>
      <c r="OP187" s="534" t="n"/>
      <c r="OQ187" s="534" t="n"/>
      <c r="OT187" s="547">
        <f>OK187</f>
        <v/>
      </c>
      <c r="OX187" s="534" t="n"/>
    </row>
    <row r="188" ht="22.5" customFormat="1" customHeight="1" s="5">
      <c r="A188" s="631" t="n"/>
      <c r="B188" s="631" t="n"/>
      <c r="C188" s="714" t="inlineStr">
        <is>
          <t>2025//8//29</t>
        </is>
      </c>
      <c r="D188" s="521" t="n">
        <v>9139818.77</v>
      </c>
      <c r="E188" s="522">
        <f>D189</f>
        <v/>
      </c>
      <c r="F188" s="523">
        <f>D188-E188</f>
        <v/>
      </c>
      <c r="G188" s="524">
        <f>F188/E188</f>
        <v/>
      </c>
      <c r="H188" s="525" t="n"/>
      <c r="I188" s="526" t="n"/>
      <c r="J188" s="526" t="n"/>
      <c r="K188" s="522">
        <f>C188</f>
        <v/>
      </c>
      <c r="L188" s="521" t="n">
        <v>6739084.4</v>
      </c>
      <c r="M188" s="522">
        <f>L189</f>
        <v/>
      </c>
      <c r="N188" s="523">
        <f>L188-M188</f>
        <v/>
      </c>
      <c r="O188" s="525">
        <f>N188/M188</f>
        <v/>
      </c>
      <c r="P188" s="525" t="n"/>
      <c r="Q188" s="526" t="n"/>
      <c r="R188" s="523" t="n"/>
      <c r="S188" s="522">
        <f>C188</f>
        <v/>
      </c>
      <c r="T188" s="527" t="n">
        <v>5877156.68</v>
      </c>
      <c r="U188" s="522">
        <f>T189</f>
        <v/>
      </c>
      <c r="V188" s="523">
        <f>T188-U188</f>
        <v/>
      </c>
      <c r="W188" s="525">
        <f>V188/T188</f>
        <v/>
      </c>
      <c r="X188" s="525" t="n"/>
      <c r="Y188" s="526" t="n"/>
      <c r="Z188" s="523" t="n"/>
      <c r="AA188" s="522">
        <f>S188</f>
        <v/>
      </c>
      <c r="AB188" s="521" t="n"/>
      <c r="AC188" s="522" t="n"/>
      <c r="AD188" s="523" t="n"/>
      <c r="AE188" s="528" t="n"/>
      <c r="AF188" s="525" t="n"/>
      <c r="AG188" s="526" t="n"/>
      <c r="AH188" s="523" t="n"/>
      <c r="AI188" s="522">
        <f>C188</f>
        <v/>
      </c>
      <c r="AJ188" s="521" t="n"/>
      <c r="AK188" s="522" t="n"/>
      <c r="AL188" s="523" t="n"/>
      <c r="AM188" s="528" t="n"/>
      <c r="AN188" s="525" t="n"/>
      <c r="AO188" s="526" t="n"/>
      <c r="AP188" s="522" t="n"/>
      <c r="AQ188" s="522">
        <f>C188</f>
        <v/>
      </c>
      <c r="AR188" s="715" t="n"/>
      <c r="AS188" s="522" t="n"/>
      <c r="AT188" s="526" t="n"/>
      <c r="AU188" s="523" t="n"/>
      <c r="AV188" s="526" t="n"/>
      <c r="AW188" s="526" t="n"/>
      <c r="AX188" s="523" t="n"/>
      <c r="AY188" s="523" t="n"/>
      <c r="AZ188" s="523">
        <f>C188</f>
        <v/>
      </c>
      <c r="BA188" s="523" t="n"/>
      <c r="BB188" s="523" t="n"/>
      <c r="BC188" s="523" t="n"/>
      <c r="BD188" s="526" t="n"/>
      <c r="BE188" s="526" t="n"/>
      <c r="BF188" s="526" t="n"/>
      <c r="BG188" s="647" t="n"/>
      <c r="BH188" s="548">
        <f>C188</f>
        <v/>
      </c>
      <c r="BI188" s="549">
        <f>BJ188*10000</f>
        <v/>
      </c>
      <c r="BJ188" s="548" t="n">
        <v>26.23</v>
      </c>
      <c r="BK188" s="550" t="n"/>
      <c r="BL188" s="525" t="n"/>
      <c r="BM188" s="525" t="n"/>
      <c r="BN188" s="19" t="n"/>
      <c r="BO188" s="551" t="n"/>
      <c r="BP188" s="522">
        <f>C188</f>
        <v/>
      </c>
      <c r="BQ188" s="715">
        <f>BR188*10000</f>
        <v/>
      </c>
      <c r="BR188" s="522" t="n">
        <v>69.77</v>
      </c>
      <c r="BT188" s="525" t="n"/>
      <c r="BU188" s="19" t="n"/>
      <c r="BV188" s="19" t="n"/>
      <c r="BW188" s="551" t="n"/>
      <c r="BX188" s="522">
        <f>C188</f>
        <v/>
      </c>
      <c r="BY188" s="522">
        <f>BZ188*10000</f>
        <v/>
      </c>
      <c r="BZ188" s="522" t="n">
        <v>206</v>
      </c>
      <c r="CB188" s="525" t="n"/>
      <c r="CC188" s="525" t="n"/>
      <c r="CD188" s="19" t="n"/>
      <c r="CE188" s="552" t="n"/>
      <c r="CF188" s="528">
        <f>C188</f>
        <v/>
      </c>
      <c r="CG188" s="528">
        <f>CH188*10000</f>
        <v/>
      </c>
      <c r="CH188" s="528" t="n">
        <v>106.88</v>
      </c>
      <c r="CJ188" s="528" t="n"/>
      <c r="CK188" s="525" t="n"/>
      <c r="CL188" s="524" t="n"/>
      <c r="CM188" s="551" t="n"/>
      <c r="CN188" s="522">
        <f>C188</f>
        <v/>
      </c>
      <c r="CO188" s="522">
        <f>CP188*10000</f>
        <v/>
      </c>
      <c r="CP188" s="522" t="n">
        <v>34.82</v>
      </c>
      <c r="CR188" s="525" t="n"/>
      <c r="CS188" s="524" t="n"/>
      <c r="CT188" s="524" t="n"/>
      <c r="CU188" s="551" t="n"/>
      <c r="CV188" s="522">
        <f>C188</f>
        <v/>
      </c>
      <c r="CW188" s="522">
        <f>CX188*10000</f>
        <v/>
      </c>
      <c r="CX188" s="522" t="n">
        <v>61.18</v>
      </c>
      <c r="CZ188" s="525" t="n"/>
      <c r="DA188" s="525" t="n"/>
      <c r="DB188" s="19" t="n"/>
      <c r="DC188" s="553" t="n"/>
      <c r="DD188" s="522">
        <f>C188</f>
        <v/>
      </c>
      <c r="DE188" s="522">
        <f>DF188*10000</f>
        <v/>
      </c>
      <c r="DF188" s="522" t="n">
        <v>58.53</v>
      </c>
      <c r="DH188" s="525" t="n"/>
      <c r="DI188" s="525" t="n"/>
      <c r="DJ188" s="19" t="n"/>
      <c r="DK188" s="551" t="n"/>
      <c r="DL188" s="522">
        <f>C188</f>
        <v/>
      </c>
      <c r="DM188" s="522">
        <f>DN188*10000</f>
        <v/>
      </c>
      <c r="DN188" s="522" t="n">
        <v>137.81</v>
      </c>
      <c r="DP188" s="525" t="n"/>
      <c r="DQ188" s="525" t="n"/>
      <c r="DR188" s="19" t="n"/>
      <c r="DS188" s="551" t="n"/>
      <c r="DT188" s="522">
        <f>C188</f>
        <v/>
      </c>
      <c r="DU188" s="522">
        <f>DV188*10000</f>
        <v/>
      </c>
      <c r="DV188" s="522" t="n">
        <v>169.39</v>
      </c>
      <c r="DX188" s="525" t="n"/>
      <c r="DY188" s="525" t="n"/>
      <c r="DZ188" s="19" t="n"/>
      <c r="EA188" s="551" t="n"/>
      <c r="EB188" s="522">
        <f>C188</f>
        <v/>
      </c>
      <c r="EC188" s="522">
        <f>ED188*10000</f>
        <v/>
      </c>
      <c r="ED188" s="522" t="n">
        <v>537.1</v>
      </c>
      <c r="EF188" s="525" t="n"/>
      <c r="EG188" s="525" t="n"/>
      <c r="EH188" s="19" t="n"/>
      <c r="EI188" s="551" t="n"/>
      <c r="EJ188" s="522">
        <f>C188</f>
        <v/>
      </c>
      <c r="EK188" s="522">
        <f>EL188*10000</f>
        <v/>
      </c>
      <c r="EL188" s="522" t="n">
        <v>142.35</v>
      </c>
      <c r="EN188" s="525" t="n"/>
      <c r="EO188" s="525" t="n"/>
      <c r="EP188" s="19" t="n"/>
      <c r="EQ188" s="19" t="n"/>
      <c r="ER188" s="5">
        <f>C188</f>
        <v/>
      </c>
      <c r="ES188" s="19" t="n"/>
      <c r="ET188" s="19" t="n"/>
      <c r="EU188" s="19" t="n"/>
      <c r="EV188" s="19" t="n"/>
      <c r="EW188" s="19" t="n"/>
      <c r="EX188" s="19" t="n"/>
      <c r="EY188" s="551" t="n"/>
      <c r="EZ188" s="522">
        <f>C188</f>
        <v/>
      </c>
      <c r="FA188" s="522">
        <f>FB188*10000</f>
        <v/>
      </c>
      <c r="FB188" s="522" t="n">
        <v>77.66</v>
      </c>
      <c r="FC188" s="19">
        <f>(FA188-FA189)/FA189</f>
        <v/>
      </c>
      <c r="FD188" s="525" t="n"/>
      <c r="FE188" s="525" t="n"/>
      <c r="FF188" s="19" t="n"/>
      <c r="FG188" s="19" t="n"/>
      <c r="FH188" s="528">
        <f>C188</f>
        <v/>
      </c>
      <c r="FI188" s="719">
        <f>FJ188*10000</f>
        <v/>
      </c>
      <c r="FJ188" s="528" t="n">
        <v>39.69</v>
      </c>
      <c r="FL188" s="528" t="n"/>
      <c r="FM188" s="525" t="n"/>
      <c r="FN188" s="19" t="n"/>
      <c r="FO188" s="551" t="n"/>
      <c r="FP188" s="522">
        <f>C188</f>
        <v/>
      </c>
      <c r="FQ188" s="522">
        <f>FR188*10000</f>
        <v/>
      </c>
      <c r="FR188" s="522" t="n">
        <v>259.89</v>
      </c>
      <c r="FT188" s="525" t="n"/>
      <c r="FU188" s="525" t="n"/>
      <c r="FV188" s="19" t="n"/>
      <c r="FW188" s="551" t="n"/>
      <c r="FX188" s="522">
        <f>C188</f>
        <v/>
      </c>
      <c r="FY188" s="522">
        <f>FZ188*10000</f>
        <v/>
      </c>
      <c r="FZ188" s="522" t="n">
        <v>744.24</v>
      </c>
      <c r="GB188" s="525" t="n"/>
      <c r="GC188" s="525" t="n"/>
      <c r="GD188" s="19" t="n"/>
      <c r="GE188" s="551" t="n"/>
      <c r="GF188" s="522">
        <f>C188</f>
        <v/>
      </c>
      <c r="GG188" s="522">
        <f>GH188*10000</f>
        <v/>
      </c>
      <c r="GH188" s="522" t="n">
        <v>448.35</v>
      </c>
      <c r="GJ188" s="525" t="n"/>
      <c r="GK188" s="525" t="n"/>
      <c r="GL188" s="19" t="n"/>
      <c r="GM188" s="551" t="n"/>
      <c r="GN188" s="522">
        <f>C188</f>
        <v/>
      </c>
      <c r="GO188" s="522">
        <f>GP188*10000</f>
        <v/>
      </c>
      <c r="GP188" s="522" t="n">
        <v>149.24</v>
      </c>
      <c r="GR188" s="525" t="n"/>
      <c r="GS188" s="525" t="n"/>
      <c r="GT188" s="19" t="n"/>
      <c r="GU188" s="551" t="n"/>
      <c r="GV188" s="522">
        <f>C188</f>
        <v/>
      </c>
      <c r="GW188" s="522">
        <f>GX188*10000</f>
        <v/>
      </c>
      <c r="GX188" s="522" t="n">
        <v>116.97</v>
      </c>
      <c r="GZ188" s="525">
        <f>(GW188-GW189)/GW189</f>
        <v/>
      </c>
      <c r="HA188" s="525" t="n"/>
      <c r="HB188" s="19" t="n"/>
      <c r="HC188" s="551" t="n"/>
      <c r="HD188" s="522">
        <f>C188</f>
        <v/>
      </c>
      <c r="HE188" s="522">
        <f>HF188*10000</f>
        <v/>
      </c>
      <c r="HF188" s="522" t="n">
        <v>131.75</v>
      </c>
      <c r="HH188" s="525" t="n"/>
      <c r="HI188" s="524" t="n"/>
      <c r="HJ188" s="19" t="n"/>
      <c r="HK188" s="551" t="n"/>
      <c r="HL188" s="522">
        <f>C188</f>
        <v/>
      </c>
      <c r="HM188" s="522">
        <f>HN188*10000</f>
        <v/>
      </c>
      <c r="HN188" s="522" t="n">
        <v>16.69</v>
      </c>
      <c r="HP188" s="525" t="n"/>
      <c r="HQ188" s="525" t="n"/>
      <c r="HR188" s="19" t="n"/>
      <c r="HS188" s="551" t="n"/>
      <c r="HT188" s="522">
        <f>C188</f>
        <v/>
      </c>
      <c r="HU188" s="522">
        <f>HV188*10000</f>
        <v/>
      </c>
      <c r="HV188" s="522" t="n">
        <v>9.390000000000001</v>
      </c>
      <c r="HX188" s="525" t="n"/>
      <c r="HY188" s="525" t="n"/>
      <c r="HZ188" s="19" t="n"/>
      <c r="IA188" s="551" t="n"/>
      <c r="IB188" s="522">
        <f>C188</f>
        <v/>
      </c>
      <c r="IC188" s="522">
        <f>ID188*10000</f>
        <v/>
      </c>
      <c r="ID188" s="522" t="n">
        <v>31.25</v>
      </c>
      <c r="IF188" s="528" t="n"/>
      <c r="IG188" s="525" t="n"/>
      <c r="IH188" s="19" t="n"/>
      <c r="II188" s="551" t="n"/>
      <c r="IJ188" s="522">
        <f>C188</f>
        <v/>
      </c>
      <c r="IK188" s="522">
        <f>IL188*10000</f>
        <v/>
      </c>
      <c r="IL188" s="522" t="n">
        <v>36.9</v>
      </c>
      <c r="IN188" s="525" t="n"/>
      <c r="IO188" s="525" t="n"/>
      <c r="IP188" s="19" t="n"/>
      <c r="IQ188" s="551" t="n"/>
      <c r="IR188" s="522">
        <f>C188</f>
        <v/>
      </c>
      <c r="IS188" s="522">
        <f>IT188*10000</f>
        <v/>
      </c>
      <c r="IT188" s="522" t="n">
        <v>10.33</v>
      </c>
      <c r="IV188" s="525" t="n"/>
      <c r="IW188" s="525" t="n"/>
      <c r="IX188" s="19" t="n"/>
      <c r="IY188" s="551" t="n"/>
      <c r="IZ188" s="522">
        <f>C188</f>
        <v/>
      </c>
      <c r="JA188" s="522">
        <f>JB188*10000</f>
        <v/>
      </c>
      <c r="JB188" s="522" t="n">
        <v>470.35</v>
      </c>
      <c r="JD188" s="525" t="n"/>
      <c r="JE188" s="525" t="n"/>
      <c r="JF188" s="19" t="n"/>
      <c r="JG188" s="551" t="n"/>
      <c r="JH188" s="522">
        <f>C188</f>
        <v/>
      </c>
      <c r="JI188" s="522">
        <f>JJ188*10000</f>
        <v/>
      </c>
      <c r="JJ188" s="522" t="n">
        <v>155.28</v>
      </c>
      <c r="JL188" s="525" t="n"/>
      <c r="JM188" s="525" t="n"/>
      <c r="JN188" s="525" t="n"/>
      <c r="JO188" s="19" t="n"/>
      <c r="JP188" s="522">
        <f>C188</f>
        <v/>
      </c>
      <c r="JQ188" s="522">
        <f>JR188*10000</f>
        <v/>
      </c>
      <c r="JR188" s="522" t="n">
        <v>119.19</v>
      </c>
      <c r="JT188" s="525" t="n"/>
      <c r="JU188" s="525" t="n"/>
      <c r="JV188" s="525" t="n"/>
      <c r="JW188" s="525" t="n"/>
      <c r="JX188" s="522">
        <f>C188</f>
        <v/>
      </c>
      <c r="JY188" s="522">
        <f>JZ188*10000</f>
        <v/>
      </c>
      <c r="JZ188" s="522" t="n">
        <v>148.18</v>
      </c>
      <c r="KB188" s="525" t="n"/>
      <c r="KC188" s="525" t="n"/>
      <c r="KD188" s="525" t="n"/>
      <c r="KE188" s="525" t="n"/>
      <c r="KF188" s="522">
        <f>C188</f>
        <v/>
      </c>
      <c r="KG188" s="551" t="n"/>
      <c r="KH188" s="551" t="n"/>
      <c r="KI188" s="528" t="n"/>
      <c r="KJ188" s="552" t="n"/>
      <c r="KK188" s="524" t="n"/>
      <c r="KL188" s="524" t="n"/>
      <c r="KM188" s="551" t="n"/>
      <c r="KN188" s="522">
        <f>C188</f>
        <v/>
      </c>
      <c r="KO188" s="522">
        <f>KP188*10000</f>
        <v/>
      </c>
      <c r="KP188" s="522" t="n">
        <v>666.08</v>
      </c>
      <c r="KR188" s="525" t="n"/>
      <c r="KS188" s="525" t="n"/>
      <c r="KT188" s="19" t="n"/>
      <c r="KU188" s="551" t="n"/>
      <c r="KV188" s="522">
        <f>C188</f>
        <v/>
      </c>
      <c r="KW188" s="522">
        <f>KX188*10000</f>
        <v/>
      </c>
      <c r="KX188" s="522" t="n">
        <v>104.92</v>
      </c>
      <c r="KZ188" s="525" t="n"/>
      <c r="LA188" s="525" t="n"/>
      <c r="LB188" s="19" t="n"/>
      <c r="LC188" s="551" t="n"/>
      <c r="LD188" s="522">
        <f>C188</f>
        <v/>
      </c>
      <c r="LE188" s="522">
        <f>LF188*10000</f>
        <v/>
      </c>
      <c r="LF188" s="522" t="n">
        <v>42.59</v>
      </c>
      <c r="LH188" s="525" t="n"/>
      <c r="LI188" s="525" t="n"/>
      <c r="LJ188" s="19" t="n"/>
      <c r="LK188" s="551" t="n"/>
      <c r="LL188" s="522">
        <f>C188</f>
        <v/>
      </c>
      <c r="LM188" s="715">
        <f>LN188*10000</f>
        <v/>
      </c>
      <c r="LN188" s="522" t="n">
        <v>352.18</v>
      </c>
      <c r="LP188" s="525" t="n"/>
      <c r="LQ188" s="525" t="n"/>
      <c r="LR188" s="19" t="n"/>
      <c r="LS188" s="551" t="n"/>
      <c r="LT188" s="522">
        <f>C188</f>
        <v/>
      </c>
      <c r="LU188" s="522">
        <f>LV188*10000</f>
        <v/>
      </c>
      <c r="LV188" s="522" t="n">
        <v>263.73</v>
      </c>
      <c r="LX188" s="525" t="n"/>
      <c r="LY188" s="525" t="n"/>
      <c r="LZ188" s="19" t="n"/>
      <c r="MA188" s="551" t="n"/>
      <c r="MB188" s="522">
        <f>C188</f>
        <v/>
      </c>
      <c r="MC188" s="522">
        <f>MD188*10000</f>
        <v/>
      </c>
      <c r="MD188" s="522" t="n">
        <v>84.09</v>
      </c>
      <c r="MF188" s="525" t="n"/>
      <c r="MG188" s="525" t="n"/>
      <c r="MH188" s="19" t="n"/>
      <c r="MI188" s="551" t="n"/>
      <c r="MJ188" s="551" t="n"/>
      <c r="MK188" s="522">
        <f>C188</f>
        <v/>
      </c>
      <c r="ML188" s="551" t="n"/>
      <c r="MM188" s="24" t="n"/>
      <c r="MN188" s="551" t="n"/>
      <c r="MO188" s="524" t="n"/>
      <c r="MP188" s="524" t="n"/>
      <c r="MQ188" s="524" t="n"/>
      <c r="MR188" s="524" t="n"/>
      <c r="MS188" s="524" t="n"/>
      <c r="MT188" s="555">
        <f>C188</f>
        <v/>
      </c>
      <c r="MU188" s="556">
        <f>MV188*10000</f>
        <v/>
      </c>
      <c r="MV188" s="556" t="n">
        <v>2.07</v>
      </c>
      <c r="MW188" s="19">
        <f>(MU188-MU189)/MU189</f>
        <v/>
      </c>
      <c r="MX188" s="19" t="n"/>
      <c r="MY188" s="557" t="n"/>
      <c r="MZ188" s="19" t="n"/>
      <c r="NA188" s="19" t="n"/>
      <c r="NB188" s="19" t="n"/>
      <c r="NC188" s="5">
        <f>C188</f>
        <v/>
      </c>
      <c r="NG188" s="19" t="n"/>
      <c r="NH188" s="19" t="n"/>
      <c r="NI188" s="19" t="n"/>
      <c r="NJ188" s="19" t="n"/>
      <c r="NK188" s="19" t="n"/>
      <c r="NM188" s="5">
        <f>C188</f>
        <v/>
      </c>
      <c r="NQ188" s="19" t="n"/>
      <c r="NR188" s="19" t="n"/>
      <c r="NU188" s="5">
        <f>C188</f>
        <v/>
      </c>
      <c r="NV188" s="551" t="n"/>
      <c r="NW188" s="551" t="n"/>
      <c r="NX188" s="551" t="n"/>
      <c r="NY188" s="524" t="n"/>
      <c r="NZ188" s="524" t="n"/>
      <c r="OA188" s="551" t="n"/>
      <c r="OB188" s="551" t="n"/>
      <c r="OC188" s="522">
        <f>C188</f>
        <v/>
      </c>
      <c r="OD188" s="522">
        <f>OE188*10000</f>
        <v/>
      </c>
      <c r="OE188" s="522" t="n">
        <v>1.36</v>
      </c>
      <c r="OG188" s="525" t="n"/>
      <c r="OH188" s="19" t="n"/>
      <c r="OI188" s="19" t="n"/>
      <c r="OK188" s="5">
        <f>C188</f>
        <v/>
      </c>
      <c r="OO188" s="19" t="n"/>
      <c r="OP188" s="19" t="n"/>
      <c r="OQ188" s="19" t="n"/>
      <c r="OT188" s="25">
        <f>OK188</f>
        <v/>
      </c>
      <c r="OX188" s="19" t="n"/>
    </row>
    <row r="189" ht="22.5" customFormat="1" customHeight="1" s="5">
      <c r="A189" s="631" t="n"/>
      <c r="B189" s="631" t="n"/>
      <c r="C189" s="714" t="inlineStr">
        <is>
          <t>2025//7//31</t>
        </is>
      </c>
      <c r="D189" s="521" t="n">
        <v>9167628.77</v>
      </c>
      <c r="E189" s="522">
        <f>D190</f>
        <v/>
      </c>
      <c r="F189" s="523">
        <f>D189-E189</f>
        <v/>
      </c>
      <c r="G189" s="524">
        <f>F189/E189</f>
        <v/>
      </c>
      <c r="H189" s="525" t="n"/>
      <c r="I189" s="526" t="n"/>
      <c r="J189" s="526" t="n"/>
      <c r="K189" s="522">
        <f>C189</f>
        <v/>
      </c>
      <c r="L189" s="521" t="n">
        <v>6731524.4</v>
      </c>
      <c r="M189" s="522">
        <f>L190</f>
        <v/>
      </c>
      <c r="N189" s="523">
        <f>L189-M189</f>
        <v/>
      </c>
      <c r="O189" s="525">
        <f>N189/M189</f>
        <v/>
      </c>
      <c r="P189" s="525" t="n"/>
      <c r="Q189" s="526" t="n"/>
      <c r="R189" s="523" t="n"/>
      <c r="S189" s="522">
        <f>C189</f>
        <v/>
      </c>
      <c r="T189" s="527" t="n">
        <v>5785086.68</v>
      </c>
      <c r="U189" s="522">
        <f>T190</f>
        <v/>
      </c>
      <c r="V189" s="523">
        <f>T189-U189</f>
        <v/>
      </c>
      <c r="W189" s="525">
        <f>V189/T189</f>
        <v/>
      </c>
      <c r="X189" s="525" t="n"/>
      <c r="Y189" s="526" t="n"/>
      <c r="Z189" s="523" t="n"/>
      <c r="AA189" s="522">
        <f>S189</f>
        <v/>
      </c>
      <c r="AB189" s="521" t="n"/>
      <c r="AC189" s="522" t="n"/>
      <c r="AD189" s="523" t="n"/>
      <c r="AE189" s="528" t="n"/>
      <c r="AF189" s="525" t="n"/>
      <c r="AG189" s="526" t="n"/>
      <c r="AH189" s="523" t="n"/>
      <c r="AI189" s="522">
        <f>C189</f>
        <v/>
      </c>
      <c r="AJ189" s="521" t="n"/>
      <c r="AK189" s="522" t="n"/>
      <c r="AL189" s="523" t="n"/>
      <c r="AM189" s="528" t="n"/>
      <c r="AN189" s="525" t="n"/>
      <c r="AO189" s="526" t="n"/>
      <c r="AP189" s="522" t="n"/>
      <c r="AQ189" s="522">
        <f>C189</f>
        <v/>
      </c>
      <c r="AR189" s="715" t="n"/>
      <c r="AS189" s="522" t="n"/>
      <c r="AT189" s="526" t="n"/>
      <c r="AU189" s="523" t="n"/>
      <c r="AV189" s="526" t="n"/>
      <c r="AW189" s="526" t="n"/>
      <c r="AX189" s="523" t="n"/>
      <c r="AY189" s="523" t="n"/>
      <c r="AZ189" s="523">
        <f>C189</f>
        <v/>
      </c>
      <c r="BA189" s="523" t="n"/>
      <c r="BB189" s="523" t="n"/>
      <c r="BC189" s="523" t="n"/>
      <c r="BD189" s="526" t="n"/>
      <c r="BE189" s="526" t="n"/>
      <c r="BF189" s="526" t="n"/>
      <c r="BG189" s="647" t="n"/>
      <c r="BH189" s="548">
        <f>C189</f>
        <v/>
      </c>
      <c r="BI189" s="549">
        <f>BJ189*10000</f>
        <v/>
      </c>
      <c r="BJ189" s="548" t="n">
        <v>0.92</v>
      </c>
      <c r="BK189" s="550" t="n"/>
      <c r="BL189" s="525" t="n"/>
      <c r="BM189" s="525" t="n"/>
      <c r="BN189" s="19" t="n"/>
      <c r="BO189" s="551" t="n"/>
      <c r="BP189" s="522">
        <f>C189</f>
        <v/>
      </c>
      <c r="BQ189" s="715">
        <f>BR189*10000</f>
        <v/>
      </c>
      <c r="BR189" s="522" t="n">
        <v>52.59</v>
      </c>
      <c r="BT189" s="525" t="n"/>
      <c r="BU189" s="525" t="n"/>
      <c r="BV189" s="19" t="n"/>
      <c r="BW189" s="551" t="n"/>
      <c r="BX189" s="522">
        <f>C189</f>
        <v/>
      </c>
      <c r="BY189" s="522">
        <f>BZ189*10000</f>
        <v/>
      </c>
      <c r="BZ189" s="522" t="n">
        <v>255.7</v>
      </c>
      <c r="CB189" s="525" t="n"/>
      <c r="CC189" s="525" t="n"/>
      <c r="CD189" s="19" t="n"/>
      <c r="CE189" s="552" t="n"/>
      <c r="CF189" s="528">
        <f>C189</f>
        <v/>
      </c>
      <c r="CG189" s="528">
        <f>CH189*10000</f>
        <v/>
      </c>
      <c r="CH189" s="528" t="n">
        <v>86.78</v>
      </c>
      <c r="CJ189" s="528" t="n"/>
      <c r="CK189" s="525" t="n"/>
      <c r="CL189" s="524" t="n"/>
      <c r="CM189" s="551" t="n"/>
      <c r="CN189" s="522">
        <f>C189</f>
        <v/>
      </c>
      <c r="CO189" s="522">
        <f>CP189*10000</f>
        <v/>
      </c>
      <c r="CP189" s="522" t="n">
        <v>5.73</v>
      </c>
      <c r="CR189" s="525" t="n"/>
      <c r="CS189" s="524" t="n"/>
      <c r="CT189" s="524" t="n"/>
      <c r="CU189" s="551" t="n"/>
      <c r="CV189" s="522">
        <f>C189</f>
        <v/>
      </c>
      <c r="CW189" s="522">
        <f>CX189*10000</f>
        <v/>
      </c>
      <c r="CX189" s="522" t="n">
        <v>58.65</v>
      </c>
      <c r="CZ189" s="525" t="n"/>
      <c r="DA189" s="525" t="n"/>
      <c r="DB189" s="19" t="n"/>
      <c r="DC189" s="553" t="n"/>
      <c r="DD189" s="522">
        <f>C189</f>
        <v/>
      </c>
      <c r="DE189" s="522">
        <f>DF189*10000</f>
        <v/>
      </c>
      <c r="DF189" s="522" t="n">
        <v>53.19</v>
      </c>
      <c r="DH189" s="525" t="n"/>
      <c r="DI189" s="525" t="n"/>
      <c r="DJ189" s="19" t="n"/>
      <c r="DK189" s="551" t="n"/>
      <c r="DL189" s="522">
        <f>C189</f>
        <v/>
      </c>
      <c r="DM189" s="522">
        <f>DN189*10000</f>
        <v/>
      </c>
      <c r="DN189" s="522" t="n">
        <v>146.37</v>
      </c>
      <c r="DP189" s="525" t="n"/>
      <c r="DQ189" s="525" t="n"/>
      <c r="DR189" s="19" t="n"/>
      <c r="DS189" s="551" t="n"/>
      <c r="DT189" s="522">
        <f>C189</f>
        <v/>
      </c>
      <c r="DU189" s="522">
        <f>DV189*10000</f>
        <v/>
      </c>
      <c r="DV189" s="522" t="n">
        <v>157.57</v>
      </c>
      <c r="DX189" s="525" t="n"/>
      <c r="DY189" s="525" t="n"/>
      <c r="DZ189" s="19" t="n"/>
      <c r="EA189" s="551" t="n"/>
      <c r="EB189" s="522">
        <f>C189</f>
        <v/>
      </c>
      <c r="EC189" s="522">
        <f>ED189*10000</f>
        <v/>
      </c>
      <c r="ED189" s="522" t="n">
        <v>481.75</v>
      </c>
      <c r="EF189" s="525" t="n"/>
      <c r="EG189" s="525" t="n"/>
      <c r="EH189" s="19" t="n"/>
      <c r="EI189" s="551" t="n"/>
      <c r="EJ189" s="522">
        <f>C189</f>
        <v/>
      </c>
      <c r="EK189" s="522">
        <f>EL189*10000</f>
        <v/>
      </c>
      <c r="EL189" s="522" t="n">
        <v>162.43</v>
      </c>
      <c r="EN189" s="525" t="n"/>
      <c r="EO189" s="525" t="n"/>
      <c r="EP189" s="19" t="n"/>
      <c r="EQ189" s="19" t="n"/>
      <c r="ER189" s="5">
        <f>C189</f>
        <v/>
      </c>
      <c r="ES189" s="19" t="n"/>
      <c r="ET189" s="19" t="n"/>
      <c r="EU189" s="19" t="n"/>
      <c r="EV189" s="19" t="n"/>
      <c r="EW189" s="19" t="n"/>
      <c r="EX189" s="19" t="n"/>
      <c r="EY189" s="551" t="n"/>
      <c r="EZ189" s="522">
        <f>C189</f>
        <v/>
      </c>
      <c r="FA189" s="522">
        <f>FB189*10000</f>
        <v/>
      </c>
      <c r="FB189" s="522" t="n">
        <v>114.5</v>
      </c>
      <c r="FD189" s="525" t="n"/>
      <c r="FE189" s="525" t="n"/>
      <c r="FF189" s="19" t="n"/>
      <c r="FG189" s="19" t="n"/>
      <c r="FH189" s="528">
        <f>C189</f>
        <v/>
      </c>
      <c r="FI189" s="719">
        <f>FJ189*10000</f>
        <v/>
      </c>
      <c r="FJ189" s="528" t="n">
        <v>10</v>
      </c>
      <c r="FL189" s="528" t="n"/>
      <c r="FM189" s="525" t="n"/>
      <c r="FN189" s="19" t="n"/>
      <c r="FO189" s="551" t="n"/>
      <c r="FP189" s="522">
        <f>C189</f>
        <v/>
      </c>
      <c r="FQ189" s="522">
        <f>FR189*10000</f>
        <v/>
      </c>
      <c r="FR189" s="522" t="n">
        <v>208.63</v>
      </c>
      <c r="FT189" s="525" t="n"/>
      <c r="FU189" s="525" t="n"/>
      <c r="FV189" s="19" t="n"/>
      <c r="FW189" s="551" t="n"/>
      <c r="FX189" s="522">
        <f>C189</f>
        <v/>
      </c>
      <c r="FY189" s="522">
        <f>FZ189*10000</f>
        <v/>
      </c>
      <c r="FZ189" s="522" t="n">
        <v>674.52</v>
      </c>
      <c r="GB189" s="525" t="n"/>
      <c r="GC189" s="525" t="n"/>
      <c r="GD189" s="19" t="n"/>
      <c r="GE189" s="551" t="n"/>
      <c r="GF189" s="522">
        <f>C189</f>
        <v/>
      </c>
      <c r="GG189" s="522">
        <f>GH189*10000</f>
        <v/>
      </c>
      <c r="GH189" s="522" t="n">
        <v>426.18</v>
      </c>
      <c r="GJ189" s="525" t="n"/>
      <c r="GK189" s="525" t="n"/>
      <c r="GL189" s="19" t="n"/>
      <c r="GM189" s="551" t="n"/>
      <c r="GN189" s="522">
        <f>C189</f>
        <v/>
      </c>
      <c r="GO189" s="522">
        <f>GP189*10000</f>
        <v/>
      </c>
      <c r="GP189" s="522" t="n">
        <v>123.94</v>
      </c>
      <c r="GR189" s="525" t="n"/>
      <c r="GS189" s="525" t="n"/>
      <c r="GT189" s="19" t="n"/>
      <c r="GU189" s="551" t="n"/>
      <c r="GV189" s="522">
        <f>C189</f>
        <v/>
      </c>
      <c r="GW189" s="522">
        <f>GX189*10000</f>
        <v/>
      </c>
      <c r="GX189" s="522" t="n">
        <v>146.53</v>
      </c>
      <c r="GZ189" s="525">
        <f>(GW189-GW190)/GW190</f>
        <v/>
      </c>
      <c r="HA189" s="525" t="n"/>
      <c r="HB189" s="19" t="n"/>
      <c r="HC189" s="551" t="n"/>
      <c r="HD189" s="522">
        <f>C189</f>
        <v/>
      </c>
      <c r="HE189" s="522">
        <f>HF189*10000</f>
        <v/>
      </c>
      <c r="HF189" s="522" t="n">
        <v>135.98</v>
      </c>
      <c r="HH189" s="525" t="n"/>
      <c r="HI189" s="524" t="n"/>
      <c r="HJ189" s="19" t="n"/>
      <c r="HK189" s="551" t="n"/>
      <c r="HL189" s="522">
        <f>C189</f>
        <v/>
      </c>
      <c r="HM189" s="522">
        <f>HN189*10000</f>
        <v/>
      </c>
      <c r="HN189" s="522" t="n">
        <v>22.16</v>
      </c>
      <c r="HP189" s="525" t="n"/>
      <c r="HQ189" s="525" t="n"/>
      <c r="HR189" s="19" t="n"/>
      <c r="HS189" s="551" t="n"/>
      <c r="HT189" s="522">
        <f>C189</f>
        <v/>
      </c>
      <c r="HU189" s="522">
        <f>HV189*10000</f>
        <v/>
      </c>
      <c r="HV189" s="522" t="n">
        <v>17.29</v>
      </c>
      <c r="HX189" s="525" t="n"/>
      <c r="HY189" s="525" t="n"/>
      <c r="HZ189" s="19" t="n"/>
      <c r="IA189" s="551" t="n"/>
      <c r="IB189" s="522">
        <f>C189</f>
        <v/>
      </c>
      <c r="IC189" s="522">
        <f>ID189*10000</f>
        <v/>
      </c>
      <c r="ID189" s="522" t="n">
        <v>45.06</v>
      </c>
      <c r="IF189" s="528" t="n"/>
      <c r="IG189" s="525" t="n"/>
      <c r="IH189" s="19" t="n"/>
      <c r="II189" s="551" t="n"/>
      <c r="IJ189" s="522">
        <f>C189</f>
        <v/>
      </c>
      <c r="IK189" s="522">
        <f>IL189*10000</f>
        <v/>
      </c>
      <c r="IL189" s="522" t="n">
        <v>35.99</v>
      </c>
      <c r="IN189" s="525" t="n"/>
      <c r="IO189" s="525" t="n"/>
      <c r="IP189" s="19" t="n"/>
      <c r="IQ189" s="551" t="n"/>
      <c r="IR189" s="522">
        <f>C189</f>
        <v/>
      </c>
      <c r="IS189" s="522">
        <f>IT189*10000</f>
        <v/>
      </c>
      <c r="IT189" s="522" t="n">
        <v>15.25</v>
      </c>
      <c r="IV189" s="525" t="n"/>
      <c r="IW189" s="525" t="n"/>
      <c r="IX189" s="19" t="n"/>
      <c r="IY189" s="551" t="n"/>
      <c r="IZ189" s="522">
        <f>C189</f>
        <v/>
      </c>
      <c r="JA189" s="522">
        <f>JB189*10000</f>
        <v/>
      </c>
      <c r="JB189" s="522" t="n">
        <v>437.84</v>
      </c>
      <c r="JD189" s="525" t="n"/>
      <c r="JE189" s="525" t="n"/>
      <c r="JF189" s="19" t="n"/>
      <c r="JG189" s="551" t="n"/>
      <c r="JH189" s="522">
        <f>C189</f>
        <v/>
      </c>
      <c r="JI189" s="522">
        <f>JJ189*10000</f>
        <v/>
      </c>
      <c r="JJ189" s="522" t="n">
        <v>179.05</v>
      </c>
      <c r="JL189" s="525" t="n"/>
      <c r="JM189" s="525" t="n"/>
      <c r="JN189" s="525" t="n"/>
      <c r="JO189" s="19" t="n"/>
      <c r="JP189" s="522">
        <f>C189</f>
        <v/>
      </c>
      <c r="JQ189" s="522">
        <f>JR189*10000</f>
        <v/>
      </c>
      <c r="JR189" s="522" t="n">
        <v>132.82</v>
      </c>
      <c r="JT189" s="525" t="n"/>
      <c r="JU189" s="525" t="n"/>
      <c r="JV189" s="525" t="n"/>
      <c r="JW189" s="525" t="n"/>
      <c r="JX189" s="522">
        <f>C189</f>
        <v/>
      </c>
      <c r="JY189" s="522">
        <f>JZ189*10000</f>
        <v/>
      </c>
      <c r="JZ189" s="522" t="n">
        <v>146.59</v>
      </c>
      <c r="KB189" s="525" t="n"/>
      <c r="KC189" s="525" t="n"/>
      <c r="KD189" s="525" t="n"/>
      <c r="KE189" s="525" t="n"/>
      <c r="KF189" s="522">
        <f>C189</f>
        <v/>
      </c>
      <c r="KG189" s="551" t="n"/>
      <c r="KH189" s="551" t="n"/>
      <c r="KI189" s="528" t="n"/>
      <c r="KJ189" s="552" t="n"/>
      <c r="KK189" s="524" t="n"/>
      <c r="KL189" s="524" t="n"/>
      <c r="KM189" s="551" t="n"/>
      <c r="KN189" s="522">
        <f>C189</f>
        <v/>
      </c>
      <c r="KO189" s="522">
        <f>KP189*10000</f>
        <v/>
      </c>
      <c r="KP189" s="522" t="n">
        <v>518.11</v>
      </c>
      <c r="KR189" s="525" t="n"/>
      <c r="KS189" s="525" t="n"/>
      <c r="KT189" s="19" t="n"/>
      <c r="KU189" s="551" t="n"/>
      <c r="KV189" s="522">
        <f>C189</f>
        <v/>
      </c>
      <c r="KW189" s="522">
        <f>KX189*10000</f>
        <v/>
      </c>
      <c r="KX189" s="522" t="n">
        <v>81.43000000000001</v>
      </c>
      <c r="KZ189" s="525" t="n"/>
      <c r="LA189" s="525" t="n"/>
      <c r="LB189" s="19" t="n"/>
      <c r="LC189" s="551" t="n"/>
      <c r="LD189" s="522">
        <f>C189</f>
        <v/>
      </c>
      <c r="LE189" s="522">
        <f>LF189*10000</f>
        <v/>
      </c>
      <c r="LF189" s="522" t="n">
        <v>43.53</v>
      </c>
      <c r="LH189" s="525" t="n"/>
      <c r="LI189" s="525" t="n"/>
      <c r="LJ189" s="19" t="n"/>
      <c r="LK189" s="551" t="n"/>
      <c r="LL189" s="522">
        <f>C189</f>
        <v/>
      </c>
      <c r="LM189" s="715">
        <f>LN189*10000</f>
        <v/>
      </c>
      <c r="LN189" s="522" t="n">
        <v>344.68</v>
      </c>
      <c r="LP189" s="525" t="n"/>
      <c r="LQ189" s="525" t="n"/>
      <c r="LR189" s="19" t="n"/>
      <c r="LS189" s="551" t="n"/>
      <c r="LT189" s="522">
        <f>C189</f>
        <v/>
      </c>
      <c r="LU189" s="522">
        <f>LV189*10000</f>
        <v/>
      </c>
      <c r="LV189" s="522" t="n">
        <v>231.63</v>
      </c>
      <c r="LX189" s="525" t="n"/>
      <c r="LY189" s="525" t="n"/>
      <c r="LZ189" s="19" t="n"/>
      <c r="MA189" s="551" t="n"/>
      <c r="MB189" s="522">
        <f>C189</f>
        <v/>
      </c>
      <c r="MC189" s="522">
        <f>MD189*10000</f>
        <v/>
      </c>
      <c r="MD189" s="522" t="n">
        <v>106.78</v>
      </c>
      <c r="MF189" s="525" t="n"/>
      <c r="MG189" s="525" t="n"/>
      <c r="MH189" s="19" t="n"/>
      <c r="MI189" s="551" t="n"/>
      <c r="MJ189" s="551" t="n"/>
      <c r="MK189" s="522">
        <f>C189</f>
        <v/>
      </c>
      <c r="ML189" s="551" t="n"/>
      <c r="MM189" s="24" t="n"/>
      <c r="MN189" s="551" t="n"/>
      <c r="MO189" s="524" t="n"/>
      <c r="MP189" s="524" t="n"/>
      <c r="MQ189" s="524" t="n"/>
      <c r="MR189" s="524" t="n"/>
      <c r="MS189" s="524" t="n"/>
      <c r="MT189" s="555">
        <f>C189</f>
        <v/>
      </c>
      <c r="MU189" s="556">
        <f>MV189*10000</f>
        <v/>
      </c>
      <c r="MV189" s="556" t="n">
        <v>1.18</v>
      </c>
      <c r="MW189" s="19">
        <f>(MU189-MU190)/MU190</f>
        <v/>
      </c>
      <c r="MX189" s="19" t="n"/>
      <c r="MY189" s="557" t="n"/>
      <c r="MZ189" s="19" t="n"/>
      <c r="NA189" s="19" t="n"/>
      <c r="NB189" s="19" t="n"/>
      <c r="NC189" s="5">
        <f>C189</f>
        <v/>
      </c>
      <c r="NG189" s="19" t="n"/>
      <c r="NH189" s="19" t="n"/>
      <c r="NI189" s="19" t="n"/>
      <c r="NJ189" s="19" t="n"/>
      <c r="NK189" s="19" t="n"/>
      <c r="NM189" s="5">
        <f>C189</f>
        <v/>
      </c>
      <c r="NQ189" s="19" t="n"/>
      <c r="NR189" s="19" t="n"/>
      <c r="NU189" s="5">
        <f>C189</f>
        <v/>
      </c>
      <c r="NV189" s="551" t="n"/>
      <c r="NW189" s="551" t="n"/>
      <c r="NX189" s="551" t="n"/>
      <c r="NY189" s="524" t="n"/>
      <c r="NZ189" s="524" t="n"/>
      <c r="OA189" s="551" t="n"/>
      <c r="OB189" s="551" t="n"/>
      <c r="OC189" s="522">
        <f>C189</f>
        <v/>
      </c>
      <c r="OD189" s="522">
        <f>OE189*10000</f>
        <v/>
      </c>
      <c r="OE189" s="522" t="n">
        <v>1.77</v>
      </c>
      <c r="OG189" s="525" t="n"/>
      <c r="OH189" s="19" t="n"/>
      <c r="OI189" s="19" t="n"/>
      <c r="OK189" s="5">
        <f>C189</f>
        <v/>
      </c>
      <c r="OO189" s="19" t="n"/>
      <c r="OP189" s="19" t="n"/>
      <c r="OQ189" s="19" t="n"/>
      <c r="OT189" s="25">
        <f>OK189</f>
        <v/>
      </c>
      <c r="OX189" s="19" t="n"/>
    </row>
    <row r="190" ht="22.5" customFormat="1" customHeight="1" s="5">
      <c r="A190" s="631" t="n"/>
      <c r="B190" s="631" t="n"/>
      <c r="C190" s="714" t="inlineStr">
        <is>
          <t>2025//6//30</t>
        </is>
      </c>
      <c r="D190" s="521" t="n">
        <v>9404238.77</v>
      </c>
      <c r="E190" s="522">
        <f>D191</f>
        <v/>
      </c>
      <c r="F190" s="523">
        <f>D190-E190</f>
        <v/>
      </c>
      <c r="G190" s="524">
        <f>F190/E190</f>
        <v/>
      </c>
      <c r="H190" s="525" t="n"/>
      <c r="I190" s="526" t="n"/>
      <c r="J190" s="526" t="n"/>
      <c r="K190" s="522">
        <f>C190</f>
        <v/>
      </c>
      <c r="L190" s="521" t="n">
        <v>6826834.4</v>
      </c>
      <c r="M190" s="522">
        <f>L191</f>
        <v/>
      </c>
      <c r="N190" s="523">
        <f>L190-M190</f>
        <v/>
      </c>
      <c r="O190" s="525">
        <f>N190/M190</f>
        <v/>
      </c>
      <c r="P190" s="525" t="n"/>
      <c r="Q190" s="526" t="n"/>
      <c r="R190" s="523" t="n"/>
      <c r="S190" s="522">
        <f>C190</f>
        <v/>
      </c>
      <c r="T190" s="527" t="n">
        <v>5895246.68</v>
      </c>
      <c r="U190" s="522">
        <f>T191</f>
        <v/>
      </c>
      <c r="V190" s="523">
        <f>T190-U190</f>
        <v/>
      </c>
      <c r="W190" s="525">
        <f>V190/T190</f>
        <v/>
      </c>
      <c r="X190" s="525" t="n"/>
      <c r="Y190" s="526" t="n"/>
      <c r="Z190" s="523" t="n"/>
      <c r="AA190" s="522">
        <f>S190</f>
        <v/>
      </c>
      <c r="AB190" s="521" t="n"/>
      <c r="AC190" s="522" t="n"/>
      <c r="AD190" s="523" t="n"/>
      <c r="AE190" s="528" t="n"/>
      <c r="AF190" s="525" t="n"/>
      <c r="AG190" s="526" t="n"/>
      <c r="AH190" s="523" t="n"/>
      <c r="AI190" s="522">
        <f>C190</f>
        <v/>
      </c>
      <c r="AJ190" s="521" t="n"/>
      <c r="AK190" s="522" t="n"/>
      <c r="AL190" s="523" t="n"/>
      <c r="AM190" s="528" t="n"/>
      <c r="AN190" s="525" t="n"/>
      <c r="AO190" s="526" t="n"/>
      <c r="AP190" s="522" t="n"/>
      <c r="AQ190" s="522">
        <f>C190</f>
        <v/>
      </c>
      <c r="AR190" s="715" t="n"/>
      <c r="AS190" s="522" t="n"/>
      <c r="AT190" s="526" t="n"/>
      <c r="AU190" s="523" t="n"/>
      <c r="AV190" s="526" t="n"/>
      <c r="AW190" s="526" t="n"/>
      <c r="AX190" s="523" t="n"/>
      <c r="AY190" s="523" t="n"/>
      <c r="AZ190" s="523">
        <f>C190</f>
        <v/>
      </c>
      <c r="BA190" s="523" t="n"/>
      <c r="BB190" s="523" t="n"/>
      <c r="BC190" s="523" t="n"/>
      <c r="BD190" s="526" t="n"/>
      <c r="BE190" s="526" t="n"/>
      <c r="BF190" s="526" t="n"/>
      <c r="BG190" s="647" t="n"/>
      <c r="BH190" s="548">
        <f>C190</f>
        <v/>
      </c>
      <c r="BI190" s="549">
        <f>BJ190*10000</f>
        <v/>
      </c>
      <c r="BJ190" s="548" t="n">
        <v>0.51</v>
      </c>
      <c r="BK190" s="550" t="n"/>
      <c r="BL190" s="525" t="n"/>
      <c r="BM190" s="525" t="n"/>
      <c r="BN190" s="19" t="n"/>
      <c r="BO190" s="551" t="n"/>
      <c r="BP190" s="522">
        <f>C190</f>
        <v/>
      </c>
      <c r="BQ190" s="715">
        <f>BR190*10000</f>
        <v/>
      </c>
      <c r="BR190" s="522" t="n">
        <v>39.43</v>
      </c>
      <c r="BT190" s="525" t="n"/>
      <c r="BU190" s="525" t="n"/>
      <c r="BV190" s="19" t="n"/>
      <c r="BW190" s="551" t="n"/>
      <c r="BX190" s="522">
        <f>C190</f>
        <v/>
      </c>
      <c r="BY190" s="522">
        <f>BZ190*10000</f>
        <v/>
      </c>
      <c r="BZ190" s="522" t="n">
        <v>24.75</v>
      </c>
      <c r="CB190" s="525" t="n"/>
      <c r="CC190" s="525" t="n"/>
      <c r="CD190" s="19" t="n"/>
      <c r="CE190" s="552" t="n"/>
      <c r="CF190" s="528">
        <f>C190</f>
        <v/>
      </c>
      <c r="CG190" s="528">
        <f>CH190*10000</f>
        <v/>
      </c>
      <c r="CH190" s="528" t="n">
        <v>41.29</v>
      </c>
      <c r="CJ190" s="528" t="n"/>
      <c r="CK190" s="525" t="n"/>
      <c r="CL190" s="524" t="n"/>
      <c r="CM190" s="551" t="n"/>
      <c r="CN190" s="522">
        <f>C190</f>
        <v/>
      </c>
      <c r="CO190" s="522">
        <f>CP190*10000</f>
        <v/>
      </c>
      <c r="CP190" s="522" t="n">
        <v>1.08</v>
      </c>
      <c r="CR190" s="525" t="n"/>
      <c r="CS190" s="524" t="n"/>
      <c r="CT190" s="524" t="n"/>
      <c r="CU190" s="551" t="n"/>
      <c r="CV190" s="522">
        <f>C190</f>
        <v/>
      </c>
      <c r="CW190" s="522">
        <f>CX190*10000</f>
        <v/>
      </c>
      <c r="CX190" s="522" t="n">
        <v>32.17</v>
      </c>
      <c r="CZ190" s="525" t="n"/>
      <c r="DA190" s="525" t="n"/>
      <c r="DB190" s="19" t="n"/>
      <c r="DC190" s="553" t="n"/>
      <c r="DD190" s="522">
        <f>C190</f>
        <v/>
      </c>
      <c r="DE190" s="522">
        <f>DF190*10000</f>
        <v/>
      </c>
      <c r="DF190" s="522" t="n">
        <v>23.06</v>
      </c>
      <c r="DH190" s="525" t="n"/>
      <c r="DI190" s="525" t="n"/>
      <c r="DJ190" s="19" t="n"/>
      <c r="DK190" s="551" t="n"/>
      <c r="DL190" s="522">
        <f>C190</f>
        <v/>
      </c>
      <c r="DM190" s="522">
        <f>DN190*10000</f>
        <v/>
      </c>
      <c r="DN190" s="522" t="n">
        <v>226.43</v>
      </c>
      <c r="DP190" s="525" t="n"/>
      <c r="DQ190" s="525" t="n"/>
      <c r="DR190" s="19" t="n"/>
      <c r="DS190" s="551" t="n"/>
      <c r="DT190" s="522">
        <f>C190</f>
        <v/>
      </c>
      <c r="DU190" s="522">
        <f>DV190*10000</f>
        <v/>
      </c>
      <c r="DV190" s="522" t="n">
        <v>179.29</v>
      </c>
      <c r="DX190" s="525" t="n"/>
      <c r="DY190" s="525" t="n"/>
      <c r="DZ190" s="19" t="n"/>
      <c r="EA190" s="551" t="n"/>
      <c r="EB190" s="522">
        <f>C190</f>
        <v/>
      </c>
      <c r="EC190" s="522">
        <f>ED190*10000</f>
        <v/>
      </c>
      <c r="ED190" s="522" t="n">
        <v>789.64</v>
      </c>
      <c r="EF190" s="525" t="n"/>
      <c r="EG190" s="525" t="n"/>
      <c r="EH190" s="19" t="n"/>
      <c r="EI190" s="551" t="n"/>
      <c r="EJ190" s="522">
        <f>C190</f>
        <v/>
      </c>
      <c r="EK190" s="522">
        <f>EL190*10000</f>
        <v/>
      </c>
      <c r="EL190" s="522" t="n">
        <v>171.09</v>
      </c>
      <c r="EN190" s="525" t="n"/>
      <c r="EO190" s="525" t="n"/>
      <c r="EP190" s="19" t="n"/>
      <c r="EQ190" s="19" t="n"/>
      <c r="ER190" s="5">
        <f>C190</f>
        <v/>
      </c>
      <c r="ES190" s="19" t="n"/>
      <c r="ET190" s="19" t="n"/>
      <c r="EU190" s="19" t="n"/>
      <c r="EV190" s="19" t="n"/>
      <c r="EW190" s="19" t="n"/>
      <c r="EX190" s="19" t="n"/>
      <c r="EY190" s="551" t="n"/>
      <c r="EZ190" s="522">
        <f>C190</f>
        <v/>
      </c>
      <c r="FA190" s="522">
        <f>FB190*10000</f>
        <v/>
      </c>
      <c r="FB190" s="522" t="n">
        <v>136.33</v>
      </c>
      <c r="FD190" s="525" t="n"/>
      <c r="FE190" s="525" t="n"/>
      <c r="FF190" s="19" t="n"/>
      <c r="FG190" s="19" t="n"/>
      <c r="FH190" s="528">
        <f>C190</f>
        <v/>
      </c>
      <c r="FI190" s="719">
        <f>FJ190*10000</f>
        <v/>
      </c>
      <c r="FJ190" s="528" t="n">
        <v>0.9</v>
      </c>
      <c r="FL190" s="528" t="n"/>
      <c r="FM190" s="525" t="n"/>
      <c r="FN190" s="19" t="n"/>
      <c r="FO190" s="551" t="n"/>
      <c r="FP190" s="522">
        <f>C190</f>
        <v/>
      </c>
      <c r="FQ190" s="522">
        <f>FR190*10000</f>
        <v/>
      </c>
      <c r="FR190" s="522" t="n">
        <v>170.08</v>
      </c>
      <c r="FT190" s="525" t="n"/>
      <c r="FU190" s="525" t="n"/>
      <c r="FV190" s="19" t="n"/>
      <c r="FW190" s="551" t="n"/>
      <c r="FX190" s="522">
        <f>C190</f>
        <v/>
      </c>
      <c r="FY190" s="522">
        <f>FZ190*10000</f>
        <v/>
      </c>
      <c r="FZ190" s="522" t="n">
        <v>789.61</v>
      </c>
      <c r="GB190" s="525" t="n"/>
      <c r="GC190" s="525" t="n"/>
      <c r="GD190" s="19" t="n"/>
      <c r="GE190" s="551" t="n"/>
      <c r="GF190" s="522">
        <f>C190</f>
        <v/>
      </c>
      <c r="GG190" s="522">
        <f>GH190*10000</f>
        <v/>
      </c>
      <c r="GH190" s="522" t="n">
        <v>559.46</v>
      </c>
      <c r="GJ190" s="525" t="n"/>
      <c r="GK190" s="525" t="n"/>
      <c r="GL190" s="19" t="n"/>
      <c r="GM190" s="551" t="n"/>
      <c r="GN190" s="522">
        <f>C190</f>
        <v/>
      </c>
      <c r="GO190" s="522">
        <f>GP190*10000</f>
        <v/>
      </c>
      <c r="GP190" s="522" t="n">
        <v>119.83</v>
      </c>
      <c r="GR190" s="525" t="n"/>
      <c r="GS190" s="525" t="n"/>
      <c r="GT190" s="19" t="n"/>
      <c r="GU190" s="551" t="n"/>
      <c r="GV190" s="522">
        <f>C190</f>
        <v/>
      </c>
      <c r="GW190" s="522">
        <f>GX190*10000</f>
        <v/>
      </c>
      <c r="GX190" s="522" t="n">
        <v>148.33</v>
      </c>
      <c r="GZ190" s="525">
        <f>(GW190-GW191)/GW191</f>
        <v/>
      </c>
      <c r="HA190" s="525" t="n"/>
      <c r="HB190" s="19" t="n"/>
      <c r="HC190" s="551" t="n"/>
      <c r="HD190" s="522">
        <f>C190</f>
        <v/>
      </c>
      <c r="HE190" s="522">
        <f>HF190*10000</f>
        <v/>
      </c>
      <c r="HF190" s="522" t="n">
        <v>46.41</v>
      </c>
      <c r="HH190" s="525" t="n"/>
      <c r="HI190" s="524" t="n"/>
      <c r="HJ190" s="19" t="n"/>
      <c r="HK190" s="551" t="n"/>
      <c r="HL190" s="522">
        <f>C190</f>
        <v/>
      </c>
      <c r="HM190" s="522">
        <f>HN190*10000</f>
        <v/>
      </c>
      <c r="HN190" s="522" t="n">
        <v>20.9</v>
      </c>
      <c r="HP190" s="525" t="n"/>
      <c r="HQ190" s="525" t="n"/>
      <c r="HR190" s="19" t="n"/>
      <c r="HS190" s="551" t="n"/>
      <c r="HT190" s="522">
        <f>C190</f>
        <v/>
      </c>
      <c r="HU190" s="522">
        <f>HV190*10000</f>
        <v/>
      </c>
      <c r="HV190" s="522" t="n">
        <v>8.869999999999999</v>
      </c>
      <c r="HX190" s="525" t="n"/>
      <c r="HY190" s="525" t="n"/>
      <c r="HZ190" s="19" t="n"/>
      <c r="IA190" s="551" t="n"/>
      <c r="IB190" s="522">
        <f>C190</f>
        <v/>
      </c>
      <c r="IC190" s="522">
        <f>ID190*10000</f>
        <v/>
      </c>
      <c r="ID190" s="522" t="n">
        <v>45.85</v>
      </c>
      <c r="IF190" s="528" t="n"/>
      <c r="IG190" s="525" t="n"/>
      <c r="IH190" s="19" t="n"/>
      <c r="II190" s="551" t="n"/>
      <c r="IJ190" s="522">
        <f>C190</f>
        <v/>
      </c>
      <c r="IK190" s="522">
        <f>IL190*10000</f>
        <v/>
      </c>
      <c r="IL190" s="522" t="n">
        <v>34.19</v>
      </c>
      <c r="IN190" s="525" t="n"/>
      <c r="IO190" s="525" t="n"/>
      <c r="IP190" s="19" t="n"/>
      <c r="IQ190" s="551" t="n"/>
      <c r="IR190" s="522">
        <f>C190</f>
        <v/>
      </c>
      <c r="IS190" s="522">
        <f>IT190*10000</f>
        <v/>
      </c>
      <c r="IT190" s="522" t="n">
        <v>27.21</v>
      </c>
      <c r="IV190" s="525" t="n"/>
      <c r="IW190" s="525" t="n"/>
      <c r="IX190" s="19" t="n"/>
      <c r="IY190" s="551" t="n"/>
      <c r="IZ190" s="522">
        <f>C190</f>
        <v/>
      </c>
      <c r="JA190" s="522">
        <f>JB190*10000</f>
        <v/>
      </c>
      <c r="JB190" s="522" t="n">
        <v>262.7</v>
      </c>
      <c r="JD190" s="525" t="n"/>
      <c r="JE190" s="525" t="n"/>
      <c r="JF190" s="19" t="n"/>
      <c r="JG190" s="551" t="n"/>
      <c r="JH190" s="522">
        <f>C190</f>
        <v/>
      </c>
      <c r="JI190" s="522">
        <f>JJ190*10000</f>
        <v/>
      </c>
      <c r="JJ190" s="522" t="n">
        <v>139.11</v>
      </c>
      <c r="JL190" s="525" t="n"/>
      <c r="JM190" s="525" t="n"/>
      <c r="JN190" s="525" t="n"/>
      <c r="JO190" s="19" t="n"/>
      <c r="JP190" s="522">
        <f>C190</f>
        <v/>
      </c>
      <c r="JQ190" s="522">
        <f>JR190*10000</f>
        <v/>
      </c>
      <c r="JR190" s="522" t="n">
        <v>81.66</v>
      </c>
      <c r="JT190" s="525" t="n"/>
      <c r="JU190" s="525" t="n"/>
      <c r="JV190" s="525" t="n"/>
      <c r="JW190" s="525" t="n"/>
      <c r="JX190" s="522">
        <f>C190</f>
        <v/>
      </c>
      <c r="JY190" s="522">
        <f>JZ190*10000</f>
        <v/>
      </c>
      <c r="JZ190" s="522" t="n">
        <v>53.06</v>
      </c>
      <c r="KB190" s="525" t="n"/>
      <c r="KC190" s="525" t="n"/>
      <c r="KD190" s="525" t="n"/>
      <c r="KE190" s="525" t="n"/>
      <c r="KF190" s="522">
        <f>C190</f>
        <v/>
      </c>
      <c r="KG190" s="551" t="n"/>
      <c r="KH190" s="551" t="n"/>
      <c r="KI190" s="528" t="n"/>
      <c r="KJ190" s="552" t="n"/>
      <c r="KK190" s="524" t="n"/>
      <c r="KL190" s="524" t="n"/>
      <c r="KM190" s="551" t="n"/>
      <c r="KN190" s="522">
        <f>C190</f>
        <v/>
      </c>
      <c r="KO190" s="522">
        <f>KP190*10000</f>
        <v/>
      </c>
      <c r="KP190" s="522" t="n">
        <v>399.74</v>
      </c>
      <c r="KR190" s="525" t="n"/>
      <c r="KS190" s="525" t="n"/>
      <c r="KT190" s="19" t="n"/>
      <c r="KU190" s="551" t="n"/>
      <c r="KV190" s="522">
        <f>C190</f>
        <v/>
      </c>
      <c r="KW190" s="522">
        <f>KX190*10000</f>
        <v/>
      </c>
      <c r="KX190" s="522" t="n">
        <v>53.71</v>
      </c>
      <c r="KZ190" s="525" t="n"/>
      <c r="LA190" s="525" t="n"/>
      <c r="LB190" s="19" t="n"/>
      <c r="LC190" s="551" t="n"/>
      <c r="LD190" s="522">
        <f>C190</f>
        <v/>
      </c>
      <c r="LE190" s="522">
        <f>LF190*10000</f>
        <v/>
      </c>
      <c r="LF190" s="522" t="n">
        <v>20.43</v>
      </c>
      <c r="LH190" s="525" t="n"/>
      <c r="LI190" s="525" t="n"/>
      <c r="LJ190" s="19" t="n"/>
      <c r="LK190" s="551" t="n"/>
      <c r="LL190" s="522">
        <f>C190</f>
        <v/>
      </c>
      <c r="LM190" s="715">
        <f>LN190*10000</f>
        <v/>
      </c>
      <c r="LN190" s="522" t="n">
        <v>227.63</v>
      </c>
      <c r="LP190" s="525" t="n"/>
      <c r="LQ190" s="525" t="n"/>
      <c r="LR190" s="19" t="n"/>
      <c r="LS190" s="551" t="n"/>
      <c r="LT190" s="522">
        <f>C190</f>
        <v/>
      </c>
      <c r="LU190" s="522">
        <f>LV190*10000</f>
        <v/>
      </c>
      <c r="LV190" s="522" t="n">
        <v>152.77</v>
      </c>
      <c r="LX190" s="525" t="n"/>
      <c r="LY190" s="525" t="n"/>
      <c r="LZ190" s="19" t="n"/>
      <c r="MA190" s="551" t="n"/>
      <c r="MB190" s="522">
        <f>C190</f>
        <v/>
      </c>
      <c r="MC190" s="522">
        <f>MD190*10000</f>
        <v/>
      </c>
      <c r="MD190" s="522" t="n">
        <v>42.58</v>
      </c>
      <c r="MF190" s="525" t="n"/>
      <c r="MG190" s="525" t="n"/>
      <c r="MH190" s="19" t="n"/>
      <c r="MI190" s="551" t="n"/>
      <c r="MJ190" s="551" t="n"/>
      <c r="MK190" s="522">
        <f>C190</f>
        <v/>
      </c>
      <c r="ML190" s="551" t="n"/>
      <c r="MM190" s="24" t="n"/>
      <c r="MN190" s="551" t="n"/>
      <c r="MO190" s="524" t="n"/>
      <c r="MP190" s="524" t="n"/>
      <c r="MQ190" s="524" t="n"/>
      <c r="MR190" s="524" t="n"/>
      <c r="MS190" s="524" t="n"/>
      <c r="MT190" s="555">
        <f>C190</f>
        <v/>
      </c>
      <c r="MU190" s="556">
        <f>MV190*10000</f>
        <v/>
      </c>
      <c r="MV190" s="556" t="n">
        <v>1.85</v>
      </c>
      <c r="MW190" s="19">
        <f>(MU190-MU191)/MU191</f>
        <v/>
      </c>
      <c r="MX190" s="19" t="n"/>
      <c r="MY190" s="557" t="n"/>
      <c r="MZ190" s="19" t="n"/>
      <c r="NA190" s="19" t="n"/>
      <c r="NB190" s="19" t="n"/>
      <c r="NC190" s="5">
        <f>C190</f>
        <v/>
      </c>
      <c r="NG190" s="19" t="n"/>
      <c r="NH190" s="19" t="n"/>
      <c r="NI190" s="19" t="n"/>
      <c r="NJ190" s="19" t="n"/>
      <c r="NK190" s="19" t="n"/>
      <c r="NM190" s="5">
        <f>C190</f>
        <v/>
      </c>
      <c r="NQ190" s="19" t="n"/>
      <c r="NR190" s="19" t="n"/>
      <c r="NU190" s="5">
        <f>C190</f>
        <v/>
      </c>
      <c r="NV190" s="551" t="n"/>
      <c r="NW190" s="551" t="n"/>
      <c r="NX190" s="551" t="n"/>
      <c r="NY190" s="524" t="n"/>
      <c r="NZ190" s="524" t="n"/>
      <c r="OA190" s="551" t="n"/>
      <c r="OB190" s="551" t="n"/>
      <c r="OC190" s="522">
        <f>C190</f>
        <v/>
      </c>
      <c r="OD190" s="522">
        <f>OE190*10000</f>
        <v/>
      </c>
      <c r="OE190" s="522" t="n">
        <v>0.65</v>
      </c>
      <c r="OG190" s="525" t="n"/>
      <c r="OH190" s="19" t="n"/>
      <c r="OI190" s="19" t="n"/>
      <c r="OK190" s="5">
        <f>C190</f>
        <v/>
      </c>
      <c r="OO190" s="19" t="n"/>
      <c r="OP190" s="19" t="n"/>
      <c r="OQ190" s="19" t="n"/>
      <c r="OT190" s="25">
        <f>OK190</f>
        <v/>
      </c>
      <c r="OX190" s="19" t="n"/>
    </row>
    <row r="191" ht="22.5" customFormat="1" customHeight="1" s="5">
      <c r="A191" s="674" t="n"/>
      <c r="B191" s="674" t="n"/>
      <c r="C191" s="720" t="inlineStr">
        <is>
          <t>2025//5//30</t>
        </is>
      </c>
      <c r="D191" s="559" t="n">
        <v>9540768.77</v>
      </c>
      <c r="E191" s="560">
        <f>D192</f>
        <v/>
      </c>
      <c r="F191" s="561">
        <f>D191-E191</f>
        <v/>
      </c>
      <c r="G191" s="562">
        <f>F191/E191</f>
        <v/>
      </c>
      <c r="H191" s="562" t="n"/>
      <c r="I191" s="563" t="n"/>
      <c r="J191" s="563" t="n"/>
      <c r="K191" s="560">
        <f>C191</f>
        <v/>
      </c>
      <c r="L191" s="527" t="n">
        <v>6915844.4</v>
      </c>
      <c r="M191" s="522">
        <f>L192</f>
        <v/>
      </c>
      <c r="N191" s="523">
        <f>L191-M191</f>
        <v/>
      </c>
      <c r="O191" s="525">
        <f>N191/M191</f>
        <v/>
      </c>
      <c r="P191" s="562" t="n"/>
      <c r="Q191" s="563" t="n"/>
      <c r="R191" s="561" t="n"/>
      <c r="S191" s="560">
        <f>C191</f>
        <v/>
      </c>
      <c r="T191" s="527" t="n">
        <v>5926656.68</v>
      </c>
      <c r="U191" s="522">
        <f>T192</f>
        <v/>
      </c>
      <c r="V191" s="523">
        <f>T191-U191</f>
        <v/>
      </c>
      <c r="W191" s="525">
        <f>V191/T191</f>
        <v/>
      </c>
      <c r="X191" s="562" t="n"/>
      <c r="Y191" s="563" t="n"/>
      <c r="Z191" s="561" t="n"/>
      <c r="AA191" s="560">
        <f>S191</f>
        <v/>
      </c>
      <c r="AB191" s="559" t="n"/>
      <c r="AC191" s="560" t="n"/>
      <c r="AD191" s="561" t="n"/>
      <c r="AE191" s="560" t="n"/>
      <c r="AF191" s="562" t="n"/>
      <c r="AG191" s="563" t="n"/>
      <c r="AH191" s="561" t="n"/>
      <c r="AI191" s="560">
        <f>C191</f>
        <v/>
      </c>
      <c r="AJ191" s="559" t="n"/>
      <c r="AK191" s="560" t="n"/>
      <c r="AL191" s="561" t="n"/>
      <c r="AM191" s="560" t="n"/>
      <c r="AN191" s="562" t="n"/>
      <c r="AO191" s="563" t="n"/>
      <c r="AP191" s="560" t="n"/>
      <c r="AQ191" s="560">
        <f>C191</f>
        <v/>
      </c>
      <c r="AR191" s="721" t="n"/>
      <c r="AS191" s="560" t="n"/>
      <c r="AT191" s="563" t="n"/>
      <c r="AU191" s="561" t="n"/>
      <c r="AV191" s="563" t="n"/>
      <c r="AW191" s="563" t="n"/>
      <c r="AX191" s="561" t="n"/>
      <c r="AY191" s="561" t="n"/>
      <c r="AZ191" s="561">
        <f>C191</f>
        <v/>
      </c>
      <c r="BA191" s="561" t="n"/>
      <c r="BB191" s="561" t="n"/>
      <c r="BC191" s="561" t="n"/>
      <c r="BD191" s="563" t="n"/>
      <c r="BE191" s="563" t="n"/>
      <c r="BF191" s="563" t="n"/>
      <c r="BG191" s="647" t="n"/>
      <c r="BH191" s="548">
        <f>C191</f>
        <v/>
      </c>
      <c r="BI191" s="549">
        <f>BJ191*10000</f>
        <v/>
      </c>
      <c r="BJ191" s="548" t="n">
        <v>0.62</v>
      </c>
      <c r="BK191" s="550" t="n"/>
      <c r="BL191" s="525" t="n"/>
      <c r="BM191" s="525" t="n"/>
      <c r="BN191" s="19" t="n"/>
      <c r="BO191" s="551" t="n"/>
      <c r="BP191" s="522">
        <f>C191</f>
        <v/>
      </c>
      <c r="BQ191" s="715">
        <f>BR191*10000</f>
        <v/>
      </c>
      <c r="BR191" s="522" t="n">
        <v>35.03</v>
      </c>
      <c r="BT191" s="525" t="n"/>
      <c r="BU191" s="525" t="n"/>
      <c r="BV191" s="19" t="n"/>
      <c r="BW191" s="551" t="n"/>
      <c r="BX191" s="522">
        <f>C191</f>
        <v/>
      </c>
      <c r="BY191" s="522">
        <f>BZ191*10000</f>
        <v/>
      </c>
      <c r="BZ191" s="522" t="n">
        <v>28.2</v>
      </c>
      <c r="CB191" s="525" t="n"/>
      <c r="CC191" s="525" t="n"/>
      <c r="CD191" s="19" t="n"/>
      <c r="CE191" s="552" t="n"/>
      <c r="CF191" s="528">
        <f>C191</f>
        <v/>
      </c>
      <c r="CG191" s="528">
        <f>CH191*10000</f>
        <v/>
      </c>
      <c r="CH191" s="528" t="n">
        <v>51.16</v>
      </c>
      <c r="CJ191" s="528" t="n"/>
      <c r="CK191" s="525" t="n"/>
      <c r="CL191" s="524" t="n"/>
      <c r="CM191" s="551" t="n"/>
      <c r="CN191" s="522">
        <f>C191</f>
        <v/>
      </c>
      <c r="CO191" s="522">
        <f>CP191*10000</f>
        <v/>
      </c>
      <c r="CP191" s="522" t="n">
        <v>1.18</v>
      </c>
      <c r="CR191" s="525" t="n"/>
      <c r="CS191" s="524" t="n"/>
      <c r="CT191" s="524" t="n"/>
      <c r="CU191" s="551" t="n"/>
      <c r="CV191" s="522">
        <f>C191</f>
        <v/>
      </c>
      <c r="CW191" s="522">
        <f>CX191*10000</f>
        <v/>
      </c>
      <c r="CX191" s="522" t="n">
        <v>22.9</v>
      </c>
      <c r="CZ191" s="525" t="n"/>
      <c r="DA191" s="525" t="n"/>
      <c r="DB191" s="19" t="n"/>
      <c r="DC191" s="553" t="n"/>
      <c r="DD191" s="522">
        <f>C191</f>
        <v/>
      </c>
      <c r="DE191" s="522">
        <f>DF191*10000</f>
        <v/>
      </c>
      <c r="DF191" s="522" t="n">
        <v>20.32</v>
      </c>
      <c r="DH191" s="525" t="n"/>
      <c r="DI191" s="525" t="n"/>
      <c r="DJ191" s="19" t="n"/>
      <c r="DK191" s="551" t="n"/>
      <c r="DL191" s="522">
        <f>C191</f>
        <v/>
      </c>
      <c r="DM191" s="522">
        <f>DN191*10000</f>
        <v/>
      </c>
      <c r="DN191" s="522" t="n">
        <v>203.19</v>
      </c>
      <c r="DP191" s="525" t="n"/>
      <c r="DQ191" s="525" t="n"/>
      <c r="DR191" s="19" t="n"/>
      <c r="DS191" s="551" t="n"/>
      <c r="DT191" s="522">
        <f>C191</f>
        <v/>
      </c>
      <c r="DU191" s="522">
        <f>DV191*10000</f>
        <v/>
      </c>
      <c r="DV191" s="522" t="n">
        <v>150.58</v>
      </c>
      <c r="DX191" s="525" t="n"/>
      <c r="DY191" s="525" t="n"/>
      <c r="DZ191" s="19" t="n"/>
      <c r="EA191" s="551" t="n"/>
      <c r="EB191" s="522">
        <f>C191</f>
        <v/>
      </c>
      <c r="EC191" s="522">
        <f>ED191*10000</f>
        <v/>
      </c>
      <c r="ED191" s="522" t="n">
        <v>767.91</v>
      </c>
      <c r="EF191" s="525" t="n"/>
      <c r="EG191" s="525" t="n"/>
      <c r="EH191" s="19" t="n"/>
      <c r="EI191" s="551" t="n"/>
      <c r="EJ191" s="522">
        <f>C191</f>
        <v/>
      </c>
      <c r="EK191" s="522">
        <f>EL191*10000</f>
        <v/>
      </c>
      <c r="EL191" s="522" t="n">
        <v>164.29</v>
      </c>
      <c r="EN191" s="525" t="n"/>
      <c r="EO191" s="525" t="n"/>
      <c r="EP191" s="19" t="n"/>
      <c r="EQ191" s="19" t="n"/>
      <c r="ER191" s="5">
        <f>C191</f>
        <v/>
      </c>
      <c r="ES191" s="19" t="n"/>
      <c r="ET191" s="19" t="n"/>
      <c r="EU191" s="19" t="n"/>
      <c r="EV191" s="19" t="n"/>
      <c r="EW191" s="19" t="n"/>
      <c r="EX191" s="19" t="n"/>
      <c r="EY191" s="551" t="n"/>
      <c r="EZ191" s="522">
        <f>C191</f>
        <v/>
      </c>
      <c r="FA191" s="522">
        <f>FB191*10000</f>
        <v/>
      </c>
      <c r="FB191" s="522" t="n">
        <v>114.31</v>
      </c>
      <c r="FD191" s="525" t="n"/>
      <c r="FE191" s="525" t="n"/>
      <c r="FF191" s="19" t="n"/>
      <c r="FG191" s="19" t="n"/>
      <c r="FH191" s="528">
        <f>C191</f>
        <v/>
      </c>
      <c r="FI191" s="719">
        <f>FJ191*10000</f>
        <v/>
      </c>
      <c r="FJ191" s="528" t="n">
        <v>1.56</v>
      </c>
      <c r="FL191" s="528" t="n"/>
      <c r="FM191" s="525" t="n"/>
      <c r="FN191" s="19" t="n"/>
      <c r="FO191" s="551" t="n"/>
      <c r="FP191" s="522">
        <f>C191</f>
        <v/>
      </c>
      <c r="FQ191" s="522">
        <f>FR191*10000</f>
        <v/>
      </c>
      <c r="FR191" s="522" t="n">
        <v>133.29</v>
      </c>
      <c r="FT191" s="525" t="n"/>
      <c r="FU191" s="525" t="n"/>
      <c r="FV191" s="19" t="n"/>
      <c r="FW191" s="551" t="n"/>
      <c r="FX191" s="522">
        <f>C191</f>
        <v/>
      </c>
      <c r="FY191" s="522">
        <f>FZ191*10000</f>
        <v/>
      </c>
      <c r="FZ191" s="522" t="n">
        <v>765.9400000000001</v>
      </c>
      <c r="GB191" s="525" t="n"/>
      <c r="GC191" s="525" t="n"/>
      <c r="GD191" s="19" t="n"/>
      <c r="GE191" s="551" t="n"/>
      <c r="GF191" s="522">
        <f>C191</f>
        <v/>
      </c>
      <c r="GG191" s="522">
        <f>GH191*10000</f>
        <v/>
      </c>
      <c r="GH191" s="522" t="n">
        <v>616.08</v>
      </c>
      <c r="GJ191" s="525" t="n"/>
      <c r="GK191" s="525" t="n"/>
      <c r="GL191" s="19" t="n"/>
      <c r="GM191" s="551" t="n"/>
      <c r="GN191" s="522">
        <f>C191</f>
        <v/>
      </c>
      <c r="GO191" s="522">
        <f>GP191*10000</f>
        <v/>
      </c>
      <c r="GP191" s="522" t="n">
        <v>156.66</v>
      </c>
      <c r="GR191" s="525" t="n"/>
      <c r="GS191" s="525" t="n"/>
      <c r="GT191" s="19" t="n"/>
      <c r="GU191" s="551" t="n"/>
      <c r="GV191" s="522">
        <f>C191</f>
        <v/>
      </c>
      <c r="GW191" s="522">
        <f>GX191*10000</f>
        <v/>
      </c>
      <c r="GX191" s="522" t="n">
        <v>149.35</v>
      </c>
      <c r="GZ191" s="525">
        <f>(GW191-GW192)/GW192</f>
        <v/>
      </c>
      <c r="HA191" s="525" t="n"/>
      <c r="HB191" s="19" t="n"/>
      <c r="HC191" s="551" t="n"/>
      <c r="HD191" s="522">
        <f>C191</f>
        <v/>
      </c>
      <c r="HE191" s="522">
        <f>HF191*10000</f>
        <v/>
      </c>
      <c r="HF191" s="522" t="n">
        <v>48.41</v>
      </c>
      <c r="HH191" s="525" t="n"/>
      <c r="HI191" s="524" t="n"/>
      <c r="HJ191" s="19" t="n"/>
      <c r="HK191" s="551" t="n"/>
      <c r="HL191" s="522">
        <f>C191</f>
        <v/>
      </c>
      <c r="HM191" s="522">
        <f>HN191*10000</f>
        <v/>
      </c>
      <c r="HN191" s="522" t="n">
        <v>24.25</v>
      </c>
      <c r="HP191" s="525" t="n"/>
      <c r="HQ191" s="525" t="n"/>
      <c r="HR191" s="19" t="n"/>
      <c r="HS191" s="551" t="n"/>
      <c r="HT191" s="522">
        <f>C191</f>
        <v/>
      </c>
      <c r="HU191" s="522">
        <f>HV191*10000</f>
        <v/>
      </c>
      <c r="HV191" s="522" t="n">
        <v>9.01</v>
      </c>
      <c r="HX191" s="525" t="n"/>
      <c r="HY191" s="525" t="n"/>
      <c r="HZ191" s="19" t="n"/>
      <c r="IA191" s="551" t="n"/>
      <c r="IB191" s="522">
        <f>C191</f>
        <v/>
      </c>
      <c r="IC191" s="522">
        <f>ID191*10000</f>
        <v/>
      </c>
      <c r="ID191" s="522" t="n">
        <v>46.27</v>
      </c>
      <c r="IF191" s="528" t="n"/>
      <c r="IG191" s="525" t="n"/>
      <c r="IH191" s="19" t="n"/>
      <c r="II191" s="551" t="n"/>
      <c r="IJ191" s="522">
        <f>C191</f>
        <v/>
      </c>
      <c r="IK191" s="522">
        <f>IL191*10000</f>
        <v/>
      </c>
      <c r="IL191" s="522" t="n">
        <v>37.08</v>
      </c>
      <c r="IN191" s="525" t="n"/>
      <c r="IO191" s="525" t="n"/>
      <c r="IP191" s="19" t="n"/>
      <c r="IQ191" s="551" t="n"/>
      <c r="IR191" s="522">
        <f>C191</f>
        <v/>
      </c>
      <c r="IS191" s="522">
        <f>IT191*10000</f>
        <v/>
      </c>
      <c r="IT191" s="522" t="n">
        <v>29.45</v>
      </c>
      <c r="IV191" s="525" t="n"/>
      <c r="IW191" s="525" t="n"/>
      <c r="IX191" s="19" t="n"/>
      <c r="IY191" s="551" t="n"/>
      <c r="IZ191" s="522">
        <f>C191</f>
        <v/>
      </c>
      <c r="JA191" s="522">
        <f>JB191*10000</f>
        <v/>
      </c>
      <c r="JB191" s="522" t="n">
        <v>284.85</v>
      </c>
      <c r="JD191" s="525" t="n"/>
      <c r="JE191" s="525" t="n"/>
      <c r="JF191" s="19" t="n"/>
      <c r="JG191" s="551" t="n"/>
      <c r="JH191" s="522">
        <f>C191</f>
        <v/>
      </c>
      <c r="JI191" s="522">
        <f>JJ191*10000</f>
        <v/>
      </c>
      <c r="JJ191" s="522" t="n">
        <v>69.92</v>
      </c>
      <c r="JL191" s="525" t="n"/>
      <c r="JM191" s="525" t="n"/>
      <c r="JN191" s="525" t="n"/>
      <c r="JO191" s="19" t="n"/>
      <c r="JP191" s="522">
        <f>C191</f>
        <v/>
      </c>
      <c r="JQ191" s="522">
        <f>JR191*10000</f>
        <v/>
      </c>
      <c r="JR191" s="522" t="n">
        <v>34.2</v>
      </c>
      <c r="JT191" s="525" t="n"/>
      <c r="JU191" s="525" t="n"/>
      <c r="JV191" s="525" t="n"/>
      <c r="JW191" s="525" t="n"/>
      <c r="JX191" s="522">
        <f>C191</f>
        <v/>
      </c>
      <c r="JY191" s="522">
        <f>JZ191*10000</f>
        <v/>
      </c>
      <c r="JZ191" s="522" t="n">
        <v>47.55</v>
      </c>
      <c r="KB191" s="525" t="n"/>
      <c r="KC191" s="525" t="n"/>
      <c r="KD191" s="525" t="n"/>
      <c r="KE191" s="525" t="n"/>
      <c r="KF191" s="522">
        <f>C191</f>
        <v/>
      </c>
      <c r="KG191" s="551" t="n"/>
      <c r="KH191" s="551" t="n"/>
      <c r="KI191" s="528" t="n"/>
      <c r="KJ191" s="552" t="n"/>
      <c r="KK191" s="524" t="n"/>
      <c r="KL191" s="524" t="n"/>
      <c r="KM191" s="551" t="n"/>
      <c r="KN191" s="522">
        <f>C191</f>
        <v/>
      </c>
      <c r="KO191" s="522">
        <f>KP191*10000</f>
        <v/>
      </c>
      <c r="KP191" s="522" t="n">
        <v>321.41</v>
      </c>
      <c r="KR191" s="525" t="n"/>
      <c r="KS191" s="525" t="n"/>
      <c r="KT191" s="19" t="n"/>
      <c r="KU191" s="551" t="n"/>
      <c r="KV191" s="522">
        <f>C191</f>
        <v/>
      </c>
      <c r="KW191" s="522">
        <f>KX191*10000</f>
        <v/>
      </c>
      <c r="KX191" s="522" t="n">
        <v>18.06</v>
      </c>
      <c r="KZ191" s="525" t="n"/>
      <c r="LA191" s="525" t="n"/>
      <c r="LB191" s="19" t="n"/>
      <c r="LC191" s="551" t="n"/>
      <c r="LD191" s="522">
        <f>C191</f>
        <v/>
      </c>
      <c r="LE191" s="522">
        <f>LF191*10000</f>
        <v/>
      </c>
      <c r="LF191" s="522" t="n">
        <v>15.59</v>
      </c>
      <c r="LH191" s="525" t="n"/>
      <c r="LI191" s="525" t="n"/>
      <c r="LJ191" s="19" t="n"/>
      <c r="LK191" s="551" t="n"/>
      <c r="LL191" s="522">
        <f>C191</f>
        <v/>
      </c>
      <c r="LM191" s="715">
        <f>LN191*10000</f>
        <v/>
      </c>
      <c r="LN191" s="522" t="n">
        <v>198.71</v>
      </c>
      <c r="LP191" s="525" t="n"/>
      <c r="LQ191" s="525" t="n"/>
      <c r="LR191" s="19" t="n"/>
      <c r="LS191" s="551" t="n"/>
      <c r="LT191" s="522">
        <f>C191</f>
        <v/>
      </c>
      <c r="LU191" s="522">
        <f>LV191*10000</f>
        <v/>
      </c>
      <c r="LV191" s="522" t="n">
        <v>178.69</v>
      </c>
      <c r="LX191" s="525" t="n"/>
      <c r="LY191" s="525" t="n"/>
      <c r="LZ191" s="19" t="n"/>
      <c r="MA191" s="551" t="n"/>
      <c r="MB191" s="522">
        <f>C191</f>
        <v/>
      </c>
      <c r="MC191" s="522">
        <f>MD191*10000</f>
        <v/>
      </c>
      <c r="MD191" s="522" t="n">
        <v>40</v>
      </c>
      <c r="MF191" s="525" t="n"/>
      <c r="MG191" s="525" t="n"/>
      <c r="MH191" s="19" t="n"/>
      <c r="MI191" s="551" t="n"/>
      <c r="MJ191" s="551" t="n"/>
      <c r="MK191" s="522">
        <f>C191</f>
        <v/>
      </c>
      <c r="ML191" s="551" t="n"/>
      <c r="MM191" s="24" t="n"/>
      <c r="MN191" s="551" t="n"/>
      <c r="MO191" s="524" t="n"/>
      <c r="MP191" s="524" t="n"/>
      <c r="MQ191" s="524" t="n"/>
      <c r="MR191" s="524" t="n"/>
      <c r="MS191" s="524" t="n"/>
      <c r="MT191" s="555">
        <f>C191</f>
        <v/>
      </c>
      <c r="MU191" s="556">
        <f>MV191*10000</f>
        <v/>
      </c>
      <c r="MV191" s="556" t="n">
        <v>0.98</v>
      </c>
      <c r="MW191" s="19" t="n"/>
      <c r="MX191" s="19" t="n"/>
      <c r="MY191" s="557" t="n"/>
      <c r="MZ191" s="19" t="n"/>
      <c r="NA191" s="19" t="n"/>
      <c r="NB191" s="19" t="n"/>
      <c r="NC191" s="5">
        <f>C191</f>
        <v/>
      </c>
      <c r="NG191" s="19" t="n"/>
      <c r="NH191" s="19" t="n"/>
      <c r="NI191" s="19" t="n"/>
      <c r="NJ191" s="19" t="n"/>
      <c r="NK191" s="19" t="n"/>
      <c r="NM191" s="5">
        <f>C191</f>
        <v/>
      </c>
      <c r="NQ191" s="19" t="n"/>
      <c r="NR191" s="19" t="n"/>
      <c r="NU191" s="5">
        <f>C191</f>
        <v/>
      </c>
      <c r="NV191" s="551" t="n"/>
      <c r="NW191" s="551" t="n"/>
      <c r="NX191" s="551" t="n"/>
      <c r="NY191" s="524" t="n"/>
      <c r="NZ191" s="524" t="n"/>
      <c r="OA191" s="551" t="n"/>
      <c r="OB191" s="551" t="n"/>
      <c r="OC191" s="522">
        <f>C191</f>
        <v/>
      </c>
      <c r="OD191" s="522">
        <f>OE191*10000</f>
        <v/>
      </c>
      <c r="OE191" s="522" t="n">
        <v>0.59</v>
      </c>
      <c r="OG191" s="525" t="n"/>
      <c r="OH191" s="19" t="n"/>
      <c r="OI191" s="19" t="n"/>
      <c r="OK191" s="5">
        <f>C191</f>
        <v/>
      </c>
      <c r="OO191" s="19" t="n"/>
      <c r="OP191" s="19" t="n"/>
      <c r="OQ191" s="19" t="n"/>
      <c r="OT191" s="25">
        <f>OK191</f>
        <v/>
      </c>
      <c r="OX191" s="19" t="n"/>
    </row>
    <row r="192" ht="22.5" customFormat="1" customHeight="1" s="5">
      <c r="A192" s="631" t="n"/>
      <c r="B192" s="631" t="n"/>
      <c r="C192" s="714" t="inlineStr">
        <is>
          <t>2025//5//6</t>
        </is>
      </c>
      <c r="D192" s="521" t="n">
        <v>9650658.77</v>
      </c>
      <c r="E192" s="522">
        <f>D193</f>
        <v/>
      </c>
      <c r="F192" s="523">
        <f>D192-E192</f>
        <v/>
      </c>
      <c r="G192" s="524">
        <f>F192/E192</f>
        <v/>
      </c>
      <c r="H192" s="525" t="n"/>
      <c r="I192" s="526" t="n"/>
      <c r="J192" s="526" t="n"/>
      <c r="K192" s="522">
        <f>C192</f>
        <v/>
      </c>
      <c r="L192" s="527" t="n">
        <v>6965434.4</v>
      </c>
      <c r="M192" s="522">
        <f>L193</f>
        <v/>
      </c>
      <c r="N192" s="523">
        <f>L192-M192</f>
        <v/>
      </c>
      <c r="O192" s="525">
        <f>N192/M192</f>
        <v/>
      </c>
      <c r="P192" s="525" t="n"/>
      <c r="Q192" s="526" t="n"/>
      <c r="R192" s="523" t="n"/>
      <c r="S192" s="522">
        <f>C192</f>
        <v/>
      </c>
      <c r="T192" s="527" t="n">
        <v>6040956.68</v>
      </c>
      <c r="U192" s="522">
        <f>T193</f>
        <v/>
      </c>
      <c r="V192" s="523">
        <f>T192-U192</f>
        <v/>
      </c>
      <c r="W192" s="525">
        <f>V192/T192</f>
        <v/>
      </c>
      <c r="X192" s="525" t="n"/>
      <c r="Y192" s="526" t="n"/>
      <c r="Z192" s="523" t="n"/>
      <c r="AA192" s="522">
        <f>S192</f>
        <v/>
      </c>
      <c r="AB192" s="521" t="n"/>
      <c r="AC192" s="522" t="n"/>
      <c r="AD192" s="523" t="n"/>
      <c r="AE192" s="528" t="n"/>
      <c r="AF192" s="525" t="n"/>
      <c r="AG192" s="526" t="n"/>
      <c r="AH192" s="523" t="n"/>
      <c r="AI192" s="522">
        <f>C192</f>
        <v/>
      </c>
      <c r="AJ192" s="521" t="n"/>
      <c r="AK192" s="522" t="n"/>
      <c r="AL192" s="523" t="n"/>
      <c r="AM192" s="528" t="n"/>
      <c r="AN192" s="525" t="n"/>
      <c r="AO192" s="526" t="n"/>
      <c r="AP192" s="522" t="n"/>
      <c r="AQ192" s="522">
        <f>C192</f>
        <v/>
      </c>
      <c r="AR192" s="715" t="n"/>
      <c r="AS192" s="522" t="n"/>
      <c r="AT192" s="526" t="n"/>
      <c r="AU192" s="523" t="n"/>
      <c r="AV192" s="526" t="n"/>
      <c r="AW192" s="526" t="n"/>
      <c r="AX192" s="523" t="n"/>
      <c r="AY192" s="523" t="n"/>
      <c r="AZ192" s="523">
        <f>C192</f>
        <v/>
      </c>
      <c r="BA192" s="523" t="n"/>
      <c r="BB192" s="523" t="n"/>
      <c r="BC192" s="523" t="n"/>
      <c r="BD192" s="526" t="n"/>
      <c r="BE192" s="526" t="n"/>
      <c r="BF192" s="526" t="n"/>
      <c r="BG192" s="647" t="n"/>
      <c r="BH192" s="548">
        <f>C192</f>
        <v/>
      </c>
      <c r="BI192" s="549">
        <f>BJ192*10000</f>
        <v/>
      </c>
      <c r="BJ192" s="548" t="n">
        <v>0.73</v>
      </c>
      <c r="BK192" s="550" t="n"/>
      <c r="BL192" s="525" t="n"/>
      <c r="BM192" s="525" t="n"/>
      <c r="BN192" s="19" t="n"/>
      <c r="BO192" s="551" t="n"/>
      <c r="BP192" s="522">
        <f>C192</f>
        <v/>
      </c>
      <c r="BQ192" s="715">
        <f>BR192*10000</f>
        <v/>
      </c>
      <c r="BR192" s="522" t="n">
        <v>18.6</v>
      </c>
      <c r="BT192" s="525" t="n"/>
      <c r="BU192" s="525" t="n"/>
      <c r="BV192" s="19" t="n"/>
      <c r="BW192" s="551" t="n"/>
      <c r="BX192" s="522">
        <f>C192</f>
        <v/>
      </c>
      <c r="BY192" s="522">
        <f>BZ192*10000</f>
        <v/>
      </c>
      <c r="BZ192" s="522" t="n">
        <v>25.13</v>
      </c>
      <c r="CB192" s="525" t="n"/>
      <c r="CC192" s="525" t="n"/>
      <c r="CD192" s="19" t="n"/>
      <c r="CE192" s="552" t="n"/>
      <c r="CF192" s="528">
        <f>C192</f>
        <v/>
      </c>
      <c r="CG192" s="528">
        <f>CH192*10000</f>
        <v/>
      </c>
      <c r="CH192" s="528" t="n">
        <v>44.9</v>
      </c>
      <c r="CJ192" s="528" t="n"/>
      <c r="CK192" s="525" t="n"/>
      <c r="CL192" s="524" t="n"/>
      <c r="CM192" s="551" t="n"/>
      <c r="CN192" s="522">
        <f>C192</f>
        <v/>
      </c>
      <c r="CO192" s="522">
        <f>CP192*10000</f>
        <v/>
      </c>
      <c r="CP192" s="522" t="n">
        <v>1.07</v>
      </c>
      <c r="CR192" s="525" t="n"/>
      <c r="CS192" s="524" t="n"/>
      <c r="CT192" s="524" t="n"/>
      <c r="CU192" s="551" t="n"/>
      <c r="CV192" s="522">
        <f>C192</f>
        <v/>
      </c>
      <c r="CW192" s="522">
        <f>CX192*10000</f>
        <v/>
      </c>
      <c r="CX192" s="522" t="n">
        <v>15.5</v>
      </c>
      <c r="CZ192" s="525" t="n"/>
      <c r="DA192" s="525" t="n"/>
      <c r="DB192" s="19" t="n"/>
      <c r="DC192" s="553" t="n"/>
      <c r="DD192" s="522">
        <f>C192</f>
        <v/>
      </c>
      <c r="DE192" s="522">
        <f>DF192*10000</f>
        <v/>
      </c>
      <c r="DF192" s="522" t="n">
        <v>16.81</v>
      </c>
      <c r="DH192" s="525" t="n"/>
      <c r="DI192" s="525" t="n"/>
      <c r="DJ192" s="19" t="n"/>
      <c r="DK192" s="551" t="n"/>
      <c r="DL192" s="522">
        <f>C192</f>
        <v/>
      </c>
      <c r="DM192" s="522">
        <f>DN192*10000</f>
        <v/>
      </c>
      <c r="DN192" s="522" t="n">
        <v>236.63</v>
      </c>
      <c r="DP192" s="525" t="n"/>
      <c r="DQ192" s="525" t="n"/>
      <c r="DR192" s="19" t="n"/>
      <c r="DS192" s="551" t="n"/>
      <c r="DT192" s="522">
        <f>C192</f>
        <v/>
      </c>
      <c r="DU192" s="522">
        <f>DV192*10000</f>
        <v/>
      </c>
      <c r="DV192" s="522" t="n">
        <v>155.68</v>
      </c>
      <c r="DX192" s="525" t="n"/>
      <c r="DY192" s="525" t="n"/>
      <c r="DZ192" s="19" t="n"/>
      <c r="EA192" s="551" t="n"/>
      <c r="EB192" s="522">
        <f>C192</f>
        <v/>
      </c>
      <c r="EC192" s="522">
        <f>ED192*10000</f>
        <v/>
      </c>
      <c r="ED192" s="522" t="n">
        <v>891.12</v>
      </c>
      <c r="EF192" s="525" t="n"/>
      <c r="EG192" s="525" t="n"/>
      <c r="EH192" s="19" t="n"/>
      <c r="EI192" s="551" t="n"/>
      <c r="EJ192" s="522">
        <f>C192</f>
        <v/>
      </c>
      <c r="EK192" s="522">
        <f>EL192*10000</f>
        <v/>
      </c>
      <c r="EL192" s="522" t="n">
        <v>93.73999999999999</v>
      </c>
      <c r="EN192" s="525" t="n"/>
      <c r="EO192" s="525" t="n"/>
      <c r="EP192" s="19" t="n"/>
      <c r="EQ192" s="19" t="n"/>
      <c r="ER192" s="5">
        <f>C192</f>
        <v/>
      </c>
      <c r="ES192" s="19" t="n"/>
      <c r="ET192" s="19" t="n"/>
      <c r="EU192" s="19" t="n"/>
      <c r="EV192" s="19" t="n"/>
      <c r="EW192" s="19" t="n"/>
      <c r="EX192" s="19" t="n"/>
      <c r="EY192" s="551" t="n"/>
      <c r="EZ192" s="522">
        <f>C192</f>
        <v/>
      </c>
      <c r="FA192" s="522">
        <f>FB192*10000</f>
        <v/>
      </c>
      <c r="FB192" s="522" t="n">
        <v>95.94</v>
      </c>
      <c r="FD192" s="525" t="n"/>
      <c r="FE192" s="525" t="n"/>
      <c r="FF192" s="19" t="n"/>
      <c r="FG192" s="19" t="n"/>
      <c r="FH192" s="5">
        <f>C192</f>
        <v/>
      </c>
      <c r="FI192" s="633" t="n"/>
      <c r="FL192" s="19" t="n"/>
      <c r="FM192" s="19" t="n"/>
      <c r="FN192" s="19" t="n"/>
      <c r="FO192" s="551" t="n"/>
      <c r="FP192" s="522">
        <f>C192</f>
        <v/>
      </c>
      <c r="FQ192" s="522">
        <f>FR192*10000</f>
        <v/>
      </c>
      <c r="FR192" s="522" t="n">
        <v>53.23</v>
      </c>
      <c r="FT192" s="525" t="n"/>
      <c r="FU192" s="525" t="n"/>
      <c r="FV192" s="19" t="n"/>
      <c r="FW192" s="551" t="n"/>
      <c r="FX192" s="522">
        <f>C192</f>
        <v/>
      </c>
      <c r="FY192" s="522">
        <f>FZ192*10000</f>
        <v/>
      </c>
      <c r="FZ192" s="522" t="n">
        <v>767.7</v>
      </c>
      <c r="GB192" s="525" t="n"/>
      <c r="GC192" s="525" t="n"/>
      <c r="GD192" s="19" t="n"/>
      <c r="GE192" s="551" t="n"/>
      <c r="GF192" s="522">
        <f>C192</f>
        <v/>
      </c>
      <c r="GG192" s="522">
        <f>GH192*10000</f>
        <v/>
      </c>
      <c r="GH192" s="522" t="n">
        <v>641.6799999999999</v>
      </c>
      <c r="GJ192" s="525" t="n"/>
      <c r="GK192" s="525" t="n"/>
      <c r="GL192" s="19" t="n"/>
      <c r="GM192" s="551" t="n"/>
      <c r="GN192" s="522">
        <f>C192</f>
        <v/>
      </c>
      <c r="GO192" s="522">
        <f>GP192*10000</f>
        <v/>
      </c>
      <c r="GP192" s="522" t="n">
        <v>142.58</v>
      </c>
      <c r="GR192" s="525" t="n"/>
      <c r="GS192" s="525" t="n"/>
      <c r="GT192" s="19" t="n"/>
      <c r="GU192" s="551" t="n"/>
      <c r="GV192" s="522">
        <f>C192</f>
        <v/>
      </c>
      <c r="GW192" s="522">
        <f>GX192*10000</f>
        <v/>
      </c>
      <c r="GX192" s="522" t="n">
        <v>119.17</v>
      </c>
      <c r="GZ192" s="525">
        <f>(GW192-GW193)/GW193</f>
        <v/>
      </c>
      <c r="HA192" s="525" t="n"/>
      <c r="HB192" s="19" t="n"/>
      <c r="HC192" s="551" t="n"/>
      <c r="HD192" s="522">
        <f>C192</f>
        <v/>
      </c>
      <c r="HE192" s="522">
        <f>HF192*10000</f>
        <v/>
      </c>
      <c r="HF192" s="522" t="n">
        <v>50.9</v>
      </c>
      <c r="HH192" s="525" t="n"/>
      <c r="HI192" s="524" t="n"/>
      <c r="HJ192" s="19" t="n"/>
      <c r="HK192" s="551" t="n"/>
      <c r="HL192" s="522">
        <f>C192</f>
        <v/>
      </c>
      <c r="HM192" s="522">
        <f>HN192*10000</f>
        <v/>
      </c>
      <c r="HN192" s="522" t="n">
        <v>27.05</v>
      </c>
      <c r="HP192" s="525" t="n"/>
      <c r="HQ192" s="525" t="n"/>
      <c r="HR192" s="19" t="n"/>
      <c r="HS192" s="551" t="n"/>
      <c r="HT192" s="522">
        <f>C192</f>
        <v/>
      </c>
      <c r="HU192" s="522">
        <f>HV192*10000</f>
        <v/>
      </c>
      <c r="HV192" s="522" t="n">
        <v>8.220000000000001</v>
      </c>
      <c r="HX192" s="525" t="n"/>
      <c r="HY192" s="525" t="n"/>
      <c r="HZ192" s="19" t="n"/>
      <c r="IA192" s="551" t="n"/>
      <c r="IB192" s="522">
        <f>C192</f>
        <v/>
      </c>
      <c r="IC192" s="522">
        <f>ID192*10000</f>
        <v/>
      </c>
      <c r="ID192" s="522" t="n">
        <v>29.39</v>
      </c>
      <c r="IF192" s="528" t="n"/>
      <c r="IG192" s="525" t="n"/>
      <c r="IH192" s="19" t="n"/>
      <c r="II192" s="551" t="n"/>
      <c r="IJ192" s="522">
        <f>C192</f>
        <v/>
      </c>
      <c r="IK192" s="522">
        <f>IL192*10000</f>
        <v/>
      </c>
      <c r="IL192" s="522" t="n">
        <v>15.55</v>
      </c>
      <c r="IN192" s="525" t="n"/>
      <c r="IO192" s="525" t="n"/>
      <c r="IP192" s="19" t="n"/>
      <c r="IQ192" s="551" t="n"/>
      <c r="IR192" s="522">
        <f>C192</f>
        <v/>
      </c>
      <c r="IS192" s="522">
        <f>IT192*10000</f>
        <v/>
      </c>
      <c r="IT192" s="522" t="n">
        <v>8.9</v>
      </c>
      <c r="IV192" s="525" t="n"/>
      <c r="IW192" s="525" t="n"/>
      <c r="IX192" s="19" t="n"/>
      <c r="IY192" s="551" t="n"/>
      <c r="IZ192" s="522">
        <f>C192</f>
        <v/>
      </c>
      <c r="JA192" s="522">
        <f>JB192*10000</f>
        <v/>
      </c>
      <c r="JB192" s="522" t="n">
        <v>242.57</v>
      </c>
      <c r="JD192" s="525" t="n"/>
      <c r="JE192" s="525" t="n"/>
      <c r="JF192" s="19" t="n"/>
      <c r="JG192" s="551" t="n"/>
      <c r="JH192" s="522">
        <f>C192</f>
        <v/>
      </c>
      <c r="JI192" s="522">
        <f>JJ192*10000</f>
        <v/>
      </c>
      <c r="JJ192" s="522" t="n">
        <v>53.22</v>
      </c>
      <c r="JL192" s="525" t="n"/>
      <c r="JM192" s="525" t="n"/>
      <c r="JN192" s="525" t="n"/>
      <c r="JO192" s="19" t="n"/>
      <c r="JP192" s="522">
        <f>C192</f>
        <v/>
      </c>
      <c r="JQ192" s="522">
        <f>JR192*10000</f>
        <v/>
      </c>
      <c r="JR192" s="522" t="n">
        <v>31.05</v>
      </c>
      <c r="JT192" s="525" t="n"/>
      <c r="JU192" s="525" t="n"/>
      <c r="JV192" s="525" t="n"/>
      <c r="JW192" s="525" t="n"/>
      <c r="JX192" s="522">
        <f>C192</f>
        <v/>
      </c>
      <c r="JY192" s="522">
        <f>JZ192*10000</f>
        <v/>
      </c>
      <c r="JZ192" s="522" t="n">
        <v>58.34</v>
      </c>
      <c r="KB192" s="525" t="n"/>
      <c r="KC192" s="525" t="n"/>
      <c r="KD192" s="525" t="n"/>
      <c r="KE192" s="525" t="n"/>
      <c r="KF192" s="522">
        <f>C192</f>
        <v/>
      </c>
      <c r="KG192" s="551" t="n"/>
      <c r="KH192" s="551" t="n"/>
      <c r="KI192" s="528" t="n"/>
      <c r="KJ192" s="552" t="n"/>
      <c r="KK192" s="524" t="n"/>
      <c r="KL192" s="524" t="n"/>
      <c r="KM192" s="551" t="n"/>
      <c r="KN192" s="522">
        <f>C192</f>
        <v/>
      </c>
      <c r="KO192" s="522">
        <f>KP192*10000</f>
        <v/>
      </c>
      <c r="KP192" s="522" t="n">
        <v>375.84</v>
      </c>
      <c r="KR192" s="525" t="n"/>
      <c r="KS192" s="525" t="n"/>
      <c r="KT192" s="19" t="n"/>
      <c r="KU192" s="551" t="n"/>
      <c r="KV192" s="522">
        <f>C192</f>
        <v/>
      </c>
      <c r="KW192" s="522">
        <f>KX192*10000</f>
        <v/>
      </c>
      <c r="KX192" s="522" t="n">
        <v>5.74</v>
      </c>
      <c r="KZ192" s="525" t="n"/>
      <c r="LA192" s="525" t="n"/>
      <c r="LB192" s="19" t="n"/>
      <c r="LC192" s="551" t="n"/>
      <c r="LD192" s="522">
        <f>C192</f>
        <v/>
      </c>
      <c r="LE192" s="522">
        <f>LF192*10000</f>
        <v/>
      </c>
      <c r="LF192" s="522" t="n">
        <v>15.93</v>
      </c>
      <c r="LH192" s="525" t="n"/>
      <c r="LI192" s="525" t="n"/>
      <c r="LJ192" s="19" t="n"/>
      <c r="LK192" s="551" t="n"/>
      <c r="LL192" s="522">
        <f>C192</f>
        <v/>
      </c>
      <c r="LM192" s="715">
        <f>LN192*10000</f>
        <v/>
      </c>
      <c r="LN192" s="522" t="n">
        <v>203.83</v>
      </c>
      <c r="LP192" s="525" t="n"/>
      <c r="LQ192" s="525" t="n"/>
      <c r="LR192" s="19" t="n"/>
      <c r="LS192" s="551" t="n"/>
      <c r="LT192" s="522">
        <f>C192</f>
        <v/>
      </c>
      <c r="LU192" s="522">
        <f>LV192*10000</f>
        <v/>
      </c>
      <c r="LV192" s="522" t="n">
        <v>165.51</v>
      </c>
      <c r="LX192" s="525" t="n"/>
      <c r="LY192" s="525" t="n"/>
      <c r="LZ192" s="19" t="n"/>
      <c r="MA192" s="551" t="n"/>
      <c r="MB192" s="522">
        <f>C192</f>
        <v/>
      </c>
      <c r="MC192" s="522">
        <f>MD192*10000</f>
        <v/>
      </c>
      <c r="MD192" s="522" t="n">
        <v>25.28</v>
      </c>
      <c r="MF192" s="525" t="n"/>
      <c r="MG192" s="525" t="n"/>
      <c r="MH192" s="19" t="n"/>
      <c r="MI192" s="551" t="n"/>
      <c r="MJ192" s="551" t="n"/>
      <c r="MK192" s="522">
        <f>C192</f>
        <v/>
      </c>
      <c r="ML192" s="551" t="n"/>
      <c r="MM192" s="24" t="n"/>
      <c r="MN192" s="551" t="n"/>
      <c r="MO192" s="524" t="n"/>
      <c r="MP192" s="524" t="n"/>
      <c r="MQ192" s="524" t="n"/>
      <c r="MR192" s="524" t="n"/>
      <c r="MS192" s="524" t="n"/>
      <c r="MT192" s="555">
        <f>C192</f>
        <v/>
      </c>
      <c r="MU192" s="556">
        <f>MV192*10000</f>
        <v/>
      </c>
      <c r="MV192" s="556" t="n">
        <v>0.77</v>
      </c>
      <c r="MW192" s="19" t="n"/>
      <c r="MX192" s="19" t="n"/>
      <c r="MY192" s="557" t="n"/>
      <c r="MZ192" s="19" t="n"/>
      <c r="NA192" s="19" t="n"/>
      <c r="NB192" s="19" t="n"/>
      <c r="NC192" s="5">
        <f>C192</f>
        <v/>
      </c>
      <c r="NG192" s="19" t="n"/>
      <c r="NH192" s="19" t="n"/>
      <c r="NI192" s="19" t="n"/>
      <c r="NJ192" s="19" t="n"/>
      <c r="NK192" s="19" t="n"/>
      <c r="NM192" s="5">
        <f>C192</f>
        <v/>
      </c>
      <c r="NQ192" s="19" t="n"/>
      <c r="NR192" s="19" t="n"/>
      <c r="NU192" s="5">
        <f>C192</f>
        <v/>
      </c>
      <c r="NV192" s="551" t="n"/>
      <c r="NW192" s="551" t="n"/>
      <c r="NX192" s="551" t="n"/>
      <c r="NY192" s="524" t="n"/>
      <c r="NZ192" s="524" t="n"/>
      <c r="OA192" s="551" t="n"/>
      <c r="OB192" s="551" t="n"/>
      <c r="OC192" s="522">
        <f>C192</f>
        <v/>
      </c>
      <c r="OD192" s="522">
        <f>OE192*10000</f>
        <v/>
      </c>
      <c r="OE192" s="522" t="n">
        <v>0.26</v>
      </c>
      <c r="OG192" s="525" t="n"/>
      <c r="OH192" s="19" t="n"/>
      <c r="OI192" s="19" t="n"/>
      <c r="OK192" s="5">
        <f>C192</f>
        <v/>
      </c>
      <c r="OO192" s="19" t="n"/>
      <c r="OP192" s="19" t="n"/>
      <c r="OQ192" s="19" t="n"/>
      <c r="OT192" s="25">
        <f>OK192</f>
        <v/>
      </c>
      <c r="OX192" s="19" t="n"/>
    </row>
    <row r="193" ht="22.5" customFormat="1" customHeight="1" s="5">
      <c r="A193" s="674" t="n"/>
      <c r="B193" s="674" t="n"/>
      <c r="C193" s="720" t="inlineStr">
        <is>
          <t>2025//4//30</t>
        </is>
      </c>
      <c r="D193" s="559" t="n">
        <v>9645618.77</v>
      </c>
      <c r="E193" s="560">
        <f>D194</f>
        <v/>
      </c>
      <c r="F193" s="561">
        <f>D193-E193</f>
        <v/>
      </c>
      <c r="G193" s="562">
        <f>F193/E193</f>
        <v/>
      </c>
      <c r="H193" s="562" t="n"/>
      <c r="I193" s="563" t="n"/>
      <c r="J193" s="563" t="n"/>
      <c r="K193" s="560">
        <f>C193</f>
        <v/>
      </c>
      <c r="L193" s="527" t="n">
        <v>6969844.4</v>
      </c>
      <c r="M193" s="522">
        <f>L194</f>
        <v/>
      </c>
      <c r="N193" s="523">
        <f>L193-M193</f>
        <v/>
      </c>
      <c r="O193" s="525">
        <f>N193/M193</f>
        <v/>
      </c>
      <c r="P193" s="562" t="n"/>
      <c r="Q193" s="563" t="n"/>
      <c r="R193" s="561" t="n"/>
      <c r="S193" s="560">
        <f>C193</f>
        <v/>
      </c>
      <c r="T193" s="527" t="n">
        <v>6020436.68</v>
      </c>
      <c r="U193" s="522">
        <f>T194</f>
        <v/>
      </c>
      <c r="V193" s="523">
        <f>T193-U193</f>
        <v/>
      </c>
      <c r="W193" s="525">
        <f>V193/T193</f>
        <v/>
      </c>
      <c r="X193" s="562" t="n"/>
      <c r="Y193" s="563" t="n"/>
      <c r="Z193" s="561" t="n"/>
      <c r="AA193" s="560">
        <f>S193</f>
        <v/>
      </c>
      <c r="AB193" s="559" t="n"/>
      <c r="AC193" s="560" t="n"/>
      <c r="AD193" s="561" t="n"/>
      <c r="AE193" s="560" t="n"/>
      <c r="AF193" s="562" t="n"/>
      <c r="AG193" s="563" t="n"/>
      <c r="AH193" s="561" t="n"/>
      <c r="AI193" s="560">
        <f>C193</f>
        <v/>
      </c>
      <c r="AJ193" s="559" t="n"/>
      <c r="AK193" s="560" t="n"/>
      <c r="AL193" s="561" t="n"/>
      <c r="AM193" s="560" t="n"/>
      <c r="AN193" s="562" t="n"/>
      <c r="AO193" s="563" t="n"/>
      <c r="AP193" s="560" t="n"/>
      <c r="AQ193" s="560">
        <f>C193</f>
        <v/>
      </c>
      <c r="AR193" s="721" t="n"/>
      <c r="AS193" s="560" t="n"/>
      <c r="AT193" s="563" t="n"/>
      <c r="AU193" s="561" t="n"/>
      <c r="AV193" s="563" t="n"/>
      <c r="AW193" s="563" t="n"/>
      <c r="AX193" s="561" t="n"/>
      <c r="AY193" s="561" t="n"/>
      <c r="AZ193" s="561">
        <f>C193</f>
        <v/>
      </c>
      <c r="BA193" s="561" t="n"/>
      <c r="BB193" s="561" t="n"/>
      <c r="BC193" s="561" t="n"/>
      <c r="BD193" s="563" t="n"/>
      <c r="BE193" s="563" t="n"/>
      <c r="BF193" s="563" t="n"/>
      <c r="BG193" s="647" t="n"/>
      <c r="BH193" s="548">
        <f>C193</f>
        <v/>
      </c>
      <c r="BI193" s="549">
        <f>BJ193*10000</f>
        <v/>
      </c>
      <c r="BJ193" s="548" t="n">
        <v>2.24</v>
      </c>
      <c r="BK193" s="550" t="n"/>
      <c r="BL193" s="525" t="n"/>
      <c r="BM193" s="525" t="n"/>
      <c r="BN193" s="19" t="n"/>
      <c r="BO193" s="551" t="n"/>
      <c r="BP193" s="522">
        <f>C193</f>
        <v/>
      </c>
      <c r="BQ193" s="715">
        <f>BR193*10000</f>
        <v/>
      </c>
      <c r="BR193" s="522" t="n">
        <v>17.6</v>
      </c>
      <c r="BT193" s="525" t="n"/>
      <c r="BU193" s="525" t="n"/>
      <c r="BV193" s="19" t="n"/>
      <c r="BW193" s="551" t="n"/>
      <c r="BX193" s="522">
        <f>C193</f>
        <v/>
      </c>
      <c r="BY193" s="522">
        <f>BZ193*10000</f>
        <v/>
      </c>
      <c r="BZ193" s="522" t="n">
        <v>26.36</v>
      </c>
      <c r="CB193" s="525" t="n"/>
      <c r="CC193" s="525" t="n"/>
      <c r="CD193" s="19" t="n"/>
      <c r="CE193" s="552" t="n"/>
      <c r="CF193" s="528">
        <f>C193</f>
        <v/>
      </c>
      <c r="CG193" s="528">
        <f>CH193*10000</f>
        <v/>
      </c>
      <c r="CH193" s="528" t="n">
        <v>41.72</v>
      </c>
      <c r="CJ193" s="528" t="n"/>
      <c r="CK193" s="525" t="n"/>
      <c r="CL193" s="524" t="n"/>
      <c r="CM193" s="551" t="n"/>
      <c r="CN193" s="522">
        <f>C193</f>
        <v/>
      </c>
      <c r="CO193" s="522">
        <f>CP193*10000</f>
        <v/>
      </c>
      <c r="CP193" s="522" t="n">
        <v>1.03</v>
      </c>
      <c r="CR193" s="525" t="n"/>
      <c r="CS193" s="524" t="n"/>
      <c r="CT193" s="524" t="n"/>
      <c r="CU193" s="551" t="n"/>
      <c r="CV193" s="522">
        <f>C193</f>
        <v/>
      </c>
      <c r="CW193" s="522">
        <f>CX193*10000</f>
        <v/>
      </c>
      <c r="CX193" s="522" t="n">
        <v>14.33</v>
      </c>
      <c r="CZ193" s="525" t="n"/>
      <c r="DA193" s="525" t="n"/>
      <c r="DB193" s="19" t="n"/>
      <c r="DC193" s="553" t="n"/>
      <c r="DD193" s="522">
        <f>C193</f>
        <v/>
      </c>
      <c r="DE193" s="522">
        <f>DF193*10000</f>
        <v/>
      </c>
      <c r="DF193" s="522" t="n">
        <v>10.36</v>
      </c>
      <c r="DH193" s="525" t="n"/>
      <c r="DI193" s="525" t="n"/>
      <c r="DJ193" s="19" t="n"/>
      <c r="DK193" s="551" t="n"/>
      <c r="DL193" s="522">
        <f>C193</f>
        <v/>
      </c>
      <c r="DM193" s="522">
        <f>DN193*10000</f>
        <v/>
      </c>
      <c r="DN193" s="522" t="n">
        <v>319.19</v>
      </c>
      <c r="DP193" s="525" t="n"/>
      <c r="DQ193" s="525" t="n"/>
      <c r="DR193" s="19" t="n"/>
      <c r="DS193" s="551" t="n"/>
      <c r="DT193" s="522">
        <f>C193</f>
        <v/>
      </c>
      <c r="DU193" s="522">
        <f>DV193*10000</f>
        <v/>
      </c>
      <c r="DV193" s="522" t="n">
        <v>78.67</v>
      </c>
      <c r="DX193" s="525" t="n"/>
      <c r="DY193" s="525" t="n"/>
      <c r="DZ193" s="19" t="n"/>
      <c r="EA193" s="551" t="n"/>
      <c r="EB193" s="522">
        <f>C193</f>
        <v/>
      </c>
      <c r="EC193" s="522">
        <f>ED193*10000</f>
        <v/>
      </c>
      <c r="ED193" s="565" t="n">
        <v>1009.83</v>
      </c>
      <c r="EF193" s="525" t="n"/>
      <c r="EG193" s="525" t="n"/>
      <c r="EH193" s="19" t="n"/>
      <c r="EI193" s="551" t="n"/>
      <c r="EJ193" s="522">
        <f>C193</f>
        <v/>
      </c>
      <c r="EK193" s="522">
        <f>EL193*10000</f>
        <v/>
      </c>
      <c r="EL193" s="522" t="n">
        <v>79.59</v>
      </c>
      <c r="EN193" s="525" t="n"/>
      <c r="EO193" s="525" t="n"/>
      <c r="EP193" s="19" t="n"/>
      <c r="EQ193" s="19" t="n"/>
      <c r="ER193" s="5">
        <f>C193</f>
        <v/>
      </c>
      <c r="ES193" s="19" t="n"/>
      <c r="ET193" s="19" t="n"/>
      <c r="EU193" s="19" t="n"/>
      <c r="EV193" s="19" t="n"/>
      <c r="EW193" s="19" t="n"/>
      <c r="EX193" s="19" t="n"/>
      <c r="EY193" s="551" t="n"/>
      <c r="EZ193" s="522">
        <f>C193</f>
        <v/>
      </c>
      <c r="FA193" s="522">
        <f>FB193*10000</f>
        <v/>
      </c>
      <c r="FB193" s="522" t="n">
        <v>96.62</v>
      </c>
      <c r="FD193" s="525" t="n"/>
      <c r="FE193" s="525" t="n"/>
      <c r="FF193" s="19" t="n"/>
      <c r="FG193" s="19" t="n"/>
      <c r="FH193" s="5">
        <f>C193</f>
        <v/>
      </c>
      <c r="FI193" s="633" t="n"/>
      <c r="FL193" s="19" t="n"/>
      <c r="FM193" s="19" t="n"/>
      <c r="FN193" s="19" t="n"/>
      <c r="FO193" s="551" t="n"/>
      <c r="FP193" s="522">
        <f>C193</f>
        <v/>
      </c>
      <c r="FQ193" s="522">
        <f>FR193*10000</f>
        <v/>
      </c>
      <c r="FR193" s="522" t="n">
        <v>17.05</v>
      </c>
      <c r="FT193" s="525" t="n"/>
      <c r="FU193" s="525" t="n"/>
      <c r="FV193" s="19" t="n"/>
      <c r="FW193" s="551" t="n"/>
      <c r="FX193" s="522">
        <f>C193</f>
        <v/>
      </c>
      <c r="FY193" s="522">
        <f>FZ193*10000</f>
        <v/>
      </c>
      <c r="FZ193" s="522" t="n">
        <v>764.87</v>
      </c>
      <c r="GB193" s="525" t="n"/>
      <c r="GC193" s="525" t="n"/>
      <c r="GD193" s="19" t="n"/>
      <c r="GE193" s="551" t="n"/>
      <c r="GF193" s="522">
        <f>C193</f>
        <v/>
      </c>
      <c r="GG193" s="522">
        <f>GH193*10000</f>
        <v/>
      </c>
      <c r="GH193" s="522" t="n">
        <v>539.9400000000001</v>
      </c>
      <c r="GJ193" s="525" t="n"/>
      <c r="GK193" s="525" t="n"/>
      <c r="GL193" s="19" t="n"/>
      <c r="GM193" s="551" t="n"/>
      <c r="GN193" s="522">
        <f>C193</f>
        <v/>
      </c>
      <c r="GO193" s="522">
        <f>GP193*10000</f>
        <v/>
      </c>
      <c r="GP193" s="522" t="n">
        <v>110.38</v>
      </c>
      <c r="GR193" s="525" t="n"/>
      <c r="GS193" s="525" t="n"/>
      <c r="GT193" s="19" t="n"/>
      <c r="GU193" s="551" t="n"/>
      <c r="GV193" s="522">
        <f>C193</f>
        <v/>
      </c>
      <c r="GW193" s="522">
        <f>GX193*10000</f>
        <v/>
      </c>
      <c r="GX193" s="522" t="n">
        <v>111.13</v>
      </c>
      <c r="GZ193" s="525">
        <f>(GW193-GW194)/GW194</f>
        <v/>
      </c>
      <c r="HA193" s="525" t="n"/>
      <c r="HB193" s="19" t="n"/>
      <c r="HC193" s="551" t="n"/>
      <c r="HD193" s="522">
        <f>C193</f>
        <v/>
      </c>
      <c r="HE193" s="522">
        <f>HF193*10000</f>
        <v/>
      </c>
      <c r="HF193" s="522" t="n">
        <v>51.06</v>
      </c>
      <c r="HH193" s="525" t="n"/>
      <c r="HI193" s="524" t="n"/>
      <c r="HJ193" s="19" t="n"/>
      <c r="HK193" s="551" t="n"/>
      <c r="HL193" s="522">
        <f>C193</f>
        <v/>
      </c>
      <c r="HM193" s="522">
        <f>HN193*10000</f>
        <v/>
      </c>
      <c r="HN193" s="522" t="n">
        <v>28.85</v>
      </c>
      <c r="HP193" s="525" t="n"/>
      <c r="HQ193" s="525" t="n"/>
      <c r="HR193" s="19" t="n"/>
      <c r="HS193" s="551" t="n"/>
      <c r="HT193" s="522">
        <f>C193</f>
        <v/>
      </c>
      <c r="HU193" s="522">
        <f>HV193*10000</f>
        <v/>
      </c>
      <c r="HV193" s="522" t="n">
        <v>12.2</v>
      </c>
      <c r="HX193" s="525" t="n"/>
      <c r="HY193" s="525" t="n"/>
      <c r="HZ193" s="19" t="n"/>
      <c r="IA193" s="551" t="n"/>
      <c r="IB193" s="522">
        <f>C193</f>
        <v/>
      </c>
      <c r="IC193" s="522">
        <f>ID193*10000</f>
        <v/>
      </c>
      <c r="ID193" s="522" t="n">
        <v>45.73</v>
      </c>
      <c r="IF193" s="528" t="n"/>
      <c r="IG193" s="525" t="n"/>
      <c r="IH193" s="19" t="n"/>
      <c r="II193" s="551" t="n"/>
      <c r="IJ193" s="522">
        <f>C193</f>
        <v/>
      </c>
      <c r="IK193" s="522">
        <f>IL193*10000</f>
        <v/>
      </c>
      <c r="IL193" s="522" t="n">
        <v>17.53</v>
      </c>
      <c r="IN193" s="525" t="n"/>
      <c r="IO193" s="525" t="n"/>
      <c r="IP193" s="19" t="n"/>
      <c r="IQ193" s="551" t="n"/>
      <c r="IR193" s="522">
        <f>C193</f>
        <v/>
      </c>
      <c r="IS193" s="522">
        <f>IT193*10000</f>
        <v/>
      </c>
      <c r="IT193" s="522" t="n">
        <v>12.76</v>
      </c>
      <c r="IV193" s="525" t="n"/>
      <c r="IW193" s="525" t="n"/>
      <c r="IX193" s="19" t="n"/>
      <c r="IY193" s="551" t="n"/>
      <c r="IZ193" s="522">
        <f>C193</f>
        <v/>
      </c>
      <c r="JA193" s="522">
        <f>JB193*10000</f>
        <v/>
      </c>
      <c r="JB193" s="522" t="n">
        <v>314.11</v>
      </c>
      <c r="JD193" s="525" t="n"/>
      <c r="JE193" s="525" t="n"/>
      <c r="JF193" s="19" t="n"/>
      <c r="JG193" s="551" t="n"/>
      <c r="JH193" s="522">
        <f>C193</f>
        <v/>
      </c>
      <c r="JI193" s="522">
        <f>JJ193*10000</f>
        <v/>
      </c>
      <c r="JJ193" s="522" t="n">
        <v>50.44</v>
      </c>
      <c r="JL193" s="525" t="n"/>
      <c r="JM193" s="525" t="n"/>
      <c r="JN193" s="525" t="n"/>
      <c r="JO193" s="19" t="n"/>
      <c r="JP193" s="522">
        <f>C193</f>
        <v/>
      </c>
      <c r="JQ193" s="522">
        <f>JR193*10000</f>
        <v/>
      </c>
      <c r="JR193" s="522" t="n">
        <v>32.62</v>
      </c>
      <c r="JT193" s="525" t="n"/>
      <c r="JU193" s="525" t="n"/>
      <c r="JV193" s="525" t="n"/>
      <c r="JW193" s="525" t="n"/>
      <c r="JX193" s="522">
        <f>C193</f>
        <v/>
      </c>
      <c r="JY193" s="522">
        <f>JZ193*10000</f>
        <v/>
      </c>
      <c r="JZ193" s="522" t="n">
        <v>43.98</v>
      </c>
      <c r="KB193" s="525" t="n"/>
      <c r="KC193" s="525" t="n"/>
      <c r="KD193" s="525" t="n"/>
      <c r="KE193" s="525" t="n"/>
      <c r="KF193" s="522">
        <f>C193</f>
        <v/>
      </c>
      <c r="KG193" s="551" t="n"/>
      <c r="KH193" s="551" t="n"/>
      <c r="KI193" s="528" t="n"/>
      <c r="KJ193" s="552" t="n"/>
      <c r="KK193" s="524" t="n"/>
      <c r="KL193" s="524" t="n"/>
      <c r="KM193" s="551" t="n"/>
      <c r="KN193" s="522">
        <f>C193</f>
        <v/>
      </c>
      <c r="KO193" s="522">
        <f>KP193*10000</f>
        <v/>
      </c>
      <c r="KP193" s="522" t="n">
        <v>413.01</v>
      </c>
      <c r="KR193" s="525" t="n"/>
      <c r="KS193" s="525" t="n"/>
      <c r="KT193" s="19" t="n"/>
      <c r="KU193" s="551" t="n"/>
      <c r="KV193" s="522">
        <f>C193</f>
        <v/>
      </c>
      <c r="KW193" s="522">
        <f>KX193*10000</f>
        <v/>
      </c>
      <c r="KX193" s="522" t="n">
        <v>3.95</v>
      </c>
      <c r="KZ193" s="525" t="n"/>
      <c r="LA193" s="525" t="n"/>
      <c r="LB193" s="19" t="n"/>
      <c r="LC193" s="551" t="n"/>
      <c r="LD193" s="522">
        <f>C193</f>
        <v/>
      </c>
      <c r="LE193" s="522">
        <f>LF193*10000</f>
        <v/>
      </c>
      <c r="LF193" s="522" t="n">
        <v>17.02</v>
      </c>
      <c r="LH193" s="525" t="n"/>
      <c r="LI193" s="525" t="n"/>
      <c r="LJ193" s="19" t="n"/>
      <c r="LK193" s="551" t="n"/>
      <c r="LL193" s="522">
        <f>C193</f>
        <v/>
      </c>
      <c r="LM193" s="715">
        <f>LN193*10000</f>
        <v/>
      </c>
      <c r="LN193" s="522" t="n">
        <v>162.95</v>
      </c>
      <c r="LP193" s="525" t="n"/>
      <c r="LQ193" s="525" t="n"/>
      <c r="LR193" s="19" t="n"/>
      <c r="LS193" s="551" t="n"/>
      <c r="LT193" s="522">
        <f>C193</f>
        <v/>
      </c>
      <c r="LU193" s="522">
        <f>LV193*10000</f>
        <v/>
      </c>
      <c r="LV193" s="522" t="n">
        <v>123.53</v>
      </c>
      <c r="LX193" s="525" t="n"/>
      <c r="LY193" s="525" t="n"/>
      <c r="LZ193" s="19" t="n"/>
      <c r="MA193" s="551" t="n"/>
      <c r="MB193" s="522">
        <f>C193</f>
        <v/>
      </c>
      <c r="MC193" s="522">
        <f>MD193*10000</f>
        <v/>
      </c>
      <c r="MD193" s="522" t="n">
        <v>26.39</v>
      </c>
      <c r="MF193" s="525" t="n"/>
      <c r="MG193" s="525" t="n"/>
      <c r="MH193" s="19" t="n"/>
      <c r="MI193" s="551" t="n"/>
      <c r="MJ193" s="551" t="n"/>
      <c r="MK193" s="522">
        <f>C193</f>
        <v/>
      </c>
      <c r="ML193" s="551" t="n"/>
      <c r="MM193" s="24" t="n"/>
      <c r="MN193" s="551" t="n"/>
      <c r="MO193" s="524" t="n"/>
      <c r="MP193" s="524" t="n"/>
      <c r="MQ193" s="524" t="n"/>
      <c r="MR193" s="524" t="n"/>
      <c r="MS193" s="524" t="n"/>
      <c r="MT193" s="555">
        <f>C193</f>
        <v/>
      </c>
      <c r="MU193" s="556">
        <f>MV193*10000</f>
        <v/>
      </c>
      <c r="MV193" s="556" t="n">
        <v>0.66</v>
      </c>
      <c r="MW193" s="19" t="n"/>
      <c r="MX193" s="19" t="n"/>
      <c r="MY193" s="557" t="n"/>
      <c r="MZ193" s="19" t="n"/>
      <c r="NA193" s="19" t="n"/>
      <c r="NB193" s="19" t="n"/>
      <c r="NC193" s="5">
        <f>C193</f>
        <v/>
      </c>
      <c r="NG193" s="19" t="n"/>
      <c r="NH193" s="19" t="n"/>
      <c r="NI193" s="19" t="n"/>
      <c r="NJ193" s="19" t="n"/>
      <c r="NK193" s="19" t="n"/>
      <c r="NM193" s="5">
        <f>C193</f>
        <v/>
      </c>
      <c r="NQ193" s="19" t="n"/>
      <c r="NR193" s="19" t="n"/>
      <c r="NU193" s="5">
        <f>C193</f>
        <v/>
      </c>
      <c r="NV193" s="551" t="n"/>
      <c r="NW193" s="551" t="n"/>
      <c r="NX193" s="551" t="n"/>
      <c r="NY193" s="524" t="n"/>
      <c r="NZ193" s="524" t="n"/>
      <c r="OA193" s="551" t="n"/>
      <c r="OB193" s="551" t="n"/>
      <c r="OC193" s="522">
        <f>C193</f>
        <v/>
      </c>
      <c r="OD193" s="522">
        <f>OE193*10000</f>
        <v/>
      </c>
      <c r="OE193" s="522" t="n">
        <v>0.25</v>
      </c>
      <c r="OG193" s="525" t="n"/>
      <c r="OH193" s="19" t="n"/>
      <c r="OI193" s="19" t="n"/>
      <c r="OK193" s="5">
        <f>C193</f>
        <v/>
      </c>
      <c r="OO193" s="19" t="n"/>
      <c r="OP193" s="19" t="n"/>
      <c r="OQ193" s="19" t="n"/>
      <c r="OT193" s="25">
        <f>OK193</f>
        <v/>
      </c>
      <c r="OX193" s="19" t="n"/>
    </row>
    <row r="194" ht="22.5" customFormat="1" customHeight="1" s="5">
      <c r="A194" s="654" t="n"/>
      <c r="B194" s="654" t="n"/>
      <c r="C194" s="722" t="inlineStr">
        <is>
          <t>2025//4//18</t>
        </is>
      </c>
      <c r="D194" s="567" t="n">
        <v>9718878.77</v>
      </c>
      <c r="E194" s="568">
        <f>D195</f>
        <v/>
      </c>
      <c r="F194" s="569">
        <f>D194-E194</f>
        <v/>
      </c>
      <c r="G194" s="570">
        <f>F194/E194</f>
        <v/>
      </c>
      <c r="H194" s="570" t="n"/>
      <c r="I194" s="571" t="n"/>
      <c r="J194" s="571" t="n"/>
      <c r="K194" s="568">
        <f>C194</f>
        <v/>
      </c>
      <c r="L194" s="527" t="n">
        <v>7000084.4</v>
      </c>
      <c r="M194" s="522">
        <f>L195</f>
        <v/>
      </c>
      <c r="N194" s="523">
        <f>L194-M194</f>
        <v/>
      </c>
      <c r="O194" s="525">
        <f>N194/M194</f>
        <v/>
      </c>
      <c r="P194" s="570" t="n"/>
      <c r="Q194" s="571" t="n"/>
      <c r="R194" s="569" t="n"/>
      <c r="S194" s="568">
        <f>C194</f>
        <v/>
      </c>
      <c r="T194" s="527" t="n">
        <v>6069846.68</v>
      </c>
      <c r="U194" s="522">
        <f>T195</f>
        <v/>
      </c>
      <c r="V194" s="523">
        <f>T194-U194</f>
        <v/>
      </c>
      <c r="W194" s="525">
        <f>V194/T194</f>
        <v/>
      </c>
      <c r="X194" s="570" t="n"/>
      <c r="Y194" s="571" t="n"/>
      <c r="Z194" s="569" t="n"/>
      <c r="AA194" s="568">
        <f>S194</f>
        <v/>
      </c>
      <c r="AB194" s="567" t="n"/>
      <c r="AC194" s="568" t="n"/>
      <c r="AD194" s="569" t="n"/>
      <c r="AE194" s="568" t="n"/>
      <c r="AF194" s="570" t="n"/>
      <c r="AG194" s="571" t="n"/>
      <c r="AH194" s="569" t="n"/>
      <c r="AI194" s="568">
        <f>C194</f>
        <v/>
      </c>
      <c r="AJ194" s="567" t="n"/>
      <c r="AK194" s="568" t="n"/>
      <c r="AL194" s="569" t="n"/>
      <c r="AM194" s="568" t="n"/>
      <c r="AN194" s="570" t="n"/>
      <c r="AO194" s="571" t="n"/>
      <c r="AP194" s="568" t="n"/>
      <c r="AQ194" s="568">
        <f>C194</f>
        <v/>
      </c>
      <c r="AR194" s="723" t="n"/>
      <c r="AS194" s="568" t="n"/>
      <c r="AT194" s="571" t="n"/>
      <c r="AU194" s="569" t="n"/>
      <c r="AV194" s="571" t="n"/>
      <c r="AW194" s="571" t="n"/>
      <c r="AX194" s="569" t="n"/>
      <c r="AY194" s="569" t="n"/>
      <c r="AZ194" s="569">
        <f>C194</f>
        <v/>
      </c>
      <c r="BA194" s="569" t="n"/>
      <c r="BB194" s="569" t="n"/>
      <c r="BC194" s="569" t="n"/>
      <c r="BD194" s="571" t="n"/>
      <c r="BE194" s="571" t="n"/>
      <c r="BF194" s="571" t="n"/>
      <c r="BG194" s="647" t="n"/>
      <c r="BH194" s="548">
        <f>C194</f>
        <v/>
      </c>
      <c r="BI194" s="549">
        <f>BJ194*10000</f>
        <v/>
      </c>
      <c r="BJ194" s="548" t="n">
        <v>2.24</v>
      </c>
      <c r="BK194" s="550" t="n"/>
      <c r="BL194" s="525" t="n"/>
      <c r="BM194" s="525" t="n"/>
      <c r="BN194" s="19" t="n"/>
      <c r="BO194" s="551" t="n"/>
      <c r="BP194" s="522">
        <f>C194</f>
        <v/>
      </c>
      <c r="BQ194" s="715">
        <f>BR194*10000</f>
        <v/>
      </c>
      <c r="BR194" s="522" t="n">
        <v>17.03</v>
      </c>
      <c r="BT194" s="525" t="n"/>
      <c r="BU194" s="525" t="n"/>
      <c r="BV194" s="19" t="n"/>
      <c r="BW194" s="551" t="n"/>
      <c r="BX194" s="522">
        <f>C194</f>
        <v/>
      </c>
      <c r="BY194" s="522">
        <f>BZ194*10000</f>
        <v/>
      </c>
      <c r="BZ194" s="522" t="n">
        <v>28.99</v>
      </c>
      <c r="CB194" s="525" t="n"/>
      <c r="CC194" s="525" t="n"/>
      <c r="CD194" s="19" t="n"/>
      <c r="CE194" s="552" t="n"/>
      <c r="CF194" s="528">
        <f>C194</f>
        <v/>
      </c>
      <c r="CG194" s="528">
        <f>CH194*10000</f>
        <v/>
      </c>
      <c r="CH194" s="528" t="n">
        <v>43.25</v>
      </c>
      <c r="CJ194" s="528" t="n"/>
      <c r="CK194" s="525" t="n"/>
      <c r="CL194" s="524" t="n"/>
      <c r="CM194" s="551" t="n"/>
      <c r="CN194" s="522">
        <f>C194</f>
        <v/>
      </c>
      <c r="CO194" s="522">
        <f>CP194*10000</f>
        <v/>
      </c>
      <c r="CP194" s="522" t="n">
        <v>1.1</v>
      </c>
      <c r="CR194" s="525" t="n"/>
      <c r="CS194" s="524" t="n"/>
      <c r="CT194" s="524" t="n"/>
      <c r="CU194" s="551" t="n"/>
      <c r="CV194" s="522">
        <f>C194</f>
        <v/>
      </c>
      <c r="CW194" s="522">
        <f>CX194*10000</f>
        <v/>
      </c>
      <c r="CX194" s="522" t="n">
        <v>9.460000000000001</v>
      </c>
      <c r="CZ194" s="525" t="n"/>
      <c r="DA194" s="525" t="n"/>
      <c r="DB194" s="19" t="n"/>
      <c r="DC194" s="553" t="n"/>
      <c r="DD194" s="522">
        <f>C194</f>
        <v/>
      </c>
      <c r="DE194" s="522">
        <f>DF194*10000</f>
        <v/>
      </c>
      <c r="DF194" s="522" t="n">
        <v>9.300000000000001</v>
      </c>
      <c r="DH194" s="525" t="n"/>
      <c r="DI194" s="525" t="n"/>
      <c r="DJ194" s="19" t="n"/>
      <c r="DK194" s="551" t="n"/>
      <c r="DL194" s="522">
        <f>C194</f>
        <v/>
      </c>
      <c r="DM194" s="522">
        <f>DN194*10000</f>
        <v/>
      </c>
      <c r="DN194" s="522" t="n">
        <v>288.67</v>
      </c>
      <c r="DP194" s="525" t="n"/>
      <c r="DQ194" s="525" t="n"/>
      <c r="DR194" s="19" t="n"/>
      <c r="DS194" s="551" t="n"/>
      <c r="DT194" s="522">
        <f>C194</f>
        <v/>
      </c>
      <c r="DU194" s="522">
        <f>DV194*10000</f>
        <v/>
      </c>
      <c r="DV194" s="522" t="n">
        <v>63.31</v>
      </c>
      <c r="DX194" s="525" t="n"/>
      <c r="DY194" s="525" t="n"/>
      <c r="DZ194" s="19" t="n"/>
      <c r="EA194" s="551" t="n"/>
      <c r="EB194" s="522">
        <f>C194</f>
        <v/>
      </c>
      <c r="EC194" s="522">
        <f>ED194*10000</f>
        <v/>
      </c>
      <c r="ED194" s="522" t="n">
        <v>960.28</v>
      </c>
      <c r="EF194" s="525" t="n"/>
      <c r="EG194" s="525" t="n"/>
      <c r="EH194" s="19" t="n"/>
      <c r="EI194" s="551" t="n"/>
      <c r="EJ194" s="522">
        <f>C194</f>
        <v/>
      </c>
      <c r="EK194" s="522">
        <f>EL194*10000</f>
        <v/>
      </c>
      <c r="EL194" s="522" t="n">
        <v>78.04000000000001</v>
      </c>
      <c r="EN194" s="525" t="n"/>
      <c r="EO194" s="525" t="n"/>
      <c r="EP194" s="19" t="n"/>
      <c r="EQ194" s="19" t="n"/>
      <c r="ER194" s="5">
        <f>C194</f>
        <v/>
      </c>
      <c r="ES194" s="19" t="n"/>
      <c r="ET194" s="19" t="n"/>
      <c r="EU194" s="19" t="n"/>
      <c r="EV194" s="19" t="n"/>
      <c r="EW194" s="19" t="n"/>
      <c r="EX194" s="19" t="n"/>
      <c r="EY194" s="551" t="n"/>
      <c r="EZ194" s="522">
        <f>C194</f>
        <v/>
      </c>
      <c r="FA194" s="522">
        <f>FB194*10000</f>
        <v/>
      </c>
      <c r="FB194" s="522" t="n">
        <v>89.12</v>
      </c>
      <c r="FD194" s="525" t="n"/>
      <c r="FE194" s="525" t="n"/>
      <c r="FF194" s="19" t="n"/>
      <c r="FG194" s="19" t="n"/>
      <c r="FH194" s="5">
        <f>C194</f>
        <v/>
      </c>
      <c r="FI194" s="633" t="n"/>
      <c r="FL194" s="19" t="n"/>
      <c r="FM194" s="19" t="n"/>
      <c r="FN194" s="19" t="n"/>
      <c r="FO194" s="551" t="n"/>
      <c r="FP194" s="522">
        <f>C194</f>
        <v/>
      </c>
      <c r="FQ194" s="522">
        <f>FR194*10000</f>
        <v/>
      </c>
      <c r="FR194" s="522" t="n">
        <v>14.01</v>
      </c>
      <c r="FT194" s="525" t="n"/>
      <c r="FU194" s="525" t="n"/>
      <c r="FV194" s="19" t="n"/>
      <c r="FW194" s="551" t="n"/>
      <c r="FX194" s="522">
        <f>C194</f>
        <v/>
      </c>
      <c r="FY194" s="522">
        <f>FZ194*10000</f>
        <v/>
      </c>
      <c r="FZ194" s="522" t="n">
        <v>732.7</v>
      </c>
      <c r="GB194" s="525" t="n"/>
      <c r="GC194" s="525" t="n"/>
      <c r="GD194" s="19" t="n"/>
      <c r="GE194" s="551" t="n"/>
      <c r="GF194" s="522">
        <f>C194</f>
        <v/>
      </c>
      <c r="GG194" s="522">
        <f>GH194*10000</f>
        <v/>
      </c>
      <c r="GH194" s="522" t="n">
        <v>523.98</v>
      </c>
      <c r="GJ194" s="525" t="n"/>
      <c r="GK194" s="525" t="n"/>
      <c r="GL194" s="19" t="n"/>
      <c r="GM194" s="551" t="n"/>
      <c r="GN194" s="522">
        <f>C194</f>
        <v/>
      </c>
      <c r="GO194" s="522">
        <f>GP194*10000</f>
        <v/>
      </c>
      <c r="GP194" s="522" t="n">
        <v>103.6</v>
      </c>
      <c r="GR194" s="525" t="n"/>
      <c r="GS194" s="525" t="n"/>
      <c r="GT194" s="19" t="n"/>
      <c r="GU194" s="551" t="n"/>
      <c r="GV194" s="522">
        <f>C194</f>
        <v/>
      </c>
      <c r="GW194" s="522">
        <f>GX194*10000</f>
        <v/>
      </c>
      <c r="GX194" s="522" t="n">
        <v>124.23</v>
      </c>
      <c r="GZ194" s="525">
        <f>(GW194-GW195)/GW195</f>
        <v/>
      </c>
      <c r="HA194" s="525" t="n"/>
      <c r="HB194" s="19" t="n"/>
      <c r="HC194" s="551" t="n"/>
      <c r="HD194" s="522">
        <f>C194</f>
        <v/>
      </c>
      <c r="HE194" s="522">
        <f>HF194*10000</f>
        <v/>
      </c>
      <c r="HF194" s="522" t="n">
        <v>53.88</v>
      </c>
      <c r="HH194" s="525" t="n"/>
      <c r="HI194" s="524" t="n"/>
      <c r="HJ194" s="19" t="n"/>
      <c r="HK194" s="551" t="n"/>
      <c r="HL194" s="522">
        <f>C194</f>
        <v/>
      </c>
      <c r="HM194" s="522">
        <f>HN194*10000</f>
        <v/>
      </c>
      <c r="HN194" s="522" t="n">
        <v>30.99</v>
      </c>
      <c r="HP194" s="525" t="n"/>
      <c r="HQ194" s="525" t="n"/>
      <c r="HR194" s="19" t="n"/>
      <c r="HS194" s="551" t="n"/>
      <c r="HT194" s="522">
        <f>C194</f>
        <v/>
      </c>
      <c r="HU194" s="522">
        <f>HV194*10000</f>
        <v/>
      </c>
      <c r="HV194" s="522" t="n">
        <v>12.91</v>
      </c>
      <c r="HX194" s="525" t="n"/>
      <c r="HY194" s="525" t="n"/>
      <c r="HZ194" s="19" t="n"/>
      <c r="IA194" s="551" t="n"/>
      <c r="IB194" s="522">
        <f>C194</f>
        <v/>
      </c>
      <c r="IC194" s="522">
        <f>ID194*10000</f>
        <v/>
      </c>
      <c r="ID194" s="522" t="n">
        <v>35.06</v>
      </c>
      <c r="IF194" s="528" t="n"/>
      <c r="IG194" s="525" t="n"/>
      <c r="IH194" s="19" t="n"/>
      <c r="II194" s="551" t="n"/>
      <c r="IJ194" s="522">
        <f>C194</f>
        <v/>
      </c>
      <c r="IK194" s="522">
        <f>IL194*10000</f>
        <v/>
      </c>
      <c r="IL194" s="522" t="n">
        <v>22.91</v>
      </c>
      <c r="IN194" s="525" t="n"/>
      <c r="IO194" s="525" t="n"/>
      <c r="IP194" s="19" t="n"/>
      <c r="IQ194" s="551" t="n"/>
      <c r="IR194" s="522">
        <f>C194</f>
        <v/>
      </c>
      <c r="IS194" s="522">
        <f>IT194*10000</f>
        <v/>
      </c>
      <c r="IT194" s="522" t="n">
        <v>14.35</v>
      </c>
      <c r="IV194" s="525" t="n"/>
      <c r="IW194" s="525" t="n"/>
      <c r="IX194" s="19" t="n"/>
      <c r="IY194" s="551" t="n"/>
      <c r="IZ194" s="522">
        <f>C194</f>
        <v/>
      </c>
      <c r="JA194" s="522">
        <f>JB194*10000</f>
        <v/>
      </c>
      <c r="JB194" s="522" t="n">
        <v>382.74</v>
      </c>
      <c r="JD194" s="525" t="n"/>
      <c r="JE194" s="525" t="n"/>
      <c r="JF194" s="19" t="n"/>
      <c r="JG194" s="551" t="n"/>
      <c r="JH194" s="522">
        <f>C194</f>
        <v/>
      </c>
      <c r="JI194" s="522">
        <f>JJ194*10000</f>
        <v/>
      </c>
      <c r="JJ194" s="522" t="n">
        <v>34.98</v>
      </c>
      <c r="JL194" s="525" t="n"/>
      <c r="JM194" s="525" t="n"/>
      <c r="JN194" s="525" t="n"/>
      <c r="JO194" s="19" t="n"/>
      <c r="JP194" s="522">
        <f>C194</f>
        <v/>
      </c>
      <c r="JQ194" s="522">
        <f>JR194*10000</f>
        <v/>
      </c>
      <c r="JR194" s="522" t="n">
        <v>5.45</v>
      </c>
      <c r="JT194" s="525" t="n"/>
      <c r="JU194" s="525" t="n"/>
      <c r="JV194" s="525" t="n"/>
      <c r="JW194" s="525" t="n"/>
      <c r="JX194" s="522">
        <f>C194</f>
        <v/>
      </c>
      <c r="JY194" s="522">
        <f>JZ194*10000</f>
        <v/>
      </c>
      <c r="JZ194" s="522" t="n">
        <v>33.57</v>
      </c>
      <c r="KB194" s="525" t="n"/>
      <c r="KC194" s="525" t="n"/>
      <c r="KD194" s="525" t="n"/>
      <c r="KE194" s="525" t="n"/>
      <c r="KF194" s="522">
        <f>C194</f>
        <v/>
      </c>
      <c r="KG194" s="551" t="n"/>
      <c r="KH194" s="551" t="n"/>
      <c r="KI194" s="528" t="n"/>
      <c r="KJ194" s="552" t="n"/>
      <c r="KK194" s="524" t="n"/>
      <c r="KL194" s="524" t="n"/>
      <c r="KM194" s="551" t="n"/>
      <c r="KN194" s="522">
        <f>C194</f>
        <v/>
      </c>
      <c r="KO194" s="522">
        <f>KP194*10000</f>
        <v/>
      </c>
      <c r="KP194" s="522" t="n">
        <v>420.73</v>
      </c>
      <c r="KR194" s="525" t="n"/>
      <c r="KS194" s="525" t="n"/>
      <c r="KT194" s="19" t="n"/>
      <c r="KU194" s="551" t="n"/>
      <c r="KV194" s="522">
        <f>C194</f>
        <v/>
      </c>
      <c r="KW194" s="522">
        <f>KX194*10000</f>
        <v/>
      </c>
      <c r="KX194" s="522" t="n">
        <v>1.95</v>
      </c>
      <c r="KZ194" s="525" t="n"/>
      <c r="LA194" s="525" t="n"/>
      <c r="LB194" s="19" t="n"/>
      <c r="LC194" s="551" t="n"/>
      <c r="LD194" s="522">
        <f>C194</f>
        <v/>
      </c>
      <c r="LE194" s="522">
        <f>LF194*10000</f>
        <v/>
      </c>
      <c r="LF194" s="522" t="n">
        <v>17.5</v>
      </c>
      <c r="LH194" s="525" t="n"/>
      <c r="LI194" s="525" t="n"/>
      <c r="LJ194" s="19" t="n"/>
      <c r="LK194" s="551" t="n"/>
      <c r="LL194" s="522">
        <f>C194</f>
        <v/>
      </c>
      <c r="LM194" s="715">
        <f>LN194*10000</f>
        <v/>
      </c>
      <c r="LN194" s="522" t="n">
        <v>157.47</v>
      </c>
      <c r="LP194" s="525" t="n"/>
      <c r="LQ194" s="525" t="n"/>
      <c r="LR194" s="19" t="n"/>
      <c r="LS194" s="551" t="n"/>
      <c r="LT194" s="522">
        <f>C194</f>
        <v/>
      </c>
      <c r="LU194" s="522">
        <f>LV194*10000</f>
        <v/>
      </c>
      <c r="LV194" s="522" t="n">
        <v>98.37</v>
      </c>
      <c r="LX194" s="525" t="n"/>
      <c r="LY194" s="525" t="n"/>
      <c r="LZ194" s="19" t="n"/>
      <c r="MA194" s="551" t="n"/>
      <c r="MB194" s="522">
        <f>C194</f>
        <v/>
      </c>
      <c r="MC194" s="522">
        <f>MD194*10000</f>
        <v/>
      </c>
      <c r="MD194" s="522" t="n">
        <v>24.56</v>
      </c>
      <c r="MF194" s="525" t="n"/>
      <c r="MG194" s="525" t="n"/>
      <c r="MH194" s="19" t="n"/>
      <c r="MI194" s="551" t="n"/>
      <c r="MJ194" s="551" t="n"/>
      <c r="MK194" s="522">
        <f>C194</f>
        <v/>
      </c>
      <c r="ML194" s="551" t="n"/>
      <c r="MM194" s="24" t="n"/>
      <c r="MN194" s="551" t="n"/>
      <c r="MO194" s="524" t="n"/>
      <c r="MP194" s="524" t="n"/>
      <c r="MQ194" s="524" t="n"/>
      <c r="MR194" s="524" t="n"/>
      <c r="MS194" s="524" t="n"/>
      <c r="MT194" s="555">
        <f>C194</f>
        <v/>
      </c>
      <c r="MU194" s="556">
        <f>MV194*10000</f>
        <v/>
      </c>
      <c r="MV194" s="556" t="n">
        <v>0.74</v>
      </c>
      <c r="MW194" s="19" t="n"/>
      <c r="MX194" s="19" t="n"/>
      <c r="MY194" s="557" t="n"/>
      <c r="MZ194" s="19" t="n"/>
      <c r="NA194" s="19" t="n"/>
      <c r="NB194" s="19" t="n"/>
      <c r="NC194" s="5">
        <f>C194</f>
        <v/>
      </c>
      <c r="NG194" s="19" t="n"/>
      <c r="NH194" s="19" t="n"/>
      <c r="NI194" s="19" t="n"/>
      <c r="NJ194" s="19" t="n"/>
      <c r="NK194" s="19" t="n"/>
      <c r="NM194" s="5">
        <f>C194</f>
        <v/>
      </c>
      <c r="NQ194" s="19" t="n"/>
      <c r="NR194" s="19" t="n"/>
      <c r="NU194" s="5">
        <f>C194</f>
        <v/>
      </c>
      <c r="NV194" s="551" t="n"/>
      <c r="NW194" s="551" t="n"/>
      <c r="NX194" s="551" t="n"/>
      <c r="NY194" s="524" t="n"/>
      <c r="NZ194" s="524" t="n"/>
      <c r="OA194" s="551" t="n"/>
      <c r="OB194" s="551" t="n"/>
      <c r="OC194" s="522">
        <f>C194</f>
        <v/>
      </c>
      <c r="OD194" s="522">
        <f>OE194*10000</f>
        <v/>
      </c>
      <c r="OE194" s="522" t="n">
        <v>0.15</v>
      </c>
      <c r="OG194" s="525" t="n"/>
      <c r="OH194" s="19" t="n"/>
      <c r="OI194" s="19" t="n"/>
      <c r="OK194" s="5">
        <f>C194</f>
        <v/>
      </c>
      <c r="OO194" s="19" t="n"/>
      <c r="OP194" s="19" t="n"/>
      <c r="OQ194" s="19" t="n"/>
      <c r="OT194" s="25">
        <f>OK194</f>
        <v/>
      </c>
      <c r="OX194" s="19" t="n"/>
    </row>
    <row r="195" ht="21" customFormat="1" customHeight="1" s="5">
      <c r="A195" s="631" t="n"/>
      <c r="B195" s="631" t="n"/>
      <c r="C195" s="714" t="inlineStr">
        <is>
          <t>2025//4//17</t>
        </is>
      </c>
      <c r="D195" s="521" t="n">
        <v>9666948.77</v>
      </c>
      <c r="E195" s="522">
        <f>D196</f>
        <v/>
      </c>
      <c r="F195" s="523">
        <f>D195-E195</f>
        <v/>
      </c>
      <c r="G195" s="524">
        <f>F195/E195</f>
        <v/>
      </c>
      <c r="H195" s="525" t="n"/>
      <c r="I195" s="526" t="n"/>
      <c r="J195" s="526" t="n"/>
      <c r="K195" s="522">
        <f>C195</f>
        <v/>
      </c>
      <c r="L195" s="527" t="n">
        <v>6955354.4</v>
      </c>
      <c r="M195" s="522">
        <f>L196</f>
        <v/>
      </c>
      <c r="N195" s="523">
        <f>L195-M195</f>
        <v/>
      </c>
      <c r="O195" s="525">
        <f>N195/M195</f>
        <v/>
      </c>
      <c r="P195" s="525" t="n"/>
      <c r="Q195" s="526" t="n"/>
      <c r="R195" s="523" t="n"/>
      <c r="S195" s="522">
        <f>C195</f>
        <v/>
      </c>
      <c r="T195" s="527" t="n">
        <v>6009816.68</v>
      </c>
      <c r="U195" s="522">
        <f>T196</f>
        <v/>
      </c>
      <c r="V195" s="523">
        <f>T195-U195</f>
        <v/>
      </c>
      <c r="W195" s="525">
        <f>V195/T195</f>
        <v/>
      </c>
      <c r="X195" s="525" t="n"/>
      <c r="Y195" s="526" t="n"/>
      <c r="Z195" s="523" t="n"/>
      <c r="AA195" s="522">
        <f>S195</f>
        <v/>
      </c>
      <c r="AB195" s="521" t="n"/>
      <c r="AC195" s="522" t="n"/>
      <c r="AD195" s="523" t="n"/>
      <c r="AE195" s="528" t="n"/>
      <c r="AF195" s="525" t="n"/>
      <c r="AG195" s="526" t="n"/>
      <c r="AH195" s="523" t="n"/>
      <c r="AI195" s="522">
        <f>C195</f>
        <v/>
      </c>
      <c r="AJ195" s="521" t="n"/>
      <c r="AK195" s="522" t="n"/>
      <c r="AL195" s="523" t="n"/>
      <c r="AM195" s="528" t="n"/>
      <c r="AN195" s="525" t="n"/>
      <c r="AO195" s="526" t="n"/>
      <c r="AP195" s="522" t="n"/>
      <c r="AQ195" s="522">
        <f>C195</f>
        <v/>
      </c>
      <c r="AR195" s="715" t="n"/>
      <c r="AS195" s="522" t="n"/>
      <c r="AT195" s="526" t="n"/>
      <c r="AU195" s="523" t="n"/>
      <c r="AV195" s="526" t="n"/>
      <c r="AW195" s="526" t="n"/>
      <c r="AX195" s="523" t="n"/>
      <c r="AY195" s="523" t="n"/>
      <c r="AZ195" s="523">
        <f>C195</f>
        <v/>
      </c>
      <c r="BA195" s="523" t="n"/>
      <c r="BB195" s="523" t="n"/>
      <c r="BC195" s="523" t="n"/>
      <c r="BD195" s="526" t="n"/>
      <c r="BE195" s="526" t="n"/>
      <c r="BF195" s="526" t="n"/>
      <c r="BG195" s="631" t="n"/>
      <c r="BH195" s="5">
        <f>C195</f>
        <v/>
      </c>
      <c r="BL195" s="19" t="n"/>
      <c r="BM195" s="19" t="n"/>
      <c r="BN195" s="19" t="n"/>
      <c r="BO195" s="551" t="n"/>
      <c r="BP195" s="522">
        <f>C195</f>
        <v/>
      </c>
      <c r="BQ195" s="715">
        <f>BR195*10000</f>
        <v/>
      </c>
      <c r="BR195" s="522" t="n">
        <v>12.28</v>
      </c>
      <c r="BT195" s="525" t="n"/>
      <c r="BU195" s="525" t="n"/>
      <c r="BV195" s="19" t="n"/>
      <c r="BW195" s="551" t="n"/>
      <c r="BX195" s="522">
        <f>C195</f>
        <v/>
      </c>
      <c r="BY195" s="522">
        <f>BZ195*10000</f>
        <v/>
      </c>
      <c r="BZ195" s="522" t="n">
        <v>27.23</v>
      </c>
      <c r="CB195" s="525" t="n"/>
      <c r="CC195" s="525" t="n"/>
      <c r="CD195" s="19" t="n"/>
      <c r="CE195" s="552" t="n"/>
      <c r="CF195" s="528">
        <f>C195</f>
        <v/>
      </c>
      <c r="CG195" s="528">
        <f>CH195*10000</f>
        <v/>
      </c>
      <c r="CH195" s="528" t="n">
        <v>40.38</v>
      </c>
      <c r="CJ195" s="528" t="n"/>
      <c r="CK195" s="525" t="n"/>
      <c r="CL195" s="524" t="n"/>
      <c r="CM195" s="551" t="n"/>
      <c r="CN195" s="522">
        <f>C195</f>
        <v/>
      </c>
      <c r="CO195" s="522">
        <f>CP195*10000</f>
        <v/>
      </c>
      <c r="CP195" s="522" t="n">
        <v>0.71</v>
      </c>
      <c r="CR195" s="525" t="n"/>
      <c r="CS195" s="524" t="n"/>
      <c r="CT195" s="524" t="n"/>
      <c r="CU195" s="551" t="n"/>
      <c r="CV195" s="522">
        <f>C195</f>
        <v/>
      </c>
      <c r="CW195" s="522">
        <f>CX195*10000</f>
        <v/>
      </c>
      <c r="CX195" s="522" t="n">
        <v>2.5</v>
      </c>
      <c r="CZ195" s="525" t="n"/>
      <c r="DA195" s="525" t="n"/>
      <c r="DB195" s="19" t="n"/>
      <c r="DC195" s="553" t="n"/>
      <c r="DD195" s="522">
        <f>C195</f>
        <v/>
      </c>
      <c r="DE195" s="522">
        <f>DF195*10000</f>
        <v/>
      </c>
      <c r="DF195" s="522" t="n">
        <v>8.49</v>
      </c>
      <c r="DH195" s="525" t="n"/>
      <c r="DI195" s="525" t="n"/>
      <c r="DJ195" s="19" t="n"/>
      <c r="DK195" s="551" t="n"/>
      <c r="DL195" s="522">
        <f>C195</f>
        <v/>
      </c>
      <c r="DM195" s="522">
        <f>DN195*10000</f>
        <v/>
      </c>
      <c r="DN195" s="522" t="n">
        <v>275.37</v>
      </c>
      <c r="DP195" s="525" t="n"/>
      <c r="DQ195" s="525" t="n"/>
      <c r="DR195" s="19" t="n"/>
      <c r="DS195" s="551" t="n"/>
      <c r="DT195" s="522">
        <f>C195</f>
        <v/>
      </c>
      <c r="DU195" s="522">
        <f>DV195*10000</f>
        <v/>
      </c>
      <c r="DV195" s="522" t="n">
        <v>49.63</v>
      </c>
      <c r="DX195" s="525" t="n"/>
      <c r="DY195" s="525" t="n"/>
      <c r="DZ195" s="19" t="n"/>
      <c r="EA195" s="551" t="n"/>
      <c r="EB195" s="522">
        <f>C195</f>
        <v/>
      </c>
      <c r="EC195" s="522">
        <f>ED195*10000</f>
        <v/>
      </c>
      <c r="ED195" s="522" t="n">
        <v>911.77</v>
      </c>
      <c r="EF195" s="525" t="n"/>
      <c r="EG195" s="525" t="n"/>
      <c r="EH195" s="19" t="n"/>
      <c r="EI195" s="551" t="n"/>
      <c r="EJ195" s="522">
        <f>C195</f>
        <v/>
      </c>
      <c r="EK195" s="522">
        <f>EL195*10000</f>
        <v/>
      </c>
      <c r="EL195" s="522" t="n">
        <v>78.81</v>
      </c>
      <c r="EN195" s="525" t="n"/>
      <c r="EO195" s="525" t="n"/>
      <c r="EP195" s="19" t="n"/>
      <c r="EQ195" s="19" t="n"/>
      <c r="ER195" s="5">
        <f>C195</f>
        <v/>
      </c>
      <c r="ES195" s="19" t="n"/>
      <c r="ET195" s="19" t="n"/>
      <c r="EU195" s="19" t="n"/>
      <c r="EV195" s="19" t="n"/>
      <c r="EW195" s="19" t="n"/>
      <c r="EX195" s="19" t="n"/>
      <c r="EY195" s="551" t="n"/>
      <c r="EZ195" s="522">
        <f>C195</f>
        <v/>
      </c>
      <c r="FA195" s="522">
        <f>FB195*10000</f>
        <v/>
      </c>
      <c r="FB195" s="522" t="n">
        <v>81.44</v>
      </c>
      <c r="FD195" s="525" t="n"/>
      <c r="FE195" s="525" t="n"/>
      <c r="FF195" s="19" t="n"/>
      <c r="FG195" s="19" t="n"/>
      <c r="FH195" s="5">
        <f>C195</f>
        <v/>
      </c>
      <c r="FI195" s="633" t="n"/>
      <c r="FL195" s="19" t="n"/>
      <c r="FM195" s="19" t="n"/>
      <c r="FN195" s="19" t="n"/>
      <c r="FO195" s="551" t="n"/>
      <c r="FP195" s="522">
        <f>C195</f>
        <v/>
      </c>
      <c r="FQ195" s="522">
        <f>FR195*10000</f>
        <v/>
      </c>
      <c r="FR195" s="522" t="n">
        <v>13.38</v>
      </c>
      <c r="FT195" s="525" t="n"/>
      <c r="FU195" s="525" t="n"/>
      <c r="FV195" s="19" t="n"/>
      <c r="FW195" s="551" t="n"/>
      <c r="FX195" s="522">
        <f>C195</f>
        <v/>
      </c>
      <c r="FY195" s="522">
        <f>FZ195*10000</f>
        <v/>
      </c>
      <c r="FZ195" s="522" t="n">
        <v>668.96</v>
      </c>
      <c r="GB195" s="525" t="n"/>
      <c r="GC195" s="525" t="n"/>
      <c r="GD195" s="19" t="n"/>
      <c r="GE195" s="551" t="n"/>
      <c r="GF195" s="522">
        <f>C195</f>
        <v/>
      </c>
      <c r="GG195" s="522">
        <f>GH195*10000</f>
        <v/>
      </c>
      <c r="GH195" s="522" t="n">
        <v>477.37</v>
      </c>
      <c r="GJ195" s="525" t="n"/>
      <c r="GK195" s="525" t="n"/>
      <c r="GL195" s="19" t="n"/>
      <c r="GM195" s="551" t="n"/>
      <c r="GN195" s="522">
        <f>C195</f>
        <v/>
      </c>
      <c r="GO195" s="522">
        <f>GP195*10000</f>
        <v/>
      </c>
      <c r="GP195" s="522" t="n">
        <v>96.09999999999999</v>
      </c>
      <c r="GR195" s="525" t="n"/>
      <c r="GS195" s="525" t="n"/>
      <c r="GT195" s="19" t="n"/>
      <c r="GU195" s="551" t="n"/>
      <c r="GV195" s="522">
        <f>C195</f>
        <v/>
      </c>
      <c r="GW195" s="522">
        <f>GX195*10000</f>
        <v/>
      </c>
      <c r="GX195" s="522" t="n">
        <v>120.15</v>
      </c>
      <c r="GZ195" s="525">
        <f>(GW195-GW196)/GW196</f>
        <v/>
      </c>
      <c r="HA195" s="525" t="n"/>
      <c r="HB195" s="19" t="n"/>
      <c r="HC195" s="551" t="n"/>
      <c r="HD195" s="522">
        <f>C195</f>
        <v/>
      </c>
      <c r="HE195" s="522">
        <f>HF195*10000</f>
        <v/>
      </c>
      <c r="HF195" s="522" t="n">
        <v>54.24</v>
      </c>
      <c r="HH195" s="525" t="n"/>
      <c r="HI195" s="524" t="n"/>
      <c r="HJ195" s="19" t="n"/>
      <c r="HK195" s="551" t="n"/>
      <c r="HL195" s="522">
        <f>C195</f>
        <v/>
      </c>
      <c r="HM195" s="522">
        <f>HN195*10000</f>
        <v/>
      </c>
      <c r="HN195" s="522" t="n">
        <v>34.3</v>
      </c>
      <c r="HP195" s="525" t="n"/>
      <c r="HQ195" s="525" t="n"/>
      <c r="HR195" s="19" t="n"/>
      <c r="HS195" s="551" t="n"/>
      <c r="HT195" s="522">
        <f>C195</f>
        <v/>
      </c>
      <c r="HU195" s="522">
        <f>HV195*10000</f>
        <v/>
      </c>
      <c r="HV195" s="522" t="n">
        <v>10.69</v>
      </c>
      <c r="HX195" s="525" t="n"/>
      <c r="HY195" s="525" t="n"/>
      <c r="HZ195" s="19" t="n"/>
      <c r="IA195" s="551" t="n"/>
      <c r="IB195" s="522">
        <f>C195</f>
        <v/>
      </c>
      <c r="IC195" s="522">
        <f>ID195*10000</f>
        <v/>
      </c>
      <c r="ID195" s="522" t="n">
        <v>99.86</v>
      </c>
      <c r="IF195" s="528" t="n"/>
      <c r="IG195" s="525" t="n"/>
      <c r="IH195" s="19" t="n"/>
      <c r="II195" s="551" t="n"/>
      <c r="IJ195" s="522">
        <f>C195</f>
        <v/>
      </c>
      <c r="IK195" s="522">
        <f>IL195*10000</f>
        <v/>
      </c>
      <c r="IL195" s="522" t="n">
        <v>20.95</v>
      </c>
      <c r="IN195" s="525" t="n"/>
      <c r="IO195" s="525" t="n"/>
      <c r="IP195" s="19" t="n"/>
      <c r="IQ195" s="551" t="n"/>
      <c r="IR195" s="522">
        <f>C195</f>
        <v/>
      </c>
      <c r="IS195" s="522">
        <f>IT195*10000</f>
        <v/>
      </c>
      <c r="IT195" s="522" t="n">
        <v>14.33</v>
      </c>
      <c r="IV195" s="525" t="n"/>
      <c r="IW195" s="525" t="n"/>
      <c r="IX195" s="19" t="n"/>
      <c r="IY195" s="551" t="n"/>
      <c r="IZ195" s="522">
        <f>C195</f>
        <v/>
      </c>
      <c r="JA195" s="522">
        <f>JB195*10000</f>
        <v/>
      </c>
      <c r="JB195" s="522" t="n">
        <v>351.8</v>
      </c>
      <c r="JD195" s="525" t="n"/>
      <c r="JE195" s="525" t="n"/>
      <c r="JF195" s="19" t="n"/>
      <c r="JG195" s="551" t="n"/>
      <c r="JH195" s="522">
        <f>C195</f>
        <v/>
      </c>
      <c r="JI195" s="522">
        <f>JJ195*10000</f>
        <v/>
      </c>
      <c r="JJ195" s="522" t="n">
        <v>41.05</v>
      </c>
      <c r="JL195" s="525" t="n"/>
      <c r="JM195" s="525" t="n"/>
      <c r="JN195" s="525" t="n"/>
      <c r="JO195" s="19" t="n"/>
      <c r="JP195" s="522">
        <f>C195</f>
        <v/>
      </c>
      <c r="JQ195" s="522">
        <f>JR195*10000</f>
        <v/>
      </c>
      <c r="JR195" s="522" t="n">
        <v>3.72</v>
      </c>
      <c r="JT195" s="525" t="n"/>
      <c r="JU195" s="525" t="n"/>
      <c r="JV195" s="525" t="n"/>
      <c r="JW195" s="525" t="n"/>
      <c r="JX195" s="522">
        <f>C195</f>
        <v/>
      </c>
      <c r="JY195" s="522">
        <f>JZ195*10000</f>
        <v/>
      </c>
      <c r="JZ195" s="522" t="n">
        <v>28.15</v>
      </c>
      <c r="KB195" s="525" t="n"/>
      <c r="KC195" s="525" t="n"/>
      <c r="KD195" s="525" t="n"/>
      <c r="KE195" s="525" t="n"/>
      <c r="KF195" s="522">
        <f>C195</f>
        <v/>
      </c>
      <c r="KG195" s="551" t="n"/>
      <c r="KH195" s="551" t="n"/>
      <c r="KI195" s="528" t="n"/>
      <c r="KJ195" s="552" t="n"/>
      <c r="KK195" s="524" t="n"/>
      <c r="KL195" s="524" t="n"/>
      <c r="KM195" s="551" t="n"/>
      <c r="KN195" s="522">
        <f>C195</f>
        <v/>
      </c>
      <c r="KO195" s="522">
        <f>KP195*10000</f>
        <v/>
      </c>
      <c r="KP195" s="522" t="n">
        <v>466.63</v>
      </c>
      <c r="KR195" s="525" t="n"/>
      <c r="KS195" s="525" t="n"/>
      <c r="KT195" s="19" t="n"/>
      <c r="KU195" s="551" t="n"/>
      <c r="KV195" s="522">
        <f>C195</f>
        <v/>
      </c>
      <c r="KW195" s="522">
        <f>KX195*10000</f>
        <v/>
      </c>
      <c r="KX195" s="522" t="n">
        <v>1.71</v>
      </c>
      <c r="KZ195" s="525" t="n"/>
      <c r="LA195" s="525" t="n"/>
      <c r="LB195" s="19" t="n"/>
      <c r="LC195" s="551" t="n"/>
      <c r="LD195" s="522">
        <f>C195</f>
        <v/>
      </c>
      <c r="LE195" s="522">
        <f>LF195*10000</f>
        <v/>
      </c>
      <c r="LF195" s="522" t="n">
        <v>17.18</v>
      </c>
      <c r="LH195" s="525" t="n"/>
      <c r="LI195" s="525" t="n"/>
      <c r="LJ195" s="19" t="n"/>
      <c r="LK195" s="551" t="n"/>
      <c r="LL195" s="522">
        <f>C195</f>
        <v/>
      </c>
      <c r="LM195" s="715">
        <f>LN195*10000</f>
        <v/>
      </c>
      <c r="LN195" s="522" t="n">
        <v>135.46</v>
      </c>
      <c r="LP195" s="525" t="n"/>
      <c r="LQ195" s="525" t="n"/>
      <c r="LR195" s="19" t="n"/>
      <c r="LS195" s="551" t="n"/>
      <c r="LT195" s="522">
        <f>C195</f>
        <v/>
      </c>
      <c r="LU195" s="522">
        <f>LV195*10000</f>
        <v/>
      </c>
      <c r="LV195" s="522" t="n">
        <v>106.79</v>
      </c>
      <c r="LX195" s="525" t="n"/>
      <c r="LY195" s="525" t="n"/>
      <c r="LZ195" s="19" t="n"/>
      <c r="MA195" s="551" t="n"/>
      <c r="MB195" s="522">
        <f>C195</f>
        <v/>
      </c>
      <c r="MC195" s="522">
        <f>MD195*10000</f>
        <v/>
      </c>
      <c r="MD195" s="522" t="n">
        <v>30.49</v>
      </c>
      <c r="MF195" s="525" t="n"/>
      <c r="MG195" s="525" t="n"/>
      <c r="MH195" s="19" t="n"/>
      <c r="MK195" s="5">
        <f>C195</f>
        <v/>
      </c>
      <c r="MM195" s="24" t="n"/>
      <c r="MO195" s="19" t="n"/>
      <c r="MP195" s="19" t="n"/>
      <c r="MQ195" s="19" t="n"/>
      <c r="MR195" s="19" t="n"/>
      <c r="MS195" s="19" t="n"/>
      <c r="MT195" s="555">
        <f>C195</f>
        <v/>
      </c>
      <c r="MU195" s="556">
        <f>MV195*10000</f>
        <v/>
      </c>
      <c r="MV195" s="556" t="n">
        <v>0.42</v>
      </c>
      <c r="MW195" s="19" t="n"/>
      <c r="MX195" s="19" t="n"/>
      <c r="MY195" s="557" t="n"/>
      <c r="MZ195" s="19" t="n"/>
      <c r="NA195" s="19" t="n"/>
      <c r="NB195" s="19" t="n"/>
      <c r="NC195" s="5">
        <f>C195</f>
        <v/>
      </c>
      <c r="NG195" s="19" t="n"/>
      <c r="NH195" s="19" t="n"/>
      <c r="NI195" s="19" t="n"/>
      <c r="NJ195" s="19" t="n"/>
      <c r="NK195" s="19" t="n"/>
      <c r="NM195" s="5">
        <f>C195</f>
        <v/>
      </c>
      <c r="NQ195" s="19" t="n"/>
      <c r="NR195" s="19" t="n"/>
      <c r="NU195" s="5">
        <f>C195</f>
        <v/>
      </c>
      <c r="NY195" s="19" t="n"/>
      <c r="NZ195" s="19" t="n"/>
      <c r="OC195" s="5">
        <f>C195</f>
        <v/>
      </c>
      <c r="OG195" s="19" t="n"/>
      <c r="OH195" s="19" t="n"/>
      <c r="OI195" s="19" t="n"/>
      <c r="OK195" s="5">
        <f>C195</f>
        <v/>
      </c>
      <c r="OO195" s="19" t="n"/>
      <c r="OP195" s="19" t="n"/>
      <c r="OQ195" s="19" t="n"/>
      <c r="OT195" s="25">
        <f>OK195</f>
        <v/>
      </c>
      <c r="OX195" s="19" t="n"/>
    </row>
    <row r="196" ht="21" customFormat="1" customHeight="1" s="5">
      <c r="A196" s="631" t="n"/>
      <c r="B196" s="631" t="n"/>
      <c r="C196" s="714" t="inlineStr">
        <is>
          <t>2025//4//16</t>
        </is>
      </c>
      <c r="D196" s="521" t="n">
        <v>9604308.77</v>
      </c>
      <c r="E196" s="522">
        <f>D197</f>
        <v/>
      </c>
      <c r="F196" s="523">
        <f>D196-E196</f>
        <v/>
      </c>
      <c r="G196" s="524">
        <f>F196/E196</f>
        <v/>
      </c>
      <c r="H196" s="525" t="n"/>
      <c r="I196" s="526" t="n"/>
      <c r="J196" s="526" t="n"/>
      <c r="K196" s="522">
        <f>C196</f>
        <v/>
      </c>
      <c r="L196" s="527" t="n">
        <v>6917104.4</v>
      </c>
      <c r="M196" s="522">
        <f>L197</f>
        <v/>
      </c>
      <c r="N196" s="523">
        <f>L196-M196</f>
        <v/>
      </c>
      <c r="O196" s="525">
        <f>N196/M196</f>
        <v/>
      </c>
      <c r="P196" s="525" t="n"/>
      <c r="Q196" s="526" t="n"/>
      <c r="R196" s="523" t="n"/>
      <c r="S196" s="522">
        <f>C196</f>
        <v/>
      </c>
      <c r="T196" s="527" t="n">
        <v>5947176.68</v>
      </c>
      <c r="U196" s="522">
        <f>T197</f>
        <v/>
      </c>
      <c r="V196" s="523">
        <f>T196-U196</f>
        <v/>
      </c>
      <c r="W196" s="525">
        <f>V196/T196</f>
        <v/>
      </c>
      <c r="X196" s="525" t="n"/>
      <c r="Y196" s="526" t="n"/>
      <c r="Z196" s="523" t="n"/>
      <c r="AA196" s="522">
        <f>S196</f>
        <v/>
      </c>
      <c r="AB196" s="521" t="n"/>
      <c r="AC196" s="522" t="n"/>
      <c r="AD196" s="523" t="n"/>
      <c r="AE196" s="528" t="n"/>
      <c r="AF196" s="525" t="n"/>
      <c r="AG196" s="526" t="n"/>
      <c r="AH196" s="523" t="n"/>
      <c r="AI196" s="522">
        <f>C196</f>
        <v/>
      </c>
      <c r="AJ196" s="521" t="n"/>
      <c r="AK196" s="522" t="n"/>
      <c r="AL196" s="523" t="n"/>
      <c r="AM196" s="528" t="n"/>
      <c r="AN196" s="525" t="n"/>
      <c r="AO196" s="526" t="n"/>
      <c r="AP196" s="522" t="n"/>
      <c r="AQ196" s="522">
        <f>C196</f>
        <v/>
      </c>
      <c r="AR196" s="715" t="n"/>
      <c r="AS196" s="522" t="n"/>
      <c r="AT196" s="526" t="n"/>
      <c r="AU196" s="523" t="n"/>
      <c r="AV196" s="526" t="n"/>
      <c r="AW196" s="526" t="n"/>
      <c r="AX196" s="523" t="n"/>
      <c r="AY196" s="523" t="n"/>
      <c r="AZ196" s="523">
        <f>C196</f>
        <v/>
      </c>
      <c r="BA196" s="523" t="n"/>
      <c r="BB196" s="523" t="n"/>
      <c r="BC196" s="523" t="n"/>
      <c r="BD196" s="526" t="n"/>
      <c r="BE196" s="526" t="n"/>
      <c r="BF196" s="526" t="n"/>
      <c r="BG196" s="631" t="n"/>
      <c r="BH196" s="5">
        <f>C196</f>
        <v/>
      </c>
      <c r="BL196" s="19" t="n"/>
      <c r="BM196" s="19" t="n"/>
      <c r="BN196" s="19" t="n"/>
      <c r="BO196" s="551" t="n"/>
      <c r="BP196" s="522">
        <f>C196</f>
        <v/>
      </c>
      <c r="BQ196" s="715">
        <f>BR196*10000</f>
        <v/>
      </c>
      <c r="BR196" s="522" t="n">
        <v>14.71</v>
      </c>
      <c r="BT196" s="525" t="n"/>
      <c r="BU196" s="525" t="n"/>
      <c r="BV196" s="19" t="n"/>
      <c r="BW196" s="551" t="n"/>
      <c r="BX196" s="522">
        <f>C196</f>
        <v/>
      </c>
      <c r="BY196" s="522">
        <f>BZ196*10000</f>
        <v/>
      </c>
      <c r="BZ196" s="522" t="n">
        <v>34.26</v>
      </c>
      <c r="CB196" s="525" t="n"/>
      <c r="CC196" s="525" t="n"/>
      <c r="CD196" s="19" t="n"/>
      <c r="CE196" s="552" t="n"/>
      <c r="CF196" s="528">
        <f>C196</f>
        <v/>
      </c>
      <c r="CG196" s="528">
        <f>CH196*10000</f>
        <v/>
      </c>
      <c r="CH196" s="528" t="n">
        <v>41.68</v>
      </c>
      <c r="CJ196" s="528" t="n"/>
      <c r="CK196" s="525" t="n"/>
      <c r="CL196" s="524" t="n"/>
      <c r="CM196" s="551" t="n"/>
      <c r="CN196" s="522">
        <f>C196</f>
        <v/>
      </c>
      <c r="CO196" s="522">
        <f>CP196*10000</f>
        <v/>
      </c>
      <c r="CP196" s="522" t="n">
        <v>0.6</v>
      </c>
      <c r="CR196" s="525" t="n"/>
      <c r="CS196" s="524" t="n"/>
      <c r="CT196" s="524" t="n"/>
      <c r="CU196" s="551" t="n"/>
      <c r="CV196" s="522">
        <f>C196</f>
        <v/>
      </c>
      <c r="CW196" s="522">
        <f>CX196*10000</f>
        <v/>
      </c>
      <c r="CX196" s="522" t="n">
        <v>1.11</v>
      </c>
      <c r="CZ196" s="525" t="n"/>
      <c r="DA196" s="525" t="n"/>
      <c r="DB196" s="19" t="n"/>
      <c r="DC196" s="553" t="n"/>
      <c r="DD196" s="522">
        <f>C196</f>
        <v/>
      </c>
      <c r="DE196" s="522">
        <f>DF196*10000</f>
        <v/>
      </c>
      <c r="DF196" s="522" t="n">
        <v>9.57</v>
      </c>
      <c r="DH196" s="525" t="n"/>
      <c r="DI196" s="525" t="n"/>
      <c r="DJ196" s="19" t="n"/>
      <c r="DK196" s="551" t="n"/>
      <c r="DL196" s="522">
        <f>C196</f>
        <v/>
      </c>
      <c r="DM196" s="522">
        <f>DN196*10000</f>
        <v/>
      </c>
      <c r="DN196" s="522" t="n">
        <v>326.21</v>
      </c>
      <c r="DP196" s="525" t="n"/>
      <c r="DQ196" s="525" t="n"/>
      <c r="DR196" s="19" t="n"/>
      <c r="DS196" s="551" t="n"/>
      <c r="DT196" s="522">
        <f>C196</f>
        <v/>
      </c>
      <c r="DU196" s="522">
        <f>DV196*10000</f>
        <v/>
      </c>
      <c r="DV196" s="522" t="n">
        <v>62.59</v>
      </c>
      <c r="DX196" s="525" t="n"/>
      <c r="DY196" s="525" t="n"/>
      <c r="DZ196" s="19" t="n"/>
      <c r="EA196" s="551" t="n"/>
      <c r="EB196" s="522">
        <f>C196</f>
        <v/>
      </c>
      <c r="EC196" s="522">
        <f>ED196*10000</f>
        <v/>
      </c>
      <c r="ED196" s="565" t="n">
        <v>1040.83</v>
      </c>
      <c r="EF196" s="525" t="n"/>
      <c r="EG196" s="525" t="n"/>
      <c r="EH196" s="19" t="n"/>
      <c r="EI196" s="551" t="n"/>
      <c r="EJ196" s="522">
        <f>C196</f>
        <v/>
      </c>
      <c r="EK196" s="522">
        <f>EL196*10000</f>
        <v/>
      </c>
      <c r="EL196" s="522" t="n">
        <v>59.8</v>
      </c>
      <c r="EN196" s="525" t="n"/>
      <c r="EO196" s="525" t="n"/>
      <c r="EP196" s="19" t="n"/>
      <c r="EQ196" s="19" t="n"/>
      <c r="ER196" s="5">
        <f>C196</f>
        <v/>
      </c>
      <c r="ES196" s="19" t="n"/>
      <c r="ET196" s="19" t="n"/>
      <c r="EU196" s="19" t="n"/>
      <c r="EV196" s="19" t="n"/>
      <c r="EW196" s="19" t="n"/>
      <c r="EX196" s="19" t="n"/>
      <c r="EY196" s="551" t="n"/>
      <c r="EZ196" s="522">
        <f>C196</f>
        <v/>
      </c>
      <c r="FA196" s="522">
        <f>FB196*10000</f>
        <v/>
      </c>
      <c r="FB196" s="522" t="n">
        <v>96.23999999999999</v>
      </c>
      <c r="FD196" s="525" t="n"/>
      <c r="FE196" s="525" t="n"/>
      <c r="FF196" s="19" t="n"/>
      <c r="FG196" s="19" t="n"/>
      <c r="FH196" s="5">
        <f>C196</f>
        <v/>
      </c>
      <c r="FI196" s="633" t="n"/>
      <c r="FL196" s="19" t="n"/>
      <c r="FM196" s="19" t="n"/>
      <c r="FN196" s="19" t="n"/>
      <c r="FO196" s="551" t="n"/>
      <c r="FP196" s="522">
        <f>C196</f>
        <v/>
      </c>
      <c r="FQ196" s="522">
        <f>FR196*10000</f>
        <v/>
      </c>
      <c r="FR196" s="522" t="n">
        <v>10.92</v>
      </c>
      <c r="FT196" s="525" t="n"/>
      <c r="FU196" s="525" t="n"/>
      <c r="FV196" s="19" t="n"/>
      <c r="FW196" s="551" t="n"/>
      <c r="FX196" s="522">
        <f>C196</f>
        <v/>
      </c>
      <c r="FY196" s="522">
        <f>FZ196*10000</f>
        <v/>
      </c>
      <c r="FZ196" s="522" t="n">
        <v>678.85</v>
      </c>
      <c r="GB196" s="525" t="n"/>
      <c r="GC196" s="525" t="n"/>
      <c r="GD196" s="19" t="n"/>
      <c r="GE196" s="551" t="n"/>
      <c r="GF196" s="522">
        <f>C196</f>
        <v/>
      </c>
      <c r="GG196" s="522">
        <f>GH196*10000</f>
        <v/>
      </c>
      <c r="GH196" s="522" t="n">
        <v>496.56</v>
      </c>
      <c r="GJ196" s="525" t="n"/>
      <c r="GK196" s="525" t="n"/>
      <c r="GL196" s="19" t="n"/>
      <c r="GM196" s="551" t="n"/>
      <c r="GN196" s="522">
        <f>C196</f>
        <v/>
      </c>
      <c r="GO196" s="522">
        <f>GP196*10000</f>
        <v/>
      </c>
      <c r="GP196" s="522" t="n">
        <v>105.93</v>
      </c>
      <c r="GR196" s="525" t="n"/>
      <c r="GS196" s="525" t="n"/>
      <c r="GT196" s="19" t="n"/>
      <c r="GU196" s="551" t="n"/>
      <c r="GV196" s="522">
        <f>C196</f>
        <v/>
      </c>
      <c r="GW196" s="522">
        <f>GX196*10000</f>
        <v/>
      </c>
      <c r="GX196" s="522" t="n">
        <v>128.83</v>
      </c>
      <c r="GZ196" s="525">
        <f>(GW196-GW197)/GW197</f>
        <v/>
      </c>
      <c r="HA196" s="525" t="n"/>
      <c r="HB196" s="19" t="n"/>
      <c r="HC196" s="551" t="n"/>
      <c r="HD196" s="522">
        <f>C196</f>
        <v/>
      </c>
      <c r="HE196" s="522">
        <f>HF196*10000</f>
        <v/>
      </c>
      <c r="HF196" s="522" t="n">
        <v>57.83</v>
      </c>
      <c r="HH196" s="525" t="n"/>
      <c r="HI196" s="524" t="n"/>
      <c r="HJ196" s="19" t="n"/>
      <c r="HK196" s="551" t="n"/>
      <c r="HL196" s="522">
        <f>C196</f>
        <v/>
      </c>
      <c r="HM196" s="522">
        <f>HN196*10000</f>
        <v/>
      </c>
      <c r="HN196" s="522" t="n">
        <v>41.26</v>
      </c>
      <c r="HP196" s="525" t="n"/>
      <c r="HQ196" s="525" t="n"/>
      <c r="HR196" s="19" t="n"/>
      <c r="HS196" s="551" t="n"/>
      <c r="HT196" s="522">
        <f>C196</f>
        <v/>
      </c>
      <c r="HU196" s="522">
        <f>HV196*10000</f>
        <v/>
      </c>
      <c r="HV196" s="522" t="n">
        <v>12.26</v>
      </c>
      <c r="HX196" s="525" t="n"/>
      <c r="HY196" s="525" t="n"/>
      <c r="HZ196" s="19" t="n"/>
      <c r="IA196" s="551" t="n"/>
      <c r="IB196" s="522">
        <f>C196</f>
        <v/>
      </c>
      <c r="IC196" s="522">
        <f>ID196*10000</f>
        <v/>
      </c>
      <c r="ID196" s="522" t="n">
        <v>68.59999999999999</v>
      </c>
      <c r="IF196" s="528" t="n"/>
      <c r="IG196" s="525" t="n"/>
      <c r="IH196" s="19" t="n"/>
      <c r="II196" s="551" t="n"/>
      <c r="IJ196" s="522">
        <f>C196</f>
        <v/>
      </c>
      <c r="IK196" s="522">
        <f>IL196*10000</f>
        <v/>
      </c>
      <c r="IL196" s="522" t="n">
        <v>22.69</v>
      </c>
      <c r="IN196" s="525" t="n"/>
      <c r="IO196" s="525" t="n"/>
      <c r="IP196" s="19" t="n"/>
      <c r="IQ196" s="551" t="n"/>
      <c r="IR196" s="522">
        <f>C196</f>
        <v/>
      </c>
      <c r="IS196" s="522">
        <f>IT196*10000</f>
        <v/>
      </c>
      <c r="IT196" s="522" t="n">
        <v>12.58</v>
      </c>
      <c r="IV196" s="525" t="n"/>
      <c r="IW196" s="525" t="n"/>
      <c r="IX196" s="19" t="n"/>
      <c r="IY196" s="551" t="n"/>
      <c r="IZ196" s="522">
        <f>C196</f>
        <v/>
      </c>
      <c r="JA196" s="522">
        <f>JB196*10000</f>
        <v/>
      </c>
      <c r="JB196" s="522" t="n">
        <v>360.09</v>
      </c>
      <c r="JD196" s="525" t="n"/>
      <c r="JE196" s="525" t="n"/>
      <c r="JF196" s="19" t="n"/>
      <c r="JG196" s="551" t="n"/>
      <c r="JH196" s="522">
        <f>C196</f>
        <v/>
      </c>
      <c r="JI196" s="522">
        <f>JJ196*10000</f>
        <v/>
      </c>
      <c r="JJ196" s="522" t="n">
        <v>52.07</v>
      </c>
      <c r="JL196" s="525" t="n"/>
      <c r="JM196" s="525" t="n"/>
      <c r="JN196" s="525" t="n"/>
      <c r="JO196" s="19" t="n"/>
      <c r="JP196" s="522">
        <f>C196</f>
        <v/>
      </c>
      <c r="JQ196" s="522">
        <f>JR196*10000</f>
        <v/>
      </c>
      <c r="JR196" s="522" t="n">
        <v>3.17</v>
      </c>
      <c r="JT196" s="525" t="n"/>
      <c r="JU196" s="525" t="n"/>
      <c r="JV196" s="525" t="n"/>
      <c r="JW196" s="525" t="n"/>
      <c r="JX196" s="522">
        <f>C196</f>
        <v/>
      </c>
      <c r="JY196" s="522">
        <f>JZ196*10000</f>
        <v/>
      </c>
      <c r="JZ196" s="522" t="n">
        <v>22.94</v>
      </c>
      <c r="KB196" s="525" t="n"/>
      <c r="KC196" s="525" t="n"/>
      <c r="KD196" s="525" t="n"/>
      <c r="KE196" s="525" t="n"/>
      <c r="KF196" s="522">
        <f>C196</f>
        <v/>
      </c>
      <c r="KG196" s="551" t="n"/>
      <c r="KH196" s="551" t="n"/>
      <c r="KI196" s="528" t="n"/>
      <c r="KJ196" s="552" t="n"/>
      <c r="KK196" s="524" t="n"/>
      <c r="KL196" s="524" t="n"/>
      <c r="KM196" s="551" t="n"/>
      <c r="KN196" s="522">
        <f>C196</f>
        <v/>
      </c>
      <c r="KO196" s="522">
        <f>KP196*10000</f>
        <v/>
      </c>
      <c r="KP196" s="522" t="n">
        <v>493.74</v>
      </c>
      <c r="KR196" s="525" t="n"/>
      <c r="KS196" s="525" t="n"/>
      <c r="KT196" s="19" t="n"/>
      <c r="KU196" s="551" t="n"/>
      <c r="KV196" s="522">
        <f>C196</f>
        <v/>
      </c>
      <c r="KW196" s="522">
        <f>KX196*10000</f>
        <v/>
      </c>
      <c r="KX196" s="522" t="n">
        <v>1.65</v>
      </c>
      <c r="KZ196" s="525" t="n"/>
      <c r="LA196" s="525" t="n"/>
      <c r="LB196" s="19" t="n"/>
      <c r="LC196" s="551" t="n"/>
      <c r="LD196" s="522">
        <f>C196</f>
        <v/>
      </c>
      <c r="LE196" s="522">
        <f>LF196*10000</f>
        <v/>
      </c>
      <c r="LF196" s="522" t="n">
        <v>20.19</v>
      </c>
      <c r="LH196" s="525" t="n"/>
      <c r="LI196" s="525" t="n"/>
      <c r="LJ196" s="19" t="n"/>
      <c r="LK196" s="551" t="n"/>
      <c r="LL196" s="522">
        <f>C196</f>
        <v/>
      </c>
      <c r="LM196" s="715">
        <f>LN196*10000</f>
        <v/>
      </c>
      <c r="LN196" s="522" t="n">
        <v>168.05</v>
      </c>
      <c r="LP196" s="525" t="n"/>
      <c r="LQ196" s="525" t="n"/>
      <c r="LR196" s="19" t="n"/>
      <c r="LS196" s="551" t="n"/>
      <c r="LT196" s="522">
        <f>C196</f>
        <v/>
      </c>
      <c r="LU196" s="522">
        <f>LV196*10000</f>
        <v/>
      </c>
      <c r="LV196" s="522" t="n">
        <v>111.91</v>
      </c>
      <c r="LX196" s="525" t="n"/>
      <c r="LY196" s="525" t="n"/>
      <c r="LZ196" s="19" t="n"/>
      <c r="MA196" s="551" t="n"/>
      <c r="MB196" s="522">
        <f>C196</f>
        <v/>
      </c>
      <c r="MC196" s="522">
        <f>MD196*10000</f>
        <v/>
      </c>
      <c r="MD196" s="522" t="n">
        <v>13.83</v>
      </c>
      <c r="MF196" s="525" t="n"/>
      <c r="MG196" s="525" t="n"/>
      <c r="MH196" s="19" t="n"/>
      <c r="MK196" s="5">
        <f>C196</f>
        <v/>
      </c>
      <c r="MM196" s="24" t="n"/>
      <c r="MO196" s="19" t="n"/>
      <c r="MP196" s="19" t="n"/>
      <c r="MQ196" s="19" t="n"/>
      <c r="MR196" s="19" t="n"/>
      <c r="MS196" s="19" t="n"/>
      <c r="MT196" s="555">
        <f>C196</f>
        <v/>
      </c>
      <c r="MU196" s="556">
        <f>MV196*10000</f>
        <v/>
      </c>
      <c r="MV196" s="556" t="n">
        <v>0.35</v>
      </c>
      <c r="MW196" s="19" t="n"/>
      <c r="MX196" s="19" t="n"/>
      <c r="MY196" s="557" t="n"/>
      <c r="MZ196" s="19" t="n"/>
      <c r="NA196" s="19" t="n"/>
      <c r="NB196" s="19" t="n"/>
      <c r="NC196" s="5">
        <f>C196</f>
        <v/>
      </c>
      <c r="NG196" s="19" t="n"/>
      <c r="NH196" s="19" t="n"/>
      <c r="NI196" s="19" t="n"/>
      <c r="NJ196" s="19" t="n"/>
      <c r="NK196" s="19" t="n"/>
      <c r="NM196" s="5">
        <f>C196</f>
        <v/>
      </c>
      <c r="NQ196" s="19" t="n"/>
      <c r="NR196" s="19" t="n"/>
      <c r="NU196" s="5">
        <f>C196</f>
        <v/>
      </c>
      <c r="NY196" s="19" t="n"/>
      <c r="NZ196" s="19" t="n"/>
      <c r="OC196" s="5">
        <f>C196</f>
        <v/>
      </c>
      <c r="OG196" s="19" t="n"/>
      <c r="OH196" s="19" t="n"/>
      <c r="OI196" s="19" t="n"/>
      <c r="OK196" s="5">
        <f>C196</f>
        <v/>
      </c>
      <c r="OO196" s="19" t="n"/>
      <c r="OP196" s="19" t="n"/>
      <c r="OQ196" s="19" t="n"/>
      <c r="OT196" s="25">
        <f>OK196</f>
        <v/>
      </c>
      <c r="OX196" s="19" t="n"/>
    </row>
    <row r="197" ht="21" customFormat="1" customHeight="1" s="5">
      <c r="A197" s="631" t="n"/>
      <c r="B197" s="631" t="n"/>
      <c r="C197" s="714" t="inlineStr">
        <is>
          <t>2025//4//15</t>
        </is>
      </c>
      <c r="D197" s="521" t="n">
        <v>9470028.77</v>
      </c>
      <c r="E197" s="522">
        <f>D198</f>
        <v/>
      </c>
      <c r="F197" s="523">
        <f>D197-E197</f>
        <v/>
      </c>
      <c r="G197" s="524">
        <f>F197/E197</f>
        <v/>
      </c>
      <c r="H197" s="525" t="n"/>
      <c r="I197" s="526" t="n"/>
      <c r="J197" s="526" t="n"/>
      <c r="K197" s="522">
        <f>C197</f>
        <v/>
      </c>
      <c r="L197" s="527" t="n">
        <v>6789664.4</v>
      </c>
      <c r="M197" s="522">
        <f>L198</f>
        <v/>
      </c>
      <c r="N197" s="523">
        <f>L197-M197</f>
        <v/>
      </c>
      <c r="O197" s="525">
        <f>N197/M197</f>
        <v/>
      </c>
      <c r="P197" s="525" t="n"/>
      <c r="Q197" s="526" t="n"/>
      <c r="R197" s="523" t="n"/>
      <c r="S197" s="522">
        <f>C197</f>
        <v/>
      </c>
      <c r="T197" s="527" t="n">
        <v>5801646.68</v>
      </c>
      <c r="U197" s="522">
        <f>T198</f>
        <v/>
      </c>
      <c r="V197" s="523">
        <f>T197-U197</f>
        <v/>
      </c>
      <c r="W197" s="525">
        <f>V197/T197</f>
        <v/>
      </c>
      <c r="X197" s="525" t="n"/>
      <c r="Y197" s="526" t="n"/>
      <c r="Z197" s="523" t="n"/>
      <c r="AA197" s="522">
        <f>S197</f>
        <v/>
      </c>
      <c r="AB197" s="521" t="n"/>
      <c r="AC197" s="522" t="n"/>
      <c r="AD197" s="523" t="n"/>
      <c r="AE197" s="528" t="n"/>
      <c r="AF197" s="525" t="n"/>
      <c r="AG197" s="526" t="n"/>
      <c r="AH197" s="523" t="n"/>
      <c r="AI197" s="522">
        <f>C197</f>
        <v/>
      </c>
      <c r="AJ197" s="521" t="n"/>
      <c r="AK197" s="522" t="n"/>
      <c r="AL197" s="523" t="n"/>
      <c r="AM197" s="528" t="n"/>
      <c r="AN197" s="525" t="n"/>
      <c r="AO197" s="526" t="n"/>
      <c r="AP197" s="522" t="n"/>
      <c r="AQ197" s="522">
        <f>C197</f>
        <v/>
      </c>
      <c r="AR197" s="715" t="n"/>
      <c r="AS197" s="522" t="n"/>
      <c r="AT197" s="526" t="n"/>
      <c r="AU197" s="523" t="n"/>
      <c r="AV197" s="526" t="n"/>
      <c r="AW197" s="526" t="n"/>
      <c r="AX197" s="523" t="n"/>
      <c r="AY197" s="523" t="n"/>
      <c r="AZ197" s="523">
        <f>C197</f>
        <v/>
      </c>
      <c r="BA197" s="523" t="n"/>
      <c r="BB197" s="523" t="n"/>
      <c r="BC197" s="523" t="n"/>
      <c r="BD197" s="526" t="n"/>
      <c r="BE197" s="526" t="n"/>
      <c r="BF197" s="526" t="n"/>
      <c r="BG197" s="631" t="n"/>
      <c r="BH197" s="5">
        <f>C197</f>
        <v/>
      </c>
      <c r="BL197" s="19" t="n"/>
      <c r="BM197" s="19" t="n"/>
      <c r="BN197" s="19" t="n"/>
      <c r="BO197" s="551" t="n"/>
      <c r="BP197" s="522">
        <f>C197</f>
        <v/>
      </c>
      <c r="BQ197" s="715">
        <f>BR197*10000</f>
        <v/>
      </c>
      <c r="BR197" s="522" t="n">
        <v>11.54</v>
      </c>
      <c r="BT197" s="525" t="n"/>
      <c r="BU197" s="525" t="n"/>
      <c r="BV197" s="19" t="n"/>
      <c r="BW197" s="551" t="n"/>
      <c r="BX197" s="522">
        <f>C197</f>
        <v/>
      </c>
      <c r="BY197" s="522">
        <f>BZ197*10000</f>
        <v/>
      </c>
      <c r="BZ197" s="522" t="n">
        <v>40.14</v>
      </c>
      <c r="CB197" s="525" t="n"/>
      <c r="CC197" s="525" t="n"/>
      <c r="CD197" s="19" t="n"/>
      <c r="CE197" s="552" t="n"/>
      <c r="CF197" s="528">
        <f>C197</f>
        <v/>
      </c>
      <c r="CG197" s="528">
        <f>CH197*10000</f>
        <v/>
      </c>
      <c r="CH197" s="528" t="n">
        <v>45.13</v>
      </c>
      <c r="CJ197" s="528" t="n"/>
      <c r="CK197" s="525" t="n"/>
      <c r="CL197" s="524" t="n"/>
      <c r="CM197" s="551" t="n"/>
      <c r="CN197" s="522">
        <f>C197</f>
        <v/>
      </c>
      <c r="CO197" s="522">
        <f>CP197*10000</f>
        <v/>
      </c>
      <c r="CP197" s="522" t="n">
        <v>0.61</v>
      </c>
      <c r="CR197" s="525" t="n"/>
      <c r="CS197" s="19" t="n"/>
      <c r="CT197" s="19" t="n"/>
      <c r="CV197" s="5">
        <f>C197</f>
        <v/>
      </c>
      <c r="CZ197" s="19" t="n"/>
      <c r="DA197" s="525" t="n"/>
      <c r="DB197" s="19" t="n"/>
      <c r="DC197" s="553" t="n"/>
      <c r="DD197" s="522">
        <f>C197</f>
        <v/>
      </c>
      <c r="DE197" s="522">
        <f>DF197*10000</f>
        <v/>
      </c>
      <c r="DF197" s="522" t="n">
        <v>8.5</v>
      </c>
      <c r="DH197" s="525" t="n"/>
      <c r="DI197" s="525" t="n"/>
      <c r="DJ197" s="19" t="n"/>
      <c r="DK197" s="551" t="n"/>
      <c r="DL197" s="522">
        <f>C197</f>
        <v/>
      </c>
      <c r="DM197" s="522">
        <f>DN197*10000</f>
        <v/>
      </c>
      <c r="DN197" s="522" t="n">
        <v>331.59</v>
      </c>
      <c r="DP197" s="525" t="n"/>
      <c r="DQ197" s="525" t="n"/>
      <c r="DR197" s="19" t="n"/>
      <c r="DS197" s="551" t="n"/>
      <c r="DT197" s="522">
        <f>C197</f>
        <v/>
      </c>
      <c r="DU197" s="522">
        <f>DV197*10000</f>
        <v/>
      </c>
      <c r="DV197" s="522" t="n">
        <v>67.81</v>
      </c>
      <c r="DX197" s="525" t="n"/>
      <c r="DY197" s="525" t="n"/>
      <c r="DZ197" s="19" t="n"/>
      <c r="EA197" s="551" t="n"/>
      <c r="EB197" s="522">
        <f>C197</f>
        <v/>
      </c>
      <c r="EC197" s="522">
        <f>ED197*10000</f>
        <v/>
      </c>
      <c r="ED197" s="565" t="n">
        <v>1016.4</v>
      </c>
      <c r="EF197" s="525" t="n"/>
      <c r="EG197" s="525" t="n"/>
      <c r="EH197" s="19" t="n"/>
      <c r="EI197" s="551" t="n"/>
      <c r="EJ197" s="522">
        <f>C197</f>
        <v/>
      </c>
      <c r="EK197" s="522">
        <f>EL197*10000</f>
        <v/>
      </c>
      <c r="EL197" s="522" t="n">
        <v>52.57</v>
      </c>
      <c r="EN197" s="525" t="n"/>
      <c r="EO197" s="525" t="n"/>
      <c r="EP197" s="19" t="n"/>
      <c r="EQ197" s="19" t="n"/>
      <c r="ER197" s="5">
        <f>C197</f>
        <v/>
      </c>
      <c r="ES197" s="19" t="n"/>
      <c r="ET197" s="19" t="n"/>
      <c r="EU197" s="19" t="n"/>
      <c r="EV197" s="19" t="n"/>
      <c r="EW197" s="19" t="n"/>
      <c r="EX197" s="19" t="n"/>
      <c r="EY197" s="551" t="n"/>
      <c r="EZ197" s="522">
        <f>C197</f>
        <v/>
      </c>
      <c r="FA197" s="522">
        <f>FB197*10000</f>
        <v/>
      </c>
      <c r="FB197" s="522" t="n">
        <v>97.01000000000001</v>
      </c>
      <c r="FD197" s="525" t="n"/>
      <c r="FE197" s="525" t="n"/>
      <c r="FF197" s="19" t="n"/>
      <c r="FG197" s="19" t="n"/>
      <c r="FH197" s="5">
        <f>C197</f>
        <v/>
      </c>
      <c r="FI197" s="633" t="n"/>
      <c r="FL197" s="19" t="n"/>
      <c r="FM197" s="19" t="n"/>
      <c r="FN197" s="19" t="n"/>
      <c r="FO197" s="551" t="n"/>
      <c r="FP197" s="522">
        <f>C197</f>
        <v/>
      </c>
      <c r="FQ197" s="522">
        <f>FR197*10000</f>
        <v/>
      </c>
      <c r="FR197" s="522" t="n">
        <v>8.4</v>
      </c>
      <c r="FT197" s="525" t="n"/>
      <c r="FU197" s="525" t="n"/>
      <c r="FV197" s="19" t="n"/>
      <c r="FW197" s="551" t="n"/>
      <c r="FX197" s="522">
        <f>C197</f>
        <v/>
      </c>
      <c r="FY197" s="522">
        <f>FZ197*10000</f>
        <v/>
      </c>
      <c r="FZ197" s="522" t="n">
        <v>649.8200000000001</v>
      </c>
      <c r="GB197" s="525" t="n"/>
      <c r="GC197" s="525" t="n"/>
      <c r="GD197" s="19" t="n"/>
      <c r="GE197" s="551" t="n"/>
      <c r="GF197" s="522">
        <f>C197</f>
        <v/>
      </c>
      <c r="GG197" s="522">
        <f>GH197*10000</f>
        <v/>
      </c>
      <c r="GH197" s="522" t="n">
        <v>479.7</v>
      </c>
      <c r="GJ197" s="525" t="n"/>
      <c r="GK197" s="525" t="n"/>
      <c r="GL197" s="19" t="n"/>
      <c r="GM197" s="551" t="n"/>
      <c r="GN197" s="522">
        <f>C197</f>
        <v/>
      </c>
      <c r="GO197" s="522">
        <f>GP197*10000</f>
        <v/>
      </c>
      <c r="GP197" s="522" t="n">
        <v>101.06</v>
      </c>
      <c r="GR197" s="525" t="n"/>
      <c r="GS197" s="525" t="n"/>
      <c r="GT197" s="19" t="n"/>
      <c r="GU197" s="551" t="n"/>
      <c r="GV197" s="522">
        <f>C197</f>
        <v/>
      </c>
      <c r="GW197" s="522">
        <f>GX197*10000</f>
        <v/>
      </c>
      <c r="GX197" s="522" t="n">
        <v>134.81</v>
      </c>
      <c r="GZ197" s="525">
        <f>(GW197-GW198)/GW198</f>
        <v/>
      </c>
      <c r="HA197" s="525" t="n"/>
      <c r="HB197" s="19" t="n"/>
      <c r="HC197" s="551" t="n"/>
      <c r="HD197" s="522">
        <f>C197</f>
        <v/>
      </c>
      <c r="HE197" s="522">
        <f>HF197*10000</f>
        <v/>
      </c>
      <c r="HF197" s="522" t="n">
        <v>56.77</v>
      </c>
      <c r="HH197" s="525" t="n"/>
      <c r="HI197" s="524" t="n"/>
      <c r="HJ197" s="19" t="n"/>
      <c r="HK197" s="551" t="n"/>
      <c r="HL197" s="522">
        <f>C197</f>
        <v/>
      </c>
      <c r="HM197" s="522">
        <f>HN197*10000</f>
        <v/>
      </c>
      <c r="HN197" s="522" t="n">
        <v>48.09</v>
      </c>
      <c r="HP197" s="525" t="n"/>
      <c r="HQ197" s="525" t="n"/>
      <c r="HR197" s="19" t="n"/>
      <c r="HS197" s="551" t="n"/>
      <c r="HT197" s="522">
        <f>C197</f>
        <v/>
      </c>
      <c r="HU197" s="522">
        <f>HV197*10000</f>
        <v/>
      </c>
      <c r="HV197" s="522" t="n">
        <v>16.19</v>
      </c>
      <c r="HX197" s="525" t="n"/>
      <c r="HY197" s="525" t="n"/>
      <c r="HZ197" s="19" t="n"/>
      <c r="IA197" s="551" t="n"/>
      <c r="IB197" s="522">
        <f>C197</f>
        <v/>
      </c>
      <c r="IC197" s="522">
        <f>ID197*10000</f>
        <v/>
      </c>
      <c r="ID197" s="522" t="n">
        <v>77.95999999999999</v>
      </c>
      <c r="IF197" s="528" t="n"/>
      <c r="IG197" s="525" t="n"/>
      <c r="IH197" s="19" t="n"/>
      <c r="II197" s="551" t="n"/>
      <c r="IJ197" s="522">
        <f>C197</f>
        <v/>
      </c>
      <c r="IK197" s="522">
        <f>IL197*10000</f>
        <v/>
      </c>
      <c r="IL197" s="522" t="n">
        <v>27.17</v>
      </c>
      <c r="IN197" s="525" t="n"/>
      <c r="IO197" s="525" t="n"/>
      <c r="IP197" s="19" t="n"/>
      <c r="IQ197" s="551" t="n"/>
      <c r="IR197" s="522">
        <f>C197</f>
        <v/>
      </c>
      <c r="IS197" s="522">
        <f>IT197*10000</f>
        <v/>
      </c>
      <c r="IT197" s="522" t="n">
        <v>10.82</v>
      </c>
      <c r="IV197" s="525" t="n"/>
      <c r="IW197" s="525" t="n"/>
      <c r="IX197" s="19" t="n"/>
      <c r="IY197" s="551" t="n"/>
      <c r="IZ197" s="522">
        <f>C197</f>
        <v/>
      </c>
      <c r="JA197" s="522">
        <f>JB197*10000</f>
        <v/>
      </c>
      <c r="JB197" s="522" t="n">
        <v>335.14</v>
      </c>
      <c r="JD197" s="525" t="n"/>
      <c r="JE197" s="525" t="n"/>
      <c r="JF197" s="19" t="n"/>
      <c r="JG197" s="551" t="n"/>
      <c r="JH197" s="522">
        <f>C197</f>
        <v/>
      </c>
      <c r="JI197" s="522">
        <f>JJ197*10000</f>
        <v/>
      </c>
      <c r="JJ197" s="522" t="n">
        <v>57.56</v>
      </c>
      <c r="JL197" s="525" t="n"/>
      <c r="JM197" s="525" t="n"/>
      <c r="JN197" s="525" t="n"/>
      <c r="JO197" s="19" t="n"/>
      <c r="JP197" s="522">
        <f>C197</f>
        <v/>
      </c>
      <c r="JQ197" s="522">
        <f>JR197*10000</f>
        <v/>
      </c>
      <c r="JR197" s="522" t="n">
        <v>2.8</v>
      </c>
      <c r="JT197" s="525" t="n"/>
      <c r="JU197" s="525" t="n"/>
      <c r="JV197" s="525" t="n"/>
      <c r="JW197" s="525" t="n"/>
      <c r="JX197" s="522">
        <f>C197</f>
        <v/>
      </c>
      <c r="JY197" s="522">
        <f>JZ197*10000</f>
        <v/>
      </c>
      <c r="JZ197" s="522" t="n">
        <v>22.22</v>
      </c>
      <c r="KB197" s="525" t="n"/>
      <c r="KC197" s="525" t="n"/>
      <c r="KD197" s="525" t="n"/>
      <c r="KE197" s="525" t="n"/>
      <c r="KF197" s="522">
        <f>C197</f>
        <v/>
      </c>
      <c r="KG197" s="551" t="n"/>
      <c r="KH197" s="551" t="n"/>
      <c r="KI197" s="528" t="n"/>
      <c r="KJ197" s="552" t="n"/>
      <c r="KK197" s="524" t="n"/>
      <c r="KL197" s="524" t="n"/>
      <c r="KM197" s="551" t="n"/>
      <c r="KN197" s="522">
        <f>C197</f>
        <v/>
      </c>
      <c r="KO197" s="522">
        <f>KP197*10000</f>
        <v/>
      </c>
      <c r="KP197" s="522" t="n">
        <v>405.52</v>
      </c>
      <c r="KR197" s="525" t="n"/>
      <c r="KS197" s="525" t="n"/>
      <c r="KT197" s="19" t="n"/>
      <c r="KV197" s="5">
        <f>C197</f>
        <v/>
      </c>
      <c r="KZ197" s="19" t="n"/>
      <c r="LA197" s="19" t="n"/>
      <c r="LB197" s="19" t="n"/>
      <c r="LC197" s="551" t="n"/>
      <c r="LD197" s="522">
        <f>C197</f>
        <v/>
      </c>
      <c r="LE197" s="522">
        <f>LF197*10000</f>
        <v/>
      </c>
      <c r="LF197" s="522" t="n">
        <v>21.45</v>
      </c>
      <c r="LH197" s="525" t="n"/>
      <c r="LI197" s="525" t="n"/>
      <c r="LJ197" s="19" t="n"/>
      <c r="LK197" s="551" t="n"/>
      <c r="LL197" s="522">
        <f>C197</f>
        <v/>
      </c>
      <c r="LM197" s="715">
        <f>LN197*10000</f>
        <v/>
      </c>
      <c r="LN197" s="522" t="n">
        <v>173.01</v>
      </c>
      <c r="LP197" s="525" t="n"/>
      <c r="LQ197" s="525" t="n"/>
      <c r="LR197" s="19" t="n"/>
      <c r="LS197" s="551" t="n"/>
      <c r="LT197" s="522">
        <f>C197</f>
        <v/>
      </c>
      <c r="LU197" s="522">
        <f>LV197*10000</f>
        <v/>
      </c>
      <c r="LV197" s="522" t="n">
        <v>114.95</v>
      </c>
      <c r="LX197" s="525" t="n"/>
      <c r="LY197" s="525" t="n"/>
      <c r="LZ197" s="19" t="n"/>
      <c r="MA197" s="551" t="n"/>
      <c r="MB197" s="522">
        <f>C197</f>
        <v/>
      </c>
      <c r="MC197" s="522">
        <f>MD197*10000</f>
        <v/>
      </c>
      <c r="MD197" s="522" t="n">
        <v>8.25</v>
      </c>
      <c r="MF197" s="525" t="n"/>
      <c r="MG197" s="525" t="n"/>
      <c r="MH197" s="19" t="n"/>
      <c r="MK197" s="5">
        <f>C197</f>
        <v/>
      </c>
      <c r="MM197" s="24" t="n"/>
      <c r="MO197" s="19" t="n"/>
      <c r="MP197" s="19" t="n"/>
      <c r="MQ197" s="19" t="n"/>
      <c r="MR197" s="19" t="n"/>
      <c r="MS197" s="19" t="n"/>
      <c r="MT197" s="25">
        <f>C197</f>
        <v/>
      </c>
      <c r="MX197" s="19" t="n"/>
      <c r="MY197" s="19" t="n"/>
      <c r="MZ197" s="19" t="n"/>
      <c r="NA197" s="19" t="n"/>
      <c r="NB197" s="19" t="n"/>
      <c r="NC197" s="5">
        <f>C197</f>
        <v/>
      </c>
      <c r="NG197" s="19" t="n"/>
      <c r="NH197" s="19" t="n"/>
      <c r="NI197" s="19" t="n"/>
      <c r="NJ197" s="19" t="n"/>
      <c r="NK197" s="19" t="n"/>
      <c r="NM197" s="5">
        <f>C197</f>
        <v/>
      </c>
      <c r="NQ197" s="19" t="n"/>
      <c r="NR197" s="19" t="n"/>
      <c r="NU197" s="5">
        <f>C197</f>
        <v/>
      </c>
      <c r="NY197" s="19" t="n"/>
      <c r="NZ197" s="19" t="n"/>
      <c r="OC197" s="5">
        <f>C197</f>
        <v/>
      </c>
      <c r="OG197" s="19" t="n"/>
      <c r="OH197" s="19" t="n"/>
      <c r="OI197" s="19" t="n"/>
      <c r="OK197" s="5">
        <f>C197</f>
        <v/>
      </c>
      <c r="OO197" s="19" t="n"/>
      <c r="OP197" s="19" t="n"/>
      <c r="OQ197" s="19" t="n"/>
      <c r="OT197" s="25">
        <f>OK197</f>
        <v/>
      </c>
      <c r="OX197" s="19" t="n"/>
    </row>
    <row r="198" ht="21" customFormat="1" customHeight="1" s="5">
      <c r="A198" s="631" t="n"/>
      <c r="B198" s="631" t="n"/>
      <c r="C198" s="714" t="inlineStr">
        <is>
          <t>2025//4//14</t>
        </is>
      </c>
      <c r="D198" s="521" t="n">
        <v>9430608.77</v>
      </c>
      <c r="E198" s="522">
        <f>D199</f>
        <v/>
      </c>
      <c r="F198" s="523">
        <f>D198-E198</f>
        <v/>
      </c>
      <c r="G198" s="524">
        <f>F198/E198</f>
        <v/>
      </c>
      <c r="H198" s="525" t="n"/>
      <c r="I198" s="526" t="n"/>
      <c r="J198" s="526" t="n"/>
      <c r="K198" s="522">
        <f>C198</f>
        <v/>
      </c>
      <c r="L198" s="527" t="n">
        <v>6763114.4</v>
      </c>
      <c r="M198" s="522">
        <f>L199</f>
        <v/>
      </c>
      <c r="N198" s="523">
        <f>L198-M198</f>
        <v/>
      </c>
      <c r="O198" s="525">
        <f>N198/M198</f>
        <v/>
      </c>
      <c r="P198" s="525" t="n"/>
      <c r="Q198" s="526" t="n"/>
      <c r="R198" s="523" t="n"/>
      <c r="S198" s="522">
        <f>C198</f>
        <v/>
      </c>
      <c r="T198" s="527" t="n">
        <v>5756466.68</v>
      </c>
      <c r="U198" s="522">
        <f>T199</f>
        <v/>
      </c>
      <c r="V198" s="523">
        <f>T198-U198</f>
        <v/>
      </c>
      <c r="W198" s="525">
        <f>V198/T198</f>
        <v/>
      </c>
      <c r="X198" s="525" t="n"/>
      <c r="Y198" s="526" t="n"/>
      <c r="Z198" s="523" t="n"/>
      <c r="AA198" s="522">
        <f>S198</f>
        <v/>
      </c>
      <c r="AB198" s="521" t="n"/>
      <c r="AC198" s="522" t="n"/>
      <c r="AD198" s="523" t="n"/>
      <c r="AE198" s="528" t="n"/>
      <c r="AF198" s="525" t="n"/>
      <c r="AG198" s="526" t="n"/>
      <c r="AH198" s="523" t="n"/>
      <c r="AI198" s="522">
        <f>C198</f>
        <v/>
      </c>
      <c r="AJ198" s="521" t="n"/>
      <c r="AK198" s="522" t="n"/>
      <c r="AL198" s="523" t="n"/>
      <c r="AM198" s="528" t="n"/>
      <c r="AN198" s="525" t="n"/>
      <c r="AO198" s="526" t="n"/>
      <c r="AP198" s="522" t="n"/>
      <c r="AQ198" s="522">
        <f>C198</f>
        <v/>
      </c>
      <c r="AR198" s="715" t="n"/>
      <c r="AS198" s="522" t="n"/>
      <c r="AT198" s="526" t="n"/>
      <c r="AU198" s="523" t="n"/>
      <c r="AV198" s="526" t="n"/>
      <c r="AW198" s="526" t="n"/>
      <c r="AX198" s="523" t="n"/>
      <c r="AY198" s="523" t="n"/>
      <c r="AZ198" s="523">
        <f>C198</f>
        <v/>
      </c>
      <c r="BA198" s="523" t="n"/>
      <c r="BB198" s="523" t="n"/>
      <c r="BC198" s="523" t="n"/>
      <c r="BD198" s="526" t="n"/>
      <c r="BE198" s="526" t="n"/>
      <c r="BF198" s="526" t="n"/>
      <c r="BG198" s="631" t="n"/>
      <c r="BH198" s="5">
        <f>C198</f>
        <v/>
      </c>
      <c r="BL198" s="19" t="n"/>
      <c r="BM198" s="19" t="n"/>
      <c r="BN198" s="19" t="n"/>
      <c r="BO198" s="551" t="n"/>
      <c r="BP198" s="522">
        <f>C198</f>
        <v/>
      </c>
      <c r="BQ198" s="715">
        <f>BR198*10000</f>
        <v/>
      </c>
      <c r="BR198" s="522" t="n">
        <v>10.01</v>
      </c>
      <c r="BT198" s="525" t="n"/>
      <c r="BU198" s="525" t="n"/>
      <c r="BV198" s="19" t="n"/>
      <c r="BW198" s="551" t="n"/>
      <c r="BX198" s="522">
        <f>C198</f>
        <v/>
      </c>
      <c r="BY198" s="522">
        <f>BZ198*10000</f>
        <v/>
      </c>
      <c r="BZ198" s="522" t="n">
        <v>32.6</v>
      </c>
      <c r="CB198" s="525" t="n"/>
      <c r="CC198" s="525" t="n"/>
      <c r="CD198" s="19" t="n"/>
      <c r="CE198" s="552" t="n"/>
      <c r="CF198" s="528">
        <f>C198</f>
        <v/>
      </c>
      <c r="CG198" s="528">
        <f>CH198*10000</f>
        <v/>
      </c>
      <c r="CH198" s="528" t="n">
        <v>38.59</v>
      </c>
      <c r="CJ198" s="528" t="n"/>
      <c r="CK198" s="525" t="n"/>
      <c r="CL198" s="524" t="n"/>
      <c r="CM198" s="551" t="n"/>
      <c r="CN198" s="522">
        <f>C198</f>
        <v/>
      </c>
      <c r="CO198" s="522">
        <f>CP198*10000</f>
        <v/>
      </c>
      <c r="CP198" s="522" t="n">
        <v>0.5600000000000001</v>
      </c>
      <c r="CR198" s="525" t="n"/>
      <c r="CS198" s="19" t="n"/>
      <c r="CT198" s="19" t="n"/>
      <c r="CV198" s="5">
        <f>C198</f>
        <v/>
      </c>
      <c r="CZ198" s="19" t="n"/>
      <c r="DA198" s="19" t="n"/>
      <c r="DB198" s="19" t="n"/>
      <c r="DC198" s="23" t="n"/>
      <c r="DD198" s="5">
        <f>C198</f>
        <v/>
      </c>
      <c r="DH198" s="19" t="n"/>
      <c r="DI198" s="525" t="n"/>
      <c r="DJ198" s="19" t="n"/>
      <c r="DK198" s="551" t="n"/>
      <c r="DL198" s="522">
        <f>C198</f>
        <v/>
      </c>
      <c r="DM198" s="522">
        <f>DN198*10000</f>
        <v/>
      </c>
      <c r="DN198" s="522" t="n">
        <v>276.83</v>
      </c>
      <c r="DP198" s="525" t="n"/>
      <c r="DQ198" s="525" t="n"/>
      <c r="DR198" s="19" t="n"/>
      <c r="DS198" s="551" t="n"/>
      <c r="DT198" s="522">
        <f>C198</f>
        <v/>
      </c>
      <c r="DU198" s="522">
        <f>DV198*10000</f>
        <v/>
      </c>
      <c r="DV198" s="522" t="n">
        <v>50.68</v>
      </c>
      <c r="DX198" s="525" t="n"/>
      <c r="DY198" s="525" t="n"/>
      <c r="DZ198" s="19" t="n"/>
      <c r="EA198" s="551" t="n"/>
      <c r="EB198" s="522">
        <f>C198</f>
        <v/>
      </c>
      <c r="EC198" s="522">
        <f>ED198*10000</f>
        <v/>
      </c>
      <c r="ED198" s="522" t="n">
        <v>639.52</v>
      </c>
      <c r="EF198" s="525" t="n"/>
      <c r="EG198" s="525" t="n"/>
      <c r="EH198" s="19" t="n"/>
      <c r="EI198" s="551" t="n"/>
      <c r="EJ198" s="522">
        <f>C198</f>
        <v/>
      </c>
      <c r="EK198" s="522">
        <f>EL198*10000</f>
        <v/>
      </c>
      <c r="EL198" s="522" t="n">
        <v>42.84</v>
      </c>
      <c r="EN198" s="525" t="n"/>
      <c r="EO198" s="525" t="n"/>
      <c r="EP198" s="19" t="n"/>
      <c r="EQ198" s="19" t="n"/>
      <c r="ER198" s="5">
        <f>C198</f>
        <v/>
      </c>
      <c r="ES198" s="19" t="n"/>
      <c r="ET198" s="19" t="n"/>
      <c r="EU198" s="19" t="n"/>
      <c r="EV198" s="19" t="n"/>
      <c r="EW198" s="19" t="n"/>
      <c r="EX198" s="19" t="n"/>
      <c r="EY198" s="551" t="n"/>
      <c r="EZ198" s="522">
        <f>C198</f>
        <v/>
      </c>
      <c r="FA198" s="522">
        <f>FB198*10000</f>
        <v/>
      </c>
      <c r="FB198" s="522" t="n">
        <v>91.83</v>
      </c>
      <c r="FD198" s="525" t="n"/>
      <c r="FE198" s="525" t="n"/>
      <c r="FF198" s="19" t="n"/>
      <c r="FG198" s="19" t="n"/>
      <c r="FH198" s="5">
        <f>C198</f>
        <v/>
      </c>
      <c r="FI198" s="633" t="n"/>
      <c r="FL198" s="19" t="n"/>
      <c r="FM198" s="19" t="n"/>
      <c r="FN198" s="19" t="n"/>
      <c r="FO198" s="551" t="n"/>
      <c r="FP198" s="522">
        <f>C198</f>
        <v/>
      </c>
      <c r="FQ198" s="522">
        <f>FR198*10000</f>
        <v/>
      </c>
      <c r="FR198" s="522" t="n">
        <v>6.36</v>
      </c>
      <c r="FT198" s="525" t="n"/>
      <c r="FU198" s="525" t="n"/>
      <c r="FV198" s="19" t="n"/>
      <c r="FW198" s="551" t="n"/>
      <c r="FX198" s="522">
        <f>C198</f>
        <v/>
      </c>
      <c r="FY198" s="522">
        <f>FZ198*10000</f>
        <v/>
      </c>
      <c r="FZ198" s="522" t="n">
        <v>538.04</v>
      </c>
      <c r="GB198" s="525" t="n"/>
      <c r="GC198" s="525" t="n"/>
      <c r="GD198" s="19" t="n"/>
      <c r="GE198" s="551" t="n"/>
      <c r="GF198" s="522">
        <f>C198</f>
        <v/>
      </c>
      <c r="GG198" s="522">
        <f>GH198*10000</f>
        <v/>
      </c>
      <c r="GH198" s="522" t="n">
        <v>437.17</v>
      </c>
      <c r="GJ198" s="525" t="n"/>
      <c r="GK198" s="525" t="n"/>
      <c r="GL198" s="19" t="n"/>
      <c r="GM198" s="551" t="n"/>
      <c r="GN198" s="522">
        <f>C198</f>
        <v/>
      </c>
      <c r="GO198" s="522">
        <f>GP198*10000</f>
        <v/>
      </c>
      <c r="GP198" s="522" t="n">
        <v>94.16</v>
      </c>
      <c r="GR198" s="525" t="n"/>
      <c r="GS198" s="525" t="n"/>
      <c r="GT198" s="19" t="n"/>
      <c r="GU198" s="551" t="n"/>
      <c r="GV198" s="522">
        <f>C198</f>
        <v/>
      </c>
      <c r="GW198" s="522">
        <f>GX198*10000</f>
        <v/>
      </c>
      <c r="GX198" s="522" t="n">
        <v>132.61</v>
      </c>
      <c r="GZ198" s="525">
        <f>(GW198-GW199)/GW199</f>
        <v/>
      </c>
      <c r="HA198" s="525" t="n"/>
      <c r="HB198" s="19" t="n"/>
      <c r="HC198" s="551" t="n"/>
      <c r="HD198" s="522">
        <f>C198</f>
        <v/>
      </c>
      <c r="HE198" s="522">
        <f>HF198*10000</f>
        <v/>
      </c>
      <c r="HF198" s="522" t="n">
        <v>69.64</v>
      </c>
      <c r="HH198" s="525" t="n"/>
      <c r="HI198" s="524" t="n"/>
      <c r="HJ198" s="19" t="n"/>
      <c r="HK198" s="551" t="n"/>
      <c r="HL198" s="522">
        <f>C198</f>
        <v/>
      </c>
      <c r="HM198" s="522">
        <f>HN198*10000</f>
        <v/>
      </c>
      <c r="HN198" s="522" t="n">
        <v>56.89</v>
      </c>
      <c r="HP198" s="525" t="n"/>
      <c r="HQ198" s="525" t="n"/>
      <c r="HR198" s="19" t="n"/>
      <c r="HS198" s="551" t="n"/>
      <c r="HT198" s="522">
        <f>C198</f>
        <v/>
      </c>
      <c r="HU198" s="522">
        <f>HV198*10000</f>
        <v/>
      </c>
      <c r="HV198" s="522" t="n">
        <v>14.32</v>
      </c>
      <c r="HX198" s="525" t="n"/>
      <c r="HY198" s="525" t="n"/>
      <c r="HZ198" s="19" t="n"/>
      <c r="IA198" s="551" t="n"/>
      <c r="IB198" s="522">
        <f>C198</f>
        <v/>
      </c>
      <c r="IC198" s="522">
        <f>ID198*10000</f>
        <v/>
      </c>
      <c r="ID198" s="522" t="n">
        <v>75.70999999999999</v>
      </c>
      <c r="IF198" s="528" t="n"/>
      <c r="IG198" s="525" t="n"/>
      <c r="IH198" s="19" t="n"/>
      <c r="II198" s="551" t="n"/>
      <c r="IJ198" s="522">
        <f>C198</f>
        <v/>
      </c>
      <c r="IK198" s="522">
        <f>IL198*10000</f>
        <v/>
      </c>
      <c r="IL198" s="522" t="n">
        <v>38.91</v>
      </c>
      <c r="IN198" s="525" t="n"/>
      <c r="IO198" s="525" t="n"/>
      <c r="IP198" s="19" t="n"/>
      <c r="IQ198" s="551" t="n"/>
      <c r="IR198" s="522">
        <f>C198</f>
        <v/>
      </c>
      <c r="IS198" s="522">
        <f>IT198*10000</f>
        <v/>
      </c>
      <c r="IT198" s="522" t="n">
        <v>10.34</v>
      </c>
      <c r="IV198" s="525" t="n"/>
      <c r="IW198" s="525" t="n"/>
      <c r="IX198" s="19" t="n"/>
      <c r="IY198" s="551" t="n"/>
      <c r="IZ198" s="522">
        <f>C198</f>
        <v/>
      </c>
      <c r="JA198" s="522">
        <f>JB198*10000</f>
        <v/>
      </c>
      <c r="JB198" s="522" t="n">
        <v>374.88</v>
      </c>
      <c r="JD198" s="525" t="n"/>
      <c r="JE198" s="525" t="n"/>
      <c r="JF198" s="19" t="n"/>
      <c r="JG198" s="551" t="n"/>
      <c r="JH198" s="522">
        <f>C198</f>
        <v/>
      </c>
      <c r="JI198" s="522">
        <f>JJ198*10000</f>
        <v/>
      </c>
      <c r="JJ198" s="522" t="n">
        <v>60.48</v>
      </c>
      <c r="JL198" s="525" t="n"/>
      <c r="JM198" s="525" t="n"/>
      <c r="JN198" s="525" t="n"/>
      <c r="JO198" s="19" t="n"/>
      <c r="JP198" s="522">
        <f>C198</f>
        <v/>
      </c>
      <c r="JQ198" s="522">
        <f>JR198*10000</f>
        <v/>
      </c>
      <c r="JR198" s="522" t="n">
        <v>2.76</v>
      </c>
      <c r="JT198" s="525" t="n"/>
      <c r="JU198" s="525" t="n"/>
      <c r="JV198" s="525" t="n"/>
      <c r="JW198" s="525" t="n"/>
      <c r="JX198" s="522">
        <f>C198</f>
        <v/>
      </c>
      <c r="JY198" s="522">
        <f>JZ198*10000</f>
        <v/>
      </c>
      <c r="JZ198" s="522" t="n">
        <v>14.21</v>
      </c>
      <c r="KB198" s="525" t="n"/>
      <c r="KC198" s="525" t="n"/>
      <c r="KD198" s="525" t="n"/>
      <c r="KE198" s="525" t="n"/>
      <c r="KF198" s="522">
        <f>C198</f>
        <v/>
      </c>
      <c r="KG198" s="551" t="n"/>
      <c r="KH198" s="551" t="n"/>
      <c r="KI198" s="528" t="n"/>
      <c r="KJ198" s="552" t="n"/>
      <c r="KK198" s="524" t="n"/>
      <c r="KL198" s="524" t="n"/>
      <c r="KM198" s="551" t="n"/>
      <c r="KN198" s="522">
        <f>C198</f>
        <v/>
      </c>
      <c r="KO198" s="522">
        <f>KP198*10000</f>
        <v/>
      </c>
      <c r="KP198" s="522" t="n">
        <v>348.15</v>
      </c>
      <c r="KR198" s="525" t="n"/>
      <c r="KS198" s="525" t="n"/>
      <c r="KT198" s="19" t="n"/>
      <c r="KV198" s="5">
        <f>C198</f>
        <v/>
      </c>
      <c r="KZ198" s="19" t="n"/>
      <c r="LA198" s="19" t="n"/>
      <c r="LB198" s="19" t="n"/>
      <c r="LC198" s="551" t="n"/>
      <c r="LD198" s="522">
        <f>C198</f>
        <v/>
      </c>
      <c r="LE198" s="522">
        <f>LF198*10000</f>
        <v/>
      </c>
      <c r="LF198" s="522" t="n">
        <v>20.82</v>
      </c>
      <c r="LH198" s="525" t="n"/>
      <c r="LI198" s="525" t="n"/>
      <c r="LJ198" s="19" t="n"/>
      <c r="LK198" s="551" t="n"/>
      <c r="LL198" s="522">
        <f>C198</f>
        <v/>
      </c>
      <c r="LM198" s="715">
        <f>LN198*10000</f>
        <v/>
      </c>
      <c r="LN198" s="522" t="n">
        <v>166.19</v>
      </c>
      <c r="LP198" s="525" t="n"/>
      <c r="LQ198" s="525" t="n"/>
      <c r="LR198" s="19" t="n"/>
      <c r="LS198" s="551" t="n"/>
      <c r="LT198" s="522">
        <f>C198</f>
        <v/>
      </c>
      <c r="LU198" s="522">
        <f>LV198*10000</f>
        <v/>
      </c>
      <c r="LV198" s="522" t="n">
        <v>117.91</v>
      </c>
      <c r="LX198" s="525" t="n"/>
      <c r="LY198" s="525" t="n"/>
      <c r="LZ198" s="19" t="n"/>
      <c r="MA198" s="551" t="n"/>
      <c r="MB198" s="522">
        <f>C198</f>
        <v/>
      </c>
      <c r="MC198" s="522">
        <f>MD198*10000</f>
        <v/>
      </c>
      <c r="MD198" s="522" t="n">
        <v>11.86</v>
      </c>
      <c r="MF198" s="525" t="n"/>
      <c r="MG198" s="525" t="n"/>
      <c r="MH198" s="19" t="n"/>
      <c r="MK198" s="5">
        <f>C198</f>
        <v/>
      </c>
      <c r="MM198" s="24" t="n"/>
      <c r="MO198" s="19" t="n"/>
      <c r="MP198" s="19" t="n"/>
      <c r="MQ198" s="19" t="n"/>
      <c r="MR198" s="19" t="n"/>
      <c r="MS198" s="19" t="n"/>
      <c r="MT198" s="25">
        <f>C198</f>
        <v/>
      </c>
      <c r="MX198" s="19" t="n"/>
      <c r="MY198" s="19" t="n"/>
      <c r="MZ198" s="19" t="n"/>
      <c r="NA198" s="19" t="n"/>
      <c r="NB198" s="19" t="n"/>
      <c r="NC198" s="5">
        <f>C198</f>
        <v/>
      </c>
      <c r="NG198" s="19" t="n"/>
      <c r="NH198" s="19" t="n"/>
      <c r="NI198" s="19" t="n"/>
      <c r="NJ198" s="19" t="n"/>
      <c r="NK198" s="19" t="n"/>
      <c r="NM198" s="5">
        <f>C198</f>
        <v/>
      </c>
      <c r="NQ198" s="19" t="n"/>
      <c r="NR198" s="19" t="n"/>
      <c r="NU198" s="5">
        <f>C198</f>
        <v/>
      </c>
      <c r="NY198" s="19" t="n"/>
      <c r="NZ198" s="19" t="n"/>
      <c r="OC198" s="5">
        <f>C198</f>
        <v/>
      </c>
      <c r="OG198" s="19" t="n"/>
      <c r="OH198" s="19" t="n"/>
      <c r="OI198" s="19" t="n"/>
      <c r="OK198" s="5">
        <f>C198</f>
        <v/>
      </c>
      <c r="OO198" s="19" t="n"/>
      <c r="OP198" s="19" t="n"/>
      <c r="OQ198" s="19" t="n"/>
      <c r="OT198" s="25">
        <f>OK198</f>
        <v/>
      </c>
      <c r="OX198" s="19" t="n"/>
    </row>
    <row r="199" ht="21" customFormat="1" customHeight="1" s="5">
      <c r="A199" s="654" t="n"/>
      <c r="B199" s="654" t="n"/>
      <c r="C199" s="722" t="inlineStr">
        <is>
          <t>2025//4//11</t>
        </is>
      </c>
      <c r="D199" s="567" t="n">
        <v>9475338.77</v>
      </c>
      <c r="E199" s="568">
        <f>D200</f>
        <v/>
      </c>
      <c r="F199" s="569">
        <f>D199-E199</f>
        <v/>
      </c>
      <c r="G199" s="570">
        <f>F199/E199</f>
        <v/>
      </c>
      <c r="H199" s="570" t="n"/>
      <c r="I199" s="571" t="n"/>
      <c r="J199" s="571" t="n"/>
      <c r="K199" s="568">
        <f>C199</f>
        <v/>
      </c>
      <c r="L199" s="527" t="n">
        <v>6792274.4</v>
      </c>
      <c r="M199" s="522">
        <f>L200</f>
        <v/>
      </c>
      <c r="N199" s="523">
        <f>L199-M199</f>
        <v/>
      </c>
      <c r="O199" s="525">
        <f>N199/M199</f>
        <v/>
      </c>
      <c r="P199" s="570" t="n"/>
      <c r="Q199" s="571" t="n"/>
      <c r="R199" s="569" t="n"/>
      <c r="S199" s="568">
        <f>C199</f>
        <v/>
      </c>
      <c r="T199" s="527" t="n">
        <v>5774736.68</v>
      </c>
      <c r="U199" s="522">
        <f>T200</f>
        <v/>
      </c>
      <c r="V199" s="523">
        <f>T199-U199</f>
        <v/>
      </c>
      <c r="W199" s="525">
        <f>V199/T199</f>
        <v/>
      </c>
      <c r="X199" s="570" t="n"/>
      <c r="Y199" s="571" t="n"/>
      <c r="Z199" s="569" t="n"/>
      <c r="AA199" s="568">
        <f>S199</f>
        <v/>
      </c>
      <c r="AB199" s="567" t="n"/>
      <c r="AC199" s="568" t="n"/>
      <c r="AD199" s="569" t="n"/>
      <c r="AE199" s="568" t="n"/>
      <c r="AF199" s="570" t="n"/>
      <c r="AG199" s="571" t="n"/>
      <c r="AH199" s="569" t="n"/>
      <c r="AI199" s="568">
        <f>C199</f>
        <v/>
      </c>
      <c r="AJ199" s="527" t="n">
        <v>2603121.76</v>
      </c>
      <c r="AK199" s="522">
        <f>AJ200</f>
        <v/>
      </c>
      <c r="AL199" s="571">
        <f>(AJ199-AK199)/AK199</f>
        <v/>
      </c>
      <c r="AM199" s="568" t="n"/>
      <c r="AN199" s="570" t="n"/>
      <c r="AO199" s="571" t="n"/>
      <c r="AP199" s="568" t="n"/>
      <c r="AQ199" s="568">
        <f>C199</f>
        <v/>
      </c>
      <c r="AR199" s="723" t="n"/>
      <c r="AS199" s="568" t="n"/>
      <c r="AT199" s="571" t="n"/>
      <c r="AU199" s="569" t="n"/>
      <c r="AV199" s="571" t="n"/>
      <c r="AW199" s="571" t="n"/>
      <c r="AX199" s="569" t="n"/>
      <c r="AY199" s="569" t="n"/>
      <c r="AZ199" s="569">
        <f>C199</f>
        <v/>
      </c>
      <c r="BA199" s="569" t="n"/>
      <c r="BB199" s="569" t="n"/>
      <c r="BC199" s="569" t="n"/>
      <c r="BD199" s="571" t="n"/>
      <c r="BE199" s="571" t="n"/>
      <c r="BF199" s="571" t="n"/>
      <c r="BG199" s="631" t="n"/>
      <c r="BH199" s="5">
        <f>C199</f>
        <v/>
      </c>
      <c r="BL199" s="19" t="n"/>
      <c r="BM199" s="19" t="n"/>
      <c r="BN199" s="19" t="n"/>
      <c r="BO199" s="551" t="n"/>
      <c r="BP199" s="522">
        <f>C199</f>
        <v/>
      </c>
      <c r="BQ199" s="715">
        <f>BR199*10000</f>
        <v/>
      </c>
      <c r="BR199" s="522" t="n">
        <v>6.91</v>
      </c>
      <c r="BT199" s="525" t="n"/>
      <c r="BU199" s="525" t="n"/>
      <c r="BV199" s="19" t="n"/>
      <c r="BW199" s="551" t="n"/>
      <c r="BX199" s="522">
        <f>C199</f>
        <v/>
      </c>
      <c r="BY199" s="522">
        <f>BZ199*10000</f>
        <v/>
      </c>
      <c r="BZ199" s="522" t="n">
        <v>22.28</v>
      </c>
      <c r="CB199" s="525" t="n"/>
      <c r="CC199" s="525" t="n"/>
      <c r="CD199" s="19" t="n"/>
      <c r="CE199" s="552" t="n"/>
      <c r="CF199" s="528">
        <f>C199</f>
        <v/>
      </c>
      <c r="CG199" s="528">
        <f>CH199*10000</f>
        <v/>
      </c>
      <c r="CH199" s="528" t="n">
        <v>34.71</v>
      </c>
      <c r="CJ199" s="528" t="n"/>
      <c r="CK199" s="525" t="n"/>
      <c r="CL199" s="524" t="n"/>
      <c r="CM199" s="551" t="n"/>
      <c r="CN199" s="522">
        <f>C199</f>
        <v/>
      </c>
      <c r="CO199" s="522">
        <f>CP199*10000</f>
        <v/>
      </c>
      <c r="CP199" s="522" t="n">
        <v>0.51</v>
      </c>
      <c r="CR199" s="525" t="n"/>
      <c r="CS199" s="19" t="n"/>
      <c r="CT199" s="19" t="n"/>
      <c r="CV199" s="5">
        <f>C199</f>
        <v/>
      </c>
      <c r="CZ199" s="19" t="n"/>
      <c r="DA199" s="19" t="n"/>
      <c r="DB199" s="19" t="n"/>
      <c r="DC199" s="23" t="n"/>
      <c r="DD199" s="5">
        <f>C199</f>
        <v/>
      </c>
      <c r="DH199" s="19" t="n"/>
      <c r="DI199" s="19" t="n"/>
      <c r="DJ199" s="19" t="n"/>
      <c r="DK199" s="551" t="n"/>
      <c r="DL199" s="522">
        <f>C199</f>
        <v/>
      </c>
      <c r="DM199" s="522">
        <f>DN199*10000</f>
        <v/>
      </c>
      <c r="DN199" s="522" t="n">
        <v>199.23</v>
      </c>
      <c r="DP199" s="525" t="n"/>
      <c r="DQ199" s="525" t="n"/>
      <c r="DR199" s="19" t="n"/>
      <c r="DS199" s="551" t="n"/>
      <c r="DT199" s="522">
        <f>C199</f>
        <v/>
      </c>
      <c r="DU199" s="522">
        <f>DV199*10000</f>
        <v/>
      </c>
      <c r="DV199" s="522" t="n">
        <v>11.26</v>
      </c>
      <c r="DX199" s="525" t="n"/>
      <c r="DY199" s="525" t="n"/>
      <c r="DZ199" s="19" t="n"/>
      <c r="EA199" s="551" t="n"/>
      <c r="EB199" s="522">
        <f>C199</f>
        <v/>
      </c>
      <c r="EC199" s="522">
        <f>ED199*10000</f>
        <v/>
      </c>
      <c r="ED199" s="522" t="n">
        <v>498.67</v>
      </c>
      <c r="EF199" s="525" t="n"/>
      <c r="EG199" s="525" t="n"/>
      <c r="EH199" s="19" t="n"/>
      <c r="EI199" s="551" t="n"/>
      <c r="EJ199" s="522">
        <f>C199</f>
        <v/>
      </c>
      <c r="EK199" s="522">
        <f>EL199*10000</f>
        <v/>
      </c>
      <c r="EL199" s="522" t="n">
        <v>27.11</v>
      </c>
      <c r="EN199" s="525" t="n"/>
      <c r="EO199" s="525" t="n"/>
      <c r="EP199" s="19" t="n"/>
      <c r="EQ199" s="19" t="n"/>
      <c r="ER199" s="5">
        <f>C199</f>
        <v/>
      </c>
      <c r="ES199" s="19" t="n"/>
      <c r="ET199" s="19" t="n"/>
      <c r="EU199" s="19" t="n"/>
      <c r="EV199" s="19" t="n"/>
      <c r="EW199" s="19" t="n"/>
      <c r="EX199" s="19" t="n"/>
      <c r="EY199" s="551" t="n"/>
      <c r="EZ199" s="522">
        <f>C199</f>
        <v/>
      </c>
      <c r="FA199" s="522">
        <f>FB199*10000</f>
        <v/>
      </c>
      <c r="FB199" s="522" t="n">
        <v>100.37</v>
      </c>
      <c r="FD199" s="525" t="n"/>
      <c r="FE199" s="525" t="n"/>
      <c r="FF199" s="19" t="n"/>
      <c r="FG199" s="19" t="n"/>
      <c r="FH199" s="5">
        <f>C199</f>
        <v/>
      </c>
      <c r="FI199" s="633" t="n"/>
      <c r="FL199" s="19" t="n"/>
      <c r="FM199" s="19" t="n"/>
      <c r="FN199" s="19" t="n"/>
      <c r="FO199" s="551" t="n"/>
      <c r="FP199" s="522">
        <f>C199</f>
        <v/>
      </c>
      <c r="FQ199" s="522">
        <f>FR199*10000</f>
        <v/>
      </c>
      <c r="FR199" s="522" t="n">
        <v>3.07</v>
      </c>
      <c r="FT199" s="525" t="n"/>
      <c r="FU199" s="525" t="n"/>
      <c r="FV199" s="19" t="n"/>
      <c r="FW199" s="551" t="n"/>
      <c r="FX199" s="522">
        <f>C199</f>
        <v/>
      </c>
      <c r="FY199" s="522">
        <f>FZ199*10000</f>
        <v/>
      </c>
      <c r="FZ199" s="522" t="n">
        <v>384.19</v>
      </c>
      <c r="GB199" s="525" t="n"/>
      <c r="GC199" s="525" t="n"/>
      <c r="GD199" s="19" t="n"/>
      <c r="GE199" s="551" t="n"/>
      <c r="GF199" s="522">
        <f>C199</f>
        <v/>
      </c>
      <c r="GG199" s="522">
        <f>GH199*10000</f>
        <v/>
      </c>
      <c r="GH199" s="522" t="n">
        <v>309.58</v>
      </c>
      <c r="GJ199" s="525" t="n"/>
      <c r="GK199" s="525" t="n"/>
      <c r="GL199" s="19" t="n"/>
      <c r="GM199" s="551" t="n"/>
      <c r="GN199" s="522">
        <f>C199</f>
        <v/>
      </c>
      <c r="GO199" s="522">
        <f>GP199*10000</f>
        <v/>
      </c>
      <c r="GP199" s="522" t="n">
        <v>54.52</v>
      </c>
      <c r="GR199" s="525" t="n"/>
      <c r="GS199" s="525" t="n"/>
      <c r="GT199" s="19" t="n"/>
      <c r="GU199" s="551" t="n"/>
      <c r="GV199" s="522">
        <f>C199</f>
        <v/>
      </c>
      <c r="GW199" s="522">
        <f>GX199*10000</f>
        <v/>
      </c>
      <c r="GX199" s="522" t="n">
        <v>125.11</v>
      </c>
      <c r="GZ199" s="525">
        <f>(GW199-GW200)/GW200</f>
        <v/>
      </c>
      <c r="HA199" s="525" t="n"/>
      <c r="HB199" s="19" t="n"/>
      <c r="HC199" s="551" t="n"/>
      <c r="HD199" s="522">
        <f>C199</f>
        <v/>
      </c>
      <c r="HE199" s="522">
        <f>HF199*10000</f>
        <v/>
      </c>
      <c r="HF199" s="522" t="n">
        <v>44.14</v>
      </c>
      <c r="HH199" s="525" t="n"/>
      <c r="HI199" s="524" t="n"/>
      <c r="HJ199" s="19" t="n"/>
      <c r="HK199" s="551" t="n"/>
      <c r="HL199" s="522">
        <f>C199</f>
        <v/>
      </c>
      <c r="HM199" s="522">
        <f>HN199*10000</f>
        <v/>
      </c>
      <c r="HN199" s="522" t="n">
        <v>49.37</v>
      </c>
      <c r="HP199" s="525" t="n"/>
      <c r="HQ199" s="525" t="n"/>
      <c r="HR199" s="19" t="n"/>
      <c r="HS199" s="551" t="n"/>
      <c r="HT199" s="522">
        <f>C199</f>
        <v/>
      </c>
      <c r="HU199" s="522">
        <f>HV199*10000</f>
        <v/>
      </c>
      <c r="HV199" s="522" t="n">
        <v>10.33</v>
      </c>
      <c r="HX199" s="525" t="n"/>
      <c r="HY199" s="525" t="n"/>
      <c r="HZ199" s="19" t="n"/>
      <c r="IA199" s="551" t="n"/>
      <c r="IB199" s="522">
        <f>C199</f>
        <v/>
      </c>
      <c r="IC199" s="522">
        <f>ID199*10000</f>
        <v/>
      </c>
      <c r="ID199" s="522" t="n">
        <v>72.11</v>
      </c>
      <c r="IF199" s="528" t="n"/>
      <c r="IG199" s="525" t="n"/>
      <c r="IH199" s="19" t="n"/>
      <c r="II199" s="551" t="n"/>
      <c r="IJ199" s="522">
        <f>C199</f>
        <v/>
      </c>
      <c r="IK199" s="522">
        <f>IL199*10000</f>
        <v/>
      </c>
      <c r="IL199" s="522" t="n">
        <v>23.32</v>
      </c>
      <c r="IN199" s="525" t="n"/>
      <c r="IO199" s="525" t="n"/>
      <c r="IP199" s="19" t="n"/>
      <c r="IQ199" s="551" t="n"/>
      <c r="IR199" s="522">
        <f>C199</f>
        <v/>
      </c>
      <c r="IS199" s="522">
        <f>IT199*10000</f>
        <v/>
      </c>
      <c r="IT199" s="522" t="n">
        <v>5.35</v>
      </c>
      <c r="IV199" s="525" t="n"/>
      <c r="IW199" s="525" t="n"/>
      <c r="IX199" s="19" t="n"/>
      <c r="IY199" s="551" t="n"/>
      <c r="IZ199" s="522">
        <f>C199</f>
        <v/>
      </c>
      <c r="JA199" s="522">
        <f>JB199*10000</f>
        <v/>
      </c>
      <c r="JB199" s="522" t="n">
        <v>355.46</v>
      </c>
      <c r="JD199" s="525" t="n"/>
      <c r="JE199" s="525" t="n"/>
      <c r="JF199" s="19" t="n"/>
      <c r="JG199" s="551" t="n"/>
      <c r="JH199" s="522">
        <f>C199</f>
        <v/>
      </c>
      <c r="JI199" s="522">
        <f>JJ199*10000</f>
        <v/>
      </c>
      <c r="JJ199" s="522" t="n">
        <v>72.28</v>
      </c>
      <c r="JL199" s="525" t="n"/>
      <c r="JM199" s="525" t="n"/>
      <c r="JN199" s="525" t="n"/>
      <c r="JO199" s="19" t="n"/>
      <c r="JP199" s="522">
        <f>C199</f>
        <v/>
      </c>
      <c r="JQ199" s="522">
        <f>JR199*10000</f>
        <v/>
      </c>
      <c r="JR199" s="522" t="n">
        <v>1.83</v>
      </c>
      <c r="JT199" s="525" t="n"/>
      <c r="JU199" s="525" t="n"/>
      <c r="JV199" s="525" t="n"/>
      <c r="JW199" s="525" t="n"/>
      <c r="JX199" s="522">
        <f>C199</f>
        <v/>
      </c>
      <c r="JY199" s="522">
        <f>JZ199*10000</f>
        <v/>
      </c>
      <c r="JZ199" s="522" t="n">
        <v>10.15</v>
      </c>
      <c r="KB199" s="525" t="n"/>
      <c r="KC199" s="525" t="n"/>
      <c r="KD199" s="525" t="n"/>
      <c r="KE199" s="525" t="n"/>
      <c r="KF199" s="522">
        <f>C199</f>
        <v/>
      </c>
      <c r="KG199" s="551" t="n"/>
      <c r="KH199" s="551" t="n"/>
      <c r="KI199" s="528" t="n"/>
      <c r="KJ199" s="552" t="n"/>
      <c r="KK199" s="524" t="n"/>
      <c r="KL199" s="524" t="n"/>
      <c r="KM199" s="551" t="n"/>
      <c r="KN199" s="522">
        <f>C199</f>
        <v/>
      </c>
      <c r="KO199" s="522">
        <f>KP199*10000</f>
        <v/>
      </c>
      <c r="KP199" s="522" t="n">
        <v>352.14</v>
      </c>
      <c r="KR199" s="525" t="n"/>
      <c r="KS199" s="525" t="n"/>
      <c r="KT199" s="19" t="n"/>
      <c r="KV199" s="5">
        <f>C199</f>
        <v/>
      </c>
      <c r="KZ199" s="19" t="n"/>
      <c r="LA199" s="19" t="n"/>
      <c r="LB199" s="19" t="n"/>
      <c r="LC199" s="551" t="n"/>
      <c r="LD199" s="522">
        <f>C199</f>
        <v/>
      </c>
      <c r="LE199" s="522">
        <f>LF199*10000</f>
        <v/>
      </c>
      <c r="LF199" s="522" t="n">
        <v>18.1</v>
      </c>
      <c r="LH199" s="525" t="n"/>
      <c r="LI199" s="525" t="n"/>
      <c r="LJ199" s="19" t="n"/>
      <c r="LK199" s="551" t="n"/>
      <c r="LL199" s="522">
        <f>C199</f>
        <v/>
      </c>
      <c r="LM199" s="715">
        <f>LN199*10000</f>
        <v/>
      </c>
      <c r="LN199" s="522" t="n">
        <v>132.8</v>
      </c>
      <c r="LP199" s="525" t="n"/>
      <c r="LQ199" s="525" t="n"/>
      <c r="LR199" s="19" t="n"/>
      <c r="LS199" s="551" t="n"/>
      <c r="LT199" s="522">
        <f>C199</f>
        <v/>
      </c>
      <c r="LU199" s="522">
        <f>LV199*10000</f>
        <v/>
      </c>
      <c r="LV199" s="522" t="n">
        <v>100.95</v>
      </c>
      <c r="LX199" s="525" t="n"/>
      <c r="LY199" s="525" t="n"/>
      <c r="LZ199" s="19" t="n"/>
      <c r="MA199" s="551" t="n"/>
      <c r="MB199" s="522">
        <f>C199</f>
        <v/>
      </c>
      <c r="MC199" s="522">
        <f>MD199*10000</f>
        <v/>
      </c>
      <c r="MD199" s="522" t="n">
        <v>18.54</v>
      </c>
      <c r="MF199" s="525" t="n"/>
      <c r="MG199" s="525" t="n"/>
      <c r="MH199" s="19" t="n"/>
      <c r="MK199" s="5">
        <f>C199</f>
        <v/>
      </c>
      <c r="MM199" s="24" t="n"/>
      <c r="MO199" s="19" t="n"/>
      <c r="MP199" s="19" t="n"/>
      <c r="MQ199" s="19" t="n"/>
      <c r="MR199" s="19" t="n"/>
      <c r="MS199" s="19" t="n"/>
      <c r="MT199" s="25">
        <f>C199</f>
        <v/>
      </c>
      <c r="MX199" s="19" t="n"/>
      <c r="MY199" s="19" t="n"/>
      <c r="MZ199" s="19" t="n"/>
      <c r="NA199" s="19" t="n"/>
      <c r="NB199" s="19" t="n"/>
      <c r="NC199" s="5">
        <f>C199</f>
        <v/>
      </c>
      <c r="NG199" s="19" t="n"/>
      <c r="NH199" s="19" t="n"/>
      <c r="NI199" s="19" t="n"/>
      <c r="NJ199" s="19" t="n"/>
      <c r="NK199" s="19" t="n"/>
      <c r="NM199" s="5">
        <f>C199</f>
        <v/>
      </c>
      <c r="NQ199" s="19" t="n"/>
      <c r="NR199" s="19" t="n"/>
      <c r="NU199" s="5">
        <f>C199</f>
        <v/>
      </c>
      <c r="NY199" s="19" t="n"/>
      <c r="NZ199" s="19" t="n"/>
      <c r="OC199" s="5">
        <f>C199</f>
        <v/>
      </c>
      <c r="OG199" s="19" t="n"/>
      <c r="OH199" s="19" t="n"/>
      <c r="OI199" s="19" t="n"/>
      <c r="OK199" s="5">
        <f>C199</f>
        <v/>
      </c>
      <c r="OO199" s="19" t="n"/>
      <c r="OP199" s="19" t="n"/>
      <c r="OQ199" s="19" t="n"/>
      <c r="OT199" s="25">
        <f>OK199</f>
        <v/>
      </c>
      <c r="OX199" s="19" t="n"/>
    </row>
    <row r="200" ht="21" customFormat="1" customHeight="1" s="5">
      <c r="A200" s="631" t="n"/>
      <c r="B200" s="631" t="n"/>
      <c r="C200" s="714" t="inlineStr">
        <is>
          <t>2025//4//10</t>
        </is>
      </c>
      <c r="D200" s="521" t="n">
        <v>9481458.77</v>
      </c>
      <c r="E200" s="522">
        <f>D201</f>
        <v/>
      </c>
      <c r="F200" s="523">
        <f>D200-E200</f>
        <v/>
      </c>
      <c r="G200" s="524">
        <f>F200/E200</f>
        <v/>
      </c>
      <c r="H200" s="525" t="n"/>
      <c r="I200" s="526" t="n"/>
      <c r="J200" s="526" t="n"/>
      <c r="K200" s="522">
        <f>C200</f>
        <v/>
      </c>
      <c r="L200" s="527" t="n">
        <v>6808564.4</v>
      </c>
      <c r="M200" s="522">
        <f>L201</f>
        <v/>
      </c>
      <c r="N200" s="523">
        <f>L200-M200</f>
        <v/>
      </c>
      <c r="O200" s="525">
        <f>N200/M200</f>
        <v/>
      </c>
      <c r="P200" s="525" t="n"/>
      <c r="Q200" s="526" t="n"/>
      <c r="R200" s="523" t="n"/>
      <c r="S200" s="522">
        <f>C200</f>
        <v/>
      </c>
      <c r="T200" s="527" t="n">
        <v>5729106.68</v>
      </c>
      <c r="U200" s="522">
        <f>T201</f>
        <v/>
      </c>
      <c r="V200" s="523">
        <f>T200-U200</f>
        <v/>
      </c>
      <c r="W200" s="525">
        <f>V200/T200</f>
        <v/>
      </c>
      <c r="X200" s="525" t="n"/>
      <c r="Y200" s="526" t="n"/>
      <c r="Z200" s="523" t="n"/>
      <c r="AA200" s="522">
        <f>S200</f>
        <v/>
      </c>
      <c r="AB200" s="521" t="n"/>
      <c r="AC200" s="522" t="n"/>
      <c r="AD200" s="523" t="n"/>
      <c r="AE200" s="528" t="n"/>
      <c r="AF200" s="525" t="n"/>
      <c r="AG200" s="526" t="n"/>
      <c r="AH200" s="523" t="n"/>
      <c r="AI200" s="522">
        <f>C200</f>
        <v/>
      </c>
      <c r="AJ200" s="527" t="n">
        <v>2611521.76</v>
      </c>
      <c r="AK200" s="522">
        <f>AJ201</f>
        <v/>
      </c>
      <c r="AL200" s="571">
        <f>(AJ200-AK200)/AK200</f>
        <v/>
      </c>
      <c r="AM200" s="528" t="n"/>
      <c r="AN200" s="525" t="n"/>
      <c r="AO200" s="526" t="n"/>
      <c r="AP200" s="522" t="n"/>
      <c r="AQ200" s="522">
        <f>C200</f>
        <v/>
      </c>
      <c r="AR200" s="715" t="n"/>
      <c r="AS200" s="522" t="n"/>
      <c r="AT200" s="526" t="n"/>
      <c r="AU200" s="523" t="n"/>
      <c r="AV200" s="526" t="n"/>
      <c r="AW200" s="526" t="n"/>
      <c r="AX200" s="523" t="n"/>
      <c r="AY200" s="523" t="n"/>
      <c r="AZ200" s="523">
        <f>C200</f>
        <v/>
      </c>
      <c r="BA200" s="523" t="n"/>
      <c r="BB200" s="523" t="n"/>
      <c r="BC200" s="523" t="n"/>
      <c r="BD200" s="526" t="n"/>
      <c r="BE200" s="526" t="n"/>
      <c r="BF200" s="526" t="n"/>
      <c r="BG200" s="631" t="n"/>
      <c r="BH200" s="5">
        <f>C200</f>
        <v/>
      </c>
      <c r="BL200" s="19" t="n"/>
      <c r="BM200" s="19" t="n"/>
      <c r="BN200" s="19" t="n"/>
      <c r="BO200" s="551" t="n"/>
      <c r="BP200" s="522">
        <f>C200</f>
        <v/>
      </c>
      <c r="BQ200" s="715">
        <f>BR200*10000</f>
        <v/>
      </c>
      <c r="BR200" s="522" t="n">
        <v>6.06</v>
      </c>
      <c r="BT200" s="525" t="n"/>
      <c r="BU200" s="525" t="n"/>
      <c r="BV200" s="19" t="n"/>
      <c r="BW200" s="551" t="n"/>
      <c r="BX200" s="522">
        <f>C200</f>
        <v/>
      </c>
      <c r="BY200" s="522">
        <f>BZ200*10000</f>
        <v/>
      </c>
      <c r="BZ200" s="522" t="n">
        <v>11.94</v>
      </c>
      <c r="CB200" s="525" t="n"/>
      <c r="CC200" s="525" t="n"/>
      <c r="CD200" s="19" t="n"/>
      <c r="CE200" s="552" t="n"/>
      <c r="CF200" s="528">
        <f>C200</f>
        <v/>
      </c>
      <c r="CG200" s="528">
        <f>CH200*10000</f>
        <v/>
      </c>
      <c r="CH200" s="528" t="n">
        <v>27.37</v>
      </c>
      <c r="CJ200" s="528" t="n"/>
      <c r="CK200" s="525" t="n"/>
      <c r="CL200" s="524" t="n"/>
      <c r="CM200" s="551" t="n"/>
      <c r="CN200" s="522">
        <f>C200</f>
        <v/>
      </c>
      <c r="CO200" s="522">
        <f>CP200*10000</f>
        <v/>
      </c>
      <c r="CP200" s="522" t="n">
        <v>0.41</v>
      </c>
      <c r="CR200" s="525" t="n"/>
      <c r="CS200" s="19" t="n"/>
      <c r="CT200" s="19" t="n"/>
      <c r="CV200" s="5">
        <f>C200</f>
        <v/>
      </c>
      <c r="CZ200" s="19" t="n"/>
      <c r="DA200" s="19" t="n"/>
      <c r="DB200" s="19" t="n"/>
      <c r="DC200" s="23" t="n"/>
      <c r="DD200" s="5">
        <f>C200</f>
        <v/>
      </c>
      <c r="DH200" s="19" t="n"/>
      <c r="DI200" s="19" t="n"/>
      <c r="DJ200" s="19" t="n"/>
      <c r="DK200" s="551" t="n"/>
      <c r="DL200" s="522">
        <f>C200</f>
        <v/>
      </c>
      <c r="DM200" s="522">
        <f>DN200*10000</f>
        <v/>
      </c>
      <c r="DN200" s="522" t="n">
        <v>176.69</v>
      </c>
      <c r="DP200" s="525" t="n"/>
      <c r="DQ200" s="525" t="n"/>
      <c r="DR200" s="19" t="n"/>
      <c r="DS200" s="551" t="n"/>
      <c r="DT200" s="522">
        <f>C200</f>
        <v/>
      </c>
      <c r="DU200" s="522">
        <f>DV200*10000</f>
        <v/>
      </c>
      <c r="DV200" s="522" t="n">
        <v>2.38</v>
      </c>
      <c r="DX200" s="525" t="n"/>
      <c r="DY200" s="525" t="n"/>
      <c r="DZ200" s="19" t="n"/>
      <c r="EA200" s="551" t="n"/>
      <c r="EB200" s="522">
        <f>C200</f>
        <v/>
      </c>
      <c r="EC200" s="522">
        <f>ED200*10000</f>
        <v/>
      </c>
      <c r="ED200" s="522" t="n">
        <v>507.85</v>
      </c>
      <c r="EF200" s="525" t="n"/>
      <c r="EG200" s="525" t="n"/>
      <c r="EH200" s="19" t="n"/>
      <c r="EI200" s="551" t="n"/>
      <c r="EJ200" s="522">
        <f>C200</f>
        <v/>
      </c>
      <c r="EK200" s="522">
        <f>EL200*10000</f>
        <v/>
      </c>
      <c r="EL200" s="522" t="n">
        <v>20.5</v>
      </c>
      <c r="EN200" s="525" t="n"/>
      <c r="EO200" s="525" t="n"/>
      <c r="EP200" s="19" t="n"/>
      <c r="EQ200" s="19" t="n"/>
      <c r="ER200" s="5">
        <f>C200</f>
        <v/>
      </c>
      <c r="ES200" s="19" t="n"/>
      <c r="ET200" s="19" t="n"/>
      <c r="EU200" s="19" t="n"/>
      <c r="EV200" s="19" t="n"/>
      <c r="EW200" s="19" t="n"/>
      <c r="EX200" s="19" t="n"/>
      <c r="EY200" s="551" t="n"/>
      <c r="EZ200" s="522">
        <f>C200</f>
        <v/>
      </c>
      <c r="FA200" s="522">
        <f>FB200*10000</f>
        <v/>
      </c>
      <c r="FB200" s="522" t="n">
        <v>97.25</v>
      </c>
      <c r="FD200" s="525" t="n"/>
      <c r="FE200" s="525" t="n"/>
      <c r="FF200" s="19" t="n"/>
      <c r="FG200" s="19" t="n"/>
      <c r="FH200" s="5">
        <f>C200</f>
        <v/>
      </c>
      <c r="FI200" s="633" t="n"/>
      <c r="FL200" s="19" t="n"/>
      <c r="FM200" s="19" t="n"/>
      <c r="FN200" s="19" t="n"/>
      <c r="FO200" s="551" t="n"/>
      <c r="FP200" s="522">
        <f>C200</f>
        <v/>
      </c>
      <c r="FQ200" s="522">
        <f>FR200*10000</f>
        <v/>
      </c>
      <c r="FR200" s="522" t="n">
        <v>2.29</v>
      </c>
      <c r="FT200" s="525" t="n"/>
      <c r="FU200" s="525" t="n"/>
      <c r="FV200" s="19" t="n"/>
      <c r="FW200" s="551" t="n"/>
      <c r="FX200" s="522">
        <f>C200</f>
        <v/>
      </c>
      <c r="FY200" s="522">
        <f>FZ200*10000</f>
        <v/>
      </c>
      <c r="FZ200" s="522" t="n">
        <v>342.48</v>
      </c>
      <c r="GB200" s="525" t="n"/>
      <c r="GC200" s="525" t="n"/>
      <c r="GD200" s="19" t="n"/>
      <c r="GE200" s="551" t="n"/>
      <c r="GF200" s="522">
        <f>C200</f>
        <v/>
      </c>
      <c r="GG200" s="522">
        <f>GH200*10000</f>
        <v/>
      </c>
      <c r="GH200" s="522" t="n">
        <v>269.25</v>
      </c>
      <c r="GJ200" s="525" t="n"/>
      <c r="GK200" s="525" t="n"/>
      <c r="GL200" s="19" t="n"/>
      <c r="GM200" s="551" t="n"/>
      <c r="GN200" s="522">
        <f>C200</f>
        <v/>
      </c>
      <c r="GO200" s="522">
        <f>GP200*10000</f>
        <v/>
      </c>
      <c r="GP200" s="522" t="n">
        <v>43.16</v>
      </c>
      <c r="GR200" s="525" t="n"/>
      <c r="GS200" s="525" t="n"/>
      <c r="GT200" s="19" t="n"/>
      <c r="GU200" s="551" t="n"/>
      <c r="GV200" s="522">
        <f>C200</f>
        <v/>
      </c>
      <c r="GW200" s="522">
        <f>GX200*10000</f>
        <v/>
      </c>
      <c r="GX200" s="522" t="n">
        <v>99.91</v>
      </c>
      <c r="GZ200" s="525">
        <f>(GW200-GW201)/GW201</f>
        <v/>
      </c>
      <c r="HA200" s="525" t="n"/>
      <c r="HB200" s="19" t="n"/>
      <c r="HC200" s="551" t="n"/>
      <c r="HD200" s="522">
        <f>C200</f>
        <v/>
      </c>
      <c r="HE200" s="522">
        <f>HF200*10000</f>
        <v/>
      </c>
      <c r="HF200" s="522" t="n">
        <v>25.14</v>
      </c>
      <c r="HH200" s="525" t="n"/>
      <c r="HI200" s="524" t="n"/>
      <c r="HJ200" s="19" t="n"/>
      <c r="HK200" s="551" t="n"/>
      <c r="HL200" s="522">
        <f>C200</f>
        <v/>
      </c>
      <c r="HM200" s="522">
        <f>HN200*10000</f>
        <v/>
      </c>
      <c r="HN200" s="522" t="n">
        <v>69.18000000000001</v>
      </c>
      <c r="HP200" s="525" t="n"/>
      <c r="HQ200" s="525" t="n"/>
      <c r="HR200" s="19" t="n"/>
      <c r="HS200" s="551" t="n"/>
      <c r="HT200" s="522">
        <f>C200</f>
        <v/>
      </c>
      <c r="HU200" s="522">
        <f>HV200*10000</f>
        <v/>
      </c>
      <c r="HV200" s="522" t="n">
        <v>9.59</v>
      </c>
      <c r="HX200" s="525" t="n"/>
      <c r="HY200" s="525" t="n"/>
      <c r="HZ200" s="19" t="n"/>
      <c r="IA200" s="551" t="n"/>
      <c r="IB200" s="522">
        <f>C200</f>
        <v/>
      </c>
      <c r="IC200" s="522">
        <f>ID200*10000</f>
        <v/>
      </c>
      <c r="ID200" s="522" t="n">
        <v>59.49</v>
      </c>
      <c r="IF200" s="528" t="n"/>
      <c r="IG200" s="525" t="n"/>
      <c r="IH200" s="19" t="n"/>
      <c r="II200" s="551" t="n"/>
      <c r="IJ200" s="522">
        <f>C200</f>
        <v/>
      </c>
      <c r="IK200" s="522">
        <f>IL200*10000</f>
        <v/>
      </c>
      <c r="IL200" s="522" t="n">
        <v>18.14</v>
      </c>
      <c r="IN200" s="525" t="n"/>
      <c r="IO200" s="525" t="n"/>
      <c r="IP200" s="19" t="n"/>
      <c r="IQ200" s="551" t="n"/>
      <c r="IR200" s="522">
        <f>C200</f>
        <v/>
      </c>
      <c r="IS200" s="522">
        <f>IT200*10000</f>
        <v/>
      </c>
      <c r="IT200" s="522" t="n">
        <v>2.88</v>
      </c>
      <c r="IV200" s="525" t="n"/>
      <c r="IW200" s="525" t="n"/>
      <c r="IX200" s="19" t="n"/>
      <c r="IY200" s="551" t="n"/>
      <c r="IZ200" s="522">
        <f>C200</f>
        <v/>
      </c>
      <c r="JA200" s="522">
        <f>JB200*10000</f>
        <v/>
      </c>
      <c r="JB200" s="522" t="n">
        <v>341.95</v>
      </c>
      <c r="JD200" s="525" t="n"/>
      <c r="JE200" s="525" t="n"/>
      <c r="JF200" s="19" t="n"/>
      <c r="JG200" s="551" t="n"/>
      <c r="JH200" s="522">
        <f>C200</f>
        <v/>
      </c>
      <c r="JI200" s="522">
        <f>JJ200*10000</f>
        <v/>
      </c>
      <c r="JJ200" s="522" t="n">
        <v>62.19</v>
      </c>
      <c r="JL200" s="525" t="n"/>
      <c r="JM200" s="525" t="n"/>
      <c r="JN200" s="525" t="n"/>
      <c r="JO200" s="19" t="n"/>
      <c r="JP200" s="522">
        <f>C200</f>
        <v/>
      </c>
      <c r="JQ200" s="522">
        <f>JR200*10000</f>
        <v/>
      </c>
      <c r="JR200" s="522" t="n">
        <v>1.64</v>
      </c>
      <c r="JT200" s="525" t="n"/>
      <c r="JU200" s="525" t="n"/>
      <c r="JV200" s="525" t="n"/>
      <c r="JW200" s="525" t="n"/>
      <c r="JX200" s="522">
        <f>C200</f>
        <v/>
      </c>
      <c r="JY200" s="522">
        <f>JZ200*10000</f>
        <v/>
      </c>
      <c r="JZ200" s="522" t="n">
        <v>10.5</v>
      </c>
      <c r="KB200" s="525" t="n"/>
      <c r="KC200" s="525" t="n"/>
      <c r="KD200" s="525" t="n"/>
      <c r="KE200" s="525" t="n"/>
      <c r="KF200" s="522">
        <f>C200</f>
        <v/>
      </c>
      <c r="KG200" s="551" t="n"/>
      <c r="KH200" s="551" t="n"/>
      <c r="KI200" s="528" t="n"/>
      <c r="KJ200" s="552" t="n"/>
      <c r="KK200" s="524" t="n"/>
      <c r="KL200" s="524" t="n"/>
      <c r="KM200" s="551" t="n"/>
      <c r="KN200" s="522">
        <f>C200</f>
        <v/>
      </c>
      <c r="KO200" s="522">
        <f>KP200*10000</f>
        <v/>
      </c>
      <c r="KP200" s="522" t="n">
        <v>307.3</v>
      </c>
      <c r="KR200" s="525" t="n"/>
      <c r="KS200" s="525" t="n"/>
      <c r="KT200" s="19" t="n"/>
      <c r="KV200" s="5">
        <f>C200</f>
        <v/>
      </c>
      <c r="KZ200" s="19" t="n"/>
      <c r="LA200" s="19" t="n"/>
      <c r="LB200" s="19" t="n"/>
      <c r="LC200" s="551" t="n"/>
      <c r="LD200" s="522">
        <f>C200</f>
        <v/>
      </c>
      <c r="LE200" s="522">
        <f>LF200*10000</f>
        <v/>
      </c>
      <c r="LF200" s="522" t="n">
        <v>18.61</v>
      </c>
      <c r="LH200" s="525" t="n"/>
      <c r="LI200" s="525" t="n"/>
      <c r="LJ200" s="19" t="n"/>
      <c r="LK200" s="551" t="n"/>
      <c r="LL200" s="522">
        <f>C200</f>
        <v/>
      </c>
      <c r="LM200" s="715">
        <f>LN200*10000</f>
        <v/>
      </c>
      <c r="LN200" s="522" t="n">
        <v>104.08</v>
      </c>
      <c r="LP200" s="525" t="n"/>
      <c r="LQ200" s="525" t="n"/>
      <c r="LR200" s="19" t="n"/>
      <c r="LS200" s="551" t="n"/>
      <c r="LT200" s="522">
        <f>C200</f>
        <v/>
      </c>
      <c r="LU200" s="522">
        <f>LV200*10000</f>
        <v/>
      </c>
      <c r="LV200" s="522" t="n">
        <v>105.05</v>
      </c>
      <c r="LX200" s="525" t="n"/>
      <c r="LY200" s="525" t="n"/>
      <c r="LZ200" s="19" t="n"/>
      <c r="MA200" s="551" t="n"/>
      <c r="MB200" s="522">
        <f>C200</f>
        <v/>
      </c>
      <c r="MC200" s="522">
        <f>MD200*10000</f>
        <v/>
      </c>
      <c r="MD200" s="522" t="n">
        <v>17.53</v>
      </c>
      <c r="MF200" s="525" t="n"/>
      <c r="MG200" s="525" t="n"/>
      <c r="MH200" s="19" t="n"/>
      <c r="MK200" s="5">
        <f>C200</f>
        <v/>
      </c>
      <c r="MM200" s="24" t="n"/>
      <c r="MO200" s="19" t="n"/>
      <c r="MP200" s="19" t="n"/>
      <c r="MQ200" s="19" t="n"/>
      <c r="MR200" s="19" t="n"/>
      <c r="MS200" s="19" t="n"/>
      <c r="MT200" s="25">
        <f>C200</f>
        <v/>
      </c>
      <c r="MX200" s="19" t="n"/>
      <c r="MY200" s="19" t="n"/>
      <c r="MZ200" s="19" t="n"/>
      <c r="NA200" s="19" t="n"/>
      <c r="NB200" s="19" t="n"/>
      <c r="NC200" s="5">
        <f>C200</f>
        <v/>
      </c>
      <c r="NG200" s="19" t="n"/>
      <c r="NH200" s="19" t="n"/>
      <c r="NI200" s="19" t="n"/>
      <c r="NJ200" s="19" t="n"/>
      <c r="NK200" s="19" t="n"/>
      <c r="NM200" s="5">
        <f>C200</f>
        <v/>
      </c>
      <c r="NQ200" s="19" t="n"/>
      <c r="NR200" s="19" t="n"/>
      <c r="NU200" s="5">
        <f>C200</f>
        <v/>
      </c>
      <c r="NY200" s="19" t="n"/>
      <c r="NZ200" s="19" t="n"/>
      <c r="OC200" s="5">
        <f>C200</f>
        <v/>
      </c>
      <c r="OG200" s="19" t="n"/>
      <c r="OH200" s="19" t="n"/>
      <c r="OI200" s="19" t="n"/>
      <c r="OK200" s="5">
        <f>C200</f>
        <v/>
      </c>
      <c r="OO200" s="19" t="n"/>
      <c r="OP200" s="19" t="n"/>
      <c r="OQ200" s="19" t="n"/>
      <c r="OT200" s="25">
        <f>OK200</f>
        <v/>
      </c>
      <c r="OX200" s="19" t="n"/>
    </row>
    <row r="201" ht="21" customFormat="1" customHeight="1" s="5">
      <c r="A201" s="631" t="n"/>
      <c r="B201" s="631" t="n"/>
      <c r="C201" s="714" t="inlineStr">
        <is>
          <t>2025//4//9</t>
        </is>
      </c>
      <c r="D201" s="521" t="n">
        <v>9523308.77</v>
      </c>
      <c r="E201" s="522">
        <f>D202</f>
        <v/>
      </c>
      <c r="F201" s="523">
        <f>D201-E201</f>
        <v/>
      </c>
      <c r="G201" s="524">
        <f>F201/E201</f>
        <v/>
      </c>
      <c r="H201" s="525" t="n"/>
      <c r="I201" s="526" t="n"/>
      <c r="J201" s="526" t="n"/>
      <c r="K201" s="522">
        <f>C201</f>
        <v/>
      </c>
      <c r="L201" s="527" t="n">
        <v>6796144.4</v>
      </c>
      <c r="M201" s="522">
        <f>L202</f>
        <v/>
      </c>
      <c r="N201" s="523">
        <f>L201-M201</f>
        <v/>
      </c>
      <c r="O201" s="525">
        <f>N201/M201</f>
        <v/>
      </c>
      <c r="P201" s="525" t="n"/>
      <c r="Q201" s="526" t="n"/>
      <c r="R201" s="523" t="n"/>
      <c r="S201" s="522">
        <f>C201</f>
        <v/>
      </c>
      <c r="T201" s="527" t="n">
        <v>5747286.68</v>
      </c>
      <c r="U201" s="522">
        <f>T202</f>
        <v/>
      </c>
      <c r="V201" s="523">
        <f>T201-U201</f>
        <v/>
      </c>
      <c r="W201" s="525">
        <f>V201/T201</f>
        <v/>
      </c>
      <c r="X201" s="525" t="n"/>
      <c r="Y201" s="526" t="n"/>
      <c r="Z201" s="523" t="n"/>
      <c r="AA201" s="522">
        <f>S201</f>
        <v/>
      </c>
      <c r="AB201" s="521" t="n"/>
      <c r="AC201" s="522" t="n"/>
      <c r="AD201" s="523" t="n"/>
      <c r="AE201" s="528" t="n"/>
      <c r="AF201" s="525" t="n"/>
      <c r="AG201" s="526" t="n"/>
      <c r="AH201" s="523" t="n"/>
      <c r="AI201" s="522">
        <f>C201</f>
        <v/>
      </c>
      <c r="AJ201" s="527" t="n">
        <v>2640921.76</v>
      </c>
      <c r="AK201" s="522">
        <f>AJ202</f>
        <v/>
      </c>
      <c r="AL201" s="571">
        <f>(AJ201-AK201)/AK201</f>
        <v/>
      </c>
      <c r="AM201" s="528" t="n"/>
      <c r="AN201" s="525" t="n"/>
      <c r="AO201" s="526" t="n"/>
      <c r="AP201" s="522" t="n"/>
      <c r="AQ201" s="522">
        <f>C201</f>
        <v/>
      </c>
      <c r="AR201" s="715" t="n"/>
      <c r="AS201" s="522" t="n"/>
      <c r="AT201" s="526" t="n"/>
      <c r="AU201" s="523" t="n"/>
      <c r="AV201" s="526" t="n"/>
      <c r="AW201" s="526" t="n"/>
      <c r="AX201" s="523" t="n"/>
      <c r="AY201" s="523" t="n"/>
      <c r="AZ201" s="523">
        <f>C201</f>
        <v/>
      </c>
      <c r="BA201" s="523" t="n"/>
      <c r="BB201" s="523" t="n"/>
      <c r="BC201" s="523" t="n"/>
      <c r="BD201" s="526" t="n"/>
      <c r="BE201" s="526" t="n"/>
      <c r="BF201" s="526" t="n"/>
      <c r="BG201" s="631" t="n"/>
      <c r="BH201" s="5">
        <f>C201</f>
        <v/>
      </c>
      <c r="BL201" s="19" t="n"/>
      <c r="BM201" s="19" t="n"/>
      <c r="BN201" s="19" t="n"/>
      <c r="BO201" s="551" t="n"/>
      <c r="BP201" s="522">
        <f>C201</f>
        <v/>
      </c>
      <c r="BQ201" s="715">
        <f>BR201*10000</f>
        <v/>
      </c>
      <c r="BR201" s="522" t="n">
        <v>3.4</v>
      </c>
      <c r="BT201" s="525" t="n"/>
      <c r="BU201" s="525" t="n"/>
      <c r="BV201" s="19" t="n"/>
      <c r="BW201" s="551" t="n"/>
      <c r="BX201" s="522">
        <f>C201</f>
        <v/>
      </c>
      <c r="BY201" s="522">
        <f>BZ201*10000</f>
        <v/>
      </c>
      <c r="BZ201" s="522" t="n">
        <v>11.81</v>
      </c>
      <c r="CB201" s="525" t="n"/>
      <c r="CC201" s="525" t="n"/>
      <c r="CD201" s="19" t="n"/>
      <c r="CE201" s="552" t="n"/>
      <c r="CF201" s="528">
        <f>C201</f>
        <v/>
      </c>
      <c r="CG201" s="528">
        <f>CH201*10000</f>
        <v/>
      </c>
      <c r="CH201" s="528" t="n">
        <v>25.36</v>
      </c>
      <c r="CJ201" s="528" t="n"/>
      <c r="CK201" s="525" t="n"/>
      <c r="CL201" s="524" t="n"/>
      <c r="CM201" s="551" t="n"/>
      <c r="CN201" s="522">
        <f>C201</f>
        <v/>
      </c>
      <c r="CO201" s="522">
        <f>CP201*10000</f>
        <v/>
      </c>
      <c r="CP201" s="522" t="n">
        <v>0.29</v>
      </c>
      <c r="CR201" s="525" t="n"/>
      <c r="CS201" s="19" t="n"/>
      <c r="CT201" s="19" t="n"/>
      <c r="CV201" s="5">
        <f>C201</f>
        <v/>
      </c>
      <c r="CZ201" s="19" t="n"/>
      <c r="DA201" s="19" t="n"/>
      <c r="DB201" s="19" t="n"/>
      <c r="DC201" s="23" t="n"/>
      <c r="DD201" s="5">
        <f>C201</f>
        <v/>
      </c>
      <c r="DH201" s="19" t="n"/>
      <c r="DI201" s="19" t="n"/>
      <c r="DJ201" s="19" t="n"/>
      <c r="DK201" s="551" t="n"/>
      <c r="DL201" s="522">
        <f>C201</f>
        <v/>
      </c>
      <c r="DM201" s="522">
        <f>DN201*10000</f>
        <v/>
      </c>
      <c r="DN201" s="522" t="n">
        <v>149.31</v>
      </c>
      <c r="DP201" s="525" t="n"/>
      <c r="DQ201" s="525" t="n"/>
      <c r="DR201" s="19" t="n"/>
      <c r="DT201" s="5">
        <f>C201</f>
        <v/>
      </c>
      <c r="DX201" s="19" t="n"/>
      <c r="DY201" s="19" t="n"/>
      <c r="DZ201" s="19" t="n"/>
      <c r="EA201" s="551" t="n"/>
      <c r="EB201" s="522">
        <f>C201</f>
        <v/>
      </c>
      <c r="EC201" s="522">
        <f>ED201*10000</f>
        <v/>
      </c>
      <c r="ED201" s="522" t="n">
        <v>298.96</v>
      </c>
      <c r="EF201" s="525" t="n"/>
      <c r="EG201" s="525" t="n"/>
      <c r="EH201" s="19" t="n"/>
      <c r="EI201" s="551" t="n"/>
      <c r="EJ201" s="522">
        <f>C201</f>
        <v/>
      </c>
      <c r="EK201" s="522">
        <f>EL201*10000</f>
        <v/>
      </c>
      <c r="EL201" s="522" t="n">
        <v>21.18</v>
      </c>
      <c r="EN201" s="525" t="n"/>
      <c r="EO201" s="525" t="n"/>
      <c r="EP201" s="19" t="n"/>
      <c r="EQ201" s="19" t="n"/>
      <c r="ER201" s="5">
        <f>C201</f>
        <v/>
      </c>
      <c r="ES201" s="19" t="n"/>
      <c r="ET201" s="19" t="n"/>
      <c r="EU201" s="19" t="n"/>
      <c r="EV201" s="19" t="n"/>
      <c r="EW201" s="19" t="n"/>
      <c r="EX201" s="19" t="n"/>
      <c r="EY201" s="551" t="n"/>
      <c r="EZ201" s="522">
        <f>C201</f>
        <v/>
      </c>
      <c r="FA201" s="522">
        <f>FB201*10000</f>
        <v/>
      </c>
      <c r="FB201" s="522" t="n">
        <v>97.47</v>
      </c>
      <c r="FD201" s="525" t="n"/>
      <c r="FE201" s="525" t="n"/>
      <c r="FF201" s="19" t="n"/>
      <c r="FG201" s="19" t="n"/>
      <c r="FH201" s="5">
        <f>C201</f>
        <v/>
      </c>
      <c r="FI201" s="633" t="n"/>
      <c r="FL201" s="19" t="n"/>
      <c r="FM201" s="19" t="n"/>
      <c r="FN201" s="19" t="n"/>
      <c r="FO201" s="551" t="n"/>
      <c r="FP201" s="522">
        <f>C201</f>
        <v/>
      </c>
      <c r="FQ201" s="522">
        <f>FR201*10000</f>
        <v/>
      </c>
      <c r="FR201" s="522" t="n">
        <v>2.29</v>
      </c>
      <c r="FT201" s="525" t="n"/>
      <c r="FU201" s="525" t="n"/>
      <c r="FV201" s="19" t="n"/>
      <c r="FW201" s="551" t="n"/>
      <c r="FX201" s="522">
        <f>C201</f>
        <v/>
      </c>
      <c r="FY201" s="522">
        <f>FZ201*10000</f>
        <v/>
      </c>
      <c r="FZ201" s="522" t="n">
        <v>336.63</v>
      </c>
      <c r="GB201" s="525" t="n"/>
      <c r="GC201" s="525" t="n"/>
      <c r="GD201" s="19" t="n"/>
      <c r="GE201" s="551" t="n"/>
      <c r="GF201" s="522">
        <f>C201</f>
        <v/>
      </c>
      <c r="GG201" s="522">
        <f>GH201*10000</f>
        <v/>
      </c>
      <c r="GH201" s="522" t="n">
        <v>249.39</v>
      </c>
      <c r="GJ201" s="525" t="n"/>
      <c r="GK201" s="525" t="n"/>
      <c r="GL201" s="19" t="n"/>
      <c r="GM201" s="551" t="n"/>
      <c r="GN201" s="522">
        <f>C201</f>
        <v/>
      </c>
      <c r="GO201" s="522">
        <f>GP201*10000</f>
        <v/>
      </c>
      <c r="GP201" s="522" t="n">
        <v>51.01</v>
      </c>
      <c r="GR201" s="525" t="n"/>
      <c r="GS201" s="525" t="n"/>
      <c r="GT201" s="19" t="n"/>
      <c r="GU201" s="551" t="n"/>
      <c r="GV201" s="522">
        <f>C201</f>
        <v/>
      </c>
      <c r="GW201" s="522">
        <f>GX201*10000</f>
        <v/>
      </c>
      <c r="GX201" s="522" t="n">
        <v>87.42</v>
      </c>
      <c r="GZ201" s="525">
        <f>(GW201-GW202)/GW202</f>
        <v/>
      </c>
      <c r="HA201" s="525" t="n"/>
      <c r="HB201" s="19" t="n"/>
      <c r="HC201" s="551" t="n"/>
      <c r="HD201" s="522">
        <f>C201</f>
        <v/>
      </c>
      <c r="HE201" s="522">
        <f>HF201*10000</f>
        <v/>
      </c>
      <c r="HF201" s="522" t="n">
        <v>21.43</v>
      </c>
      <c r="HH201" s="525" t="n"/>
      <c r="HI201" s="524" t="n"/>
      <c r="HJ201" s="19" t="n"/>
      <c r="HK201" s="551" t="n"/>
      <c r="HL201" s="522">
        <f>C201</f>
        <v/>
      </c>
      <c r="HM201" s="522">
        <f>HN201*10000</f>
        <v/>
      </c>
      <c r="HN201" s="522" t="n">
        <v>86.47</v>
      </c>
      <c r="HP201" s="525" t="n"/>
      <c r="HQ201" s="525" t="n"/>
      <c r="HR201" s="19" t="n"/>
      <c r="HS201" s="551" t="n"/>
      <c r="HT201" s="522">
        <f>C201</f>
        <v/>
      </c>
      <c r="HU201" s="522">
        <f>HV201*10000</f>
        <v/>
      </c>
      <c r="HV201" s="522" t="n">
        <v>10.54</v>
      </c>
      <c r="HX201" s="525" t="n"/>
      <c r="HY201" s="525" t="n"/>
      <c r="HZ201" s="19" t="n"/>
      <c r="IA201" s="551" t="n"/>
      <c r="IB201" s="522">
        <f>C201</f>
        <v/>
      </c>
      <c r="IC201" s="522">
        <f>ID201*10000</f>
        <v/>
      </c>
      <c r="ID201" s="522" t="n">
        <v>48.09</v>
      </c>
      <c r="IF201" s="528" t="n"/>
      <c r="IG201" s="525" t="n"/>
      <c r="IH201" s="19" t="n"/>
      <c r="II201" s="551" t="n"/>
      <c r="IJ201" s="522">
        <f>C201</f>
        <v/>
      </c>
      <c r="IK201" s="522">
        <f>IL201*10000</f>
        <v/>
      </c>
      <c r="IL201" s="522" t="n">
        <v>19.65</v>
      </c>
      <c r="IN201" s="525" t="n"/>
      <c r="IO201" s="525" t="n"/>
      <c r="IP201" s="19" t="n"/>
      <c r="IQ201" s="551" t="n"/>
      <c r="IR201" s="522">
        <f>C201</f>
        <v/>
      </c>
      <c r="IS201" s="522">
        <f>IT201*10000</f>
        <v/>
      </c>
      <c r="IT201" s="522" t="n">
        <v>2.52</v>
      </c>
      <c r="IV201" s="525" t="n"/>
      <c r="IW201" s="525" t="n"/>
      <c r="IX201" s="19" t="n"/>
      <c r="IY201" s="551" t="n"/>
      <c r="IZ201" s="522">
        <f>C201</f>
        <v/>
      </c>
      <c r="JA201" s="522">
        <f>JB201*10000</f>
        <v/>
      </c>
      <c r="JB201" s="522" t="n">
        <v>353.97</v>
      </c>
      <c r="JD201" s="525" t="n"/>
      <c r="JE201" s="525" t="n"/>
      <c r="JF201" s="19" t="n"/>
      <c r="JG201" s="551" t="n"/>
      <c r="JH201" s="522">
        <f>C201</f>
        <v/>
      </c>
      <c r="JI201" s="522">
        <f>JJ201*10000</f>
        <v/>
      </c>
      <c r="JJ201" s="522" t="n">
        <v>69.23999999999999</v>
      </c>
      <c r="JL201" s="525" t="n"/>
      <c r="JM201" s="525" t="n"/>
      <c r="JN201" s="525" t="n"/>
      <c r="JO201" s="19" t="n"/>
      <c r="JP201" s="522">
        <f>C201</f>
        <v/>
      </c>
      <c r="JQ201" s="522">
        <f>JR201*10000</f>
        <v/>
      </c>
      <c r="JR201" s="522" t="n">
        <v>2.04</v>
      </c>
      <c r="JT201" s="525" t="n"/>
      <c r="JU201" s="525" t="n"/>
      <c r="JV201" s="525" t="n"/>
      <c r="JW201" s="525" t="n"/>
      <c r="JX201" s="522">
        <f>C201</f>
        <v/>
      </c>
      <c r="JY201" s="522">
        <f>JZ201*10000</f>
        <v/>
      </c>
      <c r="JZ201" s="522" t="n">
        <v>11.33</v>
      </c>
      <c r="KB201" s="525" t="n"/>
      <c r="KC201" s="525" t="n"/>
      <c r="KD201" s="525" t="n"/>
      <c r="KE201" s="525" t="n"/>
      <c r="KF201" s="522">
        <f>C201</f>
        <v/>
      </c>
      <c r="KG201" s="551" t="n"/>
      <c r="KH201" s="551" t="n"/>
      <c r="KI201" s="528" t="n"/>
      <c r="KJ201" s="552" t="n"/>
      <c r="KK201" s="524" t="n"/>
      <c r="KL201" s="524" t="n"/>
      <c r="KM201" s="551" t="n"/>
      <c r="KN201" s="522">
        <f>C201</f>
        <v/>
      </c>
      <c r="KO201" s="522">
        <f>KP201*10000</f>
        <v/>
      </c>
      <c r="KP201" s="522" t="n">
        <v>222.78</v>
      </c>
      <c r="KR201" s="525" t="n"/>
      <c r="KS201" s="525" t="n"/>
      <c r="KT201" s="19" t="n"/>
      <c r="KV201" s="5">
        <f>C201</f>
        <v/>
      </c>
      <c r="KZ201" s="19" t="n"/>
      <c r="LA201" s="19" t="n"/>
      <c r="LB201" s="19" t="n"/>
      <c r="LC201" s="551" t="n"/>
      <c r="LD201" s="522">
        <f>C201</f>
        <v/>
      </c>
      <c r="LE201" s="522">
        <f>LF201*10000</f>
        <v/>
      </c>
      <c r="LF201" s="522" t="n">
        <v>17.5</v>
      </c>
      <c r="LH201" s="525" t="n"/>
      <c r="LI201" s="525" t="n"/>
      <c r="LJ201" s="19" t="n"/>
      <c r="LK201" s="551" t="n"/>
      <c r="LL201" s="522">
        <f>C201</f>
        <v/>
      </c>
      <c r="LM201" s="715">
        <f>LN201*10000</f>
        <v/>
      </c>
      <c r="LN201" s="522" t="n">
        <v>124.05</v>
      </c>
      <c r="LP201" s="525" t="n"/>
      <c r="LQ201" s="525" t="n"/>
      <c r="LR201" s="19" t="n"/>
      <c r="LS201" s="551" t="n"/>
      <c r="LT201" s="522">
        <f>C201</f>
        <v/>
      </c>
      <c r="LU201" s="522">
        <f>LV201*10000</f>
        <v/>
      </c>
      <c r="LV201" s="522" t="n">
        <v>99.37</v>
      </c>
      <c r="LX201" s="525" t="n"/>
      <c r="LY201" s="525" t="n"/>
      <c r="LZ201" s="19" t="n"/>
      <c r="MA201" s="551" t="n"/>
      <c r="MB201" s="522">
        <f>C201</f>
        <v/>
      </c>
      <c r="MC201" s="522">
        <f>MD201*10000</f>
        <v/>
      </c>
      <c r="MD201" s="522" t="n">
        <v>21.24</v>
      </c>
      <c r="MF201" s="525" t="n"/>
      <c r="MG201" s="525" t="n"/>
      <c r="MH201" s="19" t="n"/>
      <c r="MK201" s="5">
        <f>C201</f>
        <v/>
      </c>
      <c r="MM201" s="24" t="n"/>
      <c r="MO201" s="19" t="n"/>
      <c r="MP201" s="19" t="n"/>
      <c r="MQ201" s="19" t="n"/>
      <c r="MR201" s="19" t="n"/>
      <c r="MS201" s="19" t="n"/>
      <c r="MT201" s="25">
        <f>C201</f>
        <v/>
      </c>
      <c r="MX201" s="19" t="n"/>
      <c r="MY201" s="19" t="n"/>
      <c r="MZ201" s="19" t="n"/>
      <c r="NA201" s="19" t="n"/>
      <c r="NB201" s="19" t="n"/>
      <c r="NC201" s="5">
        <f>C201</f>
        <v/>
      </c>
      <c r="NG201" s="19" t="n"/>
      <c r="NH201" s="19" t="n"/>
      <c r="NI201" s="19" t="n"/>
      <c r="NJ201" s="19" t="n"/>
      <c r="NK201" s="19" t="n"/>
      <c r="NM201" s="5">
        <f>C201</f>
        <v/>
      </c>
      <c r="NQ201" s="19" t="n"/>
      <c r="NR201" s="19" t="n"/>
      <c r="NU201" s="5">
        <f>C201</f>
        <v/>
      </c>
      <c r="NY201" s="19" t="n"/>
      <c r="NZ201" s="19" t="n"/>
      <c r="OC201" s="5">
        <f>C201</f>
        <v/>
      </c>
      <c r="OG201" s="19" t="n"/>
      <c r="OH201" s="19" t="n"/>
      <c r="OI201" s="19" t="n"/>
      <c r="OK201" s="5">
        <f>C201</f>
        <v/>
      </c>
      <c r="OO201" s="19" t="n"/>
      <c r="OP201" s="19" t="n"/>
      <c r="OQ201" s="19" t="n"/>
      <c r="OT201" s="25">
        <f>OK201</f>
        <v/>
      </c>
      <c r="OX201" s="19" t="n"/>
    </row>
    <row r="202" ht="21" customFormat="1" customHeight="1" s="5">
      <c r="A202" s="631" t="n"/>
      <c r="B202" s="631" t="n"/>
      <c r="C202" s="714" t="inlineStr">
        <is>
          <t>2025//4//8</t>
        </is>
      </c>
      <c r="D202" s="521" t="n">
        <v>9475698.77</v>
      </c>
      <c r="E202" s="522">
        <f>D203</f>
        <v/>
      </c>
      <c r="F202" s="523">
        <f>D202-E202</f>
        <v/>
      </c>
      <c r="G202" s="524">
        <f>F202/E202</f>
        <v/>
      </c>
      <c r="H202" s="525" t="n"/>
      <c r="I202" s="526" t="n"/>
      <c r="J202" s="526" t="n"/>
      <c r="K202" s="522">
        <f>C202</f>
        <v/>
      </c>
      <c r="L202" s="527" t="n">
        <v>6752404.4</v>
      </c>
      <c r="M202" s="522">
        <f>L203</f>
        <v/>
      </c>
      <c r="N202" s="523">
        <f>L202-M202</f>
        <v/>
      </c>
      <c r="O202" s="525">
        <f>N202/M202</f>
        <v/>
      </c>
      <c r="P202" s="525" t="n"/>
      <c r="Q202" s="526" t="n"/>
      <c r="R202" s="523" t="n"/>
      <c r="S202" s="522">
        <f>C202</f>
        <v/>
      </c>
      <c r="T202" s="527" t="n">
        <v>5701566.68</v>
      </c>
      <c r="U202" s="522">
        <f>T203</f>
        <v/>
      </c>
      <c r="V202" s="523">
        <f>T202-U202</f>
        <v/>
      </c>
      <c r="W202" s="525">
        <f>V202/T202</f>
        <v/>
      </c>
      <c r="X202" s="525" t="n"/>
      <c r="Y202" s="526" t="n"/>
      <c r="Z202" s="523" t="n"/>
      <c r="AA202" s="522">
        <f>S202</f>
        <v/>
      </c>
      <c r="AB202" s="521" t="n"/>
      <c r="AC202" s="522" t="n"/>
      <c r="AD202" s="523" t="n"/>
      <c r="AE202" s="528" t="n"/>
      <c r="AF202" s="525" t="n"/>
      <c r="AG202" s="526" t="n"/>
      <c r="AH202" s="523" t="n"/>
      <c r="AI202" s="522">
        <f>C202</f>
        <v/>
      </c>
      <c r="AJ202" s="527" t="n">
        <v>2638321.76</v>
      </c>
      <c r="AK202" s="522">
        <f>AJ203</f>
        <v/>
      </c>
      <c r="AL202" s="571">
        <f>(AJ202-AK202)/AK202</f>
        <v/>
      </c>
      <c r="AM202" s="528" t="n"/>
      <c r="AN202" s="525" t="n"/>
      <c r="AO202" s="526" t="n"/>
      <c r="AP202" s="522" t="n"/>
      <c r="AQ202" s="522">
        <f>C202</f>
        <v/>
      </c>
      <c r="AR202" s="715" t="n"/>
      <c r="AS202" s="522" t="n"/>
      <c r="AT202" s="526" t="n"/>
      <c r="AU202" s="523" t="n"/>
      <c r="AV202" s="526" t="n"/>
      <c r="AW202" s="526" t="n"/>
      <c r="AX202" s="523" t="n"/>
      <c r="AY202" s="523" t="n"/>
      <c r="AZ202" s="523">
        <f>C202</f>
        <v/>
      </c>
      <c r="BA202" s="523" t="n"/>
      <c r="BB202" s="523" t="n"/>
      <c r="BC202" s="523" t="n"/>
      <c r="BD202" s="526" t="n"/>
      <c r="BE202" s="526" t="n"/>
      <c r="BF202" s="526" t="n"/>
      <c r="BG202" s="631" t="n"/>
      <c r="BH202" s="5">
        <f>C202</f>
        <v/>
      </c>
      <c r="BL202" s="19" t="n"/>
      <c r="BM202" s="19" t="n"/>
      <c r="BN202" s="19" t="n"/>
      <c r="BO202" s="551" t="n"/>
      <c r="BP202" s="522">
        <f>C202</f>
        <v/>
      </c>
      <c r="BQ202" s="715">
        <f>BR202*10000</f>
        <v/>
      </c>
      <c r="BR202" s="522" t="n">
        <v>3.16</v>
      </c>
      <c r="BT202" s="525" t="n"/>
      <c r="BU202" s="525" t="n"/>
      <c r="BV202" s="19" t="n"/>
      <c r="BW202" s="551" t="n"/>
      <c r="BX202" s="522">
        <f>C202</f>
        <v/>
      </c>
      <c r="BY202" s="522">
        <f>BZ202*10000</f>
        <v/>
      </c>
      <c r="BZ202" s="522" t="n">
        <v>7.4</v>
      </c>
      <c r="CB202" s="525" t="n"/>
      <c r="CC202" s="525" t="n"/>
      <c r="CD202" s="19" t="n"/>
      <c r="CE202" s="552" t="n"/>
      <c r="CF202" s="528">
        <f>C202</f>
        <v/>
      </c>
      <c r="CG202" s="528">
        <f>CH202*10000</f>
        <v/>
      </c>
      <c r="CH202" s="528" t="n">
        <v>27.24</v>
      </c>
      <c r="CJ202" s="528" t="n"/>
      <c r="CK202" s="525" t="n"/>
      <c r="CL202" s="524" t="n"/>
      <c r="CM202" s="551" t="n"/>
      <c r="CN202" s="522">
        <f>C202</f>
        <v/>
      </c>
      <c r="CO202" s="522">
        <f>CP202*10000</f>
        <v/>
      </c>
      <c r="CP202" s="522" t="n">
        <v>0.24</v>
      </c>
      <c r="CR202" s="525" t="n"/>
      <c r="CS202" s="19" t="n"/>
      <c r="CT202" s="19" t="n"/>
      <c r="CV202" s="5">
        <f>C202</f>
        <v/>
      </c>
      <c r="CZ202" s="19" t="n"/>
      <c r="DA202" s="19" t="n"/>
      <c r="DB202" s="19" t="n"/>
      <c r="DC202" s="23" t="n"/>
      <c r="DD202" s="5">
        <f>C202</f>
        <v/>
      </c>
      <c r="DH202" s="19" t="n"/>
      <c r="DI202" s="19" t="n"/>
      <c r="DJ202" s="19" t="n"/>
      <c r="DK202" s="551" t="n"/>
      <c r="DL202" s="522">
        <f>C202</f>
        <v/>
      </c>
      <c r="DM202" s="522">
        <f>DN202*10000</f>
        <v/>
      </c>
      <c r="DN202" s="522" t="n">
        <v>108.19</v>
      </c>
      <c r="DP202" s="525" t="n"/>
      <c r="DQ202" s="525" t="n"/>
      <c r="DR202" s="19" t="n"/>
      <c r="DT202" s="5">
        <f>C202</f>
        <v/>
      </c>
      <c r="DX202" s="19" t="n"/>
      <c r="DY202" s="19" t="n"/>
      <c r="DZ202" s="19" t="n"/>
      <c r="EA202" s="551" t="n"/>
      <c r="EB202" s="522">
        <f>C202</f>
        <v/>
      </c>
      <c r="EC202" s="522">
        <f>ED202*10000</f>
        <v/>
      </c>
      <c r="ED202" s="522" t="n">
        <v>244.54</v>
      </c>
      <c r="EF202" s="525" t="n"/>
      <c r="EG202" s="525" t="n"/>
      <c r="EH202" s="19" t="n"/>
      <c r="EI202" s="551" t="n"/>
      <c r="EJ202" s="522">
        <f>C202</f>
        <v/>
      </c>
      <c r="EK202" s="522">
        <f>EL202*10000</f>
        <v/>
      </c>
      <c r="EL202" s="522" t="n">
        <v>18.76</v>
      </c>
      <c r="EN202" s="525" t="n"/>
      <c r="EO202" s="525" t="n"/>
      <c r="EP202" s="19" t="n"/>
      <c r="EQ202" s="19" t="n"/>
      <c r="ER202" s="5">
        <f>C202</f>
        <v/>
      </c>
      <c r="ES202" s="19" t="n"/>
      <c r="ET202" s="19" t="n"/>
      <c r="EU202" s="19" t="n"/>
      <c r="EV202" s="19" t="n"/>
      <c r="EW202" s="19" t="n"/>
      <c r="EX202" s="19" t="n"/>
      <c r="EY202" s="551" t="n"/>
      <c r="EZ202" s="522">
        <f>C202</f>
        <v/>
      </c>
      <c r="FA202" s="522">
        <f>FB202*10000</f>
        <v/>
      </c>
      <c r="FB202" s="522" t="n">
        <v>101.56</v>
      </c>
      <c r="FD202" s="525" t="n"/>
      <c r="FE202" s="525" t="n"/>
      <c r="FF202" s="19" t="n"/>
      <c r="FG202" s="19" t="n"/>
      <c r="FH202" s="5">
        <f>C202</f>
        <v/>
      </c>
      <c r="FI202" s="633" t="n"/>
      <c r="FL202" s="19" t="n"/>
      <c r="FM202" s="19" t="n"/>
      <c r="FN202" s="19" t="n"/>
      <c r="FO202" s="551" t="n"/>
      <c r="FP202" s="522">
        <f>C202</f>
        <v/>
      </c>
      <c r="FQ202" s="522">
        <f>FR202*10000</f>
        <v/>
      </c>
      <c r="FR202" s="522" t="n">
        <v>1.6</v>
      </c>
      <c r="FT202" s="525" t="n"/>
      <c r="FU202" s="525" t="n"/>
      <c r="FV202" s="19" t="n"/>
      <c r="FW202" s="551" t="n"/>
      <c r="FX202" s="522">
        <f>C202</f>
        <v/>
      </c>
      <c r="FY202" s="522">
        <f>FZ202*10000</f>
        <v/>
      </c>
      <c r="FZ202" s="522" t="n">
        <v>251.39</v>
      </c>
      <c r="GB202" s="525" t="n"/>
      <c r="GC202" s="525" t="n"/>
      <c r="GD202" s="19" t="n"/>
      <c r="GE202" s="551" t="n"/>
      <c r="GF202" s="522">
        <f>C202</f>
        <v/>
      </c>
      <c r="GG202" s="522">
        <f>GH202*10000</f>
        <v/>
      </c>
      <c r="GH202" s="522" t="n">
        <v>167.7</v>
      </c>
      <c r="GJ202" s="525" t="n"/>
      <c r="GK202" s="525" t="n"/>
      <c r="GL202" s="19" t="n"/>
      <c r="GM202" s="551" t="n"/>
      <c r="GN202" s="522">
        <f>C202</f>
        <v/>
      </c>
      <c r="GO202" s="522">
        <f>GP202*10000</f>
        <v/>
      </c>
      <c r="GP202" s="522" t="n">
        <v>40.21</v>
      </c>
      <c r="GR202" s="525" t="n"/>
      <c r="GS202" s="525" t="n"/>
      <c r="GT202" s="19" t="n"/>
      <c r="GU202" s="551" t="n"/>
      <c r="GV202" s="522">
        <f>C202</f>
        <v/>
      </c>
      <c r="GW202" s="522">
        <f>GX202*10000</f>
        <v/>
      </c>
      <c r="GX202" s="522" t="n">
        <v>95.90000000000001</v>
      </c>
      <c r="GZ202" s="525">
        <f>(GW202-GW203)/GW203</f>
        <v/>
      </c>
      <c r="HA202" s="525" t="n"/>
      <c r="HB202" s="19" t="n"/>
      <c r="HC202" s="551" t="n"/>
      <c r="HD202" s="522">
        <f>C202</f>
        <v/>
      </c>
      <c r="HE202" s="522">
        <f>HF202*10000</f>
        <v/>
      </c>
      <c r="HF202" s="522" t="n">
        <v>16.16</v>
      </c>
      <c r="HH202" s="525" t="n"/>
      <c r="HI202" s="524" t="n"/>
      <c r="HJ202" s="19" t="n"/>
      <c r="HK202" s="551" t="n"/>
      <c r="HL202" s="522">
        <f>C202</f>
        <v/>
      </c>
      <c r="HM202" s="522">
        <f>HN202*10000</f>
        <v/>
      </c>
      <c r="HN202" s="522" t="n">
        <v>93.63</v>
      </c>
      <c r="HP202" s="525" t="n"/>
      <c r="HQ202" s="525" t="n"/>
      <c r="HR202" s="19" t="n"/>
      <c r="HS202" s="551" t="n"/>
      <c r="HT202" s="522">
        <f>C202</f>
        <v/>
      </c>
      <c r="HU202" s="522">
        <f>HV202*10000</f>
        <v/>
      </c>
      <c r="HV202" s="522" t="n">
        <v>8.140000000000001</v>
      </c>
      <c r="HX202" s="525" t="n"/>
      <c r="HY202" s="525" t="n"/>
      <c r="HZ202" s="19" t="n"/>
      <c r="IA202" s="551" t="n"/>
      <c r="IB202" s="522">
        <f>C202</f>
        <v/>
      </c>
      <c r="IC202" s="522">
        <f>ID202*10000</f>
        <v/>
      </c>
      <c r="ID202" s="522" t="n">
        <v>55.31</v>
      </c>
      <c r="IF202" s="528" t="n"/>
      <c r="IG202" s="525" t="n"/>
      <c r="IH202" s="19" t="n"/>
      <c r="II202" s="551" t="n"/>
      <c r="IJ202" s="522">
        <f>C202</f>
        <v/>
      </c>
      <c r="IK202" s="522">
        <f>IL202*10000</f>
        <v/>
      </c>
      <c r="IL202" s="522" t="n">
        <v>13.89</v>
      </c>
      <c r="IN202" s="525" t="n"/>
      <c r="IO202" s="525" t="n"/>
      <c r="IP202" s="19" t="n"/>
      <c r="IQ202" s="551" t="n"/>
      <c r="IR202" s="522">
        <f>C202</f>
        <v/>
      </c>
      <c r="IS202" s="522">
        <f>IT202*10000</f>
        <v/>
      </c>
      <c r="IT202" s="522" t="n">
        <v>2.61</v>
      </c>
      <c r="IV202" s="525" t="n"/>
      <c r="IW202" s="525" t="n"/>
      <c r="IX202" s="19" t="n"/>
      <c r="IY202" s="551" t="n"/>
      <c r="IZ202" s="522">
        <f>C202</f>
        <v/>
      </c>
      <c r="JA202" s="522">
        <f>JB202*10000</f>
        <v/>
      </c>
      <c r="JB202" s="522" t="n">
        <v>335</v>
      </c>
      <c r="JD202" s="525" t="n"/>
      <c r="JE202" s="525" t="n"/>
      <c r="JF202" s="19" t="n"/>
      <c r="JG202" s="551" t="n"/>
      <c r="JH202" s="522">
        <f>C202</f>
        <v/>
      </c>
      <c r="JI202" s="522">
        <f>JJ202*10000</f>
        <v/>
      </c>
      <c r="JJ202" s="522" t="n">
        <v>87.09</v>
      </c>
      <c r="JL202" s="525" t="n"/>
      <c r="JM202" s="525" t="n"/>
      <c r="JN202" s="525" t="n"/>
      <c r="JO202" s="19" t="n"/>
      <c r="JP202" s="522">
        <f>C202</f>
        <v/>
      </c>
      <c r="JQ202" s="522">
        <f>JR202*10000</f>
        <v/>
      </c>
      <c r="JR202" s="522" t="n">
        <v>2.28</v>
      </c>
      <c r="JT202" s="525" t="n"/>
      <c r="JU202" s="525" t="n"/>
      <c r="JV202" s="525" t="n"/>
      <c r="JW202" s="525" t="n"/>
      <c r="JX202" s="522">
        <f>C202</f>
        <v/>
      </c>
      <c r="JY202" s="522">
        <f>JZ202*10000</f>
        <v/>
      </c>
      <c r="JZ202" s="522" t="n">
        <v>11.5</v>
      </c>
      <c r="KB202" s="525" t="n"/>
      <c r="KC202" s="525" t="n"/>
      <c r="KD202" s="525" t="n"/>
      <c r="KE202" s="525" t="n"/>
      <c r="KF202" s="522">
        <f>C202</f>
        <v/>
      </c>
      <c r="KG202" s="551" t="n"/>
      <c r="KH202" s="551" t="n"/>
      <c r="KI202" s="528" t="n"/>
      <c r="KJ202" s="552" t="n"/>
      <c r="KK202" s="524" t="n"/>
      <c r="KL202" s="524" t="n"/>
      <c r="KM202" s="551" t="n"/>
      <c r="KN202" s="522">
        <f>C202</f>
        <v/>
      </c>
      <c r="KO202" s="522">
        <f>KP202*10000</f>
        <v/>
      </c>
      <c r="KP202" s="522" t="n">
        <v>198.52</v>
      </c>
      <c r="KR202" s="525" t="n"/>
      <c r="KS202" s="525" t="n"/>
      <c r="KT202" s="19" t="n"/>
      <c r="KV202" s="5">
        <f>C202</f>
        <v/>
      </c>
      <c r="KZ202" s="19" t="n"/>
      <c r="LA202" s="19" t="n"/>
      <c r="LB202" s="19" t="n"/>
      <c r="LC202" s="551" t="n"/>
      <c r="LD202" s="522">
        <f>C202</f>
        <v/>
      </c>
      <c r="LE202" s="522">
        <f>LF202*10000</f>
        <v/>
      </c>
      <c r="LF202" s="522" t="n">
        <v>20.31</v>
      </c>
      <c r="LH202" s="525" t="n"/>
      <c r="LI202" s="525" t="n"/>
      <c r="LJ202" s="19" t="n"/>
      <c r="LK202" s="551" t="n"/>
      <c r="LL202" s="522">
        <f>C202</f>
        <v/>
      </c>
      <c r="LM202" s="715">
        <f>LN202*10000</f>
        <v/>
      </c>
      <c r="LN202" s="522" t="n">
        <v>99.45</v>
      </c>
      <c r="LP202" s="525" t="n"/>
      <c r="LQ202" s="525" t="n"/>
      <c r="LR202" s="19" t="n"/>
      <c r="LS202" s="551" t="n"/>
      <c r="LT202" s="522">
        <f>C202</f>
        <v/>
      </c>
      <c r="LU202" s="522">
        <f>LV202*10000</f>
        <v/>
      </c>
      <c r="LV202" s="522" t="n">
        <v>99.23</v>
      </c>
      <c r="LX202" s="525" t="n"/>
      <c r="LY202" s="525" t="n"/>
      <c r="LZ202" s="19" t="n"/>
      <c r="MA202" s="551" t="n"/>
      <c r="MB202" s="522">
        <f>C202</f>
        <v/>
      </c>
      <c r="MC202" s="522">
        <f>MD202*10000</f>
        <v/>
      </c>
      <c r="MD202" s="522" t="n">
        <v>18.22</v>
      </c>
      <c r="MF202" s="525" t="n"/>
      <c r="MG202" s="525" t="n"/>
      <c r="MH202" s="19" t="n"/>
      <c r="MK202" s="5">
        <f>C202</f>
        <v/>
      </c>
      <c r="MM202" s="24" t="n"/>
      <c r="MO202" s="19" t="n"/>
      <c r="MP202" s="19" t="n"/>
      <c r="MQ202" s="19" t="n"/>
      <c r="MR202" s="19" t="n"/>
      <c r="MS202" s="19" t="n"/>
      <c r="MT202" s="25">
        <f>C202</f>
        <v/>
      </c>
      <c r="MX202" s="19" t="n"/>
      <c r="MY202" s="19" t="n"/>
      <c r="MZ202" s="19" t="n"/>
      <c r="NA202" s="19" t="n"/>
      <c r="NB202" s="19" t="n"/>
      <c r="NC202" s="5">
        <f>C202</f>
        <v/>
      </c>
      <c r="NG202" s="19" t="n"/>
      <c r="NH202" s="19" t="n"/>
      <c r="NI202" s="19" t="n"/>
      <c r="NJ202" s="19" t="n"/>
      <c r="NK202" s="19" t="n"/>
      <c r="NM202" s="5">
        <f>C202</f>
        <v/>
      </c>
      <c r="NQ202" s="19" t="n"/>
      <c r="NR202" s="19" t="n"/>
      <c r="NU202" s="5">
        <f>C202</f>
        <v/>
      </c>
      <c r="NY202" s="19" t="n"/>
      <c r="NZ202" s="19" t="n"/>
      <c r="OC202" s="5">
        <f>C202</f>
        <v/>
      </c>
      <c r="OG202" s="19" t="n"/>
      <c r="OH202" s="19" t="n"/>
      <c r="OI202" s="19" t="n"/>
      <c r="OK202" s="5">
        <f>C202</f>
        <v/>
      </c>
      <c r="OO202" s="19" t="n"/>
      <c r="OP202" s="19" t="n"/>
      <c r="OQ202" s="19" t="n"/>
      <c r="OT202" s="25">
        <f>OK202</f>
        <v/>
      </c>
      <c r="OX202" s="19" t="n"/>
    </row>
    <row r="203" ht="21" customFormat="1" customHeight="1" s="5">
      <c r="A203" s="652" t="inlineStr">
        <is>
          <t>关税日</t>
        </is>
      </c>
      <c r="B203" s="652" t="n"/>
      <c r="C203" s="724" t="inlineStr">
        <is>
          <t>2025//4//7</t>
        </is>
      </c>
      <c r="D203" s="574" t="n">
        <v>9031368.77</v>
      </c>
      <c r="E203" s="575">
        <f>D204</f>
        <v/>
      </c>
      <c r="F203" s="576">
        <f>D203-E203</f>
        <v/>
      </c>
      <c r="G203" s="577">
        <f>F203/E203</f>
        <v/>
      </c>
      <c r="H203" s="577" t="n"/>
      <c r="I203" s="578" t="n"/>
      <c r="J203" s="578" t="n"/>
      <c r="K203" s="575">
        <f>C203</f>
        <v/>
      </c>
      <c r="L203" s="579" t="n">
        <v>6359644.4</v>
      </c>
      <c r="M203" s="575">
        <f>L204</f>
        <v/>
      </c>
      <c r="N203" s="576">
        <f>L203-M203</f>
        <v/>
      </c>
      <c r="O203" s="577">
        <f>N203/M203</f>
        <v/>
      </c>
      <c r="P203" s="577" t="n"/>
      <c r="Q203" s="578" t="n"/>
      <c r="R203" s="576" t="n"/>
      <c r="S203" s="575">
        <f>C203</f>
        <v/>
      </c>
      <c r="T203" s="579" t="n">
        <v>5465046.68</v>
      </c>
      <c r="U203" s="575">
        <f>T204</f>
        <v/>
      </c>
      <c r="V203" s="576">
        <f>T203-U203</f>
        <v/>
      </c>
      <c r="W203" s="577">
        <f>V203/T203</f>
        <v/>
      </c>
      <c r="X203" s="577" t="n"/>
      <c r="Y203" s="578" t="n"/>
      <c r="Z203" s="576" t="n"/>
      <c r="AA203" s="575">
        <f>S203</f>
        <v/>
      </c>
      <c r="AB203" s="574" t="n"/>
      <c r="AC203" s="575" t="n"/>
      <c r="AD203" s="576" t="n"/>
      <c r="AE203" s="575" t="n"/>
      <c r="AF203" s="577" t="n"/>
      <c r="AG203" s="578" t="n"/>
      <c r="AH203" s="576" t="n"/>
      <c r="AI203" s="575">
        <f>C203</f>
        <v/>
      </c>
      <c r="AJ203" s="527" t="n">
        <v>2131921.76</v>
      </c>
      <c r="AK203" s="522">
        <f>AJ204</f>
        <v/>
      </c>
      <c r="AL203" s="571">
        <f>(AJ203-AK203)/AK203</f>
        <v/>
      </c>
      <c r="AM203" s="575" t="n"/>
      <c r="AN203" s="577" t="n"/>
      <c r="AO203" s="578" t="n"/>
      <c r="AP203" s="575" t="n"/>
      <c r="AQ203" s="575">
        <f>C203</f>
        <v/>
      </c>
      <c r="AR203" s="725" t="n"/>
      <c r="AS203" s="575" t="n"/>
      <c r="AT203" s="578" t="n"/>
      <c r="AU203" s="576" t="n"/>
      <c r="AV203" s="578" t="n"/>
      <c r="AW203" s="578" t="n"/>
      <c r="AX203" s="576" t="n"/>
      <c r="AY203" s="576" t="n"/>
      <c r="AZ203" s="576">
        <f>C203</f>
        <v/>
      </c>
      <c r="BA203" s="576" t="n"/>
      <c r="BB203" s="576" t="n"/>
      <c r="BC203" s="576" t="n"/>
      <c r="BD203" s="578" t="n"/>
      <c r="BE203" s="578" t="n"/>
      <c r="BF203" s="578" t="n"/>
      <c r="BG203" s="631" t="n"/>
      <c r="BH203" s="5">
        <f>C203</f>
        <v/>
      </c>
      <c r="BL203" s="19" t="n"/>
      <c r="BM203" s="19" t="n"/>
      <c r="BN203" s="19" t="n"/>
      <c r="BO203" s="551" t="n"/>
      <c r="BP203" s="522">
        <f>C203</f>
        <v/>
      </c>
      <c r="BQ203" s="715">
        <f>BR203*10000</f>
        <v/>
      </c>
      <c r="BR203" s="522" t="n">
        <v>3.4</v>
      </c>
      <c r="BT203" s="525" t="n"/>
      <c r="BU203" s="525" t="n"/>
      <c r="BV203" s="19" t="n"/>
      <c r="BW203" s="551" t="n"/>
      <c r="BX203" s="522">
        <f>C203</f>
        <v/>
      </c>
      <c r="BY203" s="522">
        <f>BZ203*10000</f>
        <v/>
      </c>
      <c r="BZ203" s="522" t="n">
        <v>9.77</v>
      </c>
      <c r="CB203" s="525" t="n"/>
      <c r="CC203" s="525" t="n"/>
      <c r="CD203" s="19" t="n"/>
      <c r="CE203" s="552" t="n"/>
      <c r="CF203" s="528">
        <f>C203</f>
        <v/>
      </c>
      <c r="CG203" s="528">
        <f>CH203*10000</f>
        <v/>
      </c>
      <c r="CH203" s="528" t="n">
        <v>29.32</v>
      </c>
      <c r="CJ203" s="528" t="n"/>
      <c r="CK203" s="525" t="n"/>
      <c r="CL203" s="524" t="n"/>
      <c r="CM203" s="551" t="n"/>
      <c r="CN203" s="522">
        <f>C203</f>
        <v/>
      </c>
      <c r="CO203" s="522">
        <f>CP203*10000</f>
        <v/>
      </c>
      <c r="CP203" s="522" t="n">
        <v>0.25</v>
      </c>
      <c r="CR203" s="525" t="n"/>
      <c r="CS203" s="19" t="n"/>
      <c r="CT203" s="19" t="n"/>
      <c r="CV203" s="5">
        <f>C203</f>
        <v/>
      </c>
      <c r="CZ203" s="19" t="n"/>
      <c r="DA203" s="19" t="n"/>
      <c r="DB203" s="19" t="n"/>
      <c r="DC203" s="23" t="n"/>
      <c r="DD203" s="5">
        <f>C203</f>
        <v/>
      </c>
      <c r="DH203" s="19" t="n"/>
      <c r="DI203" s="19" t="n"/>
      <c r="DJ203" s="19" t="n"/>
      <c r="DK203" s="551" t="n"/>
      <c r="DL203" s="522">
        <f>C203</f>
        <v/>
      </c>
      <c r="DM203" s="522">
        <f>DN203*10000</f>
        <v/>
      </c>
      <c r="DN203" s="522" t="n">
        <v>98.65000000000001</v>
      </c>
      <c r="DP203" s="525" t="n"/>
      <c r="DQ203" s="525" t="n"/>
      <c r="DR203" s="19" t="n"/>
      <c r="DT203" s="5">
        <f>C203</f>
        <v/>
      </c>
      <c r="DX203" s="19" t="n"/>
      <c r="DY203" s="19" t="n"/>
      <c r="DZ203" s="19" t="n"/>
      <c r="EA203" s="551" t="n"/>
      <c r="EB203" s="522">
        <f>C203</f>
        <v/>
      </c>
      <c r="EC203" s="522">
        <f>ED203*10000</f>
        <v/>
      </c>
      <c r="ED203" s="522" t="n">
        <v>198.97</v>
      </c>
      <c r="EF203" s="525" t="n"/>
      <c r="EG203" s="525" t="n"/>
      <c r="EH203" s="19" t="n"/>
      <c r="EI203" s="551" t="n"/>
      <c r="EJ203" s="522">
        <f>C203</f>
        <v/>
      </c>
      <c r="EK203" s="522">
        <f>EL203*10000</f>
        <v/>
      </c>
      <c r="EL203" s="522" t="n">
        <v>17.75</v>
      </c>
      <c r="EN203" s="525" t="n"/>
      <c r="EO203" s="525" t="n"/>
      <c r="EP203" s="19" t="n"/>
      <c r="EQ203" s="19" t="n"/>
      <c r="ER203" s="5">
        <f>C203</f>
        <v/>
      </c>
      <c r="ES203" s="19" t="n"/>
      <c r="ET203" s="19" t="n"/>
      <c r="EU203" s="19" t="n"/>
      <c r="EV203" s="19" t="n"/>
      <c r="EW203" s="19" t="n"/>
      <c r="EX203" s="19" t="n"/>
      <c r="EY203" s="551" t="n"/>
      <c r="EZ203" s="522">
        <f>C203</f>
        <v/>
      </c>
      <c r="FA203" s="522">
        <f>FB203*10000</f>
        <v/>
      </c>
      <c r="FB203" s="522" t="n">
        <v>98.40000000000001</v>
      </c>
      <c r="FD203" s="525" t="n"/>
      <c r="FE203" s="525" t="n"/>
      <c r="FF203" s="19" t="n"/>
      <c r="FG203" s="19" t="n"/>
      <c r="FH203" s="5">
        <f>C203</f>
        <v/>
      </c>
      <c r="FI203" s="633" t="n"/>
      <c r="FL203" s="19" t="n"/>
      <c r="FM203" s="19" t="n"/>
      <c r="FN203" s="19" t="n"/>
      <c r="FO203" s="551" t="n"/>
      <c r="FP203" s="522">
        <f>C203</f>
        <v/>
      </c>
      <c r="FQ203" s="522">
        <f>FR203*10000</f>
        <v/>
      </c>
      <c r="FR203" s="522" t="n">
        <v>1.78</v>
      </c>
      <c r="FT203" s="525" t="n"/>
      <c r="FU203" s="525" t="n"/>
      <c r="FV203" s="19" t="n"/>
      <c r="FW203" s="551" t="n"/>
      <c r="FX203" s="522">
        <f>C203</f>
        <v/>
      </c>
      <c r="FY203" s="522">
        <f>FZ203*10000</f>
        <v/>
      </c>
      <c r="FZ203" s="522" t="n">
        <v>232.8</v>
      </c>
      <c r="GB203" s="525" t="n"/>
      <c r="GC203" s="525" t="n"/>
      <c r="GD203" s="19" t="n"/>
      <c r="GE203" s="551" t="n"/>
      <c r="GF203" s="522">
        <f>C203</f>
        <v/>
      </c>
      <c r="GG203" s="522">
        <f>GH203*10000</f>
        <v/>
      </c>
      <c r="GH203" s="522" t="n">
        <v>143.04</v>
      </c>
      <c r="GJ203" s="525" t="n"/>
      <c r="GK203" s="525" t="n"/>
      <c r="GL203" s="19" t="n"/>
      <c r="GM203" s="551" t="n"/>
      <c r="GN203" s="522">
        <f>C203</f>
        <v/>
      </c>
      <c r="GO203" s="522">
        <f>GP203*10000</f>
        <v/>
      </c>
      <c r="GP203" s="522" t="n">
        <v>34.6</v>
      </c>
      <c r="GR203" s="525" t="n"/>
      <c r="GS203" s="525" t="n"/>
      <c r="GT203" s="19" t="n"/>
      <c r="GU203" s="551" t="n"/>
      <c r="GV203" s="522">
        <f>C203</f>
        <v/>
      </c>
      <c r="GW203" s="522">
        <f>GX203*10000</f>
        <v/>
      </c>
      <c r="GX203" s="522" t="n">
        <v>106.69</v>
      </c>
      <c r="GZ203" s="525">
        <f>(GW203-GW204)/GW204</f>
        <v/>
      </c>
      <c r="HA203" s="525" t="n"/>
      <c r="HB203" s="19" t="n"/>
      <c r="HC203" s="551" t="n"/>
      <c r="HD203" s="522">
        <f>C203</f>
        <v/>
      </c>
      <c r="HE203" s="522">
        <f>HF203*10000</f>
        <v/>
      </c>
      <c r="HF203" s="522" t="n">
        <v>18.57</v>
      </c>
      <c r="HH203" s="525" t="n"/>
      <c r="HI203" s="524" t="n"/>
      <c r="HJ203" s="19" t="n"/>
      <c r="HK203" s="551" t="n"/>
      <c r="HL203" s="522">
        <f>C203</f>
        <v/>
      </c>
      <c r="HM203" s="522">
        <f>HN203*10000</f>
        <v/>
      </c>
      <c r="HN203" s="522" t="n">
        <v>77.98999999999999</v>
      </c>
      <c r="HP203" s="525" t="n"/>
      <c r="HQ203" s="525" t="n"/>
      <c r="HR203" s="19" t="n"/>
      <c r="HS203" s="551" t="n"/>
      <c r="HT203" s="522">
        <f>C203</f>
        <v/>
      </c>
      <c r="HU203" s="522">
        <f>HV203*10000</f>
        <v/>
      </c>
      <c r="HV203" s="522" t="n">
        <v>4.06</v>
      </c>
      <c r="HX203" s="525" t="n"/>
      <c r="HY203" s="525" t="n"/>
      <c r="HZ203" s="19" t="n"/>
      <c r="IA203" s="551" t="n"/>
      <c r="IB203" s="522">
        <f>C203</f>
        <v/>
      </c>
      <c r="IC203" s="522">
        <f>ID203*10000</f>
        <v/>
      </c>
      <c r="ID203" s="522" t="n">
        <v>93.19</v>
      </c>
      <c r="IF203" s="528" t="n"/>
      <c r="IG203" s="525" t="n"/>
      <c r="IH203" s="19" t="n"/>
      <c r="II203" s="551" t="n"/>
      <c r="IJ203" s="522">
        <f>C203</f>
        <v/>
      </c>
      <c r="IK203" s="522">
        <f>IL203*10000</f>
        <v/>
      </c>
      <c r="IL203" s="522" t="n">
        <v>15.66</v>
      </c>
      <c r="IN203" s="525" t="n"/>
      <c r="IO203" s="525" t="n"/>
      <c r="IP203" s="19" t="n"/>
      <c r="IQ203" s="551" t="n"/>
      <c r="IR203" s="522">
        <f>C203</f>
        <v/>
      </c>
      <c r="IS203" s="522">
        <f>IT203*10000</f>
        <v/>
      </c>
      <c r="IT203" s="522" t="n">
        <v>2.6</v>
      </c>
      <c r="IV203" s="525" t="n"/>
      <c r="IW203" s="525" t="n"/>
      <c r="IX203" s="19" t="n"/>
      <c r="IY203" s="551" t="n"/>
      <c r="IZ203" s="522">
        <f>C203</f>
        <v/>
      </c>
      <c r="JA203" s="522">
        <f>JB203*10000</f>
        <v/>
      </c>
      <c r="JB203" s="522" t="n">
        <v>337.23</v>
      </c>
      <c r="JD203" s="525" t="n"/>
      <c r="JE203" s="525" t="n"/>
      <c r="JF203" s="19" t="n"/>
      <c r="JG203" s="551" t="n"/>
      <c r="JH203" s="522">
        <f>C203</f>
        <v/>
      </c>
      <c r="JI203" s="522">
        <f>JJ203*10000</f>
        <v/>
      </c>
      <c r="JJ203" s="522" t="n">
        <v>92.75</v>
      </c>
      <c r="JL203" s="525" t="n"/>
      <c r="JM203" s="525" t="n"/>
      <c r="JN203" s="525" t="n"/>
      <c r="JO203" s="19" t="n"/>
      <c r="JP203" s="522">
        <f>C203</f>
        <v/>
      </c>
      <c r="JQ203" s="522">
        <f>JR203*10000</f>
        <v/>
      </c>
      <c r="JR203" s="522" t="n">
        <v>2.42</v>
      </c>
      <c r="JT203" s="525" t="n"/>
      <c r="JU203" s="525" t="n"/>
      <c r="JV203" s="525" t="n"/>
      <c r="JW203" s="525" t="n"/>
      <c r="JX203" s="522">
        <f>C203</f>
        <v/>
      </c>
      <c r="JY203" s="522">
        <f>JZ203*10000</f>
        <v/>
      </c>
      <c r="JZ203" s="522" t="n">
        <v>10.03</v>
      </c>
      <c r="KB203" s="525" t="n"/>
      <c r="KC203" s="525" t="n"/>
      <c r="KD203" s="525" t="n"/>
      <c r="KE203" s="525" t="n"/>
      <c r="KF203" s="522">
        <f>C203</f>
        <v/>
      </c>
      <c r="KG203" s="551" t="n"/>
      <c r="KH203" s="551" t="n"/>
      <c r="KI203" s="528" t="n"/>
      <c r="KJ203" s="552" t="n"/>
      <c r="KK203" s="524" t="n"/>
      <c r="KL203" s="524" t="n"/>
      <c r="KM203" s="551" t="n"/>
      <c r="KN203" s="522">
        <f>C203</f>
        <v/>
      </c>
      <c r="KO203" s="522">
        <f>KP203*10000</f>
        <v/>
      </c>
      <c r="KP203" s="522" t="n">
        <v>161.26</v>
      </c>
      <c r="KR203" s="525" t="n"/>
      <c r="KS203" s="525" t="n"/>
      <c r="KT203" s="19" t="n"/>
      <c r="KV203" s="5">
        <f>C203</f>
        <v/>
      </c>
      <c r="KZ203" s="19" t="n"/>
      <c r="LA203" s="19" t="n"/>
      <c r="LB203" s="19" t="n"/>
      <c r="LC203" s="551" t="n"/>
      <c r="LD203" s="522">
        <f>C203</f>
        <v/>
      </c>
      <c r="LE203" s="522">
        <f>LF203*10000</f>
        <v/>
      </c>
      <c r="LF203" s="522" t="n">
        <v>20.54</v>
      </c>
      <c r="LH203" s="525" t="n"/>
      <c r="LI203" s="525" t="n"/>
      <c r="LJ203" s="19" t="n"/>
      <c r="LK203" s="551" t="n"/>
      <c r="LL203" s="522">
        <f>C203</f>
        <v/>
      </c>
      <c r="LM203" s="715">
        <f>LN203*10000</f>
        <v/>
      </c>
      <c r="LN203" s="522" t="n">
        <v>80.70999999999999</v>
      </c>
      <c r="LP203" s="525" t="n"/>
      <c r="LQ203" s="525" t="n"/>
      <c r="LR203" s="19" t="n"/>
      <c r="LS203" s="551" t="n"/>
      <c r="LT203" s="522">
        <f>C203</f>
        <v/>
      </c>
      <c r="LU203" s="522">
        <f>LV203*10000</f>
        <v/>
      </c>
      <c r="LV203" s="522" t="n">
        <v>86.63</v>
      </c>
      <c r="LX203" s="525" t="n"/>
      <c r="LY203" s="525" t="n"/>
      <c r="LZ203" s="19" t="n"/>
      <c r="MA203" s="551" t="n"/>
      <c r="MB203" s="522">
        <f>C203</f>
        <v/>
      </c>
      <c r="MC203" s="522">
        <f>MD203*10000</f>
        <v/>
      </c>
      <c r="MD203" s="522" t="n">
        <v>20.13</v>
      </c>
      <c r="MF203" s="525" t="n"/>
      <c r="MG203" s="525" t="n"/>
      <c r="MH203" s="19" t="n"/>
      <c r="MK203" s="5">
        <f>C203</f>
        <v/>
      </c>
      <c r="MM203" s="24" t="n"/>
      <c r="MO203" s="19" t="n"/>
      <c r="MP203" s="19" t="n"/>
      <c r="MQ203" s="19" t="n"/>
      <c r="MR203" s="19" t="n"/>
      <c r="MS203" s="19" t="n"/>
      <c r="MT203" s="25">
        <f>C203</f>
        <v/>
      </c>
      <c r="MX203" s="19" t="n"/>
      <c r="MY203" s="19" t="n"/>
      <c r="MZ203" s="19" t="n"/>
      <c r="NA203" s="19" t="n"/>
      <c r="NB203" s="19" t="n"/>
      <c r="NC203" s="5">
        <f>C203</f>
        <v/>
      </c>
      <c r="NG203" s="19" t="n"/>
      <c r="NH203" s="19" t="n"/>
      <c r="NI203" s="19" t="n"/>
      <c r="NJ203" s="19" t="n"/>
      <c r="NK203" s="19" t="n"/>
      <c r="NM203" s="5">
        <f>C203</f>
        <v/>
      </c>
      <c r="NQ203" s="19" t="n"/>
      <c r="NR203" s="19" t="n"/>
      <c r="NU203" s="5">
        <f>C203</f>
        <v/>
      </c>
      <c r="NY203" s="19" t="n"/>
      <c r="NZ203" s="19" t="n"/>
      <c r="OC203" s="5">
        <f>C203</f>
        <v/>
      </c>
      <c r="OG203" s="19" t="n"/>
      <c r="OH203" s="19" t="n"/>
      <c r="OI203" s="19" t="n"/>
      <c r="OK203" s="5">
        <f>C203</f>
        <v/>
      </c>
      <c r="OO203" s="19" t="n"/>
      <c r="OP203" s="19" t="n"/>
      <c r="OQ203" s="19" t="n"/>
      <c r="OT203" s="25">
        <f>OK203</f>
        <v/>
      </c>
      <c r="OX203" s="19" t="n"/>
    </row>
    <row r="204" ht="21" customFormat="1" customHeight="1" s="5">
      <c r="A204" s="631" t="n"/>
      <c r="B204" s="631" t="n"/>
      <c r="C204" s="714" t="inlineStr">
        <is>
          <t>2025//4//3</t>
        </is>
      </c>
      <c r="D204" s="521" t="n">
        <v>8557428.77</v>
      </c>
      <c r="E204" s="522">
        <f>D205</f>
        <v/>
      </c>
      <c r="F204" s="523">
        <f>D204-E204</f>
        <v/>
      </c>
      <c r="G204" s="524">
        <f>F204/E204</f>
        <v/>
      </c>
      <c r="H204" s="525" t="n"/>
      <c r="I204" s="526" t="n"/>
      <c r="J204" s="526" t="n"/>
      <c r="K204" s="522">
        <f>C204</f>
        <v/>
      </c>
      <c r="L204" s="527" t="n">
        <v>6100714.4</v>
      </c>
      <c r="M204" s="522">
        <f>L205</f>
        <v/>
      </c>
      <c r="N204" s="523">
        <f>L204-M204</f>
        <v/>
      </c>
      <c r="O204" s="525">
        <f>N204/M204</f>
        <v/>
      </c>
      <c r="P204" s="525" t="n"/>
      <c r="Q204" s="526" t="n"/>
      <c r="R204" s="523" t="n"/>
      <c r="S204" s="522">
        <f>C204</f>
        <v/>
      </c>
      <c r="T204" s="527" t="n">
        <v>5362536.68</v>
      </c>
      <c r="U204" s="522">
        <f>T205</f>
        <v/>
      </c>
      <c r="V204" s="523">
        <f>T204-U204</f>
        <v/>
      </c>
      <c r="W204" s="525">
        <f>V204/T204</f>
        <v/>
      </c>
      <c r="X204" s="525" t="n"/>
      <c r="Y204" s="526" t="n"/>
      <c r="Z204" s="523" t="n"/>
      <c r="AA204" s="522">
        <f>S204</f>
        <v/>
      </c>
      <c r="AB204" s="521" t="n"/>
      <c r="AC204" s="522" t="n"/>
      <c r="AD204" s="523" t="n"/>
      <c r="AE204" s="528" t="n"/>
      <c r="AF204" s="525" t="n"/>
      <c r="AG204" s="526" t="n"/>
      <c r="AH204" s="523" t="n"/>
      <c r="AI204" s="522">
        <f>C204</f>
        <v/>
      </c>
      <c r="AJ204" s="527" t="n">
        <v>2035921.76</v>
      </c>
      <c r="AK204" s="522">
        <f>AJ205</f>
        <v/>
      </c>
      <c r="AL204" s="571">
        <f>(AJ204-AK204)/AK204</f>
        <v/>
      </c>
      <c r="AM204" s="528" t="n"/>
      <c r="AN204" s="525" t="n"/>
      <c r="AO204" s="526" t="n"/>
      <c r="AP204" s="522" t="n"/>
      <c r="AQ204" s="522">
        <f>C204</f>
        <v/>
      </c>
      <c r="AR204" s="715" t="n"/>
      <c r="AS204" s="522" t="n"/>
      <c r="AT204" s="526" t="n"/>
      <c r="AU204" s="523" t="n"/>
      <c r="AV204" s="526" t="n"/>
      <c r="AW204" s="526" t="n"/>
      <c r="AX204" s="523" t="n"/>
      <c r="AY204" s="523" t="n"/>
      <c r="AZ204" s="523">
        <f>C204</f>
        <v/>
      </c>
      <c r="BA204" s="523" t="n"/>
      <c r="BB204" s="523" t="n"/>
      <c r="BC204" s="523" t="n"/>
      <c r="BD204" s="526" t="n"/>
      <c r="BE204" s="526" t="n"/>
      <c r="BF204" s="526" t="n"/>
      <c r="BG204" s="631" t="n"/>
      <c r="BH204" s="5">
        <f>C204</f>
        <v/>
      </c>
      <c r="BL204" s="19" t="n"/>
      <c r="BM204" s="19" t="n"/>
      <c r="BN204" s="19" t="n"/>
      <c r="BO204" s="551" t="n"/>
      <c r="BP204" s="522">
        <f>C204</f>
        <v/>
      </c>
      <c r="BQ204" s="715">
        <f>BR204*10000</f>
        <v/>
      </c>
      <c r="BR204" s="522" t="n">
        <v>2.87</v>
      </c>
      <c r="BT204" s="525" t="n"/>
      <c r="BU204" s="525" t="n"/>
      <c r="BV204" s="19" t="n"/>
      <c r="BW204" s="551" t="n"/>
      <c r="BX204" s="522">
        <f>C204</f>
        <v/>
      </c>
      <c r="BY204" s="522">
        <f>BZ204*10000</f>
        <v/>
      </c>
      <c r="BZ204" s="522" t="n">
        <v>8.050000000000001</v>
      </c>
      <c r="CB204" s="525" t="n"/>
      <c r="CC204" s="525" t="n"/>
      <c r="CD204" s="19" t="n"/>
      <c r="CE204" s="552" t="n"/>
      <c r="CF204" s="528">
        <f>C204</f>
        <v/>
      </c>
      <c r="CG204" s="528">
        <f>CH204*10000</f>
        <v/>
      </c>
      <c r="CH204" s="528" t="n">
        <v>27.76</v>
      </c>
      <c r="CJ204" s="528" t="n"/>
      <c r="CK204" s="525" t="n"/>
      <c r="CL204" s="524" t="n"/>
      <c r="CM204" s="551" t="n"/>
      <c r="CN204" s="522">
        <f>C204</f>
        <v/>
      </c>
      <c r="CO204" s="522">
        <f>CP204*10000</f>
        <v/>
      </c>
      <c r="CP204" s="522" t="n">
        <v>0.31</v>
      </c>
      <c r="CR204" s="525" t="n"/>
      <c r="CS204" s="19" t="n"/>
      <c r="CT204" s="19" t="n"/>
      <c r="CV204" s="5">
        <f>C204</f>
        <v/>
      </c>
      <c r="CZ204" s="19" t="n"/>
      <c r="DA204" s="19" t="n"/>
      <c r="DB204" s="19" t="n"/>
      <c r="DC204" s="23" t="n"/>
      <c r="DD204" s="5">
        <f>C204</f>
        <v/>
      </c>
      <c r="DH204" s="19" t="n"/>
      <c r="DI204" s="19" t="n"/>
      <c r="DJ204" s="19" t="n"/>
      <c r="DK204" s="551" t="n"/>
      <c r="DL204" s="522">
        <f>C204</f>
        <v/>
      </c>
      <c r="DM204" s="522">
        <f>DN204*10000</f>
        <v/>
      </c>
      <c r="DN204" s="522" t="n">
        <v>76.81</v>
      </c>
      <c r="DP204" s="525" t="n"/>
      <c r="DQ204" s="525" t="n"/>
      <c r="DR204" s="19" t="n"/>
      <c r="DT204" s="5">
        <f>C204</f>
        <v/>
      </c>
      <c r="DX204" s="19" t="n"/>
      <c r="DY204" s="19" t="n"/>
      <c r="DZ204" s="19" t="n"/>
      <c r="EA204" s="551" t="n"/>
      <c r="EB204" s="522">
        <f>C204</f>
        <v/>
      </c>
      <c r="EC204" s="522">
        <f>ED204*10000</f>
        <v/>
      </c>
      <c r="ED204" s="522" t="n">
        <v>142.36</v>
      </c>
      <c r="EF204" s="525" t="n"/>
      <c r="EG204" s="525" t="n"/>
      <c r="EH204" s="19" t="n"/>
      <c r="EI204" s="551" t="n"/>
      <c r="EJ204" s="522">
        <f>C204</f>
        <v/>
      </c>
      <c r="EK204" s="522">
        <f>EL204*10000</f>
        <v/>
      </c>
      <c r="EL204" s="522" t="n">
        <v>16.73</v>
      </c>
      <c r="EN204" s="525" t="n"/>
      <c r="EO204" s="525" t="n"/>
      <c r="EP204" s="19" t="n"/>
      <c r="EQ204" s="19" t="n"/>
      <c r="ER204" s="5">
        <f>C204</f>
        <v/>
      </c>
      <c r="ES204" s="19" t="n"/>
      <c r="ET204" s="19" t="n"/>
      <c r="EU204" s="19" t="n"/>
      <c r="EV204" s="19" t="n"/>
      <c r="EW204" s="19" t="n"/>
      <c r="EX204" s="19" t="n"/>
      <c r="EY204" s="551" t="n"/>
      <c r="EZ204" s="522">
        <f>C204</f>
        <v/>
      </c>
      <c r="FA204" s="522">
        <f>FB204*10000</f>
        <v/>
      </c>
      <c r="FB204" s="522" t="n">
        <v>81.52</v>
      </c>
      <c r="FD204" s="525" t="n"/>
      <c r="FE204" s="525" t="n"/>
      <c r="FF204" s="19" t="n"/>
      <c r="FG204" s="19" t="n"/>
      <c r="FH204" s="5">
        <f>C204</f>
        <v/>
      </c>
      <c r="FI204" s="633" t="n"/>
      <c r="FL204" s="19" t="n"/>
      <c r="FM204" s="19" t="n"/>
      <c r="FN204" s="19" t="n"/>
      <c r="FP204" s="5">
        <f>C204</f>
        <v/>
      </c>
      <c r="FT204" s="19" t="n"/>
      <c r="FU204" s="19" t="n"/>
      <c r="FV204" s="19" t="n"/>
      <c r="FW204" s="551" t="n"/>
      <c r="FX204" s="522">
        <f>C204</f>
        <v/>
      </c>
      <c r="FY204" s="522">
        <f>FZ204*10000</f>
        <v/>
      </c>
      <c r="FZ204" s="522" t="n">
        <v>207.95</v>
      </c>
      <c r="GB204" s="525" t="n"/>
      <c r="GC204" s="525" t="n"/>
      <c r="GD204" s="19" t="n"/>
      <c r="GE204" s="551" t="n"/>
      <c r="GF204" s="522">
        <f>C204</f>
        <v/>
      </c>
      <c r="GG204" s="522">
        <f>GH204*10000</f>
        <v/>
      </c>
      <c r="GH204" s="522" t="n">
        <v>118.89</v>
      </c>
      <c r="GJ204" s="525" t="n"/>
      <c r="GK204" s="525" t="n"/>
      <c r="GL204" s="19" t="n"/>
      <c r="GM204" s="551" t="n"/>
      <c r="GN204" s="522">
        <f>C204</f>
        <v/>
      </c>
      <c r="GO204" s="522">
        <f>GP204*10000</f>
        <v/>
      </c>
      <c r="GP204" s="522" t="n">
        <v>31.52</v>
      </c>
      <c r="GR204" s="525" t="n"/>
      <c r="GS204" s="525" t="n"/>
      <c r="GT204" s="19" t="n"/>
      <c r="GU204" s="551" t="n"/>
      <c r="GV204" s="522">
        <f>C204</f>
        <v/>
      </c>
      <c r="GW204" s="522">
        <f>GX204*10000</f>
        <v/>
      </c>
      <c r="GX204" s="522" t="n">
        <v>82.78</v>
      </c>
      <c r="GZ204" s="525">
        <f>(GW204-GW205)/GW205</f>
        <v/>
      </c>
      <c r="HA204" s="525" t="n"/>
      <c r="HB204" s="19" t="n"/>
      <c r="HC204" s="551" t="n"/>
      <c r="HD204" s="522">
        <f>C204</f>
        <v/>
      </c>
      <c r="HE204" s="522">
        <f>HF204*10000</f>
        <v/>
      </c>
      <c r="HF204" s="522" t="n">
        <v>14.75</v>
      </c>
      <c r="HH204" s="525" t="n"/>
      <c r="HI204" s="524" t="n"/>
      <c r="HJ204" s="19" t="n"/>
      <c r="HK204" s="551" t="n"/>
      <c r="HL204" s="522">
        <f>C204</f>
        <v/>
      </c>
      <c r="HM204" s="522">
        <f>HN204*10000</f>
        <v/>
      </c>
      <c r="HN204" s="522" t="n">
        <v>48.74</v>
      </c>
      <c r="HP204" s="525" t="n"/>
      <c r="HQ204" s="525" t="n"/>
      <c r="HR204" s="19" t="n"/>
      <c r="HS204" s="551" t="n"/>
      <c r="HT204" s="522">
        <f>C204</f>
        <v/>
      </c>
      <c r="HU204" s="522">
        <f>HV204*10000</f>
        <v/>
      </c>
      <c r="HV204" s="522" t="n">
        <v>2.93</v>
      </c>
      <c r="HX204" s="525" t="n"/>
      <c r="HY204" s="525" t="n"/>
      <c r="HZ204" s="19" t="n"/>
      <c r="IA204" s="551" t="n"/>
      <c r="IB204" s="522">
        <f>C204</f>
        <v/>
      </c>
      <c r="IC204" s="522">
        <f>ID204*10000</f>
        <v/>
      </c>
      <c r="ID204" s="522" t="n">
        <v>32.79</v>
      </c>
      <c r="IF204" s="528" t="n"/>
      <c r="IG204" s="525" t="n"/>
      <c r="IH204" s="19" t="n"/>
      <c r="IJ204" s="5">
        <f>C204</f>
        <v/>
      </c>
      <c r="IN204" s="19" t="n"/>
      <c r="IO204" s="19" t="n"/>
      <c r="IP204" s="19" t="n"/>
      <c r="IQ204" s="551" t="n"/>
      <c r="IR204" s="522">
        <f>C204</f>
        <v/>
      </c>
      <c r="IS204" s="522">
        <f>IT204*10000</f>
        <v/>
      </c>
      <c r="IT204" s="522" t="n">
        <v>1.05</v>
      </c>
      <c r="IV204" s="525" t="n"/>
      <c r="IW204" s="525" t="n"/>
      <c r="IX204" s="19" t="n"/>
      <c r="IY204" s="551" t="n"/>
      <c r="IZ204" s="522">
        <f>C204</f>
        <v/>
      </c>
      <c r="JA204" s="522">
        <f>JB204*10000</f>
        <v/>
      </c>
      <c r="JB204" s="522" t="n">
        <v>305.09</v>
      </c>
      <c r="JD204" s="525" t="n"/>
      <c r="JE204" s="525" t="n"/>
      <c r="JF204" s="19" t="n"/>
      <c r="JG204" s="551" t="n"/>
      <c r="JH204" s="522">
        <f>C204</f>
        <v/>
      </c>
      <c r="JI204" s="522">
        <f>JJ204*10000</f>
        <v/>
      </c>
      <c r="JJ204" s="522" t="n">
        <v>88.04000000000001</v>
      </c>
      <c r="JL204" s="525" t="n"/>
      <c r="JM204" s="525" t="n"/>
      <c r="JN204" s="525" t="n"/>
      <c r="JO204" s="19" t="n"/>
      <c r="JP204" s="522">
        <f>C204</f>
        <v/>
      </c>
      <c r="JQ204" s="522">
        <f>JR204*10000</f>
        <v/>
      </c>
      <c r="JR204" s="522" t="n">
        <v>2.88</v>
      </c>
      <c r="JT204" s="525" t="n"/>
      <c r="JU204" s="525" t="n"/>
      <c r="JV204" s="525" t="n"/>
      <c r="JW204" s="525" t="n"/>
      <c r="JX204" s="522">
        <f>C204</f>
        <v/>
      </c>
      <c r="JY204" s="522">
        <f>JZ204*10000</f>
        <v/>
      </c>
      <c r="JZ204" s="522" t="n">
        <v>7.22</v>
      </c>
      <c r="KB204" s="525" t="n"/>
      <c r="KC204" s="525" t="n"/>
      <c r="KD204" s="525" t="n"/>
      <c r="KE204" s="525" t="n"/>
      <c r="KF204" s="522">
        <f>C204</f>
        <v/>
      </c>
      <c r="KG204" s="551" t="n"/>
      <c r="KH204" s="551" t="n"/>
      <c r="KI204" s="528" t="n"/>
      <c r="KJ204" s="552" t="n"/>
      <c r="KK204" s="524" t="n"/>
      <c r="KL204" s="524" t="n"/>
      <c r="KM204" s="551" t="n"/>
      <c r="KN204" s="522">
        <f>C204</f>
        <v/>
      </c>
      <c r="KO204" s="522">
        <f>KP204*10000</f>
        <v/>
      </c>
      <c r="KP204" s="522" t="n">
        <v>82.14</v>
      </c>
      <c r="KR204" s="525" t="n"/>
      <c r="KS204" s="525" t="n"/>
      <c r="KT204" s="19" t="n"/>
      <c r="KV204" s="5">
        <f>C204</f>
        <v/>
      </c>
      <c r="KZ204" s="19" t="n"/>
      <c r="LA204" s="19" t="n"/>
      <c r="LB204" s="19" t="n"/>
      <c r="LC204" s="551" t="n"/>
      <c r="LD204" s="522">
        <f>C204</f>
        <v/>
      </c>
      <c r="LE204" s="522">
        <f>LF204*10000</f>
        <v/>
      </c>
      <c r="LF204" s="522" t="n">
        <v>15.63</v>
      </c>
      <c r="LH204" s="525" t="n"/>
      <c r="LI204" s="525" t="n"/>
      <c r="LJ204" s="19" t="n"/>
      <c r="LK204" s="551" t="n"/>
      <c r="LL204" s="522">
        <f>C204</f>
        <v/>
      </c>
      <c r="LM204" s="715">
        <f>LN204*10000</f>
        <v/>
      </c>
      <c r="LN204" s="522" t="n">
        <v>63.23</v>
      </c>
      <c r="LP204" s="525" t="n"/>
      <c r="LQ204" s="525" t="n"/>
      <c r="LR204" s="19" t="n"/>
      <c r="LS204" s="551" t="n"/>
      <c r="LT204" s="522">
        <f>C204</f>
        <v/>
      </c>
      <c r="LU204" s="522">
        <f>LV204*10000</f>
        <v/>
      </c>
      <c r="LV204" s="522" t="n">
        <v>96.69</v>
      </c>
      <c r="LX204" s="525" t="n"/>
      <c r="LY204" s="525" t="n"/>
      <c r="LZ204" s="19" t="n"/>
      <c r="MA204" s="551" t="n"/>
      <c r="MB204" s="522">
        <f>C204</f>
        <v/>
      </c>
      <c r="MC204" s="522">
        <f>MD204*10000</f>
        <v/>
      </c>
      <c r="MD204" s="522" t="n">
        <v>14.24</v>
      </c>
      <c r="MF204" s="525" t="n"/>
      <c r="MG204" s="525" t="n"/>
      <c r="MH204" s="19" t="n"/>
      <c r="MK204" s="5">
        <f>C204</f>
        <v/>
      </c>
      <c r="MM204" s="24" t="n"/>
      <c r="MO204" s="19" t="n"/>
      <c r="MP204" s="19" t="n"/>
      <c r="MQ204" s="19" t="n"/>
      <c r="MR204" s="19" t="n"/>
      <c r="MS204" s="19" t="n"/>
      <c r="MT204" s="25">
        <f>C204</f>
        <v/>
      </c>
      <c r="MX204" s="19" t="n"/>
      <c r="MY204" s="19" t="n"/>
      <c r="MZ204" s="19" t="n"/>
      <c r="NA204" s="19" t="n"/>
      <c r="NB204" s="19" t="n"/>
      <c r="NC204" s="5">
        <f>C204</f>
        <v/>
      </c>
      <c r="NG204" s="19" t="n"/>
      <c r="NH204" s="19" t="n"/>
      <c r="NI204" s="19" t="n"/>
      <c r="NJ204" s="19" t="n"/>
      <c r="NK204" s="19" t="n"/>
      <c r="NM204" s="5">
        <f>C204</f>
        <v/>
      </c>
      <c r="NQ204" s="19" t="n"/>
      <c r="NR204" s="19" t="n"/>
      <c r="NU204" s="5">
        <f>C204</f>
        <v/>
      </c>
      <c r="NY204" s="19" t="n"/>
      <c r="NZ204" s="19" t="n"/>
      <c r="OC204" s="5">
        <f>C204</f>
        <v/>
      </c>
      <c r="OG204" s="19" t="n"/>
      <c r="OH204" s="19" t="n"/>
      <c r="OI204" s="19" t="n"/>
      <c r="OK204" s="5">
        <f>C204</f>
        <v/>
      </c>
      <c r="OO204" s="19" t="n"/>
      <c r="OP204" s="19" t="n"/>
      <c r="OQ204" s="19" t="n"/>
      <c r="OT204" s="25">
        <f>OK204</f>
        <v/>
      </c>
      <c r="OX204" s="19" t="n"/>
    </row>
    <row r="205" ht="21" customFormat="1" customHeight="1" s="5">
      <c r="A205" s="631" t="n"/>
      <c r="B205" s="631" t="n"/>
      <c r="C205" s="714" t="inlineStr">
        <is>
          <t>2025//4//2</t>
        </is>
      </c>
      <c r="D205" s="521" t="n">
        <v>8530608.77</v>
      </c>
      <c r="E205" s="522">
        <f>D206</f>
        <v/>
      </c>
      <c r="F205" s="523">
        <f>D205-E205</f>
        <v/>
      </c>
      <c r="G205" s="524">
        <f>F205/E205</f>
        <v/>
      </c>
      <c r="H205" s="525" t="n"/>
      <c r="I205" s="526" t="n"/>
      <c r="J205" s="526" t="n"/>
      <c r="K205" s="522">
        <f>C205</f>
        <v/>
      </c>
      <c r="L205" s="527" t="n">
        <v>6108814.4</v>
      </c>
      <c r="M205" s="522">
        <f>L206</f>
        <v/>
      </c>
      <c r="N205" s="523">
        <f>L205-M205</f>
        <v/>
      </c>
      <c r="O205" s="525">
        <f>N205/M205</f>
        <v/>
      </c>
      <c r="P205" s="525" t="n"/>
      <c r="Q205" s="526" t="n"/>
      <c r="R205" s="523" t="n"/>
      <c r="S205" s="522">
        <f>C205</f>
        <v/>
      </c>
      <c r="T205" s="527" t="n">
        <v>5369016.68</v>
      </c>
      <c r="U205" s="522">
        <f>T206</f>
        <v/>
      </c>
      <c r="V205" s="523">
        <f>T205-U205</f>
        <v/>
      </c>
      <c r="W205" s="525">
        <f>V205/T205</f>
        <v/>
      </c>
      <c r="X205" s="525" t="n"/>
      <c r="Y205" s="526" t="n"/>
      <c r="Z205" s="523" t="n"/>
      <c r="AA205" s="522">
        <f>S205</f>
        <v/>
      </c>
      <c r="AB205" s="521" t="n"/>
      <c r="AC205" s="522" t="n"/>
      <c r="AD205" s="523" t="n"/>
      <c r="AE205" s="528" t="n"/>
      <c r="AF205" s="525" t="n"/>
      <c r="AG205" s="526" t="n"/>
      <c r="AH205" s="523" t="n"/>
      <c r="AI205" s="522">
        <f>C205</f>
        <v/>
      </c>
      <c r="AJ205" s="527" t="n">
        <v>2049721.76</v>
      </c>
      <c r="AK205" s="522">
        <f>AJ206</f>
        <v/>
      </c>
      <c r="AL205" s="571">
        <f>(AJ205-AK205)/AK205</f>
        <v/>
      </c>
      <c r="AM205" s="528" t="n"/>
      <c r="AN205" s="525" t="n"/>
      <c r="AO205" s="526" t="n"/>
      <c r="AP205" s="522" t="n"/>
      <c r="AQ205" s="522">
        <f>C205</f>
        <v/>
      </c>
      <c r="AR205" s="715" t="n"/>
      <c r="AS205" s="522" t="n"/>
      <c r="AT205" s="526" t="n"/>
      <c r="AU205" s="523" t="n"/>
      <c r="AV205" s="526" t="n"/>
      <c r="AW205" s="526" t="n"/>
      <c r="AX205" s="523" t="n"/>
      <c r="AY205" s="523" t="n"/>
      <c r="AZ205" s="523">
        <f>C205</f>
        <v/>
      </c>
      <c r="BA205" s="523" t="n"/>
      <c r="BB205" s="523" t="n"/>
      <c r="BC205" s="523" t="n"/>
      <c r="BD205" s="526" t="n"/>
      <c r="BE205" s="526" t="n"/>
      <c r="BF205" s="526" t="n"/>
      <c r="BG205" s="631" t="n"/>
      <c r="BH205" s="5">
        <f>C205</f>
        <v/>
      </c>
      <c r="BL205" s="19" t="n"/>
      <c r="BM205" s="19" t="n"/>
      <c r="BN205" s="19" t="n"/>
      <c r="BO205" s="551" t="n"/>
      <c r="BP205" s="522">
        <f>C205</f>
        <v/>
      </c>
      <c r="BQ205" s="715">
        <f>BR205*10000</f>
        <v/>
      </c>
      <c r="BR205" s="522" t="n">
        <v>2.25</v>
      </c>
      <c r="BT205" s="525" t="n"/>
      <c r="BU205" s="525" t="n"/>
      <c r="BV205" s="19" t="n"/>
      <c r="BW205" s="551" t="n"/>
      <c r="BX205" s="522">
        <f>C205</f>
        <v/>
      </c>
      <c r="BY205" s="522">
        <f>BZ205*10000</f>
        <v/>
      </c>
      <c r="BZ205" s="522" t="n">
        <v>7.64</v>
      </c>
      <c r="CB205" s="525" t="n"/>
      <c r="CC205" s="525" t="n"/>
      <c r="CD205" s="19" t="n"/>
      <c r="CE205" s="552" t="n"/>
      <c r="CF205" s="528">
        <f>C205</f>
        <v/>
      </c>
      <c r="CG205" s="528">
        <f>CH205*10000</f>
        <v/>
      </c>
      <c r="CH205" s="528" t="n">
        <v>31.79</v>
      </c>
      <c r="CJ205" s="528" t="n"/>
      <c r="CK205" s="525" t="n"/>
      <c r="CL205" s="524" t="n"/>
      <c r="CM205" s="551" t="n"/>
      <c r="CN205" s="522">
        <f>C205</f>
        <v/>
      </c>
      <c r="CO205" s="522">
        <f>CP205*10000</f>
        <v/>
      </c>
      <c r="CP205" s="522" t="n">
        <v>0.34</v>
      </c>
      <c r="CR205" s="525" t="n"/>
      <c r="CS205" s="19" t="n"/>
      <c r="CT205" s="19" t="n"/>
      <c r="CV205" s="5">
        <f>C205</f>
        <v/>
      </c>
      <c r="CZ205" s="19" t="n"/>
      <c r="DA205" s="19" t="n"/>
      <c r="DB205" s="19" t="n"/>
      <c r="DC205" s="23" t="n"/>
      <c r="DD205" s="5">
        <f>C205</f>
        <v/>
      </c>
      <c r="DH205" s="19" t="n"/>
      <c r="DI205" s="19" t="n"/>
      <c r="DJ205" s="19" t="n"/>
      <c r="DK205" s="551" t="n"/>
      <c r="DL205" s="522">
        <f>C205</f>
        <v/>
      </c>
      <c r="DM205" s="522">
        <f>DN205*10000</f>
        <v/>
      </c>
      <c r="DN205" s="522" t="n">
        <v>72.48999999999999</v>
      </c>
      <c r="DP205" s="525" t="n"/>
      <c r="DQ205" s="525" t="n"/>
      <c r="DR205" s="19" t="n"/>
      <c r="DT205" s="5">
        <f>C205</f>
        <v/>
      </c>
      <c r="DX205" s="19" t="n"/>
      <c r="DY205" s="19" t="n"/>
      <c r="DZ205" s="19" t="n"/>
      <c r="EA205" s="551" t="n"/>
      <c r="EB205" s="522">
        <f>C205</f>
        <v/>
      </c>
      <c r="EC205" s="522">
        <f>ED205*10000</f>
        <v/>
      </c>
      <c r="ED205" s="522" t="n">
        <v>156.73</v>
      </c>
      <c r="EF205" s="525" t="n"/>
      <c r="EG205" s="525" t="n"/>
      <c r="EH205" s="19" t="n"/>
      <c r="EI205" s="551" t="n"/>
      <c r="EJ205" s="522">
        <f>C205</f>
        <v/>
      </c>
      <c r="EK205" s="522">
        <f>EL205*10000</f>
        <v/>
      </c>
      <c r="EL205" s="522" t="n">
        <v>22.6</v>
      </c>
      <c r="EN205" s="525" t="n"/>
      <c r="EO205" s="525" t="n"/>
      <c r="EP205" s="19" t="n"/>
      <c r="EQ205" s="19" t="n"/>
      <c r="ER205" s="5">
        <f>C205</f>
        <v/>
      </c>
      <c r="ES205" s="19" t="n"/>
      <c r="ET205" s="19" t="n"/>
      <c r="EU205" s="19" t="n"/>
      <c r="EV205" s="19" t="n"/>
      <c r="EW205" s="19" t="n"/>
      <c r="EX205" s="19" t="n"/>
      <c r="EY205" s="551" t="n"/>
      <c r="EZ205" s="522">
        <f>C205</f>
        <v/>
      </c>
      <c r="FA205" s="522">
        <f>FB205*10000</f>
        <v/>
      </c>
      <c r="FB205" s="522" t="n">
        <v>115.22</v>
      </c>
      <c r="FD205" s="525" t="n"/>
      <c r="FE205" s="525" t="n"/>
      <c r="FF205" s="19" t="n"/>
      <c r="FG205" s="19" t="n"/>
      <c r="FH205" s="5">
        <f>C205</f>
        <v/>
      </c>
      <c r="FI205" s="633" t="n"/>
      <c r="FL205" s="19" t="n"/>
      <c r="FM205" s="19" t="n"/>
      <c r="FN205" s="19" t="n"/>
      <c r="FP205" s="5">
        <f>C205</f>
        <v/>
      </c>
      <c r="FT205" s="19" t="n"/>
      <c r="FU205" s="19" t="n"/>
      <c r="FV205" s="19" t="n"/>
      <c r="FW205" s="551" t="n"/>
      <c r="FX205" s="522">
        <f>C205</f>
        <v/>
      </c>
      <c r="FY205" s="522">
        <f>FZ205*10000</f>
        <v/>
      </c>
      <c r="FZ205" s="522" t="n">
        <v>125.32</v>
      </c>
      <c r="GB205" s="525" t="n"/>
      <c r="GC205" s="525" t="n"/>
      <c r="GD205" s="19" t="n"/>
      <c r="GE205" s="551" t="n"/>
      <c r="GF205" s="522">
        <f>C205</f>
        <v/>
      </c>
      <c r="GG205" s="522">
        <f>GH205*10000</f>
        <v/>
      </c>
      <c r="GH205" s="522" t="n">
        <v>61.44</v>
      </c>
      <c r="GJ205" s="525" t="n"/>
      <c r="GK205" s="525" t="n"/>
      <c r="GL205" s="19" t="n"/>
      <c r="GM205" s="551" t="n"/>
      <c r="GN205" s="522">
        <f>C205</f>
        <v/>
      </c>
      <c r="GO205" s="522">
        <f>GP205*10000</f>
        <v/>
      </c>
      <c r="GP205" s="522" t="n">
        <v>22.42</v>
      </c>
      <c r="GR205" s="525" t="n"/>
      <c r="GS205" s="525" t="n"/>
      <c r="GT205" s="19" t="n"/>
      <c r="GU205" s="551" t="n"/>
      <c r="GV205" s="522">
        <f>C205</f>
        <v/>
      </c>
      <c r="GW205" s="522">
        <f>GX205*10000</f>
        <v/>
      </c>
      <c r="GX205" s="522" t="n">
        <v>74.03</v>
      </c>
      <c r="GZ205" s="525">
        <f>(GW205-GW206)/GW206</f>
        <v/>
      </c>
      <c r="HA205" s="525" t="n"/>
      <c r="HB205" s="19" t="n"/>
      <c r="HC205" s="551" t="n"/>
      <c r="HD205" s="522">
        <f>C205</f>
        <v/>
      </c>
      <c r="HE205" s="522">
        <f>HF205*10000</f>
        <v/>
      </c>
      <c r="HF205" s="522" t="n">
        <v>12.85</v>
      </c>
      <c r="HH205" s="525" t="n"/>
      <c r="HI205" s="524" t="n"/>
      <c r="HJ205" s="19" t="n"/>
      <c r="HK205" s="551" t="n"/>
      <c r="HL205" s="522">
        <f>C205</f>
        <v/>
      </c>
      <c r="HM205" s="522">
        <f>HN205*10000</f>
        <v/>
      </c>
      <c r="HN205" s="522" t="n">
        <v>48.01</v>
      </c>
      <c r="HP205" s="525" t="n"/>
      <c r="HQ205" s="525" t="n"/>
      <c r="HR205" s="19" t="n"/>
      <c r="HS205" s="551" t="n"/>
      <c r="HT205" s="522">
        <f>C205</f>
        <v/>
      </c>
      <c r="HU205" s="522">
        <f>HV205*10000</f>
        <v/>
      </c>
      <c r="HV205" s="522" t="n">
        <v>2.55</v>
      </c>
      <c r="HX205" s="525" t="n"/>
      <c r="HY205" s="525" t="n"/>
      <c r="HZ205" s="19" t="n"/>
      <c r="IA205" s="551" t="n"/>
      <c r="IB205" s="522">
        <f>C205</f>
        <v/>
      </c>
      <c r="IC205" s="522">
        <f>ID205*10000</f>
        <v/>
      </c>
      <c r="ID205" s="522" t="n">
        <v>26.78</v>
      </c>
      <c r="IF205" s="528" t="n"/>
      <c r="IG205" s="525" t="n"/>
      <c r="IH205" s="19" t="n"/>
      <c r="IJ205" s="5">
        <f>C205</f>
        <v/>
      </c>
      <c r="IN205" s="19" t="n"/>
      <c r="IO205" s="19" t="n"/>
      <c r="IP205" s="19" t="n"/>
      <c r="IQ205" s="551" t="n"/>
      <c r="IR205" s="522">
        <f>C205</f>
        <v/>
      </c>
      <c r="IS205" s="522">
        <f>IT205*10000</f>
        <v/>
      </c>
      <c r="IT205" s="522" t="n">
        <v>1.06</v>
      </c>
      <c r="IV205" s="525" t="n"/>
      <c r="IW205" s="525" t="n"/>
      <c r="IX205" s="19" t="n"/>
      <c r="IY205" s="551" t="n"/>
      <c r="IZ205" s="522">
        <f>C205</f>
        <v/>
      </c>
      <c r="JA205" s="522">
        <f>JB205*10000</f>
        <v/>
      </c>
      <c r="JB205" s="522" t="n">
        <v>292.71</v>
      </c>
      <c r="JD205" s="525" t="n"/>
      <c r="JE205" s="525" t="n"/>
      <c r="JF205" s="19" t="n"/>
      <c r="JG205" s="551" t="n"/>
      <c r="JH205" s="522">
        <f>C205</f>
        <v/>
      </c>
      <c r="JI205" s="522">
        <f>JJ205*10000</f>
        <v/>
      </c>
      <c r="JJ205" s="522" t="n">
        <v>87.65000000000001</v>
      </c>
      <c r="JL205" s="525" t="n"/>
      <c r="JM205" s="525" t="n"/>
      <c r="JN205" s="525" t="n"/>
      <c r="JO205" s="19" t="n"/>
      <c r="JP205" s="522">
        <f>C205</f>
        <v/>
      </c>
      <c r="JQ205" s="522">
        <f>JR205*10000</f>
        <v/>
      </c>
      <c r="JR205" s="522" t="n">
        <v>0.8100000000000001</v>
      </c>
      <c r="JT205" s="525" t="n"/>
      <c r="JU205" s="525" t="n"/>
      <c r="JV205" s="525" t="n"/>
      <c r="JW205" s="525" t="n"/>
      <c r="JX205" s="522">
        <f>C205</f>
        <v/>
      </c>
      <c r="JY205" s="522">
        <f>JZ205*10000</f>
        <v/>
      </c>
      <c r="JZ205" s="522" t="n">
        <v>7.28</v>
      </c>
      <c r="KB205" s="525" t="n"/>
      <c r="KC205" s="525" t="n"/>
      <c r="KD205" s="525" t="n"/>
      <c r="KE205" s="525" t="n"/>
      <c r="KF205" s="522">
        <f>C205</f>
        <v/>
      </c>
      <c r="KG205" s="551" t="n"/>
      <c r="KH205" s="551" t="n"/>
      <c r="KI205" s="528" t="n"/>
      <c r="KJ205" s="552" t="n"/>
      <c r="KK205" s="524" t="n"/>
      <c r="KL205" s="524" t="n"/>
      <c r="KM205" s="551" t="n"/>
      <c r="KN205" s="522">
        <f>C205</f>
        <v/>
      </c>
      <c r="KO205" s="522">
        <f>KP205*10000</f>
        <v/>
      </c>
      <c r="KP205" s="522" t="n">
        <v>42.23</v>
      </c>
      <c r="KR205" s="525" t="n"/>
      <c r="KS205" s="525" t="n"/>
      <c r="KT205" s="19" t="n"/>
      <c r="KV205" s="5">
        <f>C205</f>
        <v/>
      </c>
      <c r="KZ205" s="19" t="n"/>
      <c r="LA205" s="19" t="n"/>
      <c r="LB205" s="19" t="n"/>
      <c r="LC205" s="551" t="n"/>
      <c r="LD205" s="522">
        <f>C205</f>
        <v/>
      </c>
      <c r="LE205" s="522">
        <f>LF205*10000</f>
        <v/>
      </c>
      <c r="LF205" s="522" t="n">
        <v>14.63</v>
      </c>
      <c r="LH205" s="525" t="n"/>
      <c r="LI205" s="525" t="n"/>
      <c r="LJ205" s="19" t="n"/>
      <c r="LK205" s="551" t="n"/>
      <c r="LL205" s="522">
        <f>C205</f>
        <v/>
      </c>
      <c r="LM205" s="715">
        <f>LN205*10000</f>
        <v/>
      </c>
      <c r="LN205" s="522" t="n">
        <v>63.9</v>
      </c>
      <c r="LP205" s="525" t="n"/>
      <c r="LQ205" s="525" t="n"/>
      <c r="LR205" s="19" t="n"/>
      <c r="LS205" s="551" t="n"/>
      <c r="LT205" s="522">
        <f>C205</f>
        <v/>
      </c>
      <c r="LU205" s="522">
        <f>LV205*10000</f>
        <v/>
      </c>
      <c r="LV205" s="522" t="n">
        <v>88.81</v>
      </c>
      <c r="LX205" s="525" t="n"/>
      <c r="LY205" s="525" t="n"/>
      <c r="LZ205" s="19" t="n"/>
      <c r="MA205" s="551" t="n"/>
      <c r="MB205" s="522">
        <f>C205</f>
        <v/>
      </c>
      <c r="MC205" s="522">
        <f>MD205*10000</f>
        <v/>
      </c>
      <c r="MD205" s="522" t="n">
        <v>15.92</v>
      </c>
      <c r="MF205" s="525" t="n"/>
      <c r="MG205" s="525" t="n"/>
      <c r="MH205" s="19" t="n"/>
      <c r="MK205" s="5">
        <f>C205</f>
        <v/>
      </c>
      <c r="MM205" s="24" t="n"/>
      <c r="MO205" s="19" t="n"/>
      <c r="MP205" s="19" t="n"/>
      <c r="MQ205" s="19" t="n"/>
      <c r="MR205" s="19" t="n"/>
      <c r="MS205" s="19" t="n"/>
      <c r="MT205" s="25">
        <f>C205</f>
        <v/>
      </c>
      <c r="MX205" s="19" t="n"/>
      <c r="MY205" s="19" t="n"/>
      <c r="MZ205" s="19" t="n"/>
      <c r="NA205" s="19" t="n"/>
      <c r="NB205" s="19" t="n"/>
      <c r="NC205" s="5">
        <f>C205</f>
        <v/>
      </c>
      <c r="NG205" s="19" t="n"/>
      <c r="NH205" s="19" t="n"/>
      <c r="NI205" s="19" t="n"/>
      <c r="NJ205" s="19" t="n"/>
      <c r="NK205" s="19" t="n"/>
      <c r="NM205" s="5">
        <f>C205</f>
        <v/>
      </c>
      <c r="NQ205" s="19" t="n"/>
      <c r="NR205" s="19" t="n"/>
      <c r="NU205" s="5">
        <f>C205</f>
        <v/>
      </c>
      <c r="NY205" s="19" t="n"/>
      <c r="NZ205" s="19" t="n"/>
      <c r="OC205" s="5">
        <f>C205</f>
        <v/>
      </c>
      <c r="OG205" s="19" t="n"/>
      <c r="OH205" s="19" t="n"/>
      <c r="OI205" s="19" t="n"/>
      <c r="OK205" s="5">
        <f>C205</f>
        <v/>
      </c>
      <c r="OO205" s="19" t="n"/>
      <c r="OP205" s="19" t="n"/>
      <c r="OQ205" s="19" t="n"/>
      <c r="OT205" s="25">
        <f>OK205</f>
        <v/>
      </c>
      <c r="OX205" s="19" t="n"/>
    </row>
    <row r="206" ht="21" customFormat="1" customHeight="1" s="5">
      <c r="A206" s="631" t="n"/>
      <c r="B206" s="631" t="n"/>
      <c r="C206" s="714" t="inlineStr">
        <is>
          <t>2025//4//1</t>
        </is>
      </c>
      <c r="D206" s="521" t="n">
        <v>8520978.77</v>
      </c>
      <c r="E206" s="522">
        <f>D207</f>
        <v/>
      </c>
      <c r="F206" s="523">
        <f>D206-E206</f>
        <v/>
      </c>
      <c r="G206" s="524">
        <f>F206/E206</f>
        <v/>
      </c>
      <c r="H206" s="525" t="n"/>
      <c r="I206" s="526" t="n"/>
      <c r="J206" s="526" t="n"/>
      <c r="K206" s="522">
        <f>C206</f>
        <v/>
      </c>
      <c r="L206" s="527" t="n">
        <v>6108364.4</v>
      </c>
      <c r="M206" s="522">
        <f>L207</f>
        <v/>
      </c>
      <c r="N206" s="523">
        <f>L206-M206</f>
        <v/>
      </c>
      <c r="O206" s="525">
        <f>N206/M206</f>
        <v/>
      </c>
      <c r="P206" s="525" t="n"/>
      <c r="Q206" s="526" t="n"/>
      <c r="R206" s="523" t="n"/>
      <c r="S206" s="522">
        <f>C206</f>
        <v/>
      </c>
      <c r="T206" s="527" t="n">
        <v>5362896.68</v>
      </c>
      <c r="U206" s="522">
        <f>T207</f>
        <v/>
      </c>
      <c r="V206" s="523">
        <f>T206-U206</f>
        <v/>
      </c>
      <c r="W206" s="525">
        <f>V206/T206</f>
        <v/>
      </c>
      <c r="X206" s="525" t="n"/>
      <c r="Y206" s="526" t="n"/>
      <c r="Z206" s="523" t="n"/>
      <c r="AA206" s="522">
        <f>S206</f>
        <v/>
      </c>
      <c r="AB206" s="521" t="n"/>
      <c r="AC206" s="522" t="n"/>
      <c r="AD206" s="523" t="n"/>
      <c r="AE206" s="528" t="n"/>
      <c r="AF206" s="525" t="n"/>
      <c r="AG206" s="526" t="n"/>
      <c r="AH206" s="523" t="n"/>
      <c r="AI206" s="522">
        <f>C206</f>
        <v/>
      </c>
      <c r="AJ206" s="527" t="n">
        <v>2046521.76</v>
      </c>
      <c r="AK206" s="522" t="n"/>
      <c r="AL206" s="523" t="n"/>
      <c r="AM206" s="528" t="n"/>
      <c r="AN206" s="525" t="n"/>
      <c r="AO206" s="526" t="n"/>
      <c r="AP206" s="522" t="n"/>
      <c r="AQ206" s="522">
        <f>C206</f>
        <v/>
      </c>
      <c r="AR206" s="715" t="n"/>
      <c r="AS206" s="522" t="n"/>
      <c r="AT206" s="526" t="n"/>
      <c r="AU206" s="523" t="n"/>
      <c r="AV206" s="526" t="n"/>
      <c r="AW206" s="526" t="n"/>
      <c r="AX206" s="523" t="n"/>
      <c r="AY206" s="523" t="n"/>
      <c r="AZ206" s="523">
        <f>C206</f>
        <v/>
      </c>
      <c r="BA206" s="523" t="n"/>
      <c r="BB206" s="523" t="n"/>
      <c r="BC206" s="523" t="n"/>
      <c r="BD206" s="526" t="n"/>
      <c r="BE206" s="526" t="n"/>
      <c r="BF206" s="526" t="n"/>
      <c r="BG206" s="631" t="n"/>
      <c r="BH206" s="5">
        <f>C206</f>
        <v/>
      </c>
      <c r="BL206" s="19" t="n"/>
      <c r="BM206" s="19" t="n"/>
      <c r="BN206" s="19" t="n"/>
      <c r="BO206" s="551" t="n"/>
      <c r="BP206" s="522">
        <f>C206</f>
        <v/>
      </c>
      <c r="BQ206" s="715">
        <f>BR206*10000</f>
        <v/>
      </c>
      <c r="BR206" s="522" t="n">
        <v>2.59</v>
      </c>
      <c r="BT206" s="525" t="n"/>
      <c r="BU206" s="525" t="n"/>
      <c r="BV206" s="19" t="n"/>
      <c r="BW206" s="551" t="n"/>
      <c r="BX206" s="522">
        <f>C206</f>
        <v/>
      </c>
      <c r="BY206" s="522">
        <f>BZ206*10000</f>
        <v/>
      </c>
      <c r="BZ206" s="522" t="n">
        <v>18.22</v>
      </c>
      <c r="CB206" s="525" t="n"/>
      <c r="CC206" s="525" t="n"/>
      <c r="CD206" s="19" t="n"/>
      <c r="CE206" s="552" t="n"/>
      <c r="CF206" s="528">
        <f>C206</f>
        <v/>
      </c>
      <c r="CG206" s="528">
        <f>CH206*10000</f>
        <v/>
      </c>
      <c r="CH206" s="528" t="n">
        <v>41.29</v>
      </c>
      <c r="CJ206" s="528" t="n"/>
      <c r="CK206" s="525" t="n"/>
      <c r="CL206" s="524" t="n"/>
      <c r="CM206" s="551" t="n"/>
      <c r="CN206" s="522">
        <f>C206</f>
        <v/>
      </c>
      <c r="CO206" s="522">
        <f>CP206*10000</f>
        <v/>
      </c>
      <c r="CP206" s="522" t="n">
        <v>2.71</v>
      </c>
      <c r="CR206" s="525" t="n"/>
      <c r="CS206" s="19" t="n"/>
      <c r="CT206" s="19" t="n"/>
      <c r="CV206" s="5">
        <f>C206</f>
        <v/>
      </c>
      <c r="CZ206" s="19" t="n"/>
      <c r="DA206" s="19" t="n"/>
      <c r="DB206" s="19" t="n"/>
      <c r="DC206" s="23" t="n"/>
      <c r="DD206" s="5">
        <f>C206</f>
        <v/>
      </c>
      <c r="DH206" s="19" t="n"/>
      <c r="DI206" s="19" t="n"/>
      <c r="DJ206" s="19" t="n"/>
      <c r="DK206" s="551" t="n"/>
      <c r="DL206" s="522">
        <f>C206</f>
        <v/>
      </c>
      <c r="DM206" s="522">
        <f>DN206*10000</f>
        <v/>
      </c>
      <c r="DN206" s="522" t="n">
        <v>68.37</v>
      </c>
      <c r="DP206" s="525" t="n"/>
      <c r="DQ206" s="525" t="n"/>
      <c r="DR206" s="19" t="n"/>
      <c r="DT206" s="5">
        <f>C206</f>
        <v/>
      </c>
      <c r="DX206" s="19" t="n"/>
      <c r="DY206" s="19" t="n"/>
      <c r="DZ206" s="19" t="n"/>
      <c r="EA206" s="551" t="n"/>
      <c r="EB206" s="522">
        <f>C206</f>
        <v/>
      </c>
      <c r="EC206" s="522">
        <f>ED206*10000</f>
        <v/>
      </c>
      <c r="ED206" s="522" t="n">
        <v>122.15</v>
      </c>
      <c r="EF206" s="525" t="n"/>
      <c r="EG206" s="525" t="n"/>
      <c r="EH206" s="19" t="n"/>
      <c r="EI206" s="551" t="n"/>
      <c r="EJ206" s="522">
        <f>C206</f>
        <v/>
      </c>
      <c r="EK206" s="522">
        <f>EL206*10000</f>
        <v/>
      </c>
      <c r="EL206" s="522" t="n">
        <v>31.25</v>
      </c>
      <c r="EN206" s="525" t="n"/>
      <c r="EO206" s="525" t="n"/>
      <c r="EP206" s="19" t="n"/>
      <c r="EQ206" s="19" t="n"/>
      <c r="ER206" s="5">
        <f>C206</f>
        <v/>
      </c>
      <c r="ES206" s="19" t="n"/>
      <c r="ET206" s="19" t="n"/>
      <c r="EU206" s="19" t="n"/>
      <c r="EV206" s="19" t="n"/>
      <c r="EW206" s="19" t="n"/>
      <c r="EX206" s="19" t="n"/>
      <c r="EY206" s="551" t="n"/>
      <c r="EZ206" s="522">
        <f>C206</f>
        <v/>
      </c>
      <c r="FA206" s="522">
        <f>FB206*10000</f>
        <v/>
      </c>
      <c r="FB206" s="522" t="n">
        <v>114.1</v>
      </c>
      <c r="FD206" s="525" t="n"/>
      <c r="FE206" s="525" t="n"/>
      <c r="FF206" s="19" t="n"/>
      <c r="FG206" s="19" t="n"/>
      <c r="FH206" s="5">
        <f>C206</f>
        <v/>
      </c>
      <c r="FI206" s="633" t="n"/>
      <c r="FL206" s="19" t="n"/>
      <c r="FM206" s="19" t="n"/>
      <c r="FN206" s="19" t="n"/>
      <c r="FP206" s="5">
        <f>C206</f>
        <v/>
      </c>
      <c r="FT206" s="19" t="n"/>
      <c r="FU206" s="19" t="n"/>
      <c r="FV206" s="19" t="n"/>
      <c r="FW206" s="551" t="n"/>
      <c r="FX206" s="522">
        <f>C206</f>
        <v/>
      </c>
      <c r="FY206" s="522">
        <f>FZ206*10000</f>
        <v/>
      </c>
      <c r="FZ206" s="522" t="n">
        <v>60.73</v>
      </c>
      <c r="GB206" s="525" t="n"/>
      <c r="GC206" s="525" t="n"/>
      <c r="GD206" s="19" t="n"/>
      <c r="GE206" s="551" t="n"/>
      <c r="GF206" s="522">
        <f>C206</f>
        <v/>
      </c>
      <c r="GG206" s="522">
        <f>GH206*10000</f>
        <v/>
      </c>
      <c r="GH206" s="522" t="n">
        <v>28.66</v>
      </c>
      <c r="GJ206" s="525" t="n"/>
      <c r="GK206" s="525" t="n"/>
      <c r="GL206" s="19" t="n"/>
      <c r="GM206" s="551" t="n"/>
      <c r="GN206" s="522">
        <f>C206</f>
        <v/>
      </c>
      <c r="GO206" s="522">
        <f>GP206*10000</f>
        <v/>
      </c>
      <c r="GP206" s="522" t="n">
        <v>19.8</v>
      </c>
      <c r="GR206" s="525" t="n"/>
      <c r="GS206" s="525" t="n"/>
      <c r="GT206" s="19" t="n"/>
      <c r="GU206" s="551" t="n"/>
      <c r="GV206" s="522">
        <f>C206</f>
        <v/>
      </c>
      <c r="GW206" s="522">
        <f>GX206*10000</f>
        <v/>
      </c>
      <c r="GX206" s="522" t="n">
        <v>54.24</v>
      </c>
      <c r="GZ206" s="525">
        <f>(GW206-GW207)/GW207</f>
        <v/>
      </c>
      <c r="HA206" s="525" t="n"/>
      <c r="HB206" s="19" t="n"/>
      <c r="HD206" s="5">
        <f>C206</f>
        <v/>
      </c>
      <c r="HH206" s="19" t="n"/>
      <c r="HI206" s="19" t="n"/>
      <c r="HJ206" s="19" t="n"/>
      <c r="HL206" s="5">
        <f>C206</f>
        <v/>
      </c>
      <c r="HP206" s="19" t="n"/>
      <c r="HQ206" s="19" t="n"/>
      <c r="HR206" s="19" t="n"/>
      <c r="HT206" s="5">
        <f>C206</f>
        <v/>
      </c>
      <c r="HX206" s="19" t="n"/>
      <c r="HY206" s="19" t="n"/>
      <c r="HZ206" s="19" t="n"/>
      <c r="IA206" s="551" t="n"/>
      <c r="IB206" s="522">
        <f>C206</f>
        <v/>
      </c>
      <c r="IC206" s="522">
        <f>ID206*10000</f>
        <v/>
      </c>
      <c r="ID206" s="522" t="n">
        <v>19.99</v>
      </c>
      <c r="IF206" s="528" t="n"/>
      <c r="IG206" s="525" t="n"/>
      <c r="IH206" s="19" t="n"/>
      <c r="IJ206" s="5">
        <f>C206</f>
        <v/>
      </c>
      <c r="IN206" s="19" t="n"/>
      <c r="IO206" s="19" t="n"/>
      <c r="IP206" s="19" t="n"/>
      <c r="IQ206" s="551" t="n"/>
      <c r="IR206" s="522">
        <f>C206</f>
        <v/>
      </c>
      <c r="IS206" s="522">
        <f>IT206*10000</f>
        <v/>
      </c>
      <c r="IT206" s="522" t="n">
        <v>1.33</v>
      </c>
      <c r="IV206" s="525" t="n"/>
      <c r="IW206" s="525" t="n"/>
      <c r="IX206" s="19" t="n"/>
      <c r="IY206" s="551" t="n"/>
      <c r="IZ206" s="522">
        <f>C206</f>
        <v/>
      </c>
      <c r="JA206" s="522">
        <f>JB206*10000</f>
        <v/>
      </c>
      <c r="JB206" s="522" t="n">
        <v>289.04</v>
      </c>
      <c r="JD206" s="525" t="n"/>
      <c r="JE206" s="525" t="n"/>
      <c r="JF206" s="19" t="n"/>
      <c r="JG206" s="551" t="n"/>
      <c r="JH206" s="522">
        <f>C206</f>
        <v/>
      </c>
      <c r="JI206" s="522">
        <f>JJ206*10000</f>
        <v/>
      </c>
      <c r="JJ206" s="522" t="n">
        <v>77.65000000000001</v>
      </c>
      <c r="JL206" s="525" t="n"/>
      <c r="JM206" s="525" t="n"/>
      <c r="JN206" s="525" t="n"/>
      <c r="JO206" s="19" t="n"/>
      <c r="JP206" s="522">
        <f>C206</f>
        <v/>
      </c>
      <c r="JQ206" s="522">
        <f>JR206*10000</f>
        <v/>
      </c>
      <c r="JR206" s="522" t="n">
        <v>0.46</v>
      </c>
      <c r="JT206" s="525" t="n"/>
      <c r="JU206" s="525" t="n"/>
      <c r="JV206" s="525" t="n"/>
      <c r="JW206" s="525" t="n"/>
      <c r="JX206" s="522">
        <f>C206</f>
        <v/>
      </c>
      <c r="JY206" s="522">
        <f>JZ206*10000</f>
        <v/>
      </c>
      <c r="JZ206" s="522" t="n">
        <v>8.6</v>
      </c>
      <c r="KB206" s="525" t="n"/>
      <c r="KC206" s="525" t="n"/>
      <c r="KD206" s="525" t="n"/>
      <c r="KE206" s="19" t="n"/>
      <c r="KF206" s="5">
        <f>C206</f>
        <v/>
      </c>
      <c r="KG206" s="19" t="n"/>
      <c r="KH206" s="19" t="n"/>
      <c r="KJ206" s="19" t="n"/>
      <c r="KK206" s="19" t="n"/>
      <c r="KL206" s="19" t="n"/>
      <c r="KM206" s="19" t="n"/>
      <c r="KN206" s="5">
        <f>C206</f>
        <v/>
      </c>
      <c r="KR206" s="19" t="n"/>
      <c r="KS206" s="19" t="n"/>
      <c r="KT206" s="19" t="n"/>
      <c r="KV206" s="5">
        <f>C206</f>
        <v/>
      </c>
      <c r="KZ206" s="19" t="n"/>
      <c r="LA206" s="19" t="n"/>
      <c r="LB206" s="19" t="n"/>
      <c r="LC206" s="551" t="n"/>
      <c r="LD206" s="522">
        <f>C206</f>
        <v/>
      </c>
      <c r="LE206" s="522">
        <f>LF206*10000</f>
        <v/>
      </c>
      <c r="LF206" s="522" t="n">
        <v>3.9</v>
      </c>
      <c r="LH206" s="525" t="n"/>
      <c r="LI206" s="525" t="n"/>
      <c r="LJ206" s="19" t="n"/>
      <c r="LK206" s="551" t="n"/>
      <c r="LL206" s="522">
        <f>C206</f>
        <v/>
      </c>
      <c r="LM206" s="715">
        <f>LN206*10000</f>
        <v/>
      </c>
      <c r="LN206" s="522" t="n">
        <v>32.09</v>
      </c>
      <c r="LP206" s="525" t="n"/>
      <c r="LQ206" s="525" t="n"/>
      <c r="LR206" s="19" t="n"/>
      <c r="LS206" s="551" t="n"/>
      <c r="LT206" s="522">
        <f>C206</f>
        <v/>
      </c>
      <c r="LU206" s="522">
        <f>LV206*10000</f>
        <v/>
      </c>
      <c r="LV206" s="522" t="n">
        <v>67.37</v>
      </c>
      <c r="LX206" s="525" t="n"/>
      <c r="LY206" s="525" t="n"/>
      <c r="LZ206" s="19" t="n"/>
      <c r="MA206" s="551" t="n"/>
      <c r="MB206" s="522">
        <f>C206</f>
        <v/>
      </c>
      <c r="MC206" s="522">
        <f>MD206*10000</f>
        <v/>
      </c>
      <c r="MD206" s="522" t="n">
        <v>15.14</v>
      </c>
      <c r="MF206" s="525" t="n"/>
      <c r="MG206" s="525" t="n"/>
      <c r="MH206" s="19" t="n"/>
      <c r="MK206" s="5">
        <f>C206</f>
        <v/>
      </c>
      <c r="MM206" s="24" t="n"/>
      <c r="MO206" s="19" t="n"/>
      <c r="MP206" s="19" t="n"/>
      <c r="MQ206" s="19" t="n"/>
      <c r="MR206" s="19" t="n"/>
      <c r="MS206" s="19" t="n"/>
      <c r="MT206" s="25">
        <f>C206</f>
        <v/>
      </c>
      <c r="MX206" s="19" t="n"/>
      <c r="MY206" s="19" t="n"/>
      <c r="MZ206" s="19" t="n"/>
      <c r="NA206" s="19" t="n"/>
      <c r="NB206" s="19" t="n"/>
      <c r="NC206" s="5">
        <f>C206</f>
        <v/>
      </c>
      <c r="NG206" s="19" t="n"/>
      <c r="NH206" s="19" t="n"/>
      <c r="NI206" s="19" t="n"/>
      <c r="NJ206" s="19" t="n"/>
      <c r="NK206" s="19" t="n"/>
      <c r="NM206" s="5">
        <f>C206</f>
        <v/>
      </c>
      <c r="NQ206" s="19" t="n"/>
      <c r="NR206" s="19" t="n"/>
      <c r="NU206" s="5">
        <f>C206</f>
        <v/>
      </c>
      <c r="NY206" s="19" t="n"/>
      <c r="NZ206" s="19" t="n"/>
      <c r="OC206" s="5">
        <f>C206</f>
        <v/>
      </c>
      <c r="OG206" s="19" t="n"/>
      <c r="OH206" s="19" t="n"/>
      <c r="OI206" s="19" t="n"/>
      <c r="OK206" s="5">
        <f>C206</f>
        <v/>
      </c>
      <c r="OO206" s="19" t="n"/>
      <c r="OP206" s="19" t="n"/>
      <c r="OQ206" s="19" t="n"/>
      <c r="OT206" s="25">
        <f>OK206</f>
        <v/>
      </c>
      <c r="OX206" s="19" t="n"/>
    </row>
    <row r="207" ht="21" customFormat="1" customHeight="1" s="5">
      <c r="A207" s="674" t="n"/>
      <c r="B207" s="674" t="n"/>
      <c r="C207" s="720" t="inlineStr">
        <is>
          <t>2025//3//31</t>
        </is>
      </c>
      <c r="D207" s="559" t="n">
        <v>8506038.77</v>
      </c>
      <c r="E207" s="560">
        <f>D208</f>
        <v/>
      </c>
      <c r="F207" s="561">
        <f>D207-E207</f>
        <v/>
      </c>
      <c r="G207" s="562">
        <f>F207/E207</f>
        <v/>
      </c>
      <c r="H207" s="562" t="n"/>
      <c r="I207" s="563" t="n"/>
      <c r="J207" s="563" t="n"/>
      <c r="K207" s="560">
        <f>C207</f>
        <v/>
      </c>
      <c r="L207" s="527" t="n">
        <v>6107644.4</v>
      </c>
      <c r="M207" s="522">
        <f>L208</f>
        <v/>
      </c>
      <c r="N207" s="523">
        <f>L207-M207</f>
        <v/>
      </c>
      <c r="O207" s="525">
        <f>N207/M207</f>
        <v/>
      </c>
      <c r="P207" s="562" t="n"/>
      <c r="Q207" s="563" t="n"/>
      <c r="R207" s="561" t="n"/>
      <c r="S207" s="560">
        <f>C207</f>
        <v/>
      </c>
      <c r="T207" s="527" t="n">
        <v>5349036.68</v>
      </c>
      <c r="U207" s="522">
        <f>T208</f>
        <v/>
      </c>
      <c r="V207" s="523">
        <f>T207-U207</f>
        <v/>
      </c>
      <c r="W207" s="525">
        <f>V207/T207</f>
        <v/>
      </c>
      <c r="X207" s="562" t="n"/>
      <c r="Y207" s="563" t="n"/>
      <c r="Z207" s="561" t="n"/>
      <c r="AA207" s="560">
        <f>S207</f>
        <v/>
      </c>
      <c r="AB207" s="559" t="n"/>
      <c r="AC207" s="560" t="n"/>
      <c r="AD207" s="561" t="n"/>
      <c r="AE207" s="560" t="n"/>
      <c r="AF207" s="562" t="n"/>
      <c r="AG207" s="563" t="n"/>
      <c r="AH207" s="561" t="n"/>
      <c r="AI207" s="560">
        <f>C207</f>
        <v/>
      </c>
      <c r="AJ207" s="527" t="n"/>
      <c r="AK207" s="560" t="n"/>
      <c r="AL207" s="561" t="n"/>
      <c r="AM207" s="560" t="n"/>
      <c r="AN207" s="562" t="n"/>
      <c r="AO207" s="563" t="n"/>
      <c r="AP207" s="560" t="n"/>
      <c r="AQ207" s="560">
        <f>C207</f>
        <v/>
      </c>
      <c r="AR207" s="721" t="n"/>
      <c r="AS207" s="560" t="n"/>
      <c r="AT207" s="563" t="n"/>
      <c r="AU207" s="561" t="n"/>
      <c r="AV207" s="563" t="n"/>
      <c r="AW207" s="563" t="n"/>
      <c r="AX207" s="561" t="n"/>
      <c r="AY207" s="561" t="n"/>
      <c r="AZ207" s="561">
        <f>C207</f>
        <v/>
      </c>
      <c r="BA207" s="561" t="n"/>
      <c r="BB207" s="561" t="n"/>
      <c r="BC207" s="561" t="n"/>
      <c r="BD207" s="563" t="n"/>
      <c r="BE207" s="563" t="n"/>
      <c r="BF207" s="563" t="n"/>
      <c r="BG207" s="631" t="n"/>
      <c r="BH207" s="5">
        <f>C207</f>
        <v/>
      </c>
      <c r="BL207" s="19" t="n"/>
      <c r="BM207" s="19" t="n"/>
      <c r="BN207" s="19" t="n"/>
      <c r="BO207" s="551" t="n"/>
      <c r="BP207" s="522">
        <f>C207</f>
        <v/>
      </c>
      <c r="BQ207" s="715">
        <f>BR207*10000</f>
        <v/>
      </c>
      <c r="BR207" s="522" t="n">
        <v>4.51</v>
      </c>
      <c r="BT207" s="525" t="n"/>
      <c r="BU207" s="525" t="n"/>
      <c r="BV207" s="19" t="n"/>
      <c r="BX207" s="5">
        <f>C207</f>
        <v/>
      </c>
      <c r="CB207" s="19" t="n"/>
      <c r="CC207" s="19" t="n"/>
      <c r="CD207" s="19" t="n"/>
      <c r="CE207" s="552" t="n"/>
      <c r="CF207" s="528">
        <f>C207</f>
        <v/>
      </c>
      <c r="CG207" s="528">
        <f>CH207*10000</f>
        <v/>
      </c>
      <c r="CH207" s="528" t="n">
        <v>58</v>
      </c>
      <c r="CJ207" s="528" t="n"/>
      <c r="CK207" s="525" t="n"/>
      <c r="CL207" s="19" t="n"/>
      <c r="CN207" s="5">
        <f>C207</f>
        <v/>
      </c>
      <c r="CR207" s="19" t="n"/>
      <c r="CS207" s="19" t="n"/>
      <c r="CT207" s="19" t="n"/>
      <c r="CV207" s="5">
        <f>C207</f>
        <v/>
      </c>
      <c r="CZ207" s="19" t="n"/>
      <c r="DA207" s="19" t="n"/>
      <c r="DB207" s="19" t="n"/>
      <c r="DC207" s="23" t="n"/>
      <c r="DD207" s="5">
        <f>C207</f>
        <v/>
      </c>
      <c r="DH207" s="19" t="n"/>
      <c r="DI207" s="19" t="n"/>
      <c r="DJ207" s="19" t="n"/>
      <c r="DK207" s="551" t="n"/>
      <c r="DL207" s="522">
        <f>C207</f>
        <v/>
      </c>
      <c r="DM207" s="522">
        <f>DN207*10000</f>
        <v/>
      </c>
      <c r="DN207" s="522" t="n">
        <v>106.83</v>
      </c>
      <c r="DP207" s="525" t="n"/>
      <c r="DQ207" s="525" t="n"/>
      <c r="DR207" s="19" t="n"/>
      <c r="DT207" s="5">
        <f>C207</f>
        <v/>
      </c>
      <c r="DX207" s="19" t="n"/>
      <c r="DY207" s="19" t="n"/>
      <c r="DZ207" s="19" t="n"/>
      <c r="EA207" s="551" t="n"/>
      <c r="EB207" s="522">
        <f>C207</f>
        <v/>
      </c>
      <c r="EC207" s="522">
        <f>ED207*10000</f>
        <v/>
      </c>
      <c r="ED207" s="522" t="n">
        <v>140.98</v>
      </c>
      <c r="EF207" s="525" t="n"/>
      <c r="EG207" s="525" t="n"/>
      <c r="EH207" s="19" t="n"/>
      <c r="EI207" s="551" t="n"/>
      <c r="EJ207" s="522">
        <f>C207</f>
        <v/>
      </c>
      <c r="EK207" s="522">
        <f>EL207*10000</f>
        <v/>
      </c>
      <c r="EL207" s="522" t="n">
        <v>40.54</v>
      </c>
      <c r="EN207" s="525" t="n"/>
      <c r="EO207" s="525" t="n"/>
      <c r="EP207" s="19" t="n"/>
      <c r="EQ207" s="19" t="n"/>
      <c r="ER207" s="5">
        <f>C207</f>
        <v/>
      </c>
      <c r="ES207" s="19" t="n"/>
      <c r="ET207" s="19" t="n"/>
      <c r="EU207" s="19" t="n"/>
      <c r="EV207" s="19" t="n"/>
      <c r="EW207" s="19" t="n"/>
      <c r="EX207" s="19" t="n"/>
      <c r="EY207" s="551" t="n"/>
      <c r="EZ207" s="522">
        <f>C207</f>
        <v/>
      </c>
      <c r="FA207" s="522">
        <f>FB207*10000</f>
        <v/>
      </c>
      <c r="FB207" s="522" t="n">
        <v>118.99</v>
      </c>
      <c r="FD207" s="525" t="n"/>
      <c r="FE207" s="525" t="n"/>
      <c r="FF207" s="19" t="n"/>
      <c r="FG207" s="19" t="n"/>
      <c r="FH207" s="5">
        <f>C207</f>
        <v/>
      </c>
      <c r="FI207" s="633" t="n"/>
      <c r="FL207" s="19" t="n"/>
      <c r="FM207" s="19" t="n"/>
      <c r="FN207" s="19" t="n"/>
      <c r="FP207" s="5">
        <f>C207</f>
        <v/>
      </c>
      <c r="FT207" s="19" t="n"/>
      <c r="FU207" s="19" t="n"/>
      <c r="FV207" s="19" t="n"/>
      <c r="FW207" s="551" t="n"/>
      <c r="FX207" s="522">
        <f>C207</f>
        <v/>
      </c>
      <c r="FY207" s="522">
        <f>FZ207*10000</f>
        <v/>
      </c>
      <c r="FZ207" s="522" t="n">
        <v>25.78</v>
      </c>
      <c r="GB207" s="525" t="n"/>
      <c r="GC207" s="525" t="n"/>
      <c r="GD207" s="19" t="n"/>
      <c r="GF207" s="5">
        <f>C207</f>
        <v/>
      </c>
      <c r="GJ207" s="19" t="n"/>
      <c r="GK207" s="19" t="n"/>
      <c r="GL207" s="19" t="n"/>
      <c r="GM207" s="551" t="n"/>
      <c r="GN207" s="522">
        <f>C207</f>
        <v/>
      </c>
      <c r="GO207" s="522">
        <f>GP207*10000</f>
        <v/>
      </c>
      <c r="GP207" s="522" t="n">
        <v>28.64</v>
      </c>
      <c r="GR207" s="525" t="n"/>
      <c r="GS207" s="525" t="n"/>
      <c r="GT207" s="19" t="n"/>
      <c r="GU207" s="551" t="n"/>
      <c r="GV207" s="522">
        <f>C207</f>
        <v/>
      </c>
      <c r="GW207" s="522">
        <f>GX207*10000</f>
        <v/>
      </c>
      <c r="GX207" s="522" t="n">
        <v>93.64</v>
      </c>
      <c r="GZ207" s="525">
        <f>(GW207-GW208)/GW208</f>
        <v/>
      </c>
      <c r="HA207" s="525" t="n"/>
      <c r="HB207" s="19" t="n"/>
      <c r="HD207" s="5">
        <f>C207</f>
        <v/>
      </c>
      <c r="HH207" s="19" t="n"/>
      <c r="HI207" s="19" t="n"/>
      <c r="HJ207" s="19" t="n"/>
      <c r="HL207" s="5">
        <f>C207</f>
        <v/>
      </c>
      <c r="HP207" s="19" t="n"/>
      <c r="HQ207" s="19" t="n"/>
      <c r="HR207" s="19" t="n"/>
      <c r="HT207" s="5">
        <f>C207</f>
        <v/>
      </c>
      <c r="HX207" s="19" t="n"/>
      <c r="HY207" s="19" t="n"/>
      <c r="HZ207" s="19" t="n"/>
      <c r="IA207" s="551" t="n"/>
      <c r="IB207" s="522">
        <f>C207</f>
        <v/>
      </c>
      <c r="IC207" s="522">
        <f>ID207*10000</f>
        <v/>
      </c>
      <c r="ID207" s="522" t="n">
        <v>21.83</v>
      </c>
      <c r="IF207" s="528" t="n"/>
      <c r="IG207" s="525" t="n"/>
      <c r="IH207" s="19" t="n"/>
      <c r="IJ207" s="5">
        <f>C207</f>
        <v/>
      </c>
      <c r="IN207" s="19" t="n"/>
      <c r="IO207" s="19" t="n"/>
      <c r="IP207" s="19" t="n"/>
      <c r="IR207" s="5">
        <f>C207</f>
        <v/>
      </c>
      <c r="IV207" s="19" t="n"/>
      <c r="IW207" s="19" t="n"/>
      <c r="IX207" s="19" t="n"/>
      <c r="IY207" s="551" t="n"/>
      <c r="IZ207" s="522">
        <f>C207</f>
        <v/>
      </c>
      <c r="JA207" s="522">
        <f>JB207*10000</f>
        <v/>
      </c>
      <c r="JB207" s="522" t="n">
        <v>336.09</v>
      </c>
      <c r="JD207" s="525" t="n"/>
      <c r="JE207" s="525" t="n"/>
      <c r="JF207" s="19" t="n"/>
      <c r="JG207" s="551" t="n"/>
      <c r="JH207" s="522">
        <f>C207</f>
        <v/>
      </c>
      <c r="JI207" s="522">
        <f>JJ207*10000</f>
        <v/>
      </c>
      <c r="JJ207" s="522" t="n">
        <v>67.25</v>
      </c>
      <c r="JL207" s="525" t="n"/>
      <c r="JM207" s="525" t="n"/>
      <c r="JN207" s="525" t="n"/>
      <c r="JO207" s="19" t="n"/>
      <c r="JP207" s="522">
        <f>C207</f>
        <v/>
      </c>
      <c r="JQ207" s="522">
        <f>JR207*10000</f>
        <v/>
      </c>
      <c r="JR207" s="522" t="n">
        <v>0.47</v>
      </c>
      <c r="JT207" s="525" t="n"/>
      <c r="JU207" s="525" t="n"/>
      <c r="JV207" s="525" t="n"/>
      <c r="JW207" s="525" t="n"/>
      <c r="JX207" s="522">
        <f>C207</f>
        <v/>
      </c>
      <c r="JY207" s="522">
        <f>JZ207*10000</f>
        <v/>
      </c>
      <c r="JZ207" s="522" t="n">
        <v>8.550000000000001</v>
      </c>
      <c r="KB207" s="525" t="n"/>
      <c r="KC207" s="525" t="n"/>
      <c r="KD207" s="525" t="n"/>
      <c r="KE207" s="19" t="n"/>
      <c r="KF207" s="5">
        <f>C207</f>
        <v/>
      </c>
      <c r="KG207" s="19" t="n"/>
      <c r="KH207" s="19" t="n"/>
      <c r="KJ207" s="19" t="n"/>
      <c r="KK207" s="19" t="n"/>
      <c r="KL207" s="19" t="n"/>
      <c r="KM207" s="19" t="n"/>
      <c r="KN207" s="5">
        <f>C207</f>
        <v/>
      </c>
      <c r="KR207" s="19" t="n"/>
      <c r="KS207" s="19" t="n"/>
      <c r="KT207" s="19" t="n"/>
      <c r="KV207" s="5">
        <f>C207</f>
        <v/>
      </c>
      <c r="KZ207" s="19" t="n"/>
      <c r="LA207" s="19" t="n"/>
      <c r="LB207" s="19" t="n"/>
      <c r="LD207" s="5">
        <f>C207</f>
        <v/>
      </c>
      <c r="LH207" s="19" t="n"/>
      <c r="LI207" s="19" t="n"/>
      <c r="LJ207" s="19" t="n"/>
      <c r="LL207" s="5">
        <f>C207</f>
        <v/>
      </c>
      <c r="LM207" s="633" t="n"/>
      <c r="LP207" s="19" t="n"/>
      <c r="LQ207" s="19" t="n"/>
      <c r="LR207" s="19" t="n"/>
      <c r="LS207" s="551" t="n"/>
      <c r="LT207" s="522">
        <f>C207</f>
        <v/>
      </c>
      <c r="LU207" s="522">
        <f>LV207*10000</f>
        <v/>
      </c>
      <c r="LV207" s="522" t="n">
        <v>66.51000000000001</v>
      </c>
      <c r="LX207" s="525" t="n"/>
      <c r="LY207" s="525" t="n"/>
      <c r="LZ207" s="19" t="n"/>
      <c r="MA207" s="551" t="n"/>
      <c r="MB207" s="522">
        <f>C207</f>
        <v/>
      </c>
      <c r="MC207" s="522">
        <f>MD207*10000</f>
        <v/>
      </c>
      <c r="MD207" s="522" t="n">
        <v>5.72</v>
      </c>
      <c r="MF207" s="525" t="n"/>
      <c r="MG207" s="525" t="n"/>
      <c r="MH207" s="19" t="n"/>
      <c r="MK207" s="5">
        <f>C207</f>
        <v/>
      </c>
      <c r="MM207" s="24" t="n"/>
      <c r="MO207" s="19" t="n"/>
      <c r="MP207" s="19" t="n"/>
      <c r="MQ207" s="19" t="n"/>
      <c r="MR207" s="19" t="n"/>
      <c r="MS207" s="19" t="n"/>
      <c r="MT207" s="25">
        <f>C207</f>
        <v/>
      </c>
      <c r="MX207" s="19" t="n"/>
      <c r="MY207" s="19" t="n"/>
      <c r="MZ207" s="19" t="n"/>
      <c r="NA207" s="19" t="n"/>
      <c r="NB207" s="19" t="n"/>
      <c r="NC207" s="5">
        <f>C207</f>
        <v/>
      </c>
      <c r="NG207" s="19" t="n"/>
      <c r="NH207" s="19" t="n"/>
      <c r="NI207" s="19" t="n"/>
      <c r="NJ207" s="19" t="n"/>
      <c r="NK207" s="19" t="n"/>
      <c r="NM207" s="5">
        <f>C207</f>
        <v/>
      </c>
      <c r="NQ207" s="19" t="n"/>
      <c r="NR207" s="19" t="n"/>
      <c r="NU207" s="5">
        <f>C207</f>
        <v/>
      </c>
      <c r="NY207" s="19" t="n"/>
      <c r="NZ207" s="19" t="n"/>
      <c r="OC207" s="5">
        <f>C207</f>
        <v/>
      </c>
      <c r="OG207" s="19" t="n"/>
      <c r="OH207" s="19" t="n"/>
      <c r="OI207" s="19" t="n"/>
      <c r="OK207" s="5">
        <f>C207</f>
        <v/>
      </c>
      <c r="OO207" s="19" t="n"/>
      <c r="OP207" s="19" t="n"/>
      <c r="OQ207" s="19" t="n"/>
      <c r="OT207" s="25">
        <f>OK207</f>
        <v/>
      </c>
      <c r="OX207" s="19" t="n"/>
    </row>
    <row r="208" ht="21" customFormat="1" customHeight="1" s="5">
      <c r="A208" s="654" t="n"/>
      <c r="B208" s="654" t="n"/>
      <c r="C208" s="722" t="inlineStr">
        <is>
          <t>2025//3//28</t>
        </is>
      </c>
      <c r="D208" s="567" t="n">
        <v>8497668.77</v>
      </c>
      <c r="E208" s="568">
        <f>D209</f>
        <v/>
      </c>
      <c r="F208" s="569">
        <f>D208-E208</f>
        <v/>
      </c>
      <c r="G208" s="570">
        <f>F208/E208</f>
        <v/>
      </c>
      <c r="H208" s="570" t="n"/>
      <c r="I208" s="571" t="n"/>
      <c r="J208" s="571" t="n"/>
      <c r="K208" s="568">
        <f>C208</f>
        <v/>
      </c>
      <c r="L208" s="527" t="n">
        <v>6109984.4</v>
      </c>
      <c r="M208" s="522">
        <f>L209</f>
        <v/>
      </c>
      <c r="N208" s="523">
        <f>L208-M208</f>
        <v/>
      </c>
      <c r="O208" s="525">
        <f>N208/M208</f>
        <v/>
      </c>
      <c r="P208" s="570" t="n"/>
      <c r="Q208" s="571" t="n"/>
      <c r="R208" s="569" t="n"/>
      <c r="S208" s="568">
        <f>C208</f>
        <v/>
      </c>
      <c r="T208" s="527" t="n">
        <v>5341566.68</v>
      </c>
      <c r="U208" s="522">
        <f>T209</f>
        <v/>
      </c>
      <c r="V208" s="523">
        <f>T208-U208</f>
        <v/>
      </c>
      <c r="W208" s="525">
        <f>V208/T208</f>
        <v/>
      </c>
      <c r="X208" s="570" t="n"/>
      <c r="Y208" s="571" t="n"/>
      <c r="Z208" s="569" t="n"/>
      <c r="AA208" s="568">
        <f>S208</f>
        <v/>
      </c>
      <c r="AB208" s="567" t="n"/>
      <c r="AC208" s="568" t="n"/>
      <c r="AD208" s="569" t="n"/>
      <c r="AE208" s="568" t="n"/>
      <c r="AF208" s="570" t="n"/>
      <c r="AG208" s="571" t="n"/>
      <c r="AH208" s="569" t="n"/>
      <c r="AI208" s="568">
        <f>C208</f>
        <v/>
      </c>
      <c r="AJ208" s="567" t="n"/>
      <c r="AK208" s="568" t="n"/>
      <c r="AL208" s="569" t="n"/>
      <c r="AM208" s="568" t="n"/>
      <c r="AN208" s="570" t="n"/>
      <c r="AO208" s="571" t="n"/>
      <c r="AP208" s="568" t="n"/>
      <c r="AQ208" s="568">
        <f>C208</f>
        <v/>
      </c>
      <c r="AR208" s="723" t="n"/>
      <c r="AS208" s="568" t="n"/>
      <c r="AT208" s="571" t="n"/>
      <c r="AU208" s="569" t="n"/>
      <c r="AV208" s="571" t="n"/>
      <c r="AW208" s="571" t="n"/>
      <c r="AX208" s="569" t="n"/>
      <c r="AY208" s="569" t="n"/>
      <c r="AZ208" s="569">
        <f>C208</f>
        <v/>
      </c>
      <c r="BA208" s="569" t="n"/>
      <c r="BB208" s="569" t="n"/>
      <c r="BC208" s="569" t="n"/>
      <c r="BD208" s="571" t="n"/>
      <c r="BE208" s="571" t="n"/>
      <c r="BF208" s="571" t="n"/>
      <c r="BG208" s="631" t="n"/>
      <c r="BH208" s="5">
        <f>C208</f>
        <v/>
      </c>
      <c r="BL208" s="19" t="n"/>
      <c r="BM208" s="19" t="n"/>
      <c r="BN208" s="19" t="n"/>
      <c r="BO208" s="551" t="n"/>
      <c r="BP208" s="522">
        <f>C208</f>
        <v/>
      </c>
      <c r="BQ208" s="715">
        <f>BR208*10000</f>
        <v/>
      </c>
      <c r="BR208" s="522" t="n">
        <v>5.69</v>
      </c>
      <c r="BT208" s="525" t="n"/>
      <c r="BU208" s="525" t="n"/>
      <c r="BV208" s="19" t="n"/>
      <c r="BX208" s="5">
        <f>C208</f>
        <v/>
      </c>
      <c r="CB208" s="19" t="n"/>
      <c r="CC208" s="19" t="n"/>
      <c r="CD208" s="19" t="n"/>
      <c r="CE208" s="552" t="n"/>
      <c r="CF208" s="528">
        <f>C208</f>
        <v/>
      </c>
      <c r="CG208" s="528">
        <f>CH208*10000</f>
        <v/>
      </c>
      <c r="CH208" s="528" t="n">
        <v>43.47</v>
      </c>
      <c r="CJ208" s="528" t="n"/>
      <c r="CK208" s="525" t="n"/>
      <c r="CL208" s="19" t="n"/>
      <c r="CN208" s="5">
        <f>C208</f>
        <v/>
      </c>
      <c r="CR208" s="19" t="n"/>
      <c r="CS208" s="19" t="n"/>
      <c r="CT208" s="19" t="n"/>
      <c r="CV208" s="5">
        <f>C208</f>
        <v/>
      </c>
      <c r="CZ208" s="19" t="n"/>
      <c r="DA208" s="19" t="n"/>
      <c r="DB208" s="19" t="n"/>
      <c r="DC208" s="23" t="n"/>
      <c r="DD208" s="5">
        <f>C208</f>
        <v/>
      </c>
      <c r="DH208" s="19" t="n"/>
      <c r="DI208" s="19" t="n"/>
      <c r="DJ208" s="19" t="n"/>
      <c r="DK208" s="551" t="n"/>
      <c r="DL208" s="522">
        <f>C208</f>
        <v/>
      </c>
      <c r="DM208" s="522">
        <f>DN208*10000</f>
        <v/>
      </c>
      <c r="DN208" s="522" t="n">
        <v>107.65</v>
      </c>
      <c r="DP208" s="525" t="n"/>
      <c r="DQ208" s="525" t="n"/>
      <c r="DR208" s="19" t="n"/>
      <c r="DT208" s="5">
        <f>C208</f>
        <v/>
      </c>
      <c r="DX208" s="19" t="n"/>
      <c r="DY208" s="19" t="n"/>
      <c r="DZ208" s="19" t="n"/>
      <c r="EA208" s="551" t="n"/>
      <c r="EB208" s="522">
        <f>C208</f>
        <v/>
      </c>
      <c r="EC208" s="522">
        <f>ED208*10000</f>
        <v/>
      </c>
      <c r="ED208" s="522" t="n">
        <v>86.77</v>
      </c>
      <c r="EF208" s="525" t="n"/>
      <c r="EG208" s="525" t="n"/>
      <c r="EH208" s="19" t="n"/>
      <c r="EI208" s="551" t="n"/>
      <c r="EJ208" s="522">
        <f>C208</f>
        <v/>
      </c>
      <c r="EK208" s="522">
        <f>EL208*10000</f>
        <v/>
      </c>
      <c r="EL208" s="522" t="n">
        <v>50.35</v>
      </c>
      <c r="EN208" s="525" t="n"/>
      <c r="EO208" s="525" t="n"/>
      <c r="EP208" s="19" t="n"/>
      <c r="EQ208" s="19" t="n"/>
      <c r="ER208" s="5">
        <f>C208</f>
        <v/>
      </c>
      <c r="ES208" s="19" t="n"/>
      <c r="ET208" s="19" t="n"/>
      <c r="EU208" s="19" t="n"/>
      <c r="EV208" s="19" t="n"/>
      <c r="EW208" s="19" t="n"/>
      <c r="EX208" s="19" t="n"/>
      <c r="EY208" s="551" t="n"/>
      <c r="EZ208" s="522">
        <f>C208</f>
        <v/>
      </c>
      <c r="FA208" s="522">
        <f>FB208*10000</f>
        <v/>
      </c>
      <c r="FB208" s="522" t="n">
        <v>79.95</v>
      </c>
      <c r="FD208" s="525" t="n"/>
      <c r="FE208" s="525" t="n"/>
      <c r="FF208" s="19" t="n"/>
      <c r="FG208" s="19" t="n"/>
      <c r="FH208" s="5">
        <f>C208</f>
        <v/>
      </c>
      <c r="FI208" s="633" t="n"/>
      <c r="FL208" s="19" t="n"/>
      <c r="FM208" s="19" t="n"/>
      <c r="FN208" s="19" t="n"/>
      <c r="FP208" s="5">
        <f>C208</f>
        <v/>
      </c>
      <c r="FT208" s="19" t="n"/>
      <c r="FU208" s="19" t="n"/>
      <c r="FV208" s="19" t="n"/>
      <c r="FW208" s="551" t="n"/>
      <c r="FX208" s="522">
        <f>C208</f>
        <v/>
      </c>
      <c r="FY208" s="522">
        <f>FZ208*10000</f>
        <v/>
      </c>
      <c r="FZ208" s="522" t="n">
        <v>22.44</v>
      </c>
      <c r="GB208" s="525" t="n"/>
      <c r="GC208" s="525" t="n"/>
      <c r="GD208" s="19" t="n"/>
      <c r="GF208" s="5">
        <f>C208</f>
        <v/>
      </c>
      <c r="GJ208" s="19" t="n"/>
      <c r="GK208" s="19" t="n"/>
      <c r="GL208" s="19" t="n"/>
      <c r="GM208" s="551" t="n"/>
      <c r="GN208" s="522">
        <f>C208</f>
        <v/>
      </c>
      <c r="GO208" s="522">
        <f>GP208*10000</f>
        <v/>
      </c>
      <c r="GP208" s="522" t="n">
        <v>35.38</v>
      </c>
      <c r="GR208" s="525" t="n"/>
      <c r="GS208" s="525" t="n"/>
      <c r="GT208" s="19" t="n"/>
      <c r="GV208" s="5">
        <f>C208</f>
        <v/>
      </c>
      <c r="GZ208" s="19" t="n"/>
      <c r="HA208" s="19" t="n"/>
      <c r="HB208" s="19" t="n"/>
      <c r="HD208" s="5">
        <f>C208</f>
        <v/>
      </c>
      <c r="HH208" s="19" t="n"/>
      <c r="HI208" s="19" t="n"/>
      <c r="HJ208" s="19" t="n"/>
      <c r="HL208" s="5">
        <f>C208</f>
        <v/>
      </c>
      <c r="HP208" s="19" t="n"/>
      <c r="HQ208" s="19" t="n"/>
      <c r="HR208" s="19" t="n"/>
      <c r="HT208" s="5">
        <f>C208</f>
        <v/>
      </c>
      <c r="HX208" s="19" t="n"/>
      <c r="HY208" s="19" t="n"/>
      <c r="HZ208" s="19" t="n"/>
      <c r="IA208" s="551" t="n"/>
      <c r="IB208" s="522">
        <f>C208</f>
        <v/>
      </c>
      <c r="IC208" s="522">
        <f>ID208*10000</f>
        <v/>
      </c>
      <c r="ID208" s="522" t="n">
        <v>23.32</v>
      </c>
      <c r="IF208" s="528" t="n"/>
      <c r="IG208" s="525" t="n"/>
      <c r="IH208" s="19" t="n"/>
      <c r="IJ208" s="5">
        <f>C208</f>
        <v/>
      </c>
      <c r="IN208" s="19" t="n"/>
      <c r="IO208" s="19" t="n"/>
      <c r="IP208" s="19" t="n"/>
      <c r="IR208" s="5">
        <f>C208</f>
        <v/>
      </c>
      <c r="IV208" s="19" t="n"/>
      <c r="IW208" s="19" t="n"/>
      <c r="IX208" s="19" t="n"/>
      <c r="IY208" s="551" t="n"/>
      <c r="IZ208" s="522">
        <f>C208</f>
        <v/>
      </c>
      <c r="JA208" s="522">
        <f>JB208*10000</f>
        <v/>
      </c>
      <c r="JB208" s="522" t="n">
        <v>318.34</v>
      </c>
      <c r="JD208" s="525" t="n"/>
      <c r="JE208" s="525" t="n"/>
      <c r="JF208" s="19" t="n"/>
      <c r="JG208" s="551" t="n"/>
      <c r="JH208" s="522">
        <f>C208</f>
        <v/>
      </c>
      <c r="JI208" s="522">
        <f>JJ208*10000</f>
        <v/>
      </c>
      <c r="JJ208" s="522" t="n">
        <v>72.33</v>
      </c>
      <c r="JL208" s="525" t="n"/>
      <c r="JM208" s="525" t="n"/>
      <c r="JN208" s="525" t="n"/>
      <c r="JO208" s="19" t="n"/>
      <c r="JP208" s="5">
        <f>C208</f>
        <v/>
      </c>
      <c r="JT208" s="19" t="n"/>
      <c r="JU208" s="19" t="n"/>
      <c r="JV208" s="19" t="n"/>
      <c r="JW208" s="525" t="n"/>
      <c r="JX208" s="522">
        <f>C208</f>
        <v/>
      </c>
      <c r="JY208" s="522">
        <f>JZ208*10000</f>
        <v/>
      </c>
      <c r="JZ208" s="522" t="n">
        <v>7.56</v>
      </c>
      <c r="KB208" s="525" t="n"/>
      <c r="KC208" s="525" t="n"/>
      <c r="KD208" s="525" t="n"/>
      <c r="KE208" s="19" t="n"/>
      <c r="KF208" s="5">
        <f>C208</f>
        <v/>
      </c>
      <c r="KG208" s="19" t="n"/>
      <c r="KH208" s="19" t="n"/>
      <c r="KJ208" s="19" t="n"/>
      <c r="KK208" s="19" t="n"/>
      <c r="KL208" s="19" t="n"/>
      <c r="KM208" s="19" t="n"/>
      <c r="KN208" s="5">
        <f>C208</f>
        <v/>
      </c>
      <c r="KR208" s="19" t="n"/>
      <c r="KS208" s="19" t="n"/>
      <c r="KT208" s="19" t="n"/>
      <c r="KV208" s="5">
        <f>C208</f>
        <v/>
      </c>
      <c r="KZ208" s="19" t="n"/>
      <c r="LA208" s="19" t="n"/>
      <c r="LB208" s="19" t="n"/>
      <c r="LD208" s="5">
        <f>C208</f>
        <v/>
      </c>
      <c r="LH208" s="19" t="n"/>
      <c r="LI208" s="19" t="n"/>
      <c r="LJ208" s="19" t="n"/>
      <c r="LL208" s="5">
        <f>C208</f>
        <v/>
      </c>
      <c r="LM208" s="633" t="n"/>
      <c r="LP208" s="19" t="n"/>
      <c r="LQ208" s="19" t="n"/>
      <c r="LR208" s="19" t="n"/>
      <c r="LS208" s="551" t="n"/>
      <c r="LT208" s="522">
        <f>C208</f>
        <v/>
      </c>
      <c r="LU208" s="522">
        <f>LV208*10000</f>
        <v/>
      </c>
      <c r="LV208" s="522" t="n">
        <v>15.84</v>
      </c>
      <c r="LX208" s="525" t="n"/>
      <c r="LY208" s="525" t="n"/>
      <c r="LZ208" s="19" t="n"/>
      <c r="MA208" s="551" t="n"/>
      <c r="MB208" s="522">
        <f>C208</f>
        <v/>
      </c>
      <c r="MC208" s="522">
        <f>MD208*10000</f>
        <v/>
      </c>
      <c r="MD208" s="522" t="n">
        <v>2.34</v>
      </c>
      <c r="MF208" s="525" t="n"/>
      <c r="MG208" s="525" t="n"/>
      <c r="MH208" s="19" t="n"/>
      <c r="MK208" s="5">
        <f>C208</f>
        <v/>
      </c>
      <c r="MM208" s="24" t="n"/>
      <c r="MO208" s="19" t="n"/>
      <c r="MP208" s="19" t="n"/>
      <c r="MQ208" s="19" t="n"/>
      <c r="MR208" s="19" t="n"/>
      <c r="MS208" s="19" t="n"/>
      <c r="MT208" s="25">
        <f>C208</f>
        <v/>
      </c>
      <c r="MX208" s="19" t="n"/>
      <c r="MY208" s="19" t="n"/>
      <c r="MZ208" s="19" t="n"/>
      <c r="NA208" s="19" t="n"/>
      <c r="NB208" s="19" t="n"/>
      <c r="NC208" s="5">
        <f>C208</f>
        <v/>
      </c>
      <c r="NG208" s="19" t="n"/>
      <c r="NH208" s="19" t="n"/>
      <c r="NI208" s="19" t="n"/>
      <c r="NJ208" s="19" t="n"/>
      <c r="NK208" s="19" t="n"/>
      <c r="NM208" s="5">
        <f>C208</f>
        <v/>
      </c>
      <c r="NQ208" s="19" t="n"/>
      <c r="NR208" s="19" t="n"/>
      <c r="NU208" s="5">
        <f>C208</f>
        <v/>
      </c>
      <c r="NY208" s="19" t="n"/>
      <c r="NZ208" s="19" t="n"/>
      <c r="OC208" s="5">
        <f>C208</f>
        <v/>
      </c>
      <c r="OG208" s="19" t="n"/>
      <c r="OH208" s="19" t="n"/>
      <c r="OI208" s="19" t="n"/>
      <c r="OK208" s="5">
        <f>C208</f>
        <v/>
      </c>
      <c r="OO208" s="19" t="n"/>
      <c r="OP208" s="19" t="n"/>
      <c r="OQ208" s="19" t="n"/>
      <c r="OT208" s="25">
        <f>OK208</f>
        <v/>
      </c>
      <c r="OX208" s="19" t="n"/>
    </row>
    <row r="209" ht="21" customFormat="1" customHeight="1" s="5">
      <c r="A209" s="631" t="n"/>
      <c r="B209" s="631" t="n"/>
      <c r="C209" s="714" t="inlineStr">
        <is>
          <t>2026//3//27</t>
        </is>
      </c>
      <c r="D209" s="521" t="n">
        <v>8516748.77</v>
      </c>
      <c r="E209" s="522">
        <f>D210</f>
        <v/>
      </c>
      <c r="F209" s="523">
        <f>D209-E209</f>
        <v/>
      </c>
      <c r="G209" s="524">
        <f>F209/E209</f>
        <v/>
      </c>
      <c r="H209" s="525" t="n"/>
      <c r="I209" s="526" t="n"/>
      <c r="J209" s="526" t="n"/>
      <c r="K209" s="522">
        <f>C209</f>
        <v/>
      </c>
      <c r="L209" s="527" t="n">
        <v>6118174.4</v>
      </c>
      <c r="M209" s="522">
        <f>L210</f>
        <v/>
      </c>
      <c r="N209" s="523">
        <f>L209-M209</f>
        <v/>
      </c>
      <c r="O209" s="525">
        <f>N209/M209</f>
        <v/>
      </c>
      <c r="P209" s="525" t="n"/>
      <c r="Q209" s="526" t="n"/>
      <c r="R209" s="523" t="n"/>
      <c r="S209" s="522">
        <f>C209</f>
        <v/>
      </c>
      <c r="T209" s="527" t="n">
        <v>5345256.68</v>
      </c>
      <c r="U209" s="522">
        <f>T210</f>
        <v/>
      </c>
      <c r="V209" s="523">
        <f>T209-U209</f>
        <v/>
      </c>
      <c r="W209" s="525">
        <f>V209/T209</f>
        <v/>
      </c>
      <c r="X209" s="525" t="n"/>
      <c r="Y209" s="526" t="n"/>
      <c r="Z209" s="523" t="n"/>
      <c r="AA209" s="522">
        <f>S209</f>
        <v/>
      </c>
      <c r="AB209" s="521" t="n"/>
      <c r="AC209" s="522" t="n"/>
      <c r="AD209" s="523" t="n"/>
      <c r="AE209" s="528" t="n"/>
      <c r="AF209" s="525" t="n"/>
      <c r="AG209" s="526" t="n"/>
      <c r="AH209" s="523" t="n"/>
      <c r="AI209" s="522">
        <f>C209</f>
        <v/>
      </c>
      <c r="AJ209" s="521" t="n"/>
      <c r="AK209" s="522" t="n"/>
      <c r="AL209" s="523" t="n"/>
      <c r="AM209" s="528" t="n"/>
      <c r="AN209" s="525" t="n"/>
      <c r="AO209" s="526" t="n"/>
      <c r="AP209" s="522" t="n"/>
      <c r="AQ209" s="522">
        <f>C209</f>
        <v/>
      </c>
      <c r="AR209" s="715" t="n"/>
      <c r="AS209" s="522" t="n"/>
      <c r="AT209" s="526" t="n"/>
      <c r="AU209" s="523" t="n"/>
      <c r="AV209" s="526" t="n"/>
      <c r="AW209" s="526" t="n"/>
      <c r="AX209" s="523" t="n"/>
      <c r="AY209" s="523" t="n"/>
      <c r="AZ209" s="523">
        <f>C209</f>
        <v/>
      </c>
      <c r="BA209" s="523" t="n"/>
      <c r="BB209" s="523" t="n"/>
      <c r="BC209" s="523" t="n"/>
      <c r="BD209" s="526" t="n"/>
      <c r="BE209" s="526" t="n"/>
      <c r="BF209" s="526" t="n"/>
      <c r="BG209" s="631" t="n"/>
      <c r="BH209" s="5">
        <f>C209</f>
        <v/>
      </c>
      <c r="BL209" s="19" t="n"/>
      <c r="BM209" s="19" t="n"/>
      <c r="BN209" s="19" t="n"/>
      <c r="BO209" s="551" t="n"/>
      <c r="BP209" s="522">
        <f>C209</f>
        <v/>
      </c>
      <c r="BQ209" s="715">
        <f>BR209*10000</f>
        <v/>
      </c>
      <c r="BR209" s="522" t="n">
        <v>5.69</v>
      </c>
      <c r="BT209" s="525" t="n"/>
      <c r="BU209" s="525" t="n"/>
      <c r="BV209" s="19" t="n"/>
      <c r="BX209" s="5">
        <f>C209</f>
        <v/>
      </c>
      <c r="CB209" s="19" t="n"/>
      <c r="CC209" s="19" t="n"/>
      <c r="CD209" s="19" t="n"/>
      <c r="CE209" s="552" t="n"/>
      <c r="CF209" s="528">
        <f>C209</f>
        <v/>
      </c>
      <c r="CG209" s="528">
        <f>CH209*10000</f>
        <v/>
      </c>
      <c r="CH209" s="528" t="n">
        <v>44.25</v>
      </c>
      <c r="CJ209" s="528" t="n"/>
      <c r="CK209" s="525" t="n"/>
      <c r="CL209" s="19" t="n"/>
      <c r="CN209" s="5">
        <f>C209</f>
        <v/>
      </c>
      <c r="CR209" s="19" t="n"/>
      <c r="CS209" s="19" t="n"/>
      <c r="CT209" s="19" t="n"/>
      <c r="CV209" s="5">
        <f>C209</f>
        <v/>
      </c>
      <c r="CZ209" s="19" t="n"/>
      <c r="DA209" s="19" t="n"/>
      <c r="DB209" s="19" t="n"/>
      <c r="DC209" s="23" t="n"/>
      <c r="DD209" s="5">
        <f>C209</f>
        <v/>
      </c>
      <c r="DH209" s="19" t="n"/>
      <c r="DI209" s="19" t="n"/>
      <c r="DJ209" s="19" t="n"/>
      <c r="DK209" s="551" t="n"/>
      <c r="DL209" s="522">
        <f>C209</f>
        <v/>
      </c>
      <c r="DM209" s="522">
        <f>DN209*10000</f>
        <v/>
      </c>
      <c r="DN209" s="522" t="n">
        <v>50.44</v>
      </c>
      <c r="DP209" s="525" t="n"/>
      <c r="DQ209" s="525" t="n"/>
      <c r="DR209" s="19" t="n"/>
      <c r="DT209" s="5">
        <f>C209</f>
        <v/>
      </c>
      <c r="DX209" s="19" t="n"/>
      <c r="DY209" s="19" t="n"/>
      <c r="DZ209" s="19" t="n"/>
      <c r="EB209" s="5">
        <f>C209</f>
        <v/>
      </c>
      <c r="EF209" s="19" t="n"/>
      <c r="EG209" s="19" t="n"/>
      <c r="EH209" s="19" t="n"/>
      <c r="EI209" s="551" t="n"/>
      <c r="EJ209" s="522">
        <f>C209</f>
        <v/>
      </c>
      <c r="EK209" s="522">
        <f>EL209*10000</f>
        <v/>
      </c>
      <c r="EL209" s="522" t="n">
        <v>60.24</v>
      </c>
      <c r="EN209" s="525" t="n"/>
      <c r="EO209" s="525" t="n"/>
      <c r="EP209" s="19" t="n"/>
      <c r="EQ209" s="19" t="n"/>
      <c r="ER209" s="5">
        <f>C209</f>
        <v/>
      </c>
      <c r="ES209" s="19" t="n"/>
      <c r="ET209" s="19" t="n"/>
      <c r="EU209" s="19" t="n"/>
      <c r="EV209" s="19" t="n"/>
      <c r="EW209" s="19" t="n"/>
      <c r="EX209" s="19" t="n"/>
      <c r="EY209" s="551" t="n"/>
      <c r="EZ209" s="522">
        <f>C209</f>
        <v/>
      </c>
      <c r="FA209" s="522">
        <f>FB209*10000</f>
        <v/>
      </c>
      <c r="FB209" s="522" t="n">
        <v>66.66</v>
      </c>
      <c r="FD209" s="525" t="n"/>
      <c r="FE209" s="525" t="n"/>
      <c r="FF209" s="19" t="n"/>
      <c r="FG209" s="19" t="n"/>
      <c r="FH209" s="5">
        <f>C209</f>
        <v/>
      </c>
      <c r="FI209" s="633" t="n"/>
      <c r="FL209" s="19" t="n"/>
      <c r="FM209" s="19" t="n"/>
      <c r="FN209" s="19" t="n"/>
      <c r="FP209" s="5">
        <f>C209</f>
        <v/>
      </c>
      <c r="FT209" s="19" t="n"/>
      <c r="FU209" s="19" t="n"/>
      <c r="FV209" s="19" t="n"/>
      <c r="FW209" s="551" t="n"/>
      <c r="FX209" s="522">
        <f>C209</f>
        <v/>
      </c>
      <c r="FY209" s="522">
        <f>FZ209*10000</f>
        <v/>
      </c>
      <c r="FZ209" s="522" t="n">
        <v>5.44</v>
      </c>
      <c r="GB209" s="525" t="n"/>
      <c r="GC209" s="525" t="n"/>
      <c r="GD209" s="19" t="n"/>
      <c r="GF209" s="5">
        <f>C209</f>
        <v/>
      </c>
      <c r="GJ209" s="19" t="n"/>
      <c r="GK209" s="19" t="n"/>
      <c r="GL209" s="19" t="n"/>
      <c r="GM209" s="551" t="n"/>
      <c r="GN209" s="522">
        <f>C209</f>
        <v/>
      </c>
      <c r="GO209" s="522">
        <f>GP209*10000</f>
        <v/>
      </c>
      <c r="GP209" s="522" t="n">
        <v>34.29</v>
      </c>
      <c r="GR209" s="525" t="n"/>
      <c r="GS209" s="525" t="n"/>
      <c r="GT209" s="19" t="n"/>
      <c r="GV209" s="5">
        <f>C209</f>
        <v/>
      </c>
      <c r="GZ209" s="19" t="n"/>
      <c r="HA209" s="19" t="n"/>
      <c r="HB209" s="19" t="n"/>
      <c r="HD209" s="5">
        <f>C209</f>
        <v/>
      </c>
      <c r="HH209" s="19" t="n"/>
      <c r="HI209" s="19" t="n"/>
      <c r="HJ209" s="19" t="n"/>
      <c r="HL209" s="5">
        <f>C209</f>
        <v/>
      </c>
      <c r="HP209" s="19" t="n"/>
      <c r="HQ209" s="19" t="n"/>
      <c r="HR209" s="19" t="n"/>
      <c r="HT209" s="5">
        <f>C209</f>
        <v/>
      </c>
      <c r="HX209" s="19" t="n"/>
      <c r="HY209" s="19" t="n"/>
      <c r="HZ209" s="19" t="n"/>
      <c r="IA209" s="551" t="n"/>
      <c r="IB209" s="522">
        <f>C209</f>
        <v/>
      </c>
      <c r="IC209" s="522">
        <f>ID209*10000</f>
        <v/>
      </c>
      <c r="ID209" s="522" t="n">
        <v>22.74</v>
      </c>
      <c r="IF209" s="528" t="n"/>
      <c r="IG209" s="525" t="n"/>
      <c r="IH209" s="19" t="n"/>
      <c r="IJ209" s="5">
        <f>C209</f>
        <v/>
      </c>
      <c r="IN209" s="19" t="n"/>
      <c r="IO209" s="19" t="n"/>
      <c r="IP209" s="19" t="n"/>
      <c r="IR209" s="5">
        <f>C209</f>
        <v/>
      </c>
      <c r="IV209" s="19" t="n"/>
      <c r="IW209" s="19" t="n"/>
      <c r="IX209" s="19" t="n"/>
      <c r="IY209" s="551" t="n"/>
      <c r="IZ209" s="522">
        <f>C209</f>
        <v/>
      </c>
      <c r="JA209" s="522">
        <f>JB209*10000</f>
        <v/>
      </c>
      <c r="JB209" s="522" t="n">
        <v>283.28</v>
      </c>
      <c r="JD209" s="525" t="n"/>
      <c r="JE209" s="525" t="n"/>
      <c r="JF209" s="19" t="n"/>
      <c r="JG209" s="551" t="n"/>
      <c r="JH209" s="522">
        <f>C209</f>
        <v/>
      </c>
      <c r="JI209" s="522">
        <f>JJ209*10000</f>
        <v/>
      </c>
      <c r="JJ209" s="522" t="n">
        <v>80.81999999999999</v>
      </c>
      <c r="JL209" s="525" t="n"/>
      <c r="JM209" s="525" t="n"/>
      <c r="JN209" s="525" t="n"/>
      <c r="JO209" s="19" t="n"/>
      <c r="JP209" s="5">
        <f>C209</f>
        <v/>
      </c>
      <c r="JT209" s="19" t="n"/>
      <c r="JU209" s="19" t="n"/>
      <c r="JV209" s="19" t="n"/>
      <c r="JW209" s="525" t="n"/>
      <c r="JX209" s="522">
        <f>C209</f>
        <v/>
      </c>
      <c r="JY209" s="522">
        <f>JZ209*10000</f>
        <v/>
      </c>
      <c r="JZ209" s="522" t="n">
        <v>5.96</v>
      </c>
      <c r="KB209" s="525" t="n"/>
      <c r="KC209" s="525" t="n"/>
      <c r="KD209" s="525" t="n"/>
      <c r="KE209" s="19" t="n"/>
      <c r="KF209" s="5">
        <f>C209</f>
        <v/>
      </c>
      <c r="KG209" s="19" t="n"/>
      <c r="KH209" s="19" t="n"/>
      <c r="KJ209" s="19" t="n"/>
      <c r="KK209" s="19" t="n"/>
      <c r="KL209" s="19" t="n"/>
      <c r="KM209" s="19" t="n"/>
      <c r="KN209" s="5">
        <f>C209</f>
        <v/>
      </c>
      <c r="KR209" s="19" t="n"/>
      <c r="KS209" s="19" t="n"/>
      <c r="KT209" s="19" t="n"/>
      <c r="KV209" s="5">
        <f>C209</f>
        <v/>
      </c>
      <c r="KZ209" s="19" t="n"/>
      <c r="LA209" s="19" t="n"/>
      <c r="LB209" s="19" t="n"/>
      <c r="LD209" s="5">
        <f>C209</f>
        <v/>
      </c>
      <c r="LH209" s="19" t="n"/>
      <c r="LI209" s="19" t="n"/>
      <c r="LJ209" s="19" t="n"/>
      <c r="LL209" s="5">
        <f>C209</f>
        <v/>
      </c>
      <c r="LM209" s="633" t="n"/>
      <c r="LP209" s="19" t="n"/>
      <c r="LQ209" s="19" t="n"/>
      <c r="LR209" s="19" t="n"/>
      <c r="LS209" s="551" t="n"/>
      <c r="LT209" s="522">
        <f>C209</f>
        <v/>
      </c>
      <c r="LU209" s="522">
        <f>LV209*10000</f>
        <v/>
      </c>
      <c r="LV209" s="522" t="n">
        <v>16.12</v>
      </c>
      <c r="LX209" s="525" t="n"/>
      <c r="LY209" s="525" t="n"/>
      <c r="LZ209" s="19" t="n"/>
      <c r="MA209" s="551" t="n"/>
      <c r="MB209" s="522">
        <f>C209</f>
        <v/>
      </c>
      <c r="MC209" s="522">
        <f>MD209*10000</f>
        <v/>
      </c>
      <c r="MD209" s="522" t="n">
        <v>4.55</v>
      </c>
      <c r="MF209" s="525" t="n"/>
      <c r="MG209" s="525" t="n"/>
      <c r="MH209" s="19" t="n"/>
      <c r="MK209" s="5">
        <f>C209</f>
        <v/>
      </c>
      <c r="MM209" s="24" t="n"/>
      <c r="MO209" s="19" t="n"/>
      <c r="MP209" s="19" t="n"/>
      <c r="MQ209" s="19" t="n"/>
      <c r="MR209" s="19" t="n"/>
      <c r="MS209" s="19" t="n"/>
      <c r="MT209" s="25">
        <f>C209</f>
        <v/>
      </c>
      <c r="MX209" s="19" t="n"/>
      <c r="MY209" s="19" t="n"/>
      <c r="MZ209" s="19" t="n"/>
      <c r="NA209" s="19" t="n"/>
      <c r="NB209" s="19" t="n"/>
      <c r="NC209" s="5">
        <f>C209</f>
        <v/>
      </c>
      <c r="NG209" s="19" t="n"/>
      <c r="NH209" s="19" t="n"/>
      <c r="NI209" s="19" t="n"/>
      <c r="NJ209" s="19" t="n"/>
      <c r="NK209" s="19" t="n"/>
      <c r="NM209" s="5">
        <f>C209</f>
        <v/>
      </c>
      <c r="NQ209" s="19" t="n"/>
      <c r="NR209" s="19" t="n"/>
      <c r="NU209" s="5">
        <f>C209</f>
        <v/>
      </c>
      <c r="NY209" s="19" t="n"/>
      <c r="NZ209" s="19" t="n"/>
      <c r="OC209" s="5">
        <f>C209</f>
        <v/>
      </c>
      <c r="OG209" s="19" t="n"/>
      <c r="OH209" s="19" t="n"/>
      <c r="OI209" s="19" t="n"/>
      <c r="OK209" s="5">
        <f>C209</f>
        <v/>
      </c>
      <c r="OO209" s="19" t="n"/>
      <c r="OP209" s="19" t="n"/>
      <c r="OQ209" s="19" t="n"/>
      <c r="OT209" s="25">
        <f>OK209</f>
        <v/>
      </c>
      <c r="OX209" s="19" t="n"/>
    </row>
    <row r="210" ht="21" customFormat="1" customHeight="1" s="5">
      <c r="A210" s="631" t="n"/>
      <c r="B210" s="631" t="n"/>
      <c r="C210" s="714" t="inlineStr">
        <is>
          <t>2026//3//26</t>
        </is>
      </c>
      <c r="D210" s="521" t="n">
        <v>8519538.77</v>
      </c>
      <c r="E210" s="522">
        <f>D211</f>
        <v/>
      </c>
      <c r="F210" s="523">
        <f>D210-E210</f>
        <v/>
      </c>
      <c r="G210" s="524">
        <f>F210/E210</f>
        <v/>
      </c>
      <c r="H210" s="525" t="n"/>
      <c r="I210" s="526" t="n"/>
      <c r="J210" s="526" t="n"/>
      <c r="K210" s="522">
        <f>C210</f>
        <v/>
      </c>
      <c r="L210" s="527" t="n">
        <v>6123664.4</v>
      </c>
      <c r="M210" s="522">
        <f>L211</f>
        <v/>
      </c>
      <c r="N210" s="523">
        <f>L210-M210</f>
        <v/>
      </c>
      <c r="O210" s="525">
        <f>N210/M210</f>
        <v/>
      </c>
      <c r="P210" s="525" t="n"/>
      <c r="Q210" s="526" t="n"/>
      <c r="R210" s="523" t="n"/>
      <c r="S210" s="522">
        <f>C210</f>
        <v/>
      </c>
      <c r="T210" s="527" t="n">
        <v>5335626.68</v>
      </c>
      <c r="U210" s="522">
        <f>T211</f>
        <v/>
      </c>
      <c r="V210" s="523">
        <f>T210-U210</f>
        <v/>
      </c>
      <c r="W210" s="525">
        <f>V210/T210</f>
        <v/>
      </c>
      <c r="X210" s="525" t="n"/>
      <c r="Y210" s="526" t="n"/>
      <c r="Z210" s="523" t="n"/>
      <c r="AA210" s="522">
        <f>S210</f>
        <v/>
      </c>
      <c r="AB210" s="521" t="n"/>
      <c r="AC210" s="522" t="n"/>
      <c r="AD210" s="523" t="n"/>
      <c r="AE210" s="528" t="n"/>
      <c r="AF210" s="525" t="n"/>
      <c r="AG210" s="526" t="n"/>
      <c r="AH210" s="523" t="n"/>
      <c r="AI210" s="522">
        <f>C210</f>
        <v/>
      </c>
      <c r="AJ210" s="521" t="n"/>
      <c r="AK210" s="522" t="n"/>
      <c r="AL210" s="523" t="n"/>
      <c r="AM210" s="528" t="n"/>
      <c r="AN210" s="525" t="n"/>
      <c r="AO210" s="526" t="n"/>
      <c r="AP210" s="522" t="n"/>
      <c r="AQ210" s="522">
        <f>C210</f>
        <v/>
      </c>
      <c r="AR210" s="715" t="n"/>
      <c r="AS210" s="522" t="n"/>
      <c r="AT210" s="526" t="n"/>
      <c r="AU210" s="523" t="n"/>
      <c r="AV210" s="526" t="n"/>
      <c r="AW210" s="526" t="n"/>
      <c r="AX210" s="523" t="n"/>
      <c r="AY210" s="523" t="n"/>
      <c r="AZ210" s="523">
        <f>C210</f>
        <v/>
      </c>
      <c r="BA210" s="523" t="n"/>
      <c r="BB210" s="523" t="n"/>
      <c r="BC210" s="523" t="n"/>
      <c r="BD210" s="526" t="n"/>
      <c r="BE210" s="526" t="n"/>
      <c r="BF210" s="526" t="n"/>
      <c r="BG210" s="631" t="n"/>
      <c r="BH210" s="5">
        <f>C210</f>
        <v/>
      </c>
      <c r="BL210" s="19" t="n"/>
      <c r="BM210" s="19" t="n"/>
      <c r="BN210" s="19" t="n"/>
      <c r="BP210" s="5">
        <f>C210</f>
        <v/>
      </c>
      <c r="BQ210" s="633" t="n"/>
      <c r="BT210" s="19" t="n"/>
      <c r="BU210" s="19" t="n"/>
      <c r="BV210" s="19" t="n"/>
      <c r="BX210" s="5">
        <f>C210</f>
        <v/>
      </c>
      <c r="CB210" s="19" t="n"/>
      <c r="CC210" s="19" t="n"/>
      <c r="CD210" s="19" t="n"/>
      <c r="CE210" s="552" t="n"/>
      <c r="CF210" s="528">
        <f>C210</f>
        <v/>
      </c>
      <c r="CG210" s="528">
        <f>CH210*10000</f>
        <v/>
      </c>
      <c r="CH210" s="528" t="n">
        <v>12.15</v>
      </c>
      <c r="CJ210" s="528" t="n"/>
      <c r="CK210" s="525" t="n"/>
      <c r="CL210" s="19" t="n"/>
      <c r="CN210" s="5">
        <f>C210</f>
        <v/>
      </c>
      <c r="CR210" s="19" t="n"/>
      <c r="CS210" s="19" t="n"/>
      <c r="CT210" s="19" t="n"/>
      <c r="CV210" s="5">
        <f>C210</f>
        <v/>
      </c>
      <c r="CZ210" s="19" t="n"/>
      <c r="DA210" s="19" t="n"/>
      <c r="DB210" s="19" t="n"/>
      <c r="DC210" s="23" t="n"/>
      <c r="DD210" s="5">
        <f>C210</f>
        <v/>
      </c>
      <c r="DH210" s="19" t="n"/>
      <c r="DI210" s="19" t="n"/>
      <c r="DJ210" s="19" t="n"/>
      <c r="DK210" s="551" t="n"/>
      <c r="DL210" s="522">
        <f>C210</f>
        <v/>
      </c>
      <c r="DM210" s="522">
        <f>DN210*10000</f>
        <v/>
      </c>
      <c r="DN210" s="522" t="n">
        <v>41.54</v>
      </c>
      <c r="DP210" s="525" t="n"/>
      <c r="DQ210" s="525" t="n"/>
      <c r="DR210" s="19" t="n"/>
      <c r="DT210" s="5">
        <f>C210</f>
        <v/>
      </c>
      <c r="DX210" s="19" t="n"/>
      <c r="DY210" s="19" t="n"/>
      <c r="DZ210" s="19" t="n"/>
      <c r="EB210" s="5">
        <f>C210</f>
        <v/>
      </c>
      <c r="EF210" s="19" t="n"/>
      <c r="EG210" s="19" t="n"/>
      <c r="EH210" s="19" t="n"/>
      <c r="EJ210" s="5">
        <f>C210</f>
        <v/>
      </c>
      <c r="EN210" s="19" t="n"/>
      <c r="EO210" s="19" t="n"/>
      <c r="EP210" s="19" t="n"/>
      <c r="EQ210" s="19" t="n"/>
      <c r="ER210" s="5">
        <f>C210</f>
        <v/>
      </c>
      <c r="ES210" s="19" t="n"/>
      <c r="ET210" s="19" t="n"/>
      <c r="EU210" s="19" t="n"/>
      <c r="EV210" s="19" t="n"/>
      <c r="EW210" s="19" t="n"/>
      <c r="EX210" s="19" t="n"/>
      <c r="EY210" s="551" t="n"/>
      <c r="EZ210" s="522">
        <f>C210</f>
        <v/>
      </c>
      <c r="FA210" s="522">
        <f>FB210*10000</f>
        <v/>
      </c>
      <c r="FB210" s="522" t="n">
        <v>26.45</v>
      </c>
      <c r="FD210" s="525" t="n"/>
      <c r="FE210" s="525" t="n"/>
      <c r="FF210" s="19" t="n"/>
      <c r="FG210" s="19" t="n"/>
      <c r="FH210" s="5">
        <f>C210</f>
        <v/>
      </c>
      <c r="FI210" s="633" t="n"/>
      <c r="FL210" s="19" t="n"/>
      <c r="FM210" s="19" t="n"/>
      <c r="FN210" s="19" t="n"/>
      <c r="FP210" s="5">
        <f>C210</f>
        <v/>
      </c>
      <c r="FT210" s="19" t="n"/>
      <c r="FU210" s="19" t="n"/>
      <c r="FV210" s="19" t="n"/>
      <c r="FW210" s="551" t="n"/>
      <c r="FX210" s="522">
        <f>C210</f>
        <v/>
      </c>
      <c r="FY210" s="522">
        <f>FZ210*10000</f>
        <v/>
      </c>
      <c r="FZ210" s="522" t="n">
        <v>6.04</v>
      </c>
      <c r="GB210" s="525" t="n"/>
      <c r="GC210" s="525" t="n"/>
      <c r="GD210" s="19" t="n"/>
      <c r="GF210" s="5">
        <f>C210</f>
        <v/>
      </c>
      <c r="GJ210" s="19" t="n"/>
      <c r="GK210" s="19" t="n"/>
      <c r="GL210" s="19" t="n"/>
      <c r="GM210" s="551" t="n"/>
      <c r="GN210" s="522">
        <f>C210</f>
        <v/>
      </c>
      <c r="GO210" s="522">
        <f>GP210*10000</f>
        <v/>
      </c>
      <c r="GP210" s="522" t="n">
        <v>20.24</v>
      </c>
      <c r="GR210" s="525" t="n"/>
      <c r="GS210" s="525" t="n"/>
      <c r="GT210" s="19" t="n"/>
      <c r="GV210" s="5">
        <f>C210</f>
        <v/>
      </c>
      <c r="GZ210" s="19" t="n"/>
      <c r="HA210" s="19" t="n"/>
      <c r="HB210" s="19" t="n"/>
      <c r="HD210" s="5">
        <f>C210</f>
        <v/>
      </c>
      <c r="HH210" s="19" t="n"/>
      <c r="HI210" s="19" t="n"/>
      <c r="HJ210" s="19" t="n"/>
      <c r="HL210" s="5">
        <f>C210</f>
        <v/>
      </c>
      <c r="HP210" s="19" t="n"/>
      <c r="HQ210" s="19" t="n"/>
      <c r="HR210" s="19" t="n"/>
      <c r="HT210" s="5">
        <f>C210</f>
        <v/>
      </c>
      <c r="HX210" s="19" t="n"/>
      <c r="HY210" s="19" t="n"/>
      <c r="HZ210" s="19" t="n"/>
      <c r="IA210" s="551" t="n"/>
      <c r="IB210" s="522">
        <f>C210</f>
        <v/>
      </c>
      <c r="IC210" s="522">
        <f>ID210*10000</f>
        <v/>
      </c>
      <c r="ID210" s="522" t="n">
        <v>16.4</v>
      </c>
      <c r="IF210" s="528" t="n"/>
      <c r="IG210" s="525" t="n"/>
      <c r="IH210" s="19" t="n"/>
      <c r="IJ210" s="5">
        <f>C210</f>
        <v/>
      </c>
      <c r="IN210" s="19" t="n"/>
      <c r="IO210" s="19" t="n"/>
      <c r="IP210" s="19" t="n"/>
      <c r="IR210" s="5">
        <f>C210</f>
        <v/>
      </c>
      <c r="IV210" s="19" t="n"/>
      <c r="IW210" s="19" t="n"/>
      <c r="IX210" s="19" t="n"/>
      <c r="IY210" s="551" t="n"/>
      <c r="IZ210" s="522">
        <f>C210</f>
        <v/>
      </c>
      <c r="JA210" s="522">
        <f>JB210*10000</f>
        <v/>
      </c>
      <c r="JB210" s="522" t="n">
        <v>195.14</v>
      </c>
      <c r="JD210" s="525" t="n"/>
      <c r="JE210" s="525" t="n"/>
      <c r="JF210" s="19" t="n"/>
      <c r="JG210" s="551" t="n"/>
      <c r="JH210" s="522">
        <f>C210</f>
        <v/>
      </c>
      <c r="JI210" s="522">
        <f>JJ210*10000</f>
        <v/>
      </c>
      <c r="JJ210" s="522" t="n">
        <v>65.87</v>
      </c>
      <c r="JL210" s="525" t="n"/>
      <c r="JM210" s="525" t="n"/>
      <c r="JN210" s="525" t="n"/>
      <c r="JO210" s="19" t="n"/>
      <c r="JP210" s="5">
        <f>C210</f>
        <v/>
      </c>
      <c r="JT210" s="19" t="n"/>
      <c r="JU210" s="19" t="n"/>
      <c r="JV210" s="19" t="n"/>
      <c r="JW210" s="525" t="n"/>
      <c r="JX210" s="522">
        <f>C210</f>
        <v/>
      </c>
      <c r="JY210" s="522">
        <f>JZ210*10000</f>
        <v/>
      </c>
      <c r="JZ210" s="522" t="n">
        <v>3.28</v>
      </c>
      <c r="KB210" s="525" t="n"/>
      <c r="KC210" s="525" t="n"/>
      <c r="KD210" s="525" t="n"/>
      <c r="KE210" s="19" t="n"/>
      <c r="KF210" s="5">
        <f>C210</f>
        <v/>
      </c>
      <c r="KG210" s="19" t="n"/>
      <c r="KH210" s="19" t="n"/>
      <c r="KJ210" s="19" t="n"/>
      <c r="KK210" s="19" t="n"/>
      <c r="KL210" s="19" t="n"/>
      <c r="KM210" s="19" t="n"/>
      <c r="KN210" s="5">
        <f>C210</f>
        <v/>
      </c>
      <c r="KR210" s="19" t="n"/>
      <c r="KS210" s="19" t="n"/>
      <c r="KT210" s="19" t="n"/>
      <c r="KV210" s="5">
        <f>C210</f>
        <v/>
      </c>
      <c r="KZ210" s="19" t="n"/>
      <c r="LA210" s="19" t="n"/>
      <c r="LB210" s="19" t="n"/>
      <c r="LD210" s="5">
        <f>C210</f>
        <v/>
      </c>
      <c r="LH210" s="19" t="n"/>
      <c r="LI210" s="19" t="n"/>
      <c r="LJ210" s="19" t="n"/>
      <c r="LL210" s="5">
        <f>C210</f>
        <v/>
      </c>
      <c r="LM210" s="633" t="n"/>
      <c r="LP210" s="19" t="n"/>
      <c r="LQ210" s="19" t="n"/>
      <c r="LR210" s="19" t="n"/>
      <c r="LS210" s="551" t="n"/>
      <c r="LT210" s="522">
        <f>C210</f>
        <v/>
      </c>
      <c r="LU210" s="522">
        <f>LV210*10000</f>
        <v/>
      </c>
      <c r="LV210" s="522" t="n">
        <v>16.96</v>
      </c>
      <c r="LX210" s="525" t="n"/>
      <c r="LY210" s="525" t="n"/>
      <c r="LZ210" s="19" t="n"/>
      <c r="MA210" s="551" t="n"/>
      <c r="MB210" s="522">
        <f>C210</f>
        <v/>
      </c>
      <c r="MC210" s="522">
        <f>MD210*10000</f>
        <v/>
      </c>
      <c r="MD210" s="522" t="n">
        <v>3.27</v>
      </c>
      <c r="MF210" s="525" t="n"/>
      <c r="MG210" s="525" t="n"/>
      <c r="MH210" s="19" t="n"/>
      <c r="MK210" s="5">
        <f>C210</f>
        <v/>
      </c>
      <c r="MM210" s="24" t="n"/>
      <c r="MO210" s="19" t="n"/>
      <c r="MP210" s="19" t="n"/>
      <c r="MQ210" s="19" t="n"/>
      <c r="MR210" s="19" t="n"/>
      <c r="MS210" s="19" t="n"/>
      <c r="MT210" s="25">
        <f>C210</f>
        <v/>
      </c>
      <c r="MX210" s="19" t="n"/>
      <c r="MY210" s="19" t="n"/>
      <c r="MZ210" s="19" t="n"/>
      <c r="NA210" s="19" t="n"/>
      <c r="NB210" s="19" t="n"/>
      <c r="NC210" s="5">
        <f>C210</f>
        <v/>
      </c>
      <c r="NG210" s="19" t="n"/>
      <c r="NH210" s="19" t="n"/>
      <c r="NI210" s="19" t="n"/>
      <c r="NJ210" s="19" t="n"/>
      <c r="NK210" s="19" t="n"/>
      <c r="NM210" s="5">
        <f>C210</f>
        <v/>
      </c>
      <c r="NQ210" s="19" t="n"/>
      <c r="NR210" s="19" t="n"/>
      <c r="NU210" s="5">
        <f>C210</f>
        <v/>
      </c>
      <c r="NY210" s="19" t="n"/>
      <c r="NZ210" s="19" t="n"/>
      <c r="OC210" s="5">
        <f>C210</f>
        <v/>
      </c>
      <c r="OG210" s="19" t="n"/>
      <c r="OH210" s="19" t="n"/>
      <c r="OI210" s="19" t="n"/>
      <c r="OK210" s="5">
        <f>C210</f>
        <v/>
      </c>
      <c r="OO210" s="19" t="n"/>
      <c r="OP210" s="19" t="n"/>
      <c r="OQ210" s="19" t="n"/>
      <c r="OT210" s="25">
        <f>OK210</f>
        <v/>
      </c>
      <c r="OX210" s="19" t="n"/>
    </row>
    <row r="211" ht="21" customFormat="1" customHeight="1" s="5">
      <c r="A211" s="631" t="n"/>
      <c r="B211" s="631" t="n"/>
      <c r="C211" s="714" t="inlineStr">
        <is>
          <t>2026//3//25</t>
        </is>
      </c>
      <c r="D211" s="521" t="n">
        <v>8509368.77</v>
      </c>
      <c r="E211" s="522">
        <f>D212</f>
        <v/>
      </c>
      <c r="F211" s="523">
        <f>D211-E211</f>
        <v/>
      </c>
      <c r="G211" s="524">
        <f>F211/E211</f>
        <v/>
      </c>
      <c r="H211" s="525" t="n"/>
      <c r="I211" s="526" t="n"/>
      <c r="J211" s="526" t="n"/>
      <c r="K211" s="522">
        <f>C211</f>
        <v/>
      </c>
      <c r="L211" s="527" t="n">
        <v>6120514.4</v>
      </c>
      <c r="M211" s="522">
        <f>L212</f>
        <v/>
      </c>
      <c r="N211" s="523">
        <f>L211-M211</f>
        <v/>
      </c>
      <c r="O211" s="525">
        <f>N211/M211</f>
        <v/>
      </c>
      <c r="P211" s="525" t="n"/>
      <c r="Q211" s="526" t="n"/>
      <c r="R211" s="523" t="n"/>
      <c r="S211" s="522">
        <f>C211</f>
        <v/>
      </c>
      <c r="T211" s="527" t="n">
        <v>5304036.68</v>
      </c>
      <c r="U211" s="522">
        <f>T212</f>
        <v/>
      </c>
      <c r="V211" s="523">
        <f>T211-U211</f>
        <v/>
      </c>
      <c r="W211" s="525">
        <f>V211/T211</f>
        <v/>
      </c>
      <c r="X211" s="525" t="n"/>
      <c r="Y211" s="526" t="n"/>
      <c r="Z211" s="523" t="n"/>
      <c r="AA211" s="522">
        <f>S211</f>
        <v/>
      </c>
      <c r="AB211" s="521" t="n"/>
      <c r="AC211" s="522" t="n"/>
      <c r="AD211" s="523" t="n"/>
      <c r="AE211" s="528" t="n"/>
      <c r="AF211" s="525" t="n"/>
      <c r="AG211" s="526" t="n"/>
      <c r="AH211" s="523" t="n"/>
      <c r="AI211" s="522">
        <f>C211</f>
        <v/>
      </c>
      <c r="AJ211" s="521" t="n"/>
      <c r="AK211" s="522" t="n"/>
      <c r="AL211" s="523" t="n"/>
      <c r="AM211" s="528" t="n"/>
      <c r="AN211" s="525" t="n"/>
      <c r="AO211" s="526" t="n"/>
      <c r="AP211" s="522" t="n"/>
      <c r="AQ211" s="522">
        <f>C211</f>
        <v/>
      </c>
      <c r="AR211" s="715" t="n"/>
      <c r="AS211" s="522" t="n"/>
      <c r="AT211" s="526" t="n"/>
      <c r="AU211" s="523" t="n"/>
      <c r="AV211" s="526" t="n"/>
      <c r="AW211" s="526" t="n"/>
      <c r="AX211" s="523" t="n"/>
      <c r="AY211" s="523" t="n"/>
      <c r="AZ211" s="523">
        <f>C211</f>
        <v/>
      </c>
      <c r="BA211" s="523" t="n"/>
      <c r="BB211" s="523" t="n"/>
      <c r="BC211" s="523" t="n"/>
      <c r="BD211" s="526" t="n"/>
      <c r="BE211" s="526" t="n"/>
      <c r="BF211" s="526" t="n"/>
      <c r="BG211" s="631" t="n"/>
      <c r="BH211" s="5">
        <f>C211</f>
        <v/>
      </c>
      <c r="BL211" s="19" t="n"/>
      <c r="BM211" s="19" t="n"/>
      <c r="BN211" s="19" t="n"/>
      <c r="BP211" s="5">
        <f>C211</f>
        <v/>
      </c>
      <c r="BQ211" s="633" t="n"/>
      <c r="BT211" s="19" t="n"/>
      <c r="BU211" s="19" t="n"/>
      <c r="BV211" s="19" t="n"/>
      <c r="BX211" s="5">
        <f>C211</f>
        <v/>
      </c>
      <c r="CB211" s="19" t="n"/>
      <c r="CC211" s="19" t="n"/>
      <c r="CD211" s="19" t="n"/>
      <c r="CE211" s="552" t="n"/>
      <c r="CF211" s="528">
        <f>C211</f>
        <v/>
      </c>
      <c r="CG211" s="528">
        <f>CH211*10000</f>
        <v/>
      </c>
      <c r="CH211" s="528" t="n">
        <v>10.52</v>
      </c>
      <c r="CJ211" s="528" t="n"/>
      <c r="CK211" s="525" t="n"/>
      <c r="CL211" s="19" t="n"/>
      <c r="CN211" s="5">
        <f>C211</f>
        <v/>
      </c>
      <c r="CR211" s="19" t="n"/>
      <c r="CS211" s="19" t="n"/>
      <c r="CT211" s="19" t="n"/>
      <c r="CV211" s="5">
        <f>C211</f>
        <v/>
      </c>
      <c r="CZ211" s="19" t="n"/>
      <c r="DA211" s="19" t="n"/>
      <c r="DB211" s="19" t="n"/>
      <c r="DC211" s="23" t="n"/>
      <c r="DD211" s="5">
        <f>C211</f>
        <v/>
      </c>
      <c r="DH211" s="19" t="n"/>
      <c r="DI211" s="19" t="n"/>
      <c r="DJ211" s="19" t="n"/>
      <c r="DK211" s="551" t="n"/>
      <c r="DL211" s="522">
        <f>C211</f>
        <v/>
      </c>
      <c r="DM211" s="522">
        <f>DN211*10000</f>
        <v/>
      </c>
      <c r="DN211" s="522" t="n">
        <v>27.77</v>
      </c>
      <c r="DP211" s="525" t="n"/>
      <c r="DQ211" s="525" t="n"/>
      <c r="DR211" s="19" t="n"/>
      <c r="DT211" s="5">
        <f>C211</f>
        <v/>
      </c>
      <c r="DX211" s="19" t="n"/>
      <c r="DY211" s="19" t="n"/>
      <c r="DZ211" s="19" t="n"/>
      <c r="EB211" s="5">
        <f>C211</f>
        <v/>
      </c>
      <c r="EF211" s="19" t="n"/>
      <c r="EG211" s="19" t="n"/>
      <c r="EH211" s="19" t="n"/>
      <c r="EJ211" s="5">
        <f>C211</f>
        <v/>
      </c>
      <c r="EN211" s="19" t="n"/>
      <c r="EO211" s="19" t="n"/>
      <c r="EP211" s="19" t="n"/>
      <c r="EQ211" s="19" t="n"/>
      <c r="ER211" s="5">
        <f>C211</f>
        <v/>
      </c>
      <c r="ES211" s="19" t="n"/>
      <c r="ET211" s="19" t="n"/>
      <c r="EU211" s="19" t="n"/>
      <c r="EV211" s="19" t="n"/>
      <c r="EW211" s="19" t="n"/>
      <c r="EX211" s="19" t="n"/>
      <c r="EY211" s="551" t="n"/>
      <c r="EZ211" s="522">
        <f>C211</f>
        <v/>
      </c>
      <c r="FA211" s="522">
        <f>FB211*10000</f>
        <v/>
      </c>
      <c r="FB211" s="522" t="n">
        <v>23.03</v>
      </c>
      <c r="FD211" s="525" t="n"/>
      <c r="FE211" s="525" t="n"/>
      <c r="FF211" s="19" t="n"/>
      <c r="FG211" s="19" t="n"/>
      <c r="FH211" s="5">
        <f>C211</f>
        <v/>
      </c>
      <c r="FI211" s="633" t="n"/>
      <c r="FL211" s="19" t="n"/>
      <c r="FM211" s="19" t="n"/>
      <c r="FN211" s="19" t="n"/>
      <c r="FP211" s="5">
        <f>C211</f>
        <v/>
      </c>
      <c r="FT211" s="19" t="n"/>
      <c r="FU211" s="19" t="n"/>
      <c r="FV211" s="19" t="n"/>
      <c r="FW211" s="551" t="n"/>
      <c r="FX211" s="522">
        <f>C211</f>
        <v/>
      </c>
      <c r="FY211" s="522">
        <f>FZ211*10000</f>
        <v/>
      </c>
      <c r="FZ211" s="522" t="n">
        <v>6.23</v>
      </c>
      <c r="GB211" s="525" t="n"/>
      <c r="GC211" s="525" t="n"/>
      <c r="GD211" s="19" t="n"/>
      <c r="GF211" s="5">
        <f>C211</f>
        <v/>
      </c>
      <c r="GJ211" s="19" t="n"/>
      <c r="GK211" s="19" t="n"/>
      <c r="GL211" s="19" t="n"/>
      <c r="GN211" s="5">
        <f>C211</f>
        <v/>
      </c>
      <c r="GR211" s="19" t="n"/>
      <c r="GS211" s="19" t="n"/>
      <c r="GT211" s="19" t="n"/>
      <c r="GV211" s="5">
        <f>C211</f>
        <v/>
      </c>
      <c r="GZ211" s="19" t="n"/>
      <c r="HA211" s="19" t="n"/>
      <c r="HB211" s="19" t="n"/>
      <c r="HD211" s="5">
        <f>C211</f>
        <v/>
      </c>
      <c r="HH211" s="19" t="n"/>
      <c r="HI211" s="19" t="n"/>
      <c r="HJ211" s="19" t="n"/>
      <c r="HL211" s="5">
        <f>C211</f>
        <v/>
      </c>
      <c r="HP211" s="19" t="n"/>
      <c r="HQ211" s="19" t="n"/>
      <c r="HR211" s="19" t="n"/>
      <c r="HT211" s="5">
        <f>C211</f>
        <v/>
      </c>
      <c r="HX211" s="19" t="n"/>
      <c r="HY211" s="19" t="n"/>
      <c r="HZ211" s="19" t="n"/>
      <c r="IA211" s="551" t="n"/>
      <c r="IB211" s="522">
        <f>C211</f>
        <v/>
      </c>
      <c r="IC211" s="522">
        <f>ID211*10000</f>
        <v/>
      </c>
      <c r="ID211" s="522" t="n">
        <v>5.93</v>
      </c>
      <c r="IF211" s="528" t="n"/>
      <c r="IG211" s="525" t="n"/>
      <c r="IH211" s="19" t="n"/>
      <c r="IJ211" s="5">
        <f>C211</f>
        <v/>
      </c>
      <c r="IN211" s="19" t="n"/>
      <c r="IO211" s="19" t="n"/>
      <c r="IP211" s="19" t="n"/>
      <c r="IR211" s="5">
        <f>C211</f>
        <v/>
      </c>
      <c r="IV211" s="19" t="n"/>
      <c r="IW211" s="19" t="n"/>
      <c r="IX211" s="19" t="n"/>
      <c r="IY211" s="551" t="n"/>
      <c r="IZ211" s="522">
        <f>C211</f>
        <v/>
      </c>
      <c r="JA211" s="522">
        <f>JB211*10000</f>
        <v/>
      </c>
      <c r="JB211" s="522" t="n">
        <v>196.51</v>
      </c>
      <c r="JD211" s="525" t="n"/>
      <c r="JE211" s="525" t="n"/>
      <c r="JF211" s="19" t="n"/>
      <c r="JG211" s="551" t="n"/>
      <c r="JH211" s="522">
        <f>C211</f>
        <v/>
      </c>
      <c r="JI211" s="522">
        <f>JJ211*10000</f>
        <v/>
      </c>
      <c r="JJ211" s="522" t="n">
        <v>36.71</v>
      </c>
      <c r="JL211" s="525" t="n"/>
      <c r="JM211" s="525" t="n"/>
      <c r="JN211" s="525" t="n"/>
      <c r="JO211" s="19" t="n"/>
      <c r="JP211" s="5">
        <f>C211</f>
        <v/>
      </c>
      <c r="JT211" s="19" t="n"/>
      <c r="JU211" s="19" t="n"/>
      <c r="JV211" s="19" t="n"/>
      <c r="JW211" s="19" t="n"/>
      <c r="JX211" s="5">
        <f>C211</f>
        <v/>
      </c>
      <c r="KB211" s="19" t="n"/>
      <c r="KC211" s="19" t="n"/>
      <c r="KD211" s="19" t="n"/>
      <c r="KE211" s="19" t="n"/>
      <c r="KF211" s="5">
        <f>C211</f>
        <v/>
      </c>
      <c r="KG211" s="19" t="n"/>
      <c r="KH211" s="19" t="n"/>
      <c r="KJ211" s="19" t="n"/>
      <c r="KK211" s="19" t="n"/>
      <c r="KL211" s="19" t="n"/>
      <c r="KM211" s="19" t="n"/>
      <c r="KN211" s="5">
        <f>C211</f>
        <v/>
      </c>
      <c r="KR211" s="19" t="n"/>
      <c r="KS211" s="19" t="n"/>
      <c r="KT211" s="19" t="n"/>
      <c r="KV211" s="5">
        <f>C211</f>
        <v/>
      </c>
      <c r="KZ211" s="19" t="n"/>
      <c r="LA211" s="19" t="n"/>
      <c r="LB211" s="19" t="n"/>
      <c r="LD211" s="5">
        <f>C211</f>
        <v/>
      </c>
      <c r="LH211" s="19" t="n"/>
      <c r="LI211" s="19" t="n"/>
      <c r="LJ211" s="19" t="n"/>
      <c r="LL211" s="5">
        <f>C211</f>
        <v/>
      </c>
      <c r="LM211" s="633" t="n"/>
      <c r="LP211" s="19" t="n"/>
      <c r="LQ211" s="19" t="n"/>
      <c r="LR211" s="19" t="n"/>
      <c r="LS211" s="551" t="n"/>
      <c r="LT211" s="522">
        <f>C211</f>
        <v/>
      </c>
      <c r="LU211" s="522">
        <f>LV211*10000</f>
        <v/>
      </c>
      <c r="LV211" s="522" t="n">
        <v>15.86</v>
      </c>
      <c r="LX211" s="525" t="n"/>
      <c r="LY211" s="525" t="n"/>
      <c r="LZ211" s="19" t="n"/>
      <c r="MA211" s="551" t="n"/>
      <c r="MB211" s="522">
        <f>C211</f>
        <v/>
      </c>
      <c r="MC211" s="522">
        <f>MD211*10000</f>
        <v/>
      </c>
      <c r="MD211" s="522" t="n">
        <v>2.43</v>
      </c>
      <c r="MF211" s="525" t="n"/>
      <c r="MG211" s="525" t="n"/>
      <c r="MH211" s="19" t="n"/>
      <c r="MK211" s="5">
        <f>C211</f>
        <v/>
      </c>
      <c r="MM211" s="24" t="n"/>
      <c r="MO211" s="19" t="n"/>
      <c r="MP211" s="19" t="n"/>
      <c r="MQ211" s="19" t="n"/>
      <c r="MR211" s="19" t="n"/>
      <c r="MS211" s="19" t="n"/>
      <c r="MT211" s="25">
        <f>C211</f>
        <v/>
      </c>
      <c r="MX211" s="19" t="n"/>
      <c r="MY211" s="19" t="n"/>
      <c r="MZ211" s="19" t="n"/>
      <c r="NA211" s="19" t="n"/>
      <c r="NB211" s="19" t="n"/>
      <c r="NC211" s="5">
        <f>C211</f>
        <v/>
      </c>
      <c r="NG211" s="19" t="n"/>
      <c r="NH211" s="19" t="n"/>
      <c r="NI211" s="19" t="n"/>
      <c r="NJ211" s="19" t="n"/>
      <c r="NK211" s="19" t="n"/>
      <c r="NM211" s="5">
        <f>C211</f>
        <v/>
      </c>
      <c r="NQ211" s="19" t="n"/>
      <c r="NR211" s="19" t="n"/>
      <c r="NU211" s="5">
        <f>C211</f>
        <v/>
      </c>
      <c r="NY211" s="19" t="n"/>
      <c r="NZ211" s="19" t="n"/>
      <c r="OC211" s="5">
        <f>C211</f>
        <v/>
      </c>
      <c r="OG211" s="19" t="n"/>
      <c r="OH211" s="19" t="n"/>
      <c r="OI211" s="19" t="n"/>
      <c r="OK211" s="5">
        <f>C211</f>
        <v/>
      </c>
      <c r="OO211" s="19" t="n"/>
      <c r="OP211" s="19" t="n"/>
      <c r="OQ211" s="19" t="n"/>
      <c r="OT211" s="25">
        <f>OK211</f>
        <v/>
      </c>
      <c r="OX211" s="19" t="n"/>
    </row>
    <row r="212" ht="21" customFormat="1" customHeight="1" s="5">
      <c r="A212" s="631" t="n"/>
      <c r="B212" s="631" t="n"/>
      <c r="C212" s="714" t="inlineStr">
        <is>
          <t>2026//3//24</t>
        </is>
      </c>
      <c r="D212" s="521" t="n">
        <v>8518818.77</v>
      </c>
      <c r="E212" s="522">
        <f>D213</f>
        <v/>
      </c>
      <c r="F212" s="523">
        <f>D212-E212</f>
        <v/>
      </c>
      <c r="G212" s="524">
        <f>F212/E212</f>
        <v/>
      </c>
      <c r="H212" s="525" t="n"/>
      <c r="I212" s="526" t="n"/>
      <c r="J212" s="526" t="n"/>
      <c r="K212" s="522">
        <f>C212</f>
        <v/>
      </c>
      <c r="L212" s="527" t="n">
        <v>6123214.4</v>
      </c>
      <c r="M212" s="522">
        <f>L213</f>
        <v/>
      </c>
      <c r="N212" s="523">
        <f>L212-M212</f>
        <v/>
      </c>
      <c r="O212" s="525">
        <f>N212/M212</f>
        <v/>
      </c>
      <c r="P212" s="525" t="n"/>
      <c r="Q212" s="526" t="n"/>
      <c r="R212" s="523" t="n"/>
      <c r="S212" s="522">
        <f>C212</f>
        <v/>
      </c>
      <c r="T212" s="527" t="n">
        <v>5301336.68</v>
      </c>
      <c r="U212" s="522">
        <f>T213</f>
        <v/>
      </c>
      <c r="V212" s="523">
        <f>T212-U212</f>
        <v/>
      </c>
      <c r="W212" s="525">
        <f>V212/T212</f>
        <v/>
      </c>
      <c r="X212" s="525" t="n"/>
      <c r="Y212" s="526" t="n"/>
      <c r="Z212" s="523" t="n"/>
      <c r="AA212" s="522">
        <f>S212</f>
        <v/>
      </c>
      <c r="AB212" s="521" t="n"/>
      <c r="AC212" s="522" t="n"/>
      <c r="AD212" s="523" t="n"/>
      <c r="AE212" s="528" t="n"/>
      <c r="AF212" s="525" t="n"/>
      <c r="AG212" s="526" t="n"/>
      <c r="AH212" s="523" t="n"/>
      <c r="AI212" s="522">
        <f>C212</f>
        <v/>
      </c>
      <c r="AJ212" s="521" t="n"/>
      <c r="AK212" s="522" t="n"/>
      <c r="AL212" s="523" t="n"/>
      <c r="AM212" s="528" t="n"/>
      <c r="AN212" s="525" t="n"/>
      <c r="AO212" s="526" t="n"/>
      <c r="AP212" s="522" t="n"/>
      <c r="AQ212" s="522">
        <f>C212</f>
        <v/>
      </c>
      <c r="AR212" s="715" t="n"/>
      <c r="AS212" s="522" t="n"/>
      <c r="AT212" s="526" t="n"/>
      <c r="AU212" s="523" t="n"/>
      <c r="AV212" s="526" t="n"/>
      <c r="AW212" s="526" t="n"/>
      <c r="AX212" s="523" t="n"/>
      <c r="AY212" s="523" t="n"/>
      <c r="AZ212" s="523">
        <f>C212</f>
        <v/>
      </c>
      <c r="BA212" s="523" t="n"/>
      <c r="BB212" s="523" t="n"/>
      <c r="BC212" s="523" t="n"/>
      <c r="BD212" s="526" t="n"/>
      <c r="BE212" s="526" t="n"/>
      <c r="BF212" s="526" t="n"/>
      <c r="BG212" s="631" t="n"/>
      <c r="BH212" s="5">
        <f>C212</f>
        <v/>
      </c>
      <c r="BL212" s="19" t="n"/>
      <c r="BM212" s="19" t="n"/>
      <c r="BN212" s="19" t="n"/>
      <c r="BP212" s="5">
        <f>C212</f>
        <v/>
      </c>
      <c r="BQ212" s="633" t="n"/>
      <c r="BT212" s="19" t="n"/>
      <c r="BU212" s="19" t="n"/>
      <c r="BV212" s="19" t="n"/>
      <c r="BX212" s="5">
        <f>C212</f>
        <v/>
      </c>
      <c r="CB212" s="19" t="n"/>
      <c r="CC212" s="19" t="n"/>
      <c r="CD212" s="19" t="n"/>
      <c r="CE212" s="552" t="n"/>
      <c r="CF212" s="528">
        <f>C212</f>
        <v/>
      </c>
      <c r="CG212" s="528">
        <f>CH212*10000</f>
        <v/>
      </c>
      <c r="CH212" s="528" t="n">
        <v>6.16</v>
      </c>
      <c r="CJ212" s="528" t="n"/>
      <c r="CK212" s="525" t="n"/>
      <c r="CL212" s="19" t="n"/>
      <c r="CN212" s="5">
        <f>C212</f>
        <v/>
      </c>
      <c r="CR212" s="19" t="n"/>
      <c r="CS212" s="19" t="n"/>
      <c r="CT212" s="19" t="n"/>
      <c r="CV212" s="5">
        <f>C212</f>
        <v/>
      </c>
      <c r="CZ212" s="19" t="n"/>
      <c r="DA212" s="19" t="n"/>
      <c r="DB212" s="19" t="n"/>
      <c r="DC212" s="23" t="n"/>
      <c r="DD212" s="5">
        <f>C212</f>
        <v/>
      </c>
      <c r="DH212" s="19" t="n"/>
      <c r="DI212" s="19" t="n"/>
      <c r="DJ212" s="19" t="n"/>
      <c r="DK212" s="551" t="n"/>
      <c r="DL212" s="522">
        <f>C212</f>
        <v/>
      </c>
      <c r="DM212" s="522">
        <f>DN212*10000</f>
        <v/>
      </c>
      <c r="DN212" s="522" t="n">
        <v>31.78</v>
      </c>
      <c r="DP212" s="525" t="n"/>
      <c r="DQ212" s="525" t="n"/>
      <c r="DR212" s="19" t="n"/>
      <c r="DT212" s="5">
        <f>C212</f>
        <v/>
      </c>
      <c r="DX212" s="19" t="n"/>
      <c r="DY212" s="19" t="n"/>
      <c r="DZ212" s="19" t="n"/>
      <c r="EB212" s="5">
        <f>C212</f>
        <v/>
      </c>
      <c r="EF212" s="19" t="n"/>
      <c r="EG212" s="19" t="n"/>
      <c r="EH212" s="19" t="n"/>
      <c r="EJ212" s="5">
        <f>C212</f>
        <v/>
      </c>
      <c r="EN212" s="19" t="n"/>
      <c r="EO212" s="19" t="n"/>
      <c r="EP212" s="19" t="n"/>
      <c r="EQ212" s="19" t="n"/>
      <c r="ER212" s="5">
        <f>C212</f>
        <v/>
      </c>
      <c r="ES212" s="19" t="n"/>
      <c r="ET212" s="19" t="n"/>
      <c r="EU212" s="19" t="n"/>
      <c r="EV212" s="19" t="n"/>
      <c r="EW212" s="19" t="n"/>
      <c r="EX212" s="19" t="n"/>
      <c r="EY212" s="551" t="n"/>
      <c r="EZ212" s="522">
        <f>C212</f>
        <v/>
      </c>
      <c r="FA212" s="522">
        <f>FB212*10000</f>
        <v/>
      </c>
      <c r="FB212" s="522" t="n">
        <v>32.31</v>
      </c>
      <c r="FD212" s="525" t="n"/>
      <c r="FE212" s="525" t="n"/>
      <c r="FF212" s="19" t="n"/>
      <c r="FG212" s="19" t="n"/>
      <c r="FH212" s="5">
        <f>C212</f>
        <v/>
      </c>
      <c r="FI212" s="633" t="n"/>
      <c r="FL212" s="19" t="n"/>
      <c r="FM212" s="19" t="n"/>
      <c r="FN212" s="19" t="n"/>
      <c r="FP212" s="5">
        <f>C212</f>
        <v/>
      </c>
      <c r="FT212" s="19" t="n"/>
      <c r="FU212" s="19" t="n"/>
      <c r="FV212" s="19" t="n"/>
      <c r="FW212" s="551" t="n"/>
      <c r="FX212" s="522">
        <f>C212</f>
        <v/>
      </c>
      <c r="FY212" s="522">
        <f>FZ212*10000</f>
        <v/>
      </c>
      <c r="FZ212" s="522" t="n">
        <v>7.18</v>
      </c>
      <c r="GB212" s="525" t="n"/>
      <c r="GC212" s="525" t="n"/>
      <c r="GD212" s="19" t="n"/>
      <c r="GF212" s="5">
        <f>C212</f>
        <v/>
      </c>
      <c r="GJ212" s="19" t="n"/>
      <c r="GK212" s="19" t="n"/>
      <c r="GL212" s="19" t="n"/>
      <c r="GN212" s="5">
        <f>C212</f>
        <v/>
      </c>
      <c r="GR212" s="19" t="n"/>
      <c r="GS212" s="19" t="n"/>
      <c r="GT212" s="19" t="n"/>
      <c r="GV212" s="5">
        <f>C212</f>
        <v/>
      </c>
      <c r="GZ212" s="19" t="n"/>
      <c r="HA212" s="19" t="n"/>
      <c r="HB212" s="19" t="n"/>
      <c r="HD212" s="5">
        <f>C212</f>
        <v/>
      </c>
      <c r="HH212" s="19" t="n"/>
      <c r="HI212" s="19" t="n"/>
      <c r="HJ212" s="19" t="n"/>
      <c r="HL212" s="5">
        <f>C212</f>
        <v/>
      </c>
      <c r="HP212" s="19" t="n"/>
      <c r="HQ212" s="19" t="n"/>
      <c r="HR212" s="19" t="n"/>
      <c r="HT212" s="5">
        <f>C212</f>
        <v/>
      </c>
      <c r="HX212" s="19" t="n"/>
      <c r="HY212" s="19" t="n"/>
      <c r="HZ212" s="19" t="n"/>
      <c r="IA212" s="551" t="n"/>
      <c r="IB212" s="522">
        <f>C212</f>
        <v/>
      </c>
      <c r="IC212" s="522">
        <f>ID212*10000</f>
        <v/>
      </c>
      <c r="ID212" s="522" t="n">
        <v>5.67</v>
      </c>
      <c r="IF212" s="528" t="n"/>
      <c r="IG212" s="525" t="n"/>
      <c r="IH212" s="19" t="n"/>
      <c r="IJ212" s="5">
        <f>C212</f>
        <v/>
      </c>
      <c r="IN212" s="19" t="n"/>
      <c r="IO212" s="19" t="n"/>
      <c r="IP212" s="19" t="n"/>
      <c r="IR212" s="5">
        <f>C212</f>
        <v/>
      </c>
      <c r="IV212" s="19" t="n"/>
      <c r="IW212" s="19" t="n"/>
      <c r="IX212" s="19" t="n"/>
      <c r="IY212" s="551" t="n"/>
      <c r="IZ212" s="522">
        <f>C212</f>
        <v/>
      </c>
      <c r="JA212" s="522">
        <f>JB212*10000</f>
        <v/>
      </c>
      <c r="JB212" s="522" t="n">
        <v>134.23</v>
      </c>
      <c r="JD212" s="525" t="n"/>
      <c r="JE212" s="525" t="n"/>
      <c r="JF212" s="19" t="n"/>
      <c r="JG212" s="551" t="n"/>
      <c r="JH212" s="522">
        <f>C212</f>
        <v/>
      </c>
      <c r="JI212" s="522">
        <f>JJ212*10000</f>
        <v/>
      </c>
      <c r="JJ212" s="522" t="n">
        <v>32.06</v>
      </c>
      <c r="JL212" s="525" t="n"/>
      <c r="JM212" s="525" t="n"/>
      <c r="JN212" s="525" t="n"/>
      <c r="JO212" s="19" t="n"/>
      <c r="JP212" s="5">
        <f>C212</f>
        <v/>
      </c>
      <c r="JT212" s="19" t="n"/>
      <c r="JU212" s="19" t="n"/>
      <c r="JV212" s="19" t="n"/>
      <c r="JW212" s="19" t="n"/>
      <c r="JX212" s="5">
        <f>C212</f>
        <v/>
      </c>
      <c r="KB212" s="19" t="n"/>
      <c r="KC212" s="19" t="n"/>
      <c r="KD212" s="19" t="n"/>
      <c r="KE212" s="19" t="n"/>
      <c r="KF212" s="5">
        <f>C212</f>
        <v/>
      </c>
      <c r="KG212" s="19" t="n"/>
      <c r="KH212" s="19" t="n"/>
      <c r="KJ212" s="19" t="n"/>
      <c r="KK212" s="19" t="n"/>
      <c r="KL212" s="19" t="n"/>
      <c r="KM212" s="19" t="n"/>
      <c r="KN212" s="5">
        <f>C212</f>
        <v/>
      </c>
      <c r="KR212" s="19" t="n"/>
      <c r="KS212" s="19" t="n"/>
      <c r="KT212" s="19" t="n"/>
      <c r="KV212" s="5">
        <f>C212</f>
        <v/>
      </c>
      <c r="KZ212" s="19" t="n"/>
      <c r="LA212" s="19" t="n"/>
      <c r="LB212" s="19" t="n"/>
      <c r="LD212" s="5">
        <f>C212</f>
        <v/>
      </c>
      <c r="LH212" s="19" t="n"/>
      <c r="LI212" s="19" t="n"/>
      <c r="LJ212" s="19" t="n"/>
      <c r="LL212" s="5">
        <f>C212</f>
        <v/>
      </c>
      <c r="LM212" s="633" t="n"/>
      <c r="LP212" s="19" t="n"/>
      <c r="LQ212" s="19" t="n"/>
      <c r="LR212" s="19" t="n"/>
      <c r="LS212" s="551" t="n"/>
      <c r="LT212" s="522">
        <f>C212</f>
        <v/>
      </c>
      <c r="LU212" s="522">
        <f>LV212*10000</f>
        <v/>
      </c>
      <c r="LV212" s="522" t="n">
        <v>13.94</v>
      </c>
      <c r="LX212" s="525" t="n"/>
      <c r="LY212" s="525" t="n"/>
      <c r="LZ212" s="19" t="n"/>
      <c r="MA212" s="551" t="n"/>
      <c r="MB212" s="522">
        <f>C212</f>
        <v/>
      </c>
      <c r="MC212" s="522">
        <f>MD212*10000</f>
        <v/>
      </c>
      <c r="MD212" s="522" t="n">
        <v>2.75</v>
      </c>
      <c r="MF212" s="525" t="n"/>
      <c r="MG212" s="525" t="n"/>
      <c r="MH212" s="19" t="n"/>
      <c r="MK212" s="5">
        <f>C212</f>
        <v/>
      </c>
      <c r="MM212" s="24" t="n"/>
      <c r="MO212" s="19" t="n"/>
      <c r="MP212" s="19" t="n"/>
      <c r="MQ212" s="19" t="n"/>
      <c r="MR212" s="19" t="n"/>
      <c r="MS212" s="19" t="n"/>
      <c r="MT212" s="25">
        <f>C212</f>
        <v/>
      </c>
      <c r="MX212" s="19" t="n"/>
      <c r="MY212" s="19" t="n"/>
      <c r="MZ212" s="19" t="n"/>
      <c r="NA212" s="19" t="n"/>
      <c r="NB212" s="19" t="n"/>
      <c r="NC212" s="5">
        <f>C212</f>
        <v/>
      </c>
      <c r="NG212" s="19" t="n"/>
      <c r="NH212" s="19" t="n"/>
      <c r="NI212" s="19" t="n"/>
      <c r="NJ212" s="19" t="n"/>
      <c r="NK212" s="19" t="n"/>
      <c r="NM212" s="5">
        <f>C212</f>
        <v/>
      </c>
      <c r="NQ212" s="19" t="n"/>
      <c r="NR212" s="19" t="n"/>
      <c r="NU212" s="5">
        <f>C212</f>
        <v/>
      </c>
      <c r="NY212" s="19" t="n"/>
      <c r="NZ212" s="19" t="n"/>
      <c r="OC212" s="5">
        <f>C212</f>
        <v/>
      </c>
      <c r="OG212" s="19" t="n"/>
      <c r="OH212" s="19" t="n"/>
      <c r="OI212" s="19" t="n"/>
      <c r="OK212" s="5">
        <f>C212</f>
        <v/>
      </c>
      <c r="OO212" s="19" t="n"/>
      <c r="OP212" s="19" t="n"/>
      <c r="OQ212" s="19" t="n"/>
      <c r="OT212" s="25">
        <f>OK212</f>
        <v/>
      </c>
      <c r="OX212" s="19" t="n"/>
    </row>
    <row r="213" ht="21" customFormat="1" customHeight="1" s="5">
      <c r="A213" s="654" t="n"/>
      <c r="B213" s="654" t="n"/>
      <c r="C213" s="722" t="inlineStr">
        <is>
          <t>2026//3//21</t>
        </is>
      </c>
      <c r="D213" s="567" t="n">
        <v>8529798.77</v>
      </c>
      <c r="E213" s="568">
        <f>D214</f>
        <v/>
      </c>
      <c r="F213" s="569">
        <f>D213-E213</f>
        <v/>
      </c>
      <c r="G213" s="570">
        <f>F213/E213</f>
        <v/>
      </c>
      <c r="H213" s="570" t="n"/>
      <c r="I213" s="571" t="n"/>
      <c r="J213" s="571" t="n"/>
      <c r="K213" s="568">
        <f>C213</f>
        <v/>
      </c>
      <c r="L213" s="527" t="n">
        <v>6128434.4</v>
      </c>
      <c r="M213" s="522">
        <f>L214</f>
        <v/>
      </c>
      <c r="N213" s="523">
        <f>L213-M213</f>
        <v/>
      </c>
      <c r="O213" s="525">
        <f>N213/M213</f>
        <v/>
      </c>
      <c r="P213" s="570" t="n"/>
      <c r="Q213" s="571" t="n"/>
      <c r="R213" s="569" t="n"/>
      <c r="S213" s="568">
        <f>C213</f>
        <v/>
      </c>
      <c r="T213" s="527" t="n">
        <v>5322936.68</v>
      </c>
      <c r="U213" s="522">
        <f>T214</f>
        <v/>
      </c>
      <c r="V213" s="523">
        <f>T213-U213</f>
        <v/>
      </c>
      <c r="W213" s="525">
        <f>V213/T213</f>
        <v/>
      </c>
      <c r="X213" s="570" t="n"/>
      <c r="Y213" s="571" t="n"/>
      <c r="Z213" s="569" t="n"/>
      <c r="AA213" s="568">
        <f>S213</f>
        <v/>
      </c>
      <c r="AB213" s="567" t="n"/>
      <c r="AC213" s="568" t="n"/>
      <c r="AD213" s="569" t="n"/>
      <c r="AE213" s="568" t="n"/>
      <c r="AF213" s="570" t="n"/>
      <c r="AG213" s="571" t="n"/>
      <c r="AH213" s="569" t="n"/>
      <c r="AI213" s="568">
        <f>C213</f>
        <v/>
      </c>
      <c r="AJ213" s="567" t="n"/>
      <c r="AK213" s="568" t="n"/>
      <c r="AL213" s="569" t="n"/>
      <c r="AM213" s="568" t="n"/>
      <c r="AN213" s="570" t="n"/>
      <c r="AO213" s="571" t="n"/>
      <c r="AP213" s="568" t="n"/>
      <c r="AQ213" s="568">
        <f>C213</f>
        <v/>
      </c>
      <c r="AR213" s="723" t="n"/>
      <c r="AS213" s="568" t="n"/>
      <c r="AT213" s="571" t="n"/>
      <c r="AU213" s="569" t="n"/>
      <c r="AV213" s="571" t="n"/>
      <c r="AW213" s="571" t="n"/>
      <c r="AX213" s="569" t="n"/>
      <c r="AY213" s="569" t="n"/>
      <c r="AZ213" s="569">
        <f>C213</f>
        <v/>
      </c>
      <c r="BA213" s="569" t="n"/>
      <c r="BB213" s="569" t="n"/>
      <c r="BC213" s="569" t="n"/>
      <c r="BD213" s="571" t="n"/>
      <c r="BE213" s="571" t="n"/>
      <c r="BF213" s="571" t="n"/>
      <c r="BG213" s="631" t="n"/>
      <c r="BH213" s="5">
        <f>C213</f>
        <v/>
      </c>
      <c r="BL213" s="19" t="n"/>
      <c r="BM213" s="19" t="n"/>
      <c r="BN213" s="19" t="n"/>
      <c r="BP213" s="5">
        <f>C213</f>
        <v/>
      </c>
      <c r="BQ213" s="633" t="n"/>
      <c r="BT213" s="19" t="n"/>
      <c r="BU213" s="19" t="n"/>
      <c r="BV213" s="19" t="n"/>
      <c r="BX213" s="5">
        <f>C213</f>
        <v/>
      </c>
      <c r="CB213" s="19" t="n"/>
      <c r="CC213" s="19" t="n"/>
      <c r="CD213" s="19" t="n"/>
      <c r="CE213" s="552" t="n"/>
      <c r="CF213" s="528">
        <f>C213</f>
        <v/>
      </c>
      <c r="CG213" s="528">
        <f>CH213*10000</f>
        <v/>
      </c>
      <c r="CH213" s="528" t="n">
        <v>4.64</v>
      </c>
      <c r="CJ213" s="528" t="n"/>
      <c r="CK213" s="525" t="n"/>
      <c r="CL213" s="19" t="n"/>
      <c r="CN213" s="5">
        <f>C213</f>
        <v/>
      </c>
      <c r="CR213" s="19" t="n"/>
      <c r="CS213" s="19" t="n"/>
      <c r="CT213" s="19" t="n"/>
      <c r="CV213" s="5">
        <f>C213</f>
        <v/>
      </c>
      <c r="CZ213" s="19" t="n"/>
      <c r="DA213" s="19" t="n"/>
      <c r="DB213" s="19" t="n"/>
      <c r="DC213" s="23" t="n"/>
      <c r="DD213" s="5">
        <f>C213</f>
        <v/>
      </c>
      <c r="DH213" s="19" t="n"/>
      <c r="DI213" s="19" t="n"/>
      <c r="DJ213" s="19" t="n"/>
      <c r="DK213" s="551" t="n"/>
      <c r="DL213" s="522">
        <f>C213</f>
        <v/>
      </c>
      <c r="DM213" s="522">
        <f>DN213*10000</f>
        <v/>
      </c>
      <c r="DN213" s="522" t="n">
        <v>5.35</v>
      </c>
      <c r="DP213" s="525" t="n"/>
      <c r="DQ213" s="525" t="n"/>
      <c r="DR213" s="19" t="n"/>
      <c r="DT213" s="5">
        <f>C213</f>
        <v/>
      </c>
      <c r="DX213" s="19" t="n"/>
      <c r="DY213" s="19" t="n"/>
      <c r="DZ213" s="19" t="n"/>
      <c r="EB213" s="5">
        <f>C213</f>
        <v/>
      </c>
      <c r="EF213" s="19" t="n"/>
      <c r="EG213" s="19" t="n"/>
      <c r="EH213" s="19" t="n"/>
      <c r="EJ213" s="5">
        <f>C213</f>
        <v/>
      </c>
      <c r="EN213" s="19" t="n"/>
      <c r="EO213" s="19" t="n"/>
      <c r="EP213" s="19" t="n"/>
      <c r="EQ213" s="19" t="n"/>
      <c r="ER213" s="5">
        <f>C213</f>
        <v/>
      </c>
      <c r="ES213" s="19" t="n"/>
      <c r="ET213" s="19" t="n"/>
      <c r="EU213" s="19" t="n"/>
      <c r="EV213" s="19" t="n"/>
      <c r="EW213" s="19" t="n"/>
      <c r="EX213" s="19" t="n"/>
      <c r="EY213" s="551" t="n"/>
      <c r="EZ213" s="522">
        <f>C213</f>
        <v/>
      </c>
      <c r="FA213" s="522">
        <f>FB213*10000</f>
        <v/>
      </c>
      <c r="FB213" s="522" t="n">
        <v>27.26</v>
      </c>
      <c r="FD213" s="525" t="n"/>
      <c r="FE213" s="525" t="n"/>
      <c r="FF213" s="19" t="n"/>
      <c r="FG213" s="19" t="n"/>
      <c r="FH213" s="5">
        <f>C213</f>
        <v/>
      </c>
      <c r="FI213" s="633" t="n"/>
      <c r="FL213" s="19" t="n"/>
      <c r="FM213" s="19" t="n"/>
      <c r="FN213" s="19" t="n"/>
      <c r="FP213" s="5">
        <f>C213</f>
        <v/>
      </c>
      <c r="FT213" s="19" t="n"/>
      <c r="FU213" s="19" t="n"/>
      <c r="FV213" s="19" t="n"/>
      <c r="FW213" s="551" t="n"/>
      <c r="FX213" s="522">
        <f>C213</f>
        <v/>
      </c>
      <c r="FY213" s="522">
        <f>FZ213*10000</f>
        <v/>
      </c>
      <c r="FZ213" s="522" t="n">
        <v>3.08</v>
      </c>
      <c r="GB213" s="525" t="n"/>
      <c r="GC213" s="525" t="n"/>
      <c r="GD213" s="19" t="n"/>
      <c r="GF213" s="5">
        <f>C213</f>
        <v/>
      </c>
      <c r="GJ213" s="19" t="n"/>
      <c r="GK213" s="19" t="n"/>
      <c r="GL213" s="19" t="n"/>
      <c r="GN213" s="5">
        <f>C213</f>
        <v/>
      </c>
      <c r="GR213" s="19" t="n"/>
      <c r="GS213" s="19" t="n"/>
      <c r="GT213" s="19" t="n"/>
      <c r="GV213" s="5">
        <f>C213</f>
        <v/>
      </c>
      <c r="GZ213" s="19" t="n"/>
      <c r="HA213" s="19" t="n"/>
      <c r="HB213" s="19" t="n"/>
      <c r="HD213" s="5">
        <f>C213</f>
        <v/>
      </c>
      <c r="HH213" s="19" t="n"/>
      <c r="HI213" s="19" t="n"/>
      <c r="HJ213" s="19" t="n"/>
      <c r="HL213" s="5">
        <f>C213</f>
        <v/>
      </c>
      <c r="HP213" s="19" t="n"/>
      <c r="HQ213" s="19" t="n"/>
      <c r="HR213" s="19" t="n"/>
      <c r="HT213" s="5">
        <f>C213</f>
        <v/>
      </c>
      <c r="HX213" s="19" t="n"/>
      <c r="HY213" s="19" t="n"/>
      <c r="HZ213" s="19" t="n"/>
      <c r="IA213" s="551" t="n"/>
      <c r="IB213" s="522">
        <f>C213</f>
        <v/>
      </c>
      <c r="IC213" s="522">
        <f>ID213*10000</f>
        <v/>
      </c>
      <c r="ID213" s="522" t="n">
        <v>1.96</v>
      </c>
      <c r="IF213" s="528" t="n"/>
      <c r="IG213" s="525" t="n"/>
      <c r="IH213" s="19" t="n"/>
      <c r="IJ213" s="5">
        <f>C213</f>
        <v/>
      </c>
      <c r="IN213" s="19" t="n"/>
      <c r="IO213" s="19" t="n"/>
      <c r="IP213" s="19" t="n"/>
      <c r="IR213" s="5">
        <f>C213</f>
        <v/>
      </c>
      <c r="IV213" s="19" t="n"/>
      <c r="IW213" s="19" t="n"/>
      <c r="IX213" s="19" t="n"/>
      <c r="IY213" s="551" t="n"/>
      <c r="IZ213" s="522">
        <f>C213</f>
        <v/>
      </c>
      <c r="JA213" s="522">
        <f>JB213*10000</f>
        <v/>
      </c>
      <c r="JB213" s="522" t="n">
        <v>107.49</v>
      </c>
      <c r="JD213" s="525" t="n"/>
      <c r="JE213" s="525" t="n"/>
      <c r="JF213" s="19" t="n"/>
      <c r="JG213" s="551" t="n"/>
      <c r="JH213" s="522">
        <f>C213</f>
        <v/>
      </c>
      <c r="JI213" s="522">
        <f>JJ213*10000</f>
        <v/>
      </c>
      <c r="JJ213" s="522" t="n">
        <v>25.83</v>
      </c>
      <c r="JL213" s="525" t="n"/>
      <c r="JM213" s="525" t="n"/>
      <c r="JN213" s="525" t="n"/>
      <c r="JO213" s="19" t="n"/>
      <c r="JP213" s="5">
        <f>C213</f>
        <v/>
      </c>
      <c r="JT213" s="19" t="n"/>
      <c r="JU213" s="19" t="n"/>
      <c r="JV213" s="19" t="n"/>
      <c r="JW213" s="19" t="n"/>
      <c r="JX213" s="5">
        <f>C213</f>
        <v/>
      </c>
      <c r="KB213" s="19" t="n"/>
      <c r="KC213" s="19" t="n"/>
      <c r="KD213" s="19" t="n"/>
      <c r="KE213" s="19" t="n"/>
      <c r="KF213" s="5">
        <f>C213</f>
        <v/>
      </c>
      <c r="KG213" s="19" t="n"/>
      <c r="KH213" s="19" t="n"/>
      <c r="KJ213" s="19" t="n"/>
      <c r="KK213" s="19" t="n"/>
      <c r="KL213" s="19" t="n"/>
      <c r="KM213" s="19" t="n"/>
      <c r="KN213" s="5">
        <f>C213</f>
        <v/>
      </c>
      <c r="KR213" s="19" t="n"/>
      <c r="KS213" s="19" t="n"/>
      <c r="KT213" s="19" t="n"/>
      <c r="KV213" s="5">
        <f>C213</f>
        <v/>
      </c>
      <c r="KZ213" s="19" t="n"/>
      <c r="LA213" s="19" t="n"/>
      <c r="LB213" s="19" t="n"/>
      <c r="LD213" s="5">
        <f>C213</f>
        <v/>
      </c>
      <c r="LH213" s="19" t="n"/>
      <c r="LI213" s="19" t="n"/>
      <c r="LJ213" s="19" t="n"/>
      <c r="LL213" s="5">
        <f>C213</f>
        <v/>
      </c>
      <c r="LM213" s="633" t="n"/>
      <c r="LP213" s="19" t="n"/>
      <c r="LQ213" s="19" t="n"/>
      <c r="LR213" s="19" t="n"/>
      <c r="LS213" s="551" t="n"/>
      <c r="LT213" s="522">
        <f>C213</f>
        <v/>
      </c>
      <c r="LU213" s="522">
        <f>LV213*10000</f>
        <v/>
      </c>
      <c r="LV213" s="522" t="n">
        <v>11.69</v>
      </c>
      <c r="LX213" s="525" t="n"/>
      <c r="LY213" s="525" t="n"/>
      <c r="LZ213" s="19" t="n"/>
      <c r="MB213" s="5">
        <f>C213</f>
        <v/>
      </c>
      <c r="MF213" s="19" t="n"/>
      <c r="MG213" s="19" t="n"/>
      <c r="MH213" s="19" t="n"/>
      <c r="MK213" s="5">
        <f>C213</f>
        <v/>
      </c>
      <c r="MM213" s="24" t="n"/>
      <c r="MO213" s="19" t="n"/>
      <c r="MP213" s="19" t="n"/>
      <c r="MQ213" s="19" t="n"/>
      <c r="MR213" s="19" t="n"/>
      <c r="MS213" s="19" t="n"/>
      <c r="MT213" s="25">
        <f>C213</f>
        <v/>
      </c>
      <c r="MX213" s="19" t="n"/>
      <c r="MY213" s="19" t="n"/>
      <c r="MZ213" s="19" t="n"/>
      <c r="NA213" s="19" t="n"/>
      <c r="NB213" s="19" t="n"/>
      <c r="NC213" s="5">
        <f>C213</f>
        <v/>
      </c>
      <c r="NG213" s="19" t="n"/>
      <c r="NH213" s="19" t="n"/>
      <c r="NI213" s="19" t="n"/>
      <c r="NJ213" s="19" t="n"/>
      <c r="NK213" s="19" t="n"/>
      <c r="NM213" s="5">
        <f>C213</f>
        <v/>
      </c>
      <c r="NQ213" s="19" t="n"/>
      <c r="NR213" s="19" t="n"/>
      <c r="NU213" s="5">
        <f>C213</f>
        <v/>
      </c>
      <c r="NY213" s="19" t="n"/>
      <c r="NZ213" s="19" t="n"/>
      <c r="OC213" s="5">
        <f>C213</f>
        <v/>
      </c>
      <c r="OG213" s="19" t="n"/>
      <c r="OH213" s="19" t="n"/>
      <c r="OI213" s="19" t="n"/>
      <c r="OK213" s="5">
        <f>C213</f>
        <v/>
      </c>
      <c r="OO213" s="19" t="n"/>
      <c r="OP213" s="19" t="n"/>
      <c r="OQ213" s="19" t="n"/>
      <c r="OT213" s="25">
        <f>OK213</f>
        <v/>
      </c>
      <c r="OX213" s="19" t="n"/>
    </row>
    <row r="214" ht="21" customFormat="1" customHeight="1" s="5">
      <c r="A214" s="631" t="n"/>
      <c r="B214" s="631" t="n"/>
      <c r="C214" s="714" t="inlineStr">
        <is>
          <t>2026//3//20</t>
        </is>
      </c>
      <c r="D214" s="521" t="n">
        <v>8532768.77</v>
      </c>
      <c r="E214" s="522">
        <f>D215</f>
        <v/>
      </c>
      <c r="F214" s="523">
        <f>D214-E214</f>
        <v/>
      </c>
      <c r="G214" s="524">
        <f>F214/E214</f>
        <v/>
      </c>
      <c r="H214" s="525" t="n"/>
      <c r="I214" s="526" t="n"/>
      <c r="J214" s="526" t="n"/>
      <c r="K214" s="522">
        <f>C214</f>
        <v/>
      </c>
      <c r="L214" s="527" t="n">
        <v>6139414.4</v>
      </c>
      <c r="M214" s="522">
        <f>L215</f>
        <v/>
      </c>
      <c r="N214" s="523">
        <f>L214-M214</f>
        <v/>
      </c>
      <c r="O214" s="525">
        <f>N214/M214</f>
        <v/>
      </c>
      <c r="P214" s="525" t="n"/>
      <c r="Q214" s="526" t="n"/>
      <c r="R214" s="523" t="n"/>
      <c r="S214" s="522">
        <f>C214</f>
        <v/>
      </c>
      <c r="T214" s="527" t="n">
        <v>5331666.68</v>
      </c>
      <c r="U214" s="522">
        <f>T215</f>
        <v/>
      </c>
      <c r="V214" s="523">
        <f>T214-U214</f>
        <v/>
      </c>
      <c r="W214" s="525">
        <f>V214/T214</f>
        <v/>
      </c>
      <c r="X214" s="525" t="n"/>
      <c r="Y214" s="526" t="n"/>
      <c r="Z214" s="523" t="n"/>
      <c r="AA214" s="522">
        <f>S214</f>
        <v/>
      </c>
      <c r="AB214" s="521" t="n"/>
      <c r="AC214" s="522" t="n"/>
      <c r="AD214" s="523" t="n"/>
      <c r="AE214" s="528" t="n"/>
      <c r="AF214" s="525" t="n"/>
      <c r="AG214" s="526" t="n"/>
      <c r="AH214" s="523" t="n"/>
      <c r="AI214" s="522">
        <f>C214</f>
        <v/>
      </c>
      <c r="AJ214" s="521" t="n"/>
      <c r="AK214" s="522" t="n"/>
      <c r="AL214" s="523" t="n"/>
      <c r="AM214" s="528" t="n"/>
      <c r="AN214" s="525" t="n"/>
      <c r="AO214" s="526" t="n"/>
      <c r="AP214" s="522" t="n"/>
      <c r="AQ214" s="522">
        <f>C214</f>
        <v/>
      </c>
      <c r="AR214" s="715" t="n"/>
      <c r="AS214" s="522" t="n"/>
      <c r="AT214" s="526" t="n"/>
      <c r="AU214" s="523" t="n"/>
      <c r="AV214" s="526" t="n"/>
      <c r="AW214" s="526" t="n"/>
      <c r="AX214" s="523" t="n"/>
      <c r="AY214" s="523" t="n"/>
      <c r="AZ214" s="523">
        <f>C214</f>
        <v/>
      </c>
      <c r="BA214" s="523" t="n"/>
      <c r="BB214" s="523" t="n"/>
      <c r="BC214" s="523" t="n"/>
      <c r="BD214" s="526" t="n"/>
      <c r="BE214" s="526" t="n"/>
      <c r="BF214" s="526" t="n"/>
      <c r="BG214" s="631" t="n"/>
      <c r="BH214" s="5">
        <f>C214</f>
        <v/>
      </c>
      <c r="BL214" s="19" t="n"/>
      <c r="BM214" s="19" t="n"/>
      <c r="BN214" s="19" t="n"/>
      <c r="BP214" s="5">
        <f>C214</f>
        <v/>
      </c>
      <c r="BQ214" s="633" t="n"/>
      <c r="BT214" s="19" t="n"/>
      <c r="BU214" s="19" t="n"/>
      <c r="BV214" s="19" t="n"/>
      <c r="BX214" s="5">
        <f>C214</f>
        <v/>
      </c>
      <c r="CB214" s="19" t="n"/>
      <c r="CC214" s="19" t="n"/>
      <c r="CD214" s="19" t="n"/>
      <c r="CE214" s="552" t="n"/>
      <c r="CF214" s="528">
        <f>C214</f>
        <v/>
      </c>
      <c r="CG214" s="528">
        <f>CH214*10000</f>
        <v/>
      </c>
      <c r="CH214" s="528" t="n">
        <v>3.9</v>
      </c>
      <c r="CJ214" s="528" t="n"/>
      <c r="CK214" s="525" t="n"/>
      <c r="CL214" s="19" t="n"/>
      <c r="CN214" s="5">
        <f>C214</f>
        <v/>
      </c>
      <c r="CR214" s="19" t="n"/>
      <c r="CS214" s="19" t="n"/>
      <c r="CT214" s="19" t="n"/>
      <c r="CV214" s="5">
        <f>C214</f>
        <v/>
      </c>
      <c r="CZ214" s="19" t="n"/>
      <c r="DA214" s="19" t="n"/>
      <c r="DB214" s="19" t="n"/>
      <c r="DC214" s="23" t="n"/>
      <c r="DD214" s="5">
        <f>C214</f>
        <v/>
      </c>
      <c r="DH214" s="19" t="n"/>
      <c r="DI214" s="19" t="n"/>
      <c r="DJ214" s="19" t="n"/>
      <c r="DK214" s="551" t="n"/>
      <c r="DL214" s="522">
        <f>C214</f>
        <v/>
      </c>
      <c r="DM214" s="522">
        <f>DN214*10000</f>
        <v/>
      </c>
      <c r="DN214" s="522" t="n">
        <v>3.53</v>
      </c>
      <c r="DP214" s="525" t="n"/>
      <c r="DQ214" s="525" t="n"/>
      <c r="DR214" s="19" t="n"/>
      <c r="DT214" s="5">
        <f>C214</f>
        <v/>
      </c>
      <c r="DX214" s="19" t="n"/>
      <c r="DY214" s="19" t="n"/>
      <c r="DZ214" s="19" t="n"/>
      <c r="EB214" s="5">
        <f>C214</f>
        <v/>
      </c>
      <c r="EF214" s="19" t="n"/>
      <c r="EG214" s="19" t="n"/>
      <c r="EH214" s="19" t="n"/>
      <c r="EJ214" s="5">
        <f>C214</f>
        <v/>
      </c>
      <c r="EN214" s="19" t="n"/>
      <c r="EO214" s="19" t="n"/>
      <c r="EP214" s="19" t="n"/>
      <c r="EQ214" s="19" t="n"/>
      <c r="ER214" s="5">
        <f>C214</f>
        <v/>
      </c>
      <c r="ES214" s="19" t="n"/>
      <c r="ET214" s="19" t="n"/>
      <c r="EU214" s="19" t="n"/>
      <c r="EV214" s="19" t="n"/>
      <c r="EW214" s="19" t="n"/>
      <c r="EX214" s="19" t="n"/>
      <c r="EY214" s="551" t="n"/>
      <c r="EZ214" s="522">
        <f>C214</f>
        <v/>
      </c>
      <c r="FA214" s="522">
        <f>FB214*10000</f>
        <v/>
      </c>
      <c r="FB214" s="522" t="n">
        <v>26.05</v>
      </c>
      <c r="FD214" s="525" t="n"/>
      <c r="FE214" s="525" t="n"/>
      <c r="FF214" s="19" t="n"/>
      <c r="FG214" s="19" t="n"/>
      <c r="FH214" s="5">
        <f>C214</f>
        <v/>
      </c>
      <c r="FI214" s="633" t="n"/>
      <c r="FL214" s="19" t="n"/>
      <c r="FM214" s="19" t="n"/>
      <c r="FN214" s="19" t="n"/>
      <c r="FP214" s="5">
        <f>C214</f>
        <v/>
      </c>
      <c r="FT214" s="19" t="n"/>
      <c r="FU214" s="19" t="n"/>
      <c r="FV214" s="19" t="n"/>
      <c r="FW214" s="551" t="n"/>
      <c r="FX214" s="522">
        <f>C214</f>
        <v/>
      </c>
      <c r="FY214" s="522">
        <f>FZ214*10000</f>
        <v/>
      </c>
      <c r="FZ214" s="522" t="n">
        <v>0.7</v>
      </c>
      <c r="GB214" s="525" t="n"/>
      <c r="GC214" s="525" t="n"/>
      <c r="GD214" s="19" t="n"/>
      <c r="GF214" s="5">
        <f>C214</f>
        <v/>
      </c>
      <c r="GJ214" s="19" t="n"/>
      <c r="GK214" s="19" t="n"/>
      <c r="GL214" s="19" t="n"/>
      <c r="GN214" s="5">
        <f>C214</f>
        <v/>
      </c>
      <c r="GR214" s="19" t="n"/>
      <c r="GS214" s="19" t="n"/>
      <c r="GT214" s="19" t="n"/>
      <c r="GV214" s="5">
        <f>C214</f>
        <v/>
      </c>
      <c r="GZ214" s="19" t="n"/>
      <c r="HA214" s="19" t="n"/>
      <c r="HB214" s="19" t="n"/>
      <c r="HD214" s="5">
        <f>C214</f>
        <v/>
      </c>
      <c r="HH214" s="19" t="n"/>
      <c r="HI214" s="19" t="n"/>
      <c r="HJ214" s="19" t="n"/>
      <c r="HL214" s="5">
        <f>C214</f>
        <v/>
      </c>
      <c r="HP214" s="19" t="n"/>
      <c r="HQ214" s="19" t="n"/>
      <c r="HR214" s="19" t="n"/>
      <c r="HT214" s="5">
        <f>C214</f>
        <v/>
      </c>
      <c r="HX214" s="19" t="n"/>
      <c r="HY214" s="19" t="n"/>
      <c r="HZ214" s="19" t="n"/>
      <c r="IA214" s="551" t="n"/>
      <c r="IB214" s="522">
        <f>C214</f>
        <v/>
      </c>
      <c r="IC214" s="522">
        <f>ID214*10000</f>
        <v/>
      </c>
      <c r="ID214" s="522" t="n">
        <v>0.85</v>
      </c>
      <c r="IF214" s="528" t="n"/>
      <c r="IG214" s="525" t="n"/>
      <c r="IH214" s="19" t="n"/>
      <c r="IJ214" s="5">
        <f>C214</f>
        <v/>
      </c>
      <c r="IN214" s="19" t="n"/>
      <c r="IO214" s="19" t="n"/>
      <c r="IP214" s="19" t="n"/>
      <c r="IR214" s="5">
        <f>C214</f>
        <v/>
      </c>
      <c r="IV214" s="19" t="n"/>
      <c r="IW214" s="19" t="n"/>
      <c r="IX214" s="19" t="n"/>
      <c r="IY214" s="551" t="n"/>
      <c r="IZ214" s="522">
        <f>C214</f>
        <v/>
      </c>
      <c r="JA214" s="522">
        <f>JB214*10000</f>
        <v/>
      </c>
      <c r="JB214" s="522" t="n">
        <v>87.59</v>
      </c>
      <c r="JD214" s="525" t="n"/>
      <c r="JE214" s="525" t="n"/>
      <c r="JF214" s="19" t="n"/>
      <c r="JG214" s="551" t="n"/>
      <c r="JH214" s="522">
        <f>C214</f>
        <v/>
      </c>
      <c r="JI214" s="522">
        <f>JJ214*10000</f>
        <v/>
      </c>
      <c r="JJ214" s="522" t="n">
        <v>16.38</v>
      </c>
      <c r="JL214" s="525" t="n"/>
      <c r="JM214" s="525" t="n"/>
      <c r="JN214" s="525" t="n"/>
      <c r="JO214" s="19" t="n"/>
      <c r="JP214" s="5">
        <f>C214</f>
        <v/>
      </c>
      <c r="JT214" s="19" t="n"/>
      <c r="JU214" s="19" t="n"/>
      <c r="JV214" s="19" t="n"/>
      <c r="JW214" s="19" t="n"/>
      <c r="JX214" s="5">
        <f>C214</f>
        <v/>
      </c>
      <c r="KB214" s="19" t="n"/>
      <c r="KC214" s="19" t="n"/>
      <c r="KD214" s="19" t="n"/>
      <c r="KE214" s="19" t="n"/>
      <c r="KF214" s="5">
        <f>C214</f>
        <v/>
      </c>
      <c r="KG214" s="19" t="n"/>
      <c r="KH214" s="19" t="n"/>
      <c r="KJ214" s="19" t="n"/>
      <c r="KK214" s="19" t="n"/>
      <c r="KL214" s="19" t="n"/>
      <c r="KM214" s="19" t="n"/>
      <c r="KN214" s="5">
        <f>C214</f>
        <v/>
      </c>
      <c r="KR214" s="19" t="n"/>
      <c r="KS214" s="19" t="n"/>
      <c r="KT214" s="19" t="n"/>
      <c r="KV214" s="5">
        <f>C214</f>
        <v/>
      </c>
      <c r="KZ214" s="19" t="n"/>
      <c r="LA214" s="19" t="n"/>
      <c r="LB214" s="19" t="n"/>
      <c r="LD214" s="5">
        <f>C214</f>
        <v/>
      </c>
      <c r="LH214" s="19" t="n"/>
      <c r="LI214" s="19" t="n"/>
      <c r="LJ214" s="19" t="n"/>
      <c r="LL214" s="5">
        <f>C214</f>
        <v/>
      </c>
      <c r="LM214" s="633" t="n"/>
      <c r="LP214" s="19" t="n"/>
      <c r="LQ214" s="19" t="n"/>
      <c r="LR214" s="19" t="n"/>
      <c r="LS214" s="551" t="n"/>
      <c r="LT214" s="522">
        <f>C214</f>
        <v/>
      </c>
      <c r="LU214" s="522">
        <f>LV214*10000</f>
        <v/>
      </c>
      <c r="LV214" s="522" t="n">
        <v>10.99</v>
      </c>
      <c r="LX214" s="525" t="n"/>
      <c r="LY214" s="525" t="n"/>
      <c r="LZ214" s="19" t="n"/>
      <c r="MB214" s="5">
        <f>C214</f>
        <v/>
      </c>
      <c r="MF214" s="19" t="n"/>
      <c r="MG214" s="19" t="n"/>
      <c r="MH214" s="19" t="n"/>
      <c r="MK214" s="5">
        <f>C214</f>
        <v/>
      </c>
      <c r="MM214" s="24" t="n"/>
      <c r="MO214" s="19" t="n"/>
      <c r="MP214" s="19" t="n"/>
      <c r="MQ214" s="19" t="n"/>
      <c r="MR214" s="19" t="n"/>
      <c r="MS214" s="19" t="n"/>
      <c r="MT214" s="25">
        <f>C214</f>
        <v/>
      </c>
      <c r="MX214" s="19" t="n"/>
      <c r="MY214" s="19" t="n"/>
      <c r="MZ214" s="19" t="n"/>
      <c r="NA214" s="19" t="n"/>
      <c r="NB214" s="19" t="n"/>
      <c r="NC214" s="5">
        <f>C214</f>
        <v/>
      </c>
      <c r="NG214" s="19" t="n"/>
      <c r="NH214" s="19" t="n"/>
      <c r="NI214" s="19" t="n"/>
      <c r="NJ214" s="19" t="n"/>
      <c r="NK214" s="19" t="n"/>
      <c r="NM214" s="5">
        <f>C214</f>
        <v/>
      </c>
      <c r="NQ214" s="19" t="n"/>
      <c r="NR214" s="19" t="n"/>
      <c r="NU214" s="5">
        <f>C214</f>
        <v/>
      </c>
      <c r="NY214" s="19" t="n"/>
      <c r="NZ214" s="19" t="n"/>
      <c r="OC214" s="5">
        <f>C214</f>
        <v/>
      </c>
      <c r="OG214" s="19" t="n"/>
      <c r="OH214" s="19" t="n"/>
      <c r="OI214" s="19" t="n"/>
      <c r="OK214" s="5">
        <f>C214</f>
        <v/>
      </c>
      <c r="OO214" s="19" t="n"/>
      <c r="OP214" s="19" t="n"/>
      <c r="OQ214" s="19" t="n"/>
      <c r="OT214" s="25">
        <f>OK214</f>
        <v/>
      </c>
      <c r="OX214" s="19" t="n"/>
    </row>
    <row r="215" ht="21" customFormat="1" customHeight="1" s="5">
      <c r="A215" s="631" t="n"/>
      <c r="B215" s="631" t="n"/>
      <c r="C215" s="714" t="inlineStr">
        <is>
          <t>2026//3//19</t>
        </is>
      </c>
      <c r="D215" s="521" t="n">
        <v>8548068.77</v>
      </c>
      <c r="E215" s="522">
        <f>D216</f>
        <v/>
      </c>
      <c r="F215" s="523">
        <f>D215-E215</f>
        <v/>
      </c>
      <c r="G215" s="524">
        <f>F215/E215</f>
        <v/>
      </c>
      <c r="H215" s="525" t="n"/>
      <c r="I215" s="526" t="n"/>
      <c r="J215" s="526" t="n"/>
      <c r="K215" s="522">
        <f>C215</f>
        <v/>
      </c>
      <c r="L215" s="527" t="n">
        <v>6143104.4</v>
      </c>
      <c r="M215" s="522">
        <f>L216</f>
        <v/>
      </c>
      <c r="N215" s="523">
        <f>L215-M215</f>
        <v/>
      </c>
      <c r="O215" s="525">
        <f>N215/M215</f>
        <v/>
      </c>
      <c r="P215" s="525" t="n"/>
      <c r="Q215" s="526" t="n"/>
      <c r="R215" s="523" t="n"/>
      <c r="S215" s="522">
        <f>C215</f>
        <v/>
      </c>
      <c r="T215" s="527" t="n">
        <v>5320056.68</v>
      </c>
      <c r="U215" s="522">
        <f>T216</f>
        <v/>
      </c>
      <c r="V215" s="523">
        <f>T215-U215</f>
        <v/>
      </c>
      <c r="W215" s="525">
        <f>V215/T215</f>
        <v/>
      </c>
      <c r="X215" s="525" t="n"/>
      <c r="Y215" s="526" t="n"/>
      <c r="Z215" s="523" t="n"/>
      <c r="AA215" s="522">
        <f>S215</f>
        <v/>
      </c>
      <c r="AB215" s="521" t="n"/>
      <c r="AC215" s="522" t="n"/>
      <c r="AD215" s="523" t="n"/>
      <c r="AE215" s="528" t="n"/>
      <c r="AF215" s="525" t="n"/>
      <c r="AG215" s="526" t="n"/>
      <c r="AH215" s="523" t="n"/>
      <c r="AI215" s="522">
        <f>C215</f>
        <v/>
      </c>
      <c r="AJ215" s="521" t="n"/>
      <c r="AK215" s="522" t="n"/>
      <c r="AL215" s="523" t="n"/>
      <c r="AM215" s="528" t="n"/>
      <c r="AN215" s="525" t="n"/>
      <c r="AO215" s="526" t="n"/>
      <c r="AP215" s="522" t="n"/>
      <c r="AQ215" s="522">
        <f>C215</f>
        <v/>
      </c>
      <c r="AR215" s="715" t="n"/>
      <c r="AS215" s="522" t="n"/>
      <c r="AT215" s="526" t="n"/>
      <c r="AU215" s="523" t="n"/>
      <c r="AV215" s="526" t="n"/>
      <c r="AW215" s="526" t="n"/>
      <c r="AX215" s="523" t="n"/>
      <c r="AY215" s="523" t="n"/>
      <c r="AZ215" s="523">
        <f>C215</f>
        <v/>
      </c>
      <c r="BA215" s="523" t="n"/>
      <c r="BB215" s="523" t="n"/>
      <c r="BC215" s="523" t="n"/>
      <c r="BD215" s="526" t="n"/>
      <c r="BE215" s="526" t="n"/>
      <c r="BF215" s="526" t="n"/>
      <c r="BG215" s="631" t="n"/>
      <c r="BH215" s="5">
        <f>C215</f>
        <v/>
      </c>
      <c r="BL215" s="19" t="n"/>
      <c r="BM215" s="19" t="n"/>
      <c r="BN215" s="19" t="n"/>
      <c r="BP215" s="5">
        <f>C215</f>
        <v/>
      </c>
      <c r="BQ215" s="633" t="n"/>
      <c r="BT215" s="19" t="n"/>
      <c r="BU215" s="19" t="n"/>
      <c r="BV215" s="19" t="n"/>
      <c r="BX215" s="5">
        <f>C215</f>
        <v/>
      </c>
      <c r="CB215" s="19" t="n"/>
      <c r="CC215" s="19" t="n"/>
      <c r="CD215" s="19" t="n"/>
      <c r="CE215" s="552" t="n"/>
      <c r="CF215" s="528">
        <f>C215</f>
        <v/>
      </c>
      <c r="CG215" s="528">
        <f>CH215*10000</f>
        <v/>
      </c>
      <c r="CH215" s="528" t="inlineStr">
        <is>
          <t>---</t>
        </is>
      </c>
      <c r="CJ215" s="528" t="n"/>
      <c r="CK215" s="525" t="n"/>
      <c r="CL215" s="19" t="n"/>
      <c r="CN215" s="5">
        <f>C215</f>
        <v/>
      </c>
      <c r="CR215" s="19" t="n"/>
      <c r="CS215" s="19" t="n"/>
      <c r="CT215" s="19" t="n"/>
      <c r="CV215" s="5">
        <f>C215</f>
        <v/>
      </c>
      <c r="CZ215" s="19" t="n"/>
      <c r="DA215" s="19" t="n"/>
      <c r="DB215" s="19" t="n"/>
      <c r="DC215" s="23" t="n"/>
      <c r="DD215" s="5">
        <f>C215</f>
        <v/>
      </c>
      <c r="DH215" s="19" t="n"/>
      <c r="DI215" s="19" t="n"/>
      <c r="DJ215" s="19" t="n"/>
      <c r="DL215" s="5">
        <f>C215</f>
        <v/>
      </c>
      <c r="DP215" s="19" t="n"/>
      <c r="DQ215" s="19" t="n"/>
      <c r="DR215" s="19" t="n"/>
      <c r="DT215" s="5">
        <f>C215</f>
        <v/>
      </c>
      <c r="DX215" s="19" t="n"/>
      <c r="DY215" s="19" t="n"/>
      <c r="DZ215" s="19" t="n"/>
      <c r="EB215" s="5">
        <f>C215</f>
        <v/>
      </c>
      <c r="EF215" s="19" t="n"/>
      <c r="EG215" s="19" t="n"/>
      <c r="EH215" s="19" t="n"/>
      <c r="EJ215" s="5">
        <f>C215</f>
        <v/>
      </c>
      <c r="EN215" s="19" t="n"/>
      <c r="EO215" s="19" t="n"/>
      <c r="EP215" s="19" t="n"/>
      <c r="EQ215" s="19" t="n"/>
      <c r="ER215" s="5">
        <f>C215</f>
        <v/>
      </c>
      <c r="ES215" s="19" t="n"/>
      <c r="ET215" s="19" t="n"/>
      <c r="EU215" s="19" t="n"/>
      <c r="EV215" s="19" t="n"/>
      <c r="EW215" s="19" t="n"/>
      <c r="EX215" s="19" t="n"/>
      <c r="EY215" s="551" t="n"/>
      <c r="EZ215" s="522">
        <f>C215</f>
        <v/>
      </c>
      <c r="FA215" s="522">
        <f>FB215*10000</f>
        <v/>
      </c>
      <c r="FB215" s="522" t="n">
        <v>19.92</v>
      </c>
      <c r="FD215" s="525" t="n"/>
      <c r="FE215" s="525" t="n"/>
      <c r="FF215" s="19" t="n"/>
      <c r="FG215" s="19" t="n"/>
      <c r="FH215" s="5">
        <f>C215</f>
        <v/>
      </c>
      <c r="FI215" s="633" t="n"/>
      <c r="FL215" s="19" t="n"/>
      <c r="FM215" s="19" t="n"/>
      <c r="FN215" s="19" t="n"/>
      <c r="FP215" s="5">
        <f>C215</f>
        <v/>
      </c>
      <c r="FT215" s="19" t="n"/>
      <c r="FU215" s="19" t="n"/>
      <c r="FV215" s="19" t="n"/>
      <c r="FX215" s="5">
        <f>C215</f>
        <v/>
      </c>
      <c r="GB215" s="19" t="n"/>
      <c r="GC215" s="19" t="n"/>
      <c r="GD215" s="19" t="n"/>
      <c r="GF215" s="5">
        <f>C215</f>
        <v/>
      </c>
      <c r="GJ215" s="19" t="n"/>
      <c r="GK215" s="19" t="n"/>
      <c r="GL215" s="19" t="n"/>
      <c r="GN215" s="5">
        <f>C215</f>
        <v/>
      </c>
      <c r="GR215" s="19" t="n"/>
      <c r="GS215" s="19" t="n"/>
      <c r="GT215" s="19" t="n"/>
      <c r="GV215" s="5">
        <f>C215</f>
        <v/>
      </c>
      <c r="GZ215" s="19" t="n"/>
      <c r="HA215" s="19" t="n"/>
      <c r="HB215" s="19" t="n"/>
      <c r="HD215" s="5">
        <f>C215</f>
        <v/>
      </c>
      <c r="HH215" s="19" t="n"/>
      <c r="HI215" s="19" t="n"/>
      <c r="HJ215" s="19" t="n"/>
      <c r="HL215" s="5">
        <f>C215</f>
        <v/>
      </c>
      <c r="HP215" s="19" t="n"/>
      <c r="HQ215" s="19" t="n"/>
      <c r="HR215" s="19" t="n"/>
      <c r="HT215" s="5">
        <f>C215</f>
        <v/>
      </c>
      <c r="HX215" s="19" t="n"/>
      <c r="HY215" s="19" t="n"/>
      <c r="HZ215" s="19" t="n"/>
      <c r="IA215" s="551" t="n"/>
      <c r="IB215" s="522">
        <f>C215</f>
        <v/>
      </c>
      <c r="IC215" s="522">
        <f>ID215*10000</f>
        <v/>
      </c>
      <c r="ID215" s="522" t="n">
        <v>0.82</v>
      </c>
      <c r="IF215" s="528" t="n"/>
      <c r="IG215" s="525" t="n"/>
      <c r="IH215" s="19" t="n"/>
      <c r="IJ215" s="5">
        <f>C215</f>
        <v/>
      </c>
      <c r="IN215" s="19" t="n"/>
      <c r="IO215" s="19" t="n"/>
      <c r="IP215" s="19" t="n"/>
      <c r="IR215" s="5">
        <f>C215</f>
        <v/>
      </c>
      <c r="IV215" s="19" t="n"/>
      <c r="IW215" s="19" t="n"/>
      <c r="IX215" s="19" t="n"/>
      <c r="IY215" s="551" t="n"/>
      <c r="IZ215" s="522">
        <f>C215</f>
        <v/>
      </c>
      <c r="JA215" s="522">
        <f>JB215*10000</f>
        <v/>
      </c>
      <c r="JB215" s="522" t="n">
        <v>36.07</v>
      </c>
      <c r="JD215" s="525" t="n"/>
      <c r="JE215" s="525" t="n"/>
      <c r="JF215" s="19" t="n"/>
      <c r="JG215" s="551" t="n"/>
      <c r="JH215" s="522">
        <f>C215</f>
        <v/>
      </c>
      <c r="JI215" s="522">
        <f>JJ215*10000</f>
        <v/>
      </c>
      <c r="JJ215" s="522" t="n">
        <v>14.23</v>
      </c>
      <c r="JL215" s="525" t="n"/>
      <c r="JM215" s="525" t="n"/>
      <c r="JN215" s="525" t="n"/>
      <c r="JO215" s="19" t="n"/>
      <c r="JP215" s="5">
        <f>C215</f>
        <v/>
      </c>
      <c r="JT215" s="19" t="n"/>
      <c r="JU215" s="19" t="n"/>
      <c r="JV215" s="19" t="n"/>
      <c r="JW215" s="19" t="n"/>
      <c r="JX215" s="5">
        <f>C215</f>
        <v/>
      </c>
      <c r="KB215" s="19" t="n"/>
      <c r="KC215" s="19" t="n"/>
      <c r="KD215" s="19" t="n"/>
      <c r="KE215" s="19" t="n"/>
      <c r="KF215" s="5">
        <f>C215</f>
        <v/>
      </c>
      <c r="KG215" s="19" t="n"/>
      <c r="KH215" s="19" t="n"/>
      <c r="KJ215" s="19" t="n"/>
      <c r="KK215" s="19" t="n"/>
      <c r="KL215" s="19" t="n"/>
      <c r="KM215" s="19" t="n"/>
      <c r="KN215" s="5">
        <f>C215</f>
        <v/>
      </c>
      <c r="KR215" s="19" t="n"/>
      <c r="KS215" s="19" t="n"/>
      <c r="KT215" s="19" t="n"/>
      <c r="KV215" s="5">
        <f>C215</f>
        <v/>
      </c>
      <c r="KZ215" s="19" t="n"/>
      <c r="LA215" s="19" t="n"/>
      <c r="LB215" s="19" t="n"/>
      <c r="LD215" s="5">
        <f>C215</f>
        <v/>
      </c>
      <c r="LH215" s="19" t="n"/>
      <c r="LI215" s="19" t="n"/>
      <c r="LJ215" s="19" t="n"/>
      <c r="LL215" s="5">
        <f>C215</f>
        <v/>
      </c>
      <c r="LM215" s="633" t="n"/>
      <c r="LP215" s="19" t="n"/>
      <c r="LQ215" s="19" t="n"/>
      <c r="LR215" s="19" t="n"/>
      <c r="LS215" s="551" t="n"/>
      <c r="LT215" s="522">
        <f>C215</f>
        <v/>
      </c>
      <c r="LU215" s="522">
        <f>LV215*10000</f>
        <v/>
      </c>
      <c r="LV215" s="522" t="n">
        <v>11.23</v>
      </c>
      <c r="LX215" s="525" t="n"/>
      <c r="LY215" s="525" t="n"/>
      <c r="LZ215" s="19" t="n"/>
      <c r="MB215" s="5">
        <f>C215</f>
        <v/>
      </c>
      <c r="MF215" s="19" t="n"/>
      <c r="MG215" s="19" t="n"/>
      <c r="MH215" s="19" t="n"/>
      <c r="MK215" s="5">
        <f>C215</f>
        <v/>
      </c>
      <c r="MM215" s="24" t="n"/>
      <c r="MO215" s="19" t="n"/>
      <c r="MP215" s="19" t="n"/>
      <c r="MQ215" s="19" t="n"/>
      <c r="MR215" s="19" t="n"/>
      <c r="MS215" s="19" t="n"/>
      <c r="MT215" s="25">
        <f>C215</f>
        <v/>
      </c>
      <c r="MX215" s="19" t="n"/>
      <c r="MY215" s="19" t="n"/>
      <c r="MZ215" s="19" t="n"/>
      <c r="NA215" s="19" t="n"/>
      <c r="NB215" s="19" t="n"/>
      <c r="NC215" s="5">
        <f>C215</f>
        <v/>
      </c>
      <c r="NG215" s="19" t="n"/>
      <c r="NH215" s="19" t="n"/>
      <c r="NI215" s="19" t="n"/>
      <c r="NJ215" s="19" t="n"/>
      <c r="NK215" s="19" t="n"/>
      <c r="NM215" s="5">
        <f>C215</f>
        <v/>
      </c>
      <c r="NQ215" s="19" t="n"/>
      <c r="NR215" s="19" t="n"/>
      <c r="NU215" s="5">
        <f>C215</f>
        <v/>
      </c>
      <c r="NY215" s="19" t="n"/>
      <c r="NZ215" s="19" t="n"/>
      <c r="OC215" s="5">
        <f>C215</f>
        <v/>
      </c>
      <c r="OG215" s="19" t="n"/>
      <c r="OH215" s="19" t="n"/>
      <c r="OI215" s="19" t="n"/>
      <c r="OK215" s="5">
        <f>C215</f>
        <v/>
      </c>
      <c r="OO215" s="19" t="n"/>
      <c r="OP215" s="19" t="n"/>
      <c r="OQ215" s="19" t="n"/>
      <c r="OT215" s="25">
        <f>OK215</f>
        <v/>
      </c>
      <c r="OX215" s="19" t="n"/>
    </row>
    <row r="216" ht="21" customFormat="1" customHeight="1" s="5">
      <c r="A216" s="631" t="n"/>
      <c r="B216" s="631" t="n"/>
      <c r="C216" s="714" t="inlineStr">
        <is>
          <t>2026//3//18</t>
        </is>
      </c>
      <c r="D216" s="521" t="n">
        <v>8556618.77</v>
      </c>
      <c r="E216" s="522">
        <f>D217</f>
        <v/>
      </c>
      <c r="F216" s="523">
        <f>D216-E216</f>
        <v/>
      </c>
      <c r="G216" s="524">
        <f>F216/E216</f>
        <v/>
      </c>
      <c r="H216" s="525" t="n"/>
      <c r="I216" s="526" t="n"/>
      <c r="J216" s="526" t="n"/>
      <c r="K216" s="522">
        <f>C216</f>
        <v/>
      </c>
      <c r="L216" s="527" t="n">
        <v>6144364.4</v>
      </c>
      <c r="M216" s="522">
        <f>L217</f>
        <v/>
      </c>
      <c r="N216" s="523">
        <f>L216-M216</f>
        <v/>
      </c>
      <c r="O216" s="525">
        <f>N216/M216</f>
        <v/>
      </c>
      <c r="P216" s="525" t="n"/>
      <c r="Q216" s="526" t="n"/>
      <c r="R216" s="523" t="n"/>
      <c r="S216" s="522">
        <f>C216</f>
        <v/>
      </c>
      <c r="T216" s="527" t="n">
        <v>5296116.68</v>
      </c>
      <c r="U216" s="522">
        <f>T217</f>
        <v/>
      </c>
      <c r="V216" s="523">
        <f>T216-U216</f>
        <v/>
      </c>
      <c r="W216" s="525">
        <f>V216/T216</f>
        <v/>
      </c>
      <c r="X216" s="525" t="n"/>
      <c r="Y216" s="526" t="n"/>
      <c r="Z216" s="523" t="n"/>
      <c r="AA216" s="522">
        <f>S216</f>
        <v/>
      </c>
      <c r="AB216" s="521" t="n"/>
      <c r="AC216" s="522" t="n"/>
      <c r="AD216" s="523" t="n"/>
      <c r="AE216" s="528" t="n"/>
      <c r="AF216" s="525" t="n"/>
      <c r="AG216" s="526" t="n"/>
      <c r="AH216" s="523" t="n"/>
      <c r="AI216" s="522">
        <f>C216</f>
        <v/>
      </c>
      <c r="AJ216" s="521" t="n"/>
      <c r="AK216" s="522" t="n"/>
      <c r="AL216" s="523" t="n"/>
      <c r="AM216" s="528" t="n"/>
      <c r="AN216" s="525" t="n"/>
      <c r="AO216" s="526" t="n"/>
      <c r="AP216" s="522" t="n"/>
      <c r="AQ216" s="522">
        <f>C216</f>
        <v/>
      </c>
      <c r="AR216" s="715" t="n"/>
      <c r="AS216" s="522" t="n"/>
      <c r="AT216" s="526" t="n"/>
      <c r="AU216" s="523" t="n"/>
      <c r="AV216" s="526" t="n"/>
      <c r="AW216" s="526" t="n"/>
      <c r="AX216" s="523" t="n"/>
      <c r="AY216" s="523" t="n"/>
      <c r="AZ216" s="523">
        <f>C216</f>
        <v/>
      </c>
      <c r="BA216" s="523" t="n"/>
      <c r="BB216" s="523" t="n"/>
      <c r="BC216" s="523" t="n"/>
      <c r="BD216" s="526" t="n"/>
      <c r="BE216" s="526" t="n"/>
      <c r="BF216" s="526" t="n"/>
      <c r="BG216" s="631" t="n"/>
      <c r="BH216" s="5">
        <f>C216</f>
        <v/>
      </c>
      <c r="BL216" s="19" t="n"/>
      <c r="BM216" s="19" t="n"/>
      <c r="BN216" s="19" t="n"/>
      <c r="BP216" s="5">
        <f>C216</f>
        <v/>
      </c>
      <c r="BQ216" s="633" t="n"/>
      <c r="BT216" s="19" t="n"/>
      <c r="BU216" s="19" t="n"/>
      <c r="BV216" s="19" t="n"/>
      <c r="BX216" s="5">
        <f>C216</f>
        <v/>
      </c>
      <c r="CB216" s="19" t="n"/>
      <c r="CC216" s="19" t="n"/>
      <c r="CD216" s="19" t="n"/>
      <c r="CE216" s="552" t="n"/>
      <c r="CF216" s="528">
        <f>C216</f>
        <v/>
      </c>
      <c r="CG216" s="528">
        <f>CH216*10000</f>
        <v/>
      </c>
      <c r="CH216" s="528" t="n">
        <v>2.95</v>
      </c>
      <c r="CJ216" s="528" t="n"/>
      <c r="CK216" s="525" t="n"/>
      <c r="CL216" s="19" t="n"/>
      <c r="CN216" s="5">
        <f>C216</f>
        <v/>
      </c>
      <c r="CR216" s="19" t="n"/>
      <c r="CS216" s="19" t="n"/>
      <c r="CT216" s="19" t="n"/>
      <c r="CV216" s="5">
        <f>C216</f>
        <v/>
      </c>
      <c r="CZ216" s="19" t="n"/>
      <c r="DA216" s="19" t="n"/>
      <c r="DB216" s="19" t="n"/>
      <c r="DC216" s="23" t="n"/>
      <c r="DD216" s="5">
        <f>C216</f>
        <v/>
      </c>
      <c r="DH216" s="19" t="n"/>
      <c r="DI216" s="19" t="n"/>
      <c r="DJ216" s="19" t="n"/>
      <c r="DL216" s="5">
        <f>C216</f>
        <v/>
      </c>
      <c r="DP216" s="19" t="n"/>
      <c r="DQ216" s="19" t="n"/>
      <c r="DR216" s="19" t="n"/>
      <c r="DT216" s="5">
        <f>C216</f>
        <v/>
      </c>
      <c r="DX216" s="19" t="n"/>
      <c r="DY216" s="19" t="n"/>
      <c r="DZ216" s="19" t="n"/>
      <c r="EB216" s="5">
        <f>C216</f>
        <v/>
      </c>
      <c r="EF216" s="19" t="n"/>
      <c r="EG216" s="19" t="n"/>
      <c r="EH216" s="19" t="n"/>
      <c r="EJ216" s="5">
        <f>C216</f>
        <v/>
      </c>
      <c r="EN216" s="19" t="n"/>
      <c r="EO216" s="19" t="n"/>
      <c r="EP216" s="19" t="n"/>
      <c r="EQ216" s="19" t="n"/>
      <c r="ER216" s="5">
        <f>C216</f>
        <v/>
      </c>
      <c r="ES216" s="19" t="n"/>
      <c r="ET216" s="19" t="n"/>
      <c r="EU216" s="19" t="n"/>
      <c r="EV216" s="19" t="n"/>
      <c r="EW216" s="19" t="n"/>
      <c r="EX216" s="19" t="n"/>
      <c r="EY216" s="551" t="n"/>
      <c r="EZ216" s="522">
        <f>C216</f>
        <v/>
      </c>
      <c r="FA216" s="522">
        <f>FB216*10000</f>
        <v/>
      </c>
      <c r="FB216" s="522" t="n">
        <v>9.789999999999999</v>
      </c>
      <c r="FD216" s="525" t="n"/>
      <c r="FE216" s="525" t="n"/>
      <c r="FF216" s="19" t="n"/>
      <c r="FG216" s="19" t="n"/>
      <c r="FH216" s="5">
        <f>C216</f>
        <v/>
      </c>
      <c r="FI216" s="633" t="n"/>
      <c r="FL216" s="19" t="n"/>
      <c r="FM216" s="19" t="n"/>
      <c r="FN216" s="19" t="n"/>
      <c r="FP216" s="5">
        <f>C216</f>
        <v/>
      </c>
      <c r="FT216" s="19" t="n"/>
      <c r="FU216" s="19" t="n"/>
      <c r="FV216" s="19" t="n"/>
      <c r="FX216" s="5">
        <f>C216</f>
        <v/>
      </c>
      <c r="GB216" s="19" t="n"/>
      <c r="GC216" s="19" t="n"/>
      <c r="GD216" s="19" t="n"/>
      <c r="GF216" s="5">
        <f>C216</f>
        <v/>
      </c>
      <c r="GJ216" s="19" t="n"/>
      <c r="GK216" s="19" t="n"/>
      <c r="GL216" s="19" t="n"/>
      <c r="GN216" s="5">
        <f>C216</f>
        <v/>
      </c>
      <c r="GR216" s="19" t="n"/>
      <c r="GS216" s="19" t="n"/>
      <c r="GT216" s="19" t="n"/>
      <c r="GV216" s="5">
        <f>C216</f>
        <v/>
      </c>
      <c r="GZ216" s="19" t="n"/>
      <c r="HA216" s="19" t="n"/>
      <c r="HB216" s="19" t="n"/>
      <c r="HD216" s="5">
        <f>C216</f>
        <v/>
      </c>
      <c r="HH216" s="19" t="n"/>
      <c r="HI216" s="19" t="n"/>
      <c r="HJ216" s="19" t="n"/>
      <c r="HL216" s="5">
        <f>C216</f>
        <v/>
      </c>
      <c r="HP216" s="19" t="n"/>
      <c r="HQ216" s="19" t="n"/>
      <c r="HR216" s="19" t="n"/>
      <c r="HT216" s="5">
        <f>C216</f>
        <v/>
      </c>
      <c r="HX216" s="19" t="n"/>
      <c r="HY216" s="19" t="n"/>
      <c r="HZ216" s="19" t="n"/>
      <c r="IA216" s="551" t="n"/>
      <c r="IB216" s="522">
        <f>C216</f>
        <v/>
      </c>
      <c r="IC216" s="522">
        <f>ID216*10000</f>
        <v/>
      </c>
      <c r="ID216" s="522" t="inlineStr">
        <is>
          <t>---</t>
        </is>
      </c>
      <c r="IF216" s="528" t="n"/>
      <c r="IG216" s="525" t="n"/>
      <c r="IH216" s="19" t="n"/>
      <c r="IJ216" s="5">
        <f>C216</f>
        <v/>
      </c>
      <c r="IN216" s="19" t="n"/>
      <c r="IO216" s="19" t="n"/>
      <c r="IP216" s="19" t="n"/>
      <c r="IR216" s="5">
        <f>C216</f>
        <v/>
      </c>
      <c r="IV216" s="19" t="n"/>
      <c r="IW216" s="19" t="n"/>
      <c r="IX216" s="19" t="n"/>
      <c r="IY216" s="551" t="n"/>
      <c r="IZ216" s="522">
        <f>C216</f>
        <v/>
      </c>
      <c r="JA216" s="522">
        <f>JB216*10000</f>
        <v/>
      </c>
      <c r="JB216" s="522" t="n">
        <v>23.84</v>
      </c>
      <c r="JD216" s="525" t="n"/>
      <c r="JE216" s="525" t="n"/>
      <c r="JF216" s="19" t="n"/>
      <c r="JG216" s="551" t="n"/>
      <c r="JH216" s="522">
        <f>C216</f>
        <v/>
      </c>
      <c r="JI216" s="522">
        <f>JJ216*10000</f>
        <v/>
      </c>
      <c r="JJ216" s="522" t="n">
        <v>9.91</v>
      </c>
      <c r="JL216" s="525" t="n"/>
      <c r="JM216" s="525" t="n"/>
      <c r="JN216" s="525" t="n"/>
      <c r="JO216" s="19" t="n"/>
      <c r="JP216" s="5">
        <f>C216</f>
        <v/>
      </c>
      <c r="JT216" s="19" t="n"/>
      <c r="JU216" s="19" t="n"/>
      <c r="JV216" s="19" t="n"/>
      <c r="JW216" s="19" t="n"/>
      <c r="JX216" s="5">
        <f>C216</f>
        <v/>
      </c>
      <c r="KB216" s="19" t="n"/>
      <c r="KC216" s="19" t="n"/>
      <c r="KD216" s="19" t="n"/>
      <c r="KE216" s="19" t="n"/>
      <c r="KF216" s="5">
        <f>C216</f>
        <v/>
      </c>
      <c r="KG216" s="19" t="n"/>
      <c r="KH216" s="19" t="n"/>
      <c r="KJ216" s="19" t="n"/>
      <c r="KK216" s="19" t="n"/>
      <c r="KL216" s="19" t="n"/>
      <c r="KM216" s="19" t="n"/>
      <c r="KN216" s="5">
        <f>C216</f>
        <v/>
      </c>
      <c r="KR216" s="19" t="n"/>
      <c r="KS216" s="19" t="n"/>
      <c r="KT216" s="19" t="n"/>
      <c r="KV216" s="5">
        <f>C216</f>
        <v/>
      </c>
      <c r="KZ216" s="19" t="n"/>
      <c r="LA216" s="19" t="n"/>
      <c r="LB216" s="19" t="n"/>
      <c r="LD216" s="5">
        <f>C216</f>
        <v/>
      </c>
      <c r="LH216" s="19" t="n"/>
      <c r="LI216" s="19" t="n"/>
      <c r="LJ216" s="19" t="n"/>
      <c r="LL216" s="5">
        <f>C216</f>
        <v/>
      </c>
      <c r="LM216" s="633" t="n"/>
      <c r="LP216" s="19" t="n"/>
      <c r="LQ216" s="19" t="n"/>
      <c r="LR216" s="19" t="n"/>
      <c r="LS216" s="551" t="n"/>
      <c r="LT216" s="522">
        <f>C216</f>
        <v/>
      </c>
      <c r="LU216" s="522">
        <f>LV216*10000</f>
        <v/>
      </c>
      <c r="LV216" s="522" t="n">
        <v>8.699999999999999</v>
      </c>
      <c r="LX216" s="525" t="n"/>
      <c r="LY216" s="525" t="n"/>
      <c r="LZ216" s="19" t="n"/>
      <c r="MB216" s="5">
        <f>C216</f>
        <v/>
      </c>
      <c r="MF216" s="19" t="n"/>
      <c r="MG216" s="19" t="n"/>
      <c r="MH216" s="19" t="n"/>
      <c r="MK216" s="5">
        <f>C216</f>
        <v/>
      </c>
      <c r="MM216" s="24" t="n"/>
      <c r="MO216" s="19" t="n"/>
      <c r="MP216" s="19" t="n"/>
      <c r="MQ216" s="19" t="n"/>
      <c r="MR216" s="19" t="n"/>
      <c r="MS216" s="19" t="n"/>
      <c r="MT216" s="25">
        <f>C216</f>
        <v/>
      </c>
      <c r="MX216" s="19" t="n"/>
      <c r="MY216" s="19" t="n"/>
      <c r="MZ216" s="19" t="n"/>
      <c r="NA216" s="19" t="n"/>
      <c r="NB216" s="19" t="n"/>
      <c r="NC216" s="5">
        <f>C216</f>
        <v/>
      </c>
      <c r="NG216" s="19" t="n"/>
      <c r="NH216" s="19" t="n"/>
      <c r="NI216" s="19" t="n"/>
      <c r="NJ216" s="19" t="n"/>
      <c r="NK216" s="19" t="n"/>
      <c r="NM216" s="5">
        <f>C216</f>
        <v/>
      </c>
      <c r="NQ216" s="19" t="n"/>
      <c r="NR216" s="19" t="n"/>
      <c r="NU216" s="5">
        <f>C216</f>
        <v/>
      </c>
      <c r="NY216" s="19" t="n"/>
      <c r="NZ216" s="19" t="n"/>
      <c r="OC216" s="5">
        <f>C216</f>
        <v/>
      </c>
      <c r="OG216" s="19" t="n"/>
      <c r="OH216" s="19" t="n"/>
      <c r="OI216" s="19" t="n"/>
      <c r="OK216" s="5">
        <f>C216</f>
        <v/>
      </c>
      <c r="OO216" s="19" t="n"/>
      <c r="OP216" s="19" t="n"/>
      <c r="OQ216" s="19" t="n"/>
      <c r="OT216" s="25">
        <f>OK216</f>
        <v/>
      </c>
      <c r="OX216" s="19" t="n"/>
    </row>
    <row r="217" ht="21" customFormat="1" customHeight="1" s="5">
      <c r="A217" s="631" t="n"/>
      <c r="B217" s="631" t="n"/>
      <c r="C217" s="714" t="inlineStr">
        <is>
          <t>2026//3//17</t>
        </is>
      </c>
      <c r="D217" s="521" t="n">
        <v>8566518.77</v>
      </c>
      <c r="E217" s="522">
        <f>D218</f>
        <v/>
      </c>
      <c r="F217" s="523">
        <f>D217-E217</f>
        <v/>
      </c>
      <c r="G217" s="524">
        <f>F217/E217</f>
        <v/>
      </c>
      <c r="H217" s="525" t="n"/>
      <c r="I217" s="526" t="n"/>
      <c r="J217" s="526" t="n"/>
      <c r="K217" s="522">
        <f>C217</f>
        <v/>
      </c>
      <c r="L217" s="527" t="n">
        <v>6173344.4</v>
      </c>
      <c r="M217" s="522">
        <f>L218</f>
        <v/>
      </c>
      <c r="N217" s="523">
        <f>L217-M217</f>
        <v/>
      </c>
      <c r="O217" s="525">
        <f>N217/M217</f>
        <v/>
      </c>
      <c r="P217" s="525" t="n"/>
      <c r="Q217" s="526" t="n"/>
      <c r="R217" s="523" t="n"/>
      <c r="S217" s="522">
        <f>C217</f>
        <v/>
      </c>
      <c r="T217" s="527" t="n">
        <v>5298816.68</v>
      </c>
      <c r="U217" s="522">
        <f>T218</f>
        <v/>
      </c>
      <c r="V217" s="523">
        <f>T217-U217</f>
        <v/>
      </c>
      <c r="W217" s="525">
        <f>V217/T217</f>
        <v/>
      </c>
      <c r="X217" s="525" t="n"/>
      <c r="Y217" s="526" t="n"/>
      <c r="Z217" s="523" t="n"/>
      <c r="AA217" s="522">
        <f>S217</f>
        <v/>
      </c>
      <c r="AB217" s="521" t="n"/>
      <c r="AC217" s="522" t="n"/>
      <c r="AD217" s="523" t="n"/>
      <c r="AE217" s="528" t="n"/>
      <c r="AF217" s="525" t="n"/>
      <c r="AG217" s="526" t="n"/>
      <c r="AH217" s="523" t="n"/>
      <c r="AI217" s="522">
        <f>C217</f>
        <v/>
      </c>
      <c r="AJ217" s="521" t="n"/>
      <c r="AK217" s="522" t="n"/>
      <c r="AL217" s="523" t="n"/>
      <c r="AM217" s="528" t="n"/>
      <c r="AN217" s="525" t="n"/>
      <c r="AO217" s="526" t="n"/>
      <c r="AP217" s="522" t="n"/>
      <c r="AQ217" s="522">
        <f>C217</f>
        <v/>
      </c>
      <c r="AR217" s="715" t="n"/>
      <c r="AS217" s="522" t="n"/>
      <c r="AT217" s="526" t="n"/>
      <c r="AU217" s="523" t="n"/>
      <c r="AV217" s="526" t="n"/>
      <c r="AW217" s="526" t="n"/>
      <c r="AX217" s="523" t="n"/>
      <c r="AY217" s="523" t="n"/>
      <c r="AZ217" s="523">
        <f>C217</f>
        <v/>
      </c>
      <c r="BA217" s="523" t="n"/>
      <c r="BB217" s="523" t="n"/>
      <c r="BC217" s="523" t="n"/>
      <c r="BD217" s="526" t="n"/>
      <c r="BE217" s="526" t="n"/>
      <c r="BF217" s="526" t="n"/>
      <c r="BG217" s="631" t="n"/>
      <c r="BH217" s="5">
        <f>C217</f>
        <v/>
      </c>
      <c r="BL217" s="19" t="n"/>
      <c r="BM217" s="19" t="n"/>
      <c r="BN217" s="19" t="n"/>
      <c r="BP217" s="5">
        <f>C217</f>
        <v/>
      </c>
      <c r="BQ217" s="633" t="n"/>
      <c r="BT217" s="19" t="n"/>
      <c r="BU217" s="19" t="n"/>
      <c r="BV217" s="19" t="n"/>
      <c r="BX217" s="5">
        <f>C217</f>
        <v/>
      </c>
      <c r="CB217" s="19" t="n"/>
      <c r="CC217" s="19" t="n"/>
      <c r="CD217" s="19" t="n"/>
      <c r="CE217" s="552" t="n"/>
      <c r="CF217" s="528">
        <f>C217</f>
        <v/>
      </c>
      <c r="CG217" s="528">
        <f>CH217*10000</f>
        <v/>
      </c>
      <c r="CH217" s="528" t="n">
        <v>1.42</v>
      </c>
      <c r="CJ217" s="528" t="n"/>
      <c r="CK217" s="525" t="n"/>
      <c r="CL217" s="19" t="n"/>
      <c r="CN217" s="5">
        <f>C217</f>
        <v/>
      </c>
      <c r="CR217" s="19" t="n"/>
      <c r="CS217" s="19" t="n"/>
      <c r="CT217" s="19" t="n"/>
      <c r="CV217" s="5">
        <f>C217</f>
        <v/>
      </c>
      <c r="CZ217" s="19" t="n"/>
      <c r="DA217" s="19" t="n"/>
      <c r="DB217" s="19" t="n"/>
      <c r="DC217" s="23" t="n"/>
      <c r="DD217" s="5">
        <f>C217</f>
        <v/>
      </c>
      <c r="DH217" s="19" t="n"/>
      <c r="DI217" s="19" t="n"/>
      <c r="DJ217" s="19" t="n"/>
      <c r="DL217" s="5">
        <f>C217</f>
        <v/>
      </c>
      <c r="DP217" s="19" t="n"/>
      <c r="DQ217" s="19" t="n"/>
      <c r="DR217" s="19" t="n"/>
      <c r="DT217" s="5">
        <f>C217</f>
        <v/>
      </c>
      <c r="DX217" s="19" t="n"/>
      <c r="DY217" s="19" t="n"/>
      <c r="DZ217" s="19" t="n"/>
      <c r="EB217" s="5">
        <f>C217</f>
        <v/>
      </c>
      <c r="EF217" s="19" t="n"/>
      <c r="EG217" s="19" t="n"/>
      <c r="EH217" s="19" t="n"/>
      <c r="EJ217" s="5">
        <f>C217</f>
        <v/>
      </c>
      <c r="EN217" s="19" t="n"/>
      <c r="EO217" s="19" t="n"/>
      <c r="EP217" s="19" t="n"/>
      <c r="EQ217" s="19" t="n"/>
      <c r="ER217" s="5">
        <f>C217</f>
        <v/>
      </c>
      <c r="ES217" s="19" t="n"/>
      <c r="ET217" s="19" t="n"/>
      <c r="EU217" s="19" t="n"/>
      <c r="EV217" s="19" t="n"/>
      <c r="EW217" s="19" t="n"/>
      <c r="EX217" s="19" t="n"/>
      <c r="EY217" s="551" t="n"/>
      <c r="EZ217" s="522">
        <f>C217</f>
        <v/>
      </c>
      <c r="FA217" s="522">
        <f>FB217*10000</f>
        <v/>
      </c>
      <c r="FB217" s="522" t="n">
        <v>10.52</v>
      </c>
      <c r="FD217" s="525" t="n"/>
      <c r="FE217" s="525" t="n"/>
      <c r="FF217" s="19" t="n"/>
      <c r="FG217" s="19" t="n"/>
      <c r="FH217" s="5">
        <f>C217</f>
        <v/>
      </c>
      <c r="FI217" s="633" t="n"/>
      <c r="FL217" s="19" t="n"/>
      <c r="FM217" s="19" t="n"/>
      <c r="FN217" s="19" t="n"/>
      <c r="FP217" s="5">
        <f>C217</f>
        <v/>
      </c>
      <c r="FT217" s="19" t="n"/>
      <c r="FU217" s="19" t="n"/>
      <c r="FV217" s="19" t="n"/>
      <c r="FX217" s="5">
        <f>C217</f>
        <v/>
      </c>
      <c r="GB217" s="19" t="n"/>
      <c r="GC217" s="19" t="n"/>
      <c r="GD217" s="19" t="n"/>
      <c r="GF217" s="5">
        <f>C217</f>
        <v/>
      </c>
      <c r="GJ217" s="19" t="n"/>
      <c r="GK217" s="19" t="n"/>
      <c r="GL217" s="19" t="n"/>
      <c r="GN217" s="5">
        <f>C217</f>
        <v/>
      </c>
      <c r="GR217" s="19" t="n"/>
      <c r="GS217" s="19" t="n"/>
      <c r="GT217" s="19" t="n"/>
      <c r="GV217" s="5">
        <f>C217</f>
        <v/>
      </c>
      <c r="GZ217" s="19" t="n"/>
      <c r="HA217" s="19" t="n"/>
      <c r="HB217" s="19" t="n"/>
      <c r="HD217" s="5">
        <f>C217</f>
        <v/>
      </c>
      <c r="HH217" s="19" t="n"/>
      <c r="HI217" s="19" t="n"/>
      <c r="HJ217" s="19" t="n"/>
      <c r="HL217" s="5">
        <f>C217</f>
        <v/>
      </c>
      <c r="HP217" s="19" t="n"/>
      <c r="HQ217" s="19" t="n"/>
      <c r="HR217" s="19" t="n"/>
      <c r="HT217" s="5">
        <f>C217</f>
        <v/>
      </c>
      <c r="HX217" s="19" t="n"/>
      <c r="HY217" s="19" t="n"/>
      <c r="HZ217" s="19" t="n"/>
      <c r="IA217" s="551" t="n"/>
      <c r="IB217" s="522">
        <f>C217</f>
        <v/>
      </c>
      <c r="IC217" s="522">
        <f>ID217*10000</f>
        <v/>
      </c>
      <c r="ID217" s="522" t="n">
        <v>0.6899999999999999</v>
      </c>
      <c r="IF217" s="528" t="n"/>
      <c r="IG217" s="525" t="n"/>
      <c r="IH217" s="19" t="n"/>
      <c r="IJ217" s="5">
        <f>C217</f>
        <v/>
      </c>
      <c r="IN217" s="19" t="n"/>
      <c r="IO217" s="19" t="n"/>
      <c r="IP217" s="19" t="n"/>
      <c r="IR217" s="5">
        <f>C217</f>
        <v/>
      </c>
      <c r="IV217" s="19" t="n"/>
      <c r="IW217" s="19" t="n"/>
      <c r="IX217" s="19" t="n"/>
      <c r="IY217" s="551" t="n"/>
      <c r="IZ217" s="522">
        <f>C217</f>
        <v/>
      </c>
      <c r="JA217" s="522">
        <f>JB217*10000</f>
        <v/>
      </c>
      <c r="JB217" s="522" t="n">
        <v>19.77</v>
      </c>
      <c r="JD217" s="525" t="n"/>
      <c r="JE217" s="525" t="n"/>
      <c r="JF217" s="19" t="n"/>
      <c r="JG217" s="551" t="n"/>
      <c r="JH217" s="522">
        <f>C217</f>
        <v/>
      </c>
      <c r="JI217" s="522">
        <f>JJ217*10000</f>
        <v/>
      </c>
      <c r="JJ217" s="522" t="n">
        <v>6.94</v>
      </c>
      <c r="JL217" s="525" t="n"/>
      <c r="JM217" s="525" t="n"/>
      <c r="JN217" s="525" t="n"/>
      <c r="JO217" s="19" t="n"/>
      <c r="JP217" s="5">
        <f>C217</f>
        <v/>
      </c>
      <c r="JT217" s="19" t="n"/>
      <c r="JU217" s="19" t="n"/>
      <c r="JV217" s="19" t="n"/>
      <c r="JW217" s="19" t="n"/>
      <c r="JX217" s="5">
        <f>C217</f>
        <v/>
      </c>
      <c r="KB217" s="19" t="n"/>
      <c r="KC217" s="19" t="n"/>
      <c r="KD217" s="19" t="n"/>
      <c r="KE217" s="19" t="n"/>
      <c r="KF217" s="5">
        <f>C217</f>
        <v/>
      </c>
      <c r="KG217" s="19" t="n"/>
      <c r="KH217" s="19" t="n"/>
      <c r="KJ217" s="19" t="n"/>
      <c r="KK217" s="19" t="n"/>
      <c r="KL217" s="19" t="n"/>
      <c r="KM217" s="19" t="n"/>
      <c r="KN217" s="5">
        <f>C217</f>
        <v/>
      </c>
      <c r="KR217" s="19" t="n"/>
      <c r="KS217" s="19" t="n"/>
      <c r="KT217" s="19" t="n"/>
      <c r="KV217" s="5">
        <f>C217</f>
        <v/>
      </c>
      <c r="KZ217" s="19" t="n"/>
      <c r="LA217" s="19" t="n"/>
      <c r="LB217" s="19" t="n"/>
      <c r="LD217" s="5">
        <f>C217</f>
        <v/>
      </c>
      <c r="LH217" s="19" t="n"/>
      <c r="LI217" s="19" t="n"/>
      <c r="LJ217" s="19" t="n"/>
      <c r="LL217" s="5">
        <f>C217</f>
        <v/>
      </c>
      <c r="LM217" s="633" t="n"/>
      <c r="LP217" s="19" t="n"/>
      <c r="LQ217" s="19" t="n"/>
      <c r="LR217" s="19" t="n"/>
      <c r="LS217" s="551" t="n"/>
      <c r="LT217" s="522">
        <f>C217</f>
        <v/>
      </c>
      <c r="LU217" s="522">
        <f>LV217*10000</f>
        <v/>
      </c>
      <c r="LV217" s="522" t="n">
        <v>8.4</v>
      </c>
      <c r="LX217" s="525" t="n"/>
      <c r="LY217" s="525" t="n"/>
      <c r="LZ217" s="19" t="n"/>
      <c r="MB217" s="5">
        <f>C217</f>
        <v/>
      </c>
      <c r="MF217" s="19" t="n"/>
      <c r="MG217" s="19" t="n"/>
      <c r="MH217" s="19" t="n"/>
      <c r="MK217" s="5">
        <f>C217</f>
        <v/>
      </c>
      <c r="MM217" s="24" t="n"/>
      <c r="MO217" s="19" t="n"/>
      <c r="MP217" s="19" t="n"/>
      <c r="MQ217" s="19" t="n"/>
      <c r="MR217" s="19" t="n"/>
      <c r="MS217" s="19" t="n"/>
      <c r="MT217" s="25">
        <f>C217</f>
        <v/>
      </c>
      <c r="MX217" s="19" t="n"/>
      <c r="MY217" s="19" t="n"/>
      <c r="MZ217" s="19" t="n"/>
      <c r="NA217" s="19" t="n"/>
      <c r="NB217" s="19" t="n"/>
      <c r="NC217" s="5">
        <f>C217</f>
        <v/>
      </c>
      <c r="NG217" s="19" t="n"/>
      <c r="NH217" s="19" t="n"/>
      <c r="NI217" s="19" t="n"/>
      <c r="NJ217" s="19" t="n"/>
      <c r="NK217" s="19" t="n"/>
      <c r="NM217" s="5">
        <f>C217</f>
        <v/>
      </c>
      <c r="NQ217" s="19" t="n"/>
      <c r="NR217" s="19" t="n"/>
      <c r="NU217" s="5">
        <f>C217</f>
        <v/>
      </c>
      <c r="NY217" s="19" t="n"/>
      <c r="NZ217" s="19" t="n"/>
      <c r="OC217" s="5">
        <f>C217</f>
        <v/>
      </c>
      <c r="OG217" s="19" t="n"/>
      <c r="OH217" s="19" t="n"/>
      <c r="OI217" s="19" t="n"/>
      <c r="OK217" s="5">
        <f>C217</f>
        <v/>
      </c>
      <c r="OO217" s="19" t="n"/>
      <c r="OP217" s="19" t="n"/>
      <c r="OQ217" s="19" t="n"/>
      <c r="OT217" s="25">
        <f>OK217</f>
        <v/>
      </c>
      <c r="OX217" s="19" t="n"/>
    </row>
    <row r="218" ht="21" customFormat="1" customHeight="1" s="5">
      <c r="A218" s="726" t="n"/>
      <c r="B218" s="726" t="n"/>
      <c r="C218" s="727" t="inlineStr">
        <is>
          <t>2026//3//3</t>
        </is>
      </c>
      <c r="D218" s="583" t="n">
        <v>8712948.77</v>
      </c>
      <c r="E218" s="522">
        <f>D219</f>
        <v/>
      </c>
      <c r="F218" s="523">
        <f>D218-E218</f>
        <v/>
      </c>
      <c r="G218" s="524">
        <f>F218/E218</f>
        <v/>
      </c>
      <c r="H218" s="584" t="n"/>
      <c r="I218" s="585" t="n"/>
      <c r="J218" s="585" t="n"/>
      <c r="K218" s="586">
        <f>C218</f>
        <v/>
      </c>
      <c r="L218" s="527" t="n">
        <v>6255964.4</v>
      </c>
      <c r="M218" s="522">
        <f>L219</f>
        <v/>
      </c>
      <c r="N218" s="523">
        <f>L218-M218</f>
        <v/>
      </c>
      <c r="O218" s="525">
        <f>N218/M218</f>
        <v/>
      </c>
      <c r="P218" s="584" t="n"/>
      <c r="Q218" s="585" t="n"/>
      <c r="R218" s="587" t="n"/>
      <c r="S218" s="586">
        <f>C218</f>
        <v/>
      </c>
      <c r="T218" s="527" t="n">
        <v>5306826.68</v>
      </c>
      <c r="U218" s="522">
        <f>T219</f>
        <v/>
      </c>
      <c r="V218" s="523">
        <f>T218-U218</f>
        <v/>
      </c>
      <c r="W218" s="525">
        <f>V218/T218</f>
        <v/>
      </c>
      <c r="X218" s="584" t="n"/>
      <c r="Y218" s="585" t="n"/>
      <c r="Z218" s="587" t="n"/>
      <c r="AA218" s="586">
        <f>S218</f>
        <v/>
      </c>
      <c r="AB218" s="583" t="n"/>
      <c r="AC218" s="586" t="n"/>
      <c r="AD218" s="587" t="n"/>
      <c r="AE218" s="586" t="n"/>
      <c r="AF218" s="584" t="n"/>
      <c r="AG218" s="585" t="n"/>
      <c r="AH218" s="587" t="n"/>
      <c r="AI218" s="586">
        <f>C218</f>
        <v/>
      </c>
      <c r="AJ218" s="583" t="n"/>
      <c r="AK218" s="586" t="n"/>
      <c r="AL218" s="587" t="n"/>
      <c r="AM218" s="586" t="n"/>
      <c r="AN218" s="584" t="n"/>
      <c r="AO218" s="585" t="n"/>
      <c r="AP218" s="586" t="n"/>
      <c r="AQ218" s="586">
        <f>C218</f>
        <v/>
      </c>
      <c r="AR218" s="728" t="n"/>
      <c r="AS218" s="586" t="n"/>
      <c r="AT218" s="585" t="n"/>
      <c r="AU218" s="587" t="n"/>
      <c r="AV218" s="585" t="n"/>
      <c r="AW218" s="585" t="n"/>
      <c r="AX218" s="587" t="n"/>
      <c r="AY218" s="587" t="n"/>
      <c r="AZ218" s="587">
        <f>C218</f>
        <v/>
      </c>
      <c r="BA218" s="587" t="n"/>
      <c r="BB218" s="587" t="n"/>
      <c r="BC218" s="587" t="n"/>
      <c r="BD218" s="585" t="n"/>
      <c r="BE218" s="585" t="n"/>
      <c r="BF218" s="585" t="n"/>
      <c r="BG218" s="631" t="n"/>
      <c r="BH218" s="5">
        <f>C218</f>
        <v/>
      </c>
      <c r="BL218" s="19" t="n"/>
      <c r="BM218" s="19" t="n"/>
      <c r="BN218" s="19" t="n"/>
      <c r="BP218" s="5">
        <f>C218</f>
        <v/>
      </c>
      <c r="BQ218" s="633" t="n"/>
      <c r="BT218" s="19" t="n"/>
      <c r="BU218" s="19" t="n"/>
      <c r="BV218" s="19" t="n"/>
      <c r="BX218" s="5">
        <f>C218</f>
        <v/>
      </c>
      <c r="CB218" s="19" t="n"/>
      <c r="CC218" s="19" t="n"/>
      <c r="CD218" s="19" t="n"/>
      <c r="CE218" s="552" t="n"/>
      <c r="CF218" s="528">
        <f>C218</f>
        <v/>
      </c>
      <c r="CG218" s="528">
        <f>CH218*10000</f>
        <v/>
      </c>
      <c r="CH218" s="528" t="n">
        <v>1.26</v>
      </c>
      <c r="CJ218" s="528" t="n"/>
      <c r="CK218" s="525" t="n"/>
      <c r="CL218" s="19" t="n"/>
      <c r="CN218" s="5">
        <f>C218</f>
        <v/>
      </c>
      <c r="CR218" s="19" t="n"/>
      <c r="CS218" s="19" t="n"/>
      <c r="CT218" s="19" t="n"/>
      <c r="CV218" s="5">
        <f>C218</f>
        <v/>
      </c>
      <c r="CZ218" s="19" t="n"/>
      <c r="DA218" s="19" t="n"/>
      <c r="DB218" s="19" t="n"/>
      <c r="DC218" s="23" t="n"/>
      <c r="DD218" s="5">
        <f>C218</f>
        <v/>
      </c>
      <c r="DH218" s="19" t="n"/>
      <c r="DI218" s="19" t="n"/>
      <c r="DJ218" s="19" t="n"/>
      <c r="DL218" s="5">
        <f>C218</f>
        <v/>
      </c>
      <c r="DP218" s="19" t="n"/>
      <c r="DQ218" s="19" t="n"/>
      <c r="DR218" s="19" t="n"/>
      <c r="DT218" s="5">
        <f>C218</f>
        <v/>
      </c>
      <c r="DX218" s="19" t="n"/>
      <c r="DY218" s="19" t="n"/>
      <c r="DZ218" s="19" t="n"/>
      <c r="EB218" s="5">
        <f>C218</f>
        <v/>
      </c>
      <c r="EF218" s="19" t="n"/>
      <c r="EG218" s="19" t="n"/>
      <c r="EH218" s="19" t="n"/>
      <c r="EJ218" s="5">
        <f>C218</f>
        <v/>
      </c>
      <c r="EN218" s="19" t="n"/>
      <c r="EO218" s="19" t="n"/>
      <c r="EP218" s="19" t="n"/>
      <c r="EQ218" s="19" t="n"/>
      <c r="ER218" s="5">
        <f>C218</f>
        <v/>
      </c>
      <c r="ES218" s="19" t="n"/>
      <c r="ET218" s="19" t="n"/>
      <c r="EU218" s="19" t="n"/>
      <c r="EV218" s="19" t="n"/>
      <c r="EW218" s="19" t="n"/>
      <c r="EX218" s="19" t="n"/>
      <c r="EY218" s="551" t="n"/>
      <c r="EZ218" s="522">
        <f>C218</f>
        <v/>
      </c>
      <c r="FA218" s="522">
        <f>FB218*10000</f>
        <v/>
      </c>
      <c r="FB218" s="522" t="n">
        <v>8.779999999999999</v>
      </c>
      <c r="FD218" s="525" t="n"/>
      <c r="FE218" s="525" t="n"/>
      <c r="FF218" s="19" t="n"/>
      <c r="FG218" s="19" t="n"/>
      <c r="FH218" s="5">
        <f>C218</f>
        <v/>
      </c>
      <c r="FI218" s="633" t="n"/>
      <c r="FL218" s="19" t="n"/>
      <c r="FM218" s="19" t="n"/>
      <c r="FN218" s="19" t="n"/>
      <c r="FP218" s="5">
        <f>C218</f>
        <v/>
      </c>
      <c r="FT218" s="19" t="n"/>
      <c r="FU218" s="19" t="n"/>
      <c r="FV218" s="19" t="n"/>
      <c r="FX218" s="5">
        <f>C218</f>
        <v/>
      </c>
      <c r="GB218" s="19" t="n"/>
      <c r="GC218" s="19" t="n"/>
      <c r="GD218" s="19" t="n"/>
      <c r="GF218" s="5">
        <f>C218</f>
        <v/>
      </c>
      <c r="GJ218" s="19" t="n"/>
      <c r="GK218" s="19" t="n"/>
      <c r="GL218" s="19" t="n"/>
      <c r="GN218" s="5">
        <f>C218</f>
        <v/>
      </c>
      <c r="GR218" s="19" t="n"/>
      <c r="GS218" s="19" t="n"/>
      <c r="GT218" s="19" t="n"/>
      <c r="GV218" s="5">
        <f>C218</f>
        <v/>
      </c>
      <c r="GZ218" s="19" t="n"/>
      <c r="HA218" s="19" t="n"/>
      <c r="HB218" s="19" t="n"/>
      <c r="HD218" s="5">
        <f>C218</f>
        <v/>
      </c>
      <c r="HH218" s="19" t="n"/>
      <c r="HI218" s="19" t="n"/>
      <c r="HJ218" s="19" t="n"/>
      <c r="HL218" s="5">
        <f>C218</f>
        <v/>
      </c>
      <c r="HP218" s="19" t="n"/>
      <c r="HQ218" s="19" t="n"/>
      <c r="HR218" s="19" t="n"/>
      <c r="HT218" s="5">
        <f>C218</f>
        <v/>
      </c>
      <c r="HX218" s="19" t="n"/>
      <c r="HY218" s="19" t="n"/>
      <c r="HZ218" s="19" t="n"/>
      <c r="IA218" s="551" t="n"/>
      <c r="IB218" s="522">
        <f>C218</f>
        <v/>
      </c>
      <c r="IC218" s="522">
        <f>ID218*10000</f>
        <v/>
      </c>
      <c r="ID218" s="522" t="n">
        <v>0.67</v>
      </c>
      <c r="IF218" s="528" t="n"/>
      <c r="IG218" s="525" t="n"/>
      <c r="IH218" s="19" t="n"/>
      <c r="IJ218" s="5">
        <f>C218</f>
        <v/>
      </c>
      <c r="IN218" s="19" t="n"/>
      <c r="IO218" s="19" t="n"/>
      <c r="IP218" s="19" t="n"/>
      <c r="IR218" s="5">
        <f>C218</f>
        <v/>
      </c>
      <c r="IV218" s="19" t="n"/>
      <c r="IW218" s="19" t="n"/>
      <c r="IX218" s="19" t="n"/>
      <c r="IY218" s="551" t="n"/>
      <c r="IZ218" s="522">
        <f>C218</f>
        <v/>
      </c>
      <c r="JA218" s="522">
        <f>JB218*10000</f>
        <v/>
      </c>
      <c r="JB218" s="522" t="inlineStr">
        <is>
          <t>---</t>
        </is>
      </c>
      <c r="JD218" s="525" t="n"/>
      <c r="JE218" s="525" t="n"/>
      <c r="JF218" s="19" t="n"/>
      <c r="JG218" s="551" t="n"/>
      <c r="JH218" s="522">
        <f>C218</f>
        <v/>
      </c>
      <c r="JI218" s="522">
        <f>JJ218*10000</f>
        <v/>
      </c>
      <c r="JJ218" s="522" t="n">
        <v>5.2</v>
      </c>
      <c r="JL218" s="525" t="n"/>
      <c r="JM218" s="525" t="n"/>
      <c r="JN218" s="525" t="n"/>
      <c r="JO218" s="19" t="n"/>
      <c r="JP218" s="5">
        <f>C218</f>
        <v/>
      </c>
      <c r="JT218" s="19" t="n"/>
      <c r="JU218" s="19" t="n"/>
      <c r="JV218" s="19" t="n"/>
      <c r="JW218" s="19" t="n"/>
      <c r="JX218" s="5">
        <f>C218</f>
        <v/>
      </c>
      <c r="KB218" s="19" t="n"/>
      <c r="KC218" s="19" t="n"/>
      <c r="KD218" s="19" t="n"/>
      <c r="KE218" s="19" t="n"/>
      <c r="KF218" s="5">
        <f>C218</f>
        <v/>
      </c>
      <c r="KG218" s="19" t="n"/>
      <c r="KH218" s="19" t="n"/>
      <c r="KJ218" s="19" t="n"/>
      <c r="KK218" s="19" t="n"/>
      <c r="KL218" s="19" t="n"/>
      <c r="KM218" s="19" t="n"/>
      <c r="KN218" s="5">
        <f>C218</f>
        <v/>
      </c>
      <c r="KR218" s="19" t="n"/>
      <c r="KS218" s="19" t="n"/>
      <c r="KT218" s="19" t="n"/>
      <c r="KV218" s="5">
        <f>C218</f>
        <v/>
      </c>
      <c r="KZ218" s="19" t="n"/>
      <c r="LA218" s="19" t="n"/>
      <c r="LB218" s="19" t="n"/>
      <c r="LD218" s="5">
        <f>C218</f>
        <v/>
      </c>
      <c r="LH218" s="19" t="n"/>
      <c r="LI218" s="19" t="n"/>
      <c r="LJ218" s="19" t="n"/>
      <c r="LL218" s="5">
        <f>C218</f>
        <v/>
      </c>
      <c r="LM218" s="633" t="n"/>
      <c r="LP218" s="19" t="n"/>
      <c r="LQ218" s="19" t="n"/>
      <c r="LR218" s="19" t="n"/>
      <c r="LS218" s="551" t="n"/>
      <c r="LT218" s="522">
        <f>C218</f>
        <v/>
      </c>
      <c r="LU218" s="522">
        <f>LV218*10000</f>
        <v/>
      </c>
      <c r="LV218" s="522" t="n">
        <v>7.73</v>
      </c>
      <c r="LX218" s="525" t="n"/>
      <c r="LY218" s="525" t="n"/>
      <c r="LZ218" s="19" t="n"/>
      <c r="MB218" s="5">
        <f>C218</f>
        <v/>
      </c>
      <c r="MF218" s="19" t="n"/>
      <c r="MG218" s="19" t="n"/>
      <c r="MH218" s="19" t="n"/>
      <c r="MK218" s="5">
        <f>C218</f>
        <v/>
      </c>
      <c r="MM218" s="24" t="n"/>
      <c r="MO218" s="19" t="n"/>
      <c r="MP218" s="19" t="n"/>
      <c r="MQ218" s="19" t="n"/>
      <c r="MR218" s="19" t="n"/>
      <c r="MS218" s="19" t="n"/>
      <c r="MT218" s="25">
        <f>C218</f>
        <v/>
      </c>
      <c r="MX218" s="19" t="n"/>
      <c r="MY218" s="19" t="n"/>
      <c r="MZ218" s="19" t="n"/>
      <c r="NA218" s="19" t="n"/>
      <c r="NB218" s="19" t="n"/>
      <c r="NC218" s="5">
        <f>C218</f>
        <v/>
      </c>
      <c r="NG218" s="19" t="n"/>
      <c r="NH218" s="19" t="n"/>
      <c r="NI218" s="19" t="n"/>
      <c r="NJ218" s="19" t="n"/>
      <c r="NK218" s="19" t="n"/>
      <c r="NM218" s="5">
        <f>C218</f>
        <v/>
      </c>
      <c r="NQ218" s="19" t="n"/>
      <c r="NR218" s="19" t="n"/>
      <c r="NU218" s="5">
        <f>C218</f>
        <v/>
      </c>
      <c r="NY218" s="19" t="n"/>
      <c r="NZ218" s="19" t="n"/>
      <c r="OC218" s="5">
        <f>C218</f>
        <v/>
      </c>
      <c r="OG218" s="19" t="n"/>
      <c r="OH218" s="19" t="n"/>
      <c r="OI218" s="19" t="n"/>
      <c r="OK218" s="5">
        <f>C218</f>
        <v/>
      </c>
      <c r="OO218" s="19" t="n"/>
      <c r="OP218" s="19" t="n"/>
      <c r="OQ218" s="19" t="n"/>
      <c r="OT218" s="25">
        <f>OK218</f>
        <v/>
      </c>
      <c r="OX218" s="19" t="n"/>
    </row>
    <row r="219" ht="21" customFormat="1" customHeight="1" s="5">
      <c r="A219" s="726" t="n"/>
      <c r="B219" s="726" t="n"/>
      <c r="C219" s="727" t="inlineStr">
        <is>
          <t>2026//2//28</t>
        </is>
      </c>
      <c r="D219" s="583" t="n">
        <v>8708898.77</v>
      </c>
      <c r="E219" s="522">
        <f>D220</f>
        <v/>
      </c>
      <c r="F219" s="523">
        <f>D219-E219</f>
        <v/>
      </c>
      <c r="G219" s="524">
        <f>F219/E219</f>
        <v/>
      </c>
      <c r="H219" s="584" t="n"/>
      <c r="I219" s="585" t="n"/>
      <c r="J219" s="585" t="n"/>
      <c r="K219" s="586">
        <f>C219</f>
        <v/>
      </c>
      <c r="L219" s="527" t="n">
        <v>6265954.4</v>
      </c>
      <c r="M219" s="522">
        <f>L220</f>
        <v/>
      </c>
      <c r="N219" s="523">
        <f>L219-M219</f>
        <v/>
      </c>
      <c r="O219" s="525">
        <f>N219/M219</f>
        <v/>
      </c>
      <c r="P219" s="584" t="n"/>
      <c r="Q219" s="585" t="n"/>
      <c r="R219" s="587" t="n"/>
      <c r="S219" s="586">
        <f>C219</f>
        <v/>
      </c>
      <c r="T219" s="527" t="n">
        <v>5288916.68</v>
      </c>
      <c r="U219" s="522">
        <f>T220</f>
        <v/>
      </c>
      <c r="V219" s="523">
        <f>T219-U219</f>
        <v/>
      </c>
      <c r="W219" s="525">
        <f>V219/T219</f>
        <v/>
      </c>
      <c r="X219" s="584" t="n"/>
      <c r="Y219" s="585" t="n"/>
      <c r="Z219" s="587" t="n"/>
      <c r="AA219" s="586">
        <f>S219</f>
        <v/>
      </c>
      <c r="AB219" s="583" t="n"/>
      <c r="AC219" s="586" t="n"/>
      <c r="AD219" s="587" t="n"/>
      <c r="AE219" s="586" t="n"/>
      <c r="AF219" s="584" t="n"/>
      <c r="AG219" s="585" t="n"/>
      <c r="AH219" s="587" t="n"/>
      <c r="AI219" s="586">
        <f>C219</f>
        <v/>
      </c>
      <c r="AJ219" s="583" t="n"/>
      <c r="AK219" s="586" t="n"/>
      <c r="AL219" s="587" t="n"/>
      <c r="AM219" s="586" t="n"/>
      <c r="AN219" s="584" t="n"/>
      <c r="AO219" s="585" t="n"/>
      <c r="AP219" s="586" t="n"/>
      <c r="AQ219" s="586">
        <f>C219</f>
        <v/>
      </c>
      <c r="AR219" s="728" t="n"/>
      <c r="AS219" s="586" t="n"/>
      <c r="AT219" s="585" t="n"/>
      <c r="AU219" s="587" t="n"/>
      <c r="AV219" s="585" t="n"/>
      <c r="AW219" s="585" t="n"/>
      <c r="AX219" s="587" t="n"/>
      <c r="AY219" s="587" t="n"/>
      <c r="AZ219" s="587">
        <f>C219</f>
        <v/>
      </c>
      <c r="BA219" s="587" t="n"/>
      <c r="BB219" s="587" t="n"/>
      <c r="BC219" s="587" t="n"/>
      <c r="BD219" s="585" t="n"/>
      <c r="BE219" s="585" t="n"/>
      <c r="BF219" s="585" t="n"/>
      <c r="BG219" s="631" t="n"/>
      <c r="BH219" s="5">
        <f>C219</f>
        <v/>
      </c>
      <c r="BL219" s="19" t="n"/>
      <c r="BM219" s="19" t="n"/>
      <c r="BN219" s="19" t="n"/>
      <c r="BP219" s="5">
        <f>C219</f>
        <v/>
      </c>
      <c r="BQ219" s="633" t="n"/>
      <c r="BT219" s="19" t="n"/>
      <c r="BU219" s="19" t="n"/>
      <c r="BV219" s="19" t="n"/>
      <c r="BX219" s="5">
        <f>C219</f>
        <v/>
      </c>
      <c r="CB219" s="19" t="n"/>
      <c r="CC219" s="19" t="n"/>
      <c r="CD219" s="19" t="n"/>
      <c r="CE219" s="552" t="n"/>
      <c r="CF219" s="528">
        <f>C219</f>
        <v/>
      </c>
      <c r="CG219" s="528">
        <f>CH219*10000</f>
        <v/>
      </c>
      <c r="CH219" s="528" t="n">
        <v>1.2</v>
      </c>
      <c r="CJ219" s="528" t="n"/>
      <c r="CK219" s="525" t="n"/>
      <c r="CL219" s="19" t="n"/>
      <c r="CN219" s="5">
        <f>C219</f>
        <v/>
      </c>
      <c r="CR219" s="19" t="n"/>
      <c r="CS219" s="19" t="n"/>
      <c r="CT219" s="19" t="n"/>
      <c r="CV219" s="5">
        <f>C219</f>
        <v/>
      </c>
      <c r="CZ219" s="19" t="n"/>
      <c r="DA219" s="19" t="n"/>
      <c r="DB219" s="19" t="n"/>
      <c r="DC219" s="23" t="n"/>
      <c r="DD219" s="5">
        <f>C219</f>
        <v/>
      </c>
      <c r="DH219" s="19" t="n"/>
      <c r="DI219" s="19" t="n"/>
      <c r="DJ219" s="19" t="n"/>
      <c r="DL219" s="5">
        <f>C219</f>
        <v/>
      </c>
      <c r="DP219" s="19" t="n"/>
      <c r="DQ219" s="19" t="n"/>
      <c r="DR219" s="19" t="n"/>
      <c r="DT219" s="5">
        <f>C219</f>
        <v/>
      </c>
      <c r="DX219" s="19" t="n"/>
      <c r="DY219" s="19" t="n"/>
      <c r="DZ219" s="19" t="n"/>
      <c r="EB219" s="5">
        <f>C219</f>
        <v/>
      </c>
      <c r="EF219" s="19" t="n"/>
      <c r="EG219" s="19" t="n"/>
      <c r="EH219" s="19" t="n"/>
      <c r="EJ219" s="5">
        <f>C219</f>
        <v/>
      </c>
      <c r="EN219" s="19" t="n"/>
      <c r="EO219" s="19" t="n"/>
      <c r="EP219" s="19" t="n"/>
      <c r="EQ219" s="19" t="n"/>
      <c r="ER219" s="5">
        <f>C219</f>
        <v/>
      </c>
      <c r="ES219" s="19" t="n"/>
      <c r="ET219" s="19" t="n"/>
      <c r="EU219" s="19" t="n"/>
      <c r="EV219" s="19" t="n"/>
      <c r="EW219" s="19" t="n"/>
      <c r="EX219" s="19" t="n"/>
      <c r="EY219" s="551" t="n"/>
      <c r="EZ219" s="522">
        <f>C219</f>
        <v/>
      </c>
      <c r="FA219" s="522" t="n"/>
      <c r="FB219" s="522" t="inlineStr">
        <is>
          <t>---</t>
        </is>
      </c>
      <c r="FD219" s="525" t="n"/>
      <c r="FE219" s="525" t="n"/>
      <c r="FF219" s="19" t="n"/>
      <c r="FG219" s="19" t="n"/>
      <c r="FH219" s="5">
        <f>C219</f>
        <v/>
      </c>
      <c r="FI219" s="633" t="n"/>
      <c r="FL219" s="19" t="n"/>
      <c r="FM219" s="19" t="n"/>
      <c r="FN219" s="19" t="n"/>
      <c r="FP219" s="5">
        <f>C219</f>
        <v/>
      </c>
      <c r="FT219" s="19" t="n"/>
      <c r="FU219" s="19" t="n"/>
      <c r="FV219" s="19" t="n"/>
      <c r="FX219" s="5">
        <f>C219</f>
        <v/>
      </c>
      <c r="GB219" s="19" t="n"/>
      <c r="GC219" s="19" t="n"/>
      <c r="GD219" s="19" t="n"/>
      <c r="GF219" s="5">
        <f>C219</f>
        <v/>
      </c>
      <c r="GJ219" s="19" t="n"/>
      <c r="GK219" s="19" t="n"/>
      <c r="GL219" s="19" t="n"/>
      <c r="GN219" s="5">
        <f>C219</f>
        <v/>
      </c>
      <c r="GR219" s="19" t="n"/>
      <c r="GS219" s="19" t="n"/>
      <c r="GT219" s="19" t="n"/>
      <c r="GV219" s="5">
        <f>C219</f>
        <v/>
      </c>
      <c r="GZ219" s="19" t="n"/>
      <c r="HA219" s="19" t="n"/>
      <c r="HB219" s="19" t="n"/>
      <c r="HD219" s="5">
        <f>C219</f>
        <v/>
      </c>
      <c r="HH219" s="19" t="n"/>
      <c r="HI219" s="19" t="n"/>
      <c r="HJ219" s="19" t="n"/>
      <c r="HL219" s="5">
        <f>C219</f>
        <v/>
      </c>
      <c r="HP219" s="19" t="n"/>
      <c r="HQ219" s="19" t="n"/>
      <c r="HR219" s="19" t="n"/>
      <c r="HT219" s="5">
        <f>C219</f>
        <v/>
      </c>
      <c r="HX219" s="19" t="n"/>
      <c r="HY219" s="19" t="n"/>
      <c r="HZ219" s="19" t="n"/>
      <c r="IA219" s="551" t="n"/>
      <c r="IB219" s="522">
        <f>C219</f>
        <v/>
      </c>
      <c r="IC219" s="522">
        <f>ID219*10000</f>
        <v/>
      </c>
      <c r="ID219" s="522" t="n">
        <v>0.53</v>
      </c>
      <c r="IF219" s="528" t="n"/>
      <c r="IG219" s="525" t="n"/>
      <c r="IH219" s="19" t="n"/>
      <c r="IJ219" s="5">
        <f>C219</f>
        <v/>
      </c>
      <c r="IN219" s="19" t="n"/>
      <c r="IO219" s="19" t="n"/>
      <c r="IP219" s="19" t="n"/>
      <c r="IR219" s="5">
        <f>C219</f>
        <v/>
      </c>
      <c r="IV219" s="19" t="n"/>
      <c r="IW219" s="19" t="n"/>
      <c r="IX219" s="19" t="n"/>
      <c r="IY219" s="551" t="n"/>
      <c r="IZ219" s="522">
        <f>C219</f>
        <v/>
      </c>
      <c r="JA219" s="522">
        <f>JB219*10000</f>
        <v/>
      </c>
      <c r="JB219" s="522" t="n">
        <v>12.57</v>
      </c>
      <c r="JD219" s="525" t="n"/>
      <c r="JE219" s="525" t="n"/>
      <c r="JF219" s="19" t="n"/>
      <c r="JG219" s="551" t="n"/>
      <c r="JH219" s="522">
        <f>C219</f>
        <v/>
      </c>
      <c r="JI219" s="522">
        <f>JJ219*10000</f>
        <v/>
      </c>
      <c r="JJ219" s="522" t="n">
        <v>5.82</v>
      </c>
      <c r="JL219" s="525" t="n"/>
      <c r="JM219" s="525" t="n"/>
      <c r="JN219" s="525" t="n"/>
      <c r="JO219" s="19" t="n"/>
      <c r="JP219" s="5">
        <f>C219</f>
        <v/>
      </c>
      <c r="JT219" s="19" t="n"/>
      <c r="JU219" s="19" t="n"/>
      <c r="JV219" s="19" t="n"/>
      <c r="JW219" s="19" t="n"/>
      <c r="JX219" s="5">
        <f>C219</f>
        <v/>
      </c>
      <c r="KB219" s="19" t="n"/>
      <c r="KC219" s="19" t="n"/>
      <c r="KD219" s="19" t="n"/>
      <c r="KE219" s="19" t="n"/>
      <c r="KF219" s="5">
        <f>C219</f>
        <v/>
      </c>
      <c r="KG219" s="19" t="n"/>
      <c r="KH219" s="19" t="n"/>
      <c r="KJ219" s="19" t="n"/>
      <c r="KK219" s="19" t="n"/>
      <c r="KL219" s="19" t="n"/>
      <c r="KM219" s="19" t="n"/>
      <c r="KN219" s="5">
        <f>C219</f>
        <v/>
      </c>
      <c r="KR219" s="19" t="n"/>
      <c r="KS219" s="19" t="n"/>
      <c r="KT219" s="19" t="n"/>
      <c r="KV219" s="5">
        <f>C219</f>
        <v/>
      </c>
      <c r="KZ219" s="19" t="n"/>
      <c r="LA219" s="19" t="n"/>
      <c r="LB219" s="19" t="n"/>
      <c r="LD219" s="5">
        <f>C219</f>
        <v/>
      </c>
      <c r="LH219" s="19" t="n"/>
      <c r="LI219" s="19" t="n"/>
      <c r="LJ219" s="19" t="n"/>
      <c r="LL219" s="5">
        <f>C219</f>
        <v/>
      </c>
      <c r="LM219" s="633" t="n"/>
      <c r="LP219" s="19" t="n"/>
      <c r="LQ219" s="19" t="n"/>
      <c r="LR219" s="19" t="n"/>
      <c r="LS219" s="551" t="n"/>
      <c r="LT219" s="522">
        <f>C219</f>
        <v/>
      </c>
      <c r="LU219" s="522">
        <f>LV219*10000</f>
        <v/>
      </c>
      <c r="LV219" s="522" t="n">
        <v>7.18</v>
      </c>
      <c r="LX219" s="525" t="n"/>
      <c r="LY219" s="525" t="n"/>
      <c r="LZ219" s="19" t="n"/>
      <c r="MB219" s="5">
        <f>C219</f>
        <v/>
      </c>
      <c r="MF219" s="19" t="n"/>
      <c r="MG219" s="19" t="n"/>
      <c r="MH219" s="19" t="n"/>
      <c r="MK219" s="5">
        <f>C219</f>
        <v/>
      </c>
      <c r="MM219" s="24" t="n"/>
      <c r="MO219" s="19" t="n"/>
      <c r="MP219" s="19" t="n"/>
      <c r="MQ219" s="19" t="n"/>
      <c r="MR219" s="19" t="n"/>
      <c r="MS219" s="19" t="n"/>
      <c r="MT219" s="25">
        <f>C219</f>
        <v/>
      </c>
      <c r="MX219" s="19" t="n"/>
      <c r="MY219" s="19" t="n"/>
      <c r="MZ219" s="19" t="n"/>
      <c r="NA219" s="19" t="n"/>
      <c r="NB219" s="19" t="n"/>
      <c r="NC219" s="5">
        <f>C219</f>
        <v/>
      </c>
      <c r="NG219" s="19" t="n"/>
      <c r="NH219" s="19" t="n"/>
      <c r="NI219" s="19" t="n"/>
      <c r="NJ219" s="19" t="n"/>
      <c r="NK219" s="19" t="n"/>
      <c r="NM219" s="5">
        <f>C219</f>
        <v/>
      </c>
      <c r="NQ219" s="19" t="n"/>
      <c r="NR219" s="19" t="n"/>
      <c r="NU219" s="5">
        <f>C219</f>
        <v/>
      </c>
      <c r="NY219" s="19" t="n"/>
      <c r="NZ219" s="19" t="n"/>
      <c r="OC219" s="5">
        <f>C219</f>
        <v/>
      </c>
      <c r="OG219" s="19" t="n"/>
      <c r="OH219" s="19" t="n"/>
      <c r="OI219" s="19" t="n"/>
      <c r="OK219" s="5">
        <f>C219</f>
        <v/>
      </c>
      <c r="OO219" s="19" t="n"/>
      <c r="OP219" s="19" t="n"/>
      <c r="OQ219" s="19" t="n"/>
      <c r="OT219" s="25">
        <f>OK219</f>
        <v/>
      </c>
      <c r="OX219" s="19" t="n"/>
    </row>
    <row r="220" ht="21" customFormat="1" customHeight="1" s="5">
      <c r="A220" s="674" t="inlineStr">
        <is>
          <t>开年</t>
        </is>
      </c>
      <c r="B220" s="674" t="n"/>
      <c r="C220" s="720" t="inlineStr">
        <is>
          <t>2026//2//5</t>
        </is>
      </c>
      <c r="D220" s="559" t="n">
        <v>9022638.77</v>
      </c>
      <c r="E220" s="522">
        <f>D221</f>
        <v/>
      </c>
      <c r="F220" s="523">
        <f>D220-E220</f>
        <v/>
      </c>
      <c r="G220" s="524">
        <f>F220/E220</f>
        <v/>
      </c>
      <c r="H220" s="562" t="n"/>
      <c r="I220" s="563" t="n"/>
      <c r="J220" s="563" t="n"/>
      <c r="K220" s="560">
        <f>C220</f>
        <v/>
      </c>
      <c r="L220" s="527" t="n">
        <v>6424084.4</v>
      </c>
      <c r="M220" s="522">
        <f>L221</f>
        <v/>
      </c>
      <c r="N220" s="523">
        <f>L220-M220</f>
        <v/>
      </c>
      <c r="O220" s="525">
        <f>N220/M220</f>
        <v/>
      </c>
      <c r="P220" s="562" t="n"/>
      <c r="Q220" s="563" t="n"/>
      <c r="R220" s="561" t="n"/>
      <c r="S220" s="560">
        <f>C220</f>
        <v/>
      </c>
      <c r="T220" s="527" t="n">
        <v>5471796.68</v>
      </c>
      <c r="U220" s="522">
        <f>T221</f>
        <v/>
      </c>
      <c r="V220" s="523">
        <f>T220-U220</f>
        <v/>
      </c>
      <c r="W220" s="525">
        <f>V220/T220</f>
        <v/>
      </c>
      <c r="X220" s="562" t="n"/>
      <c r="Y220" s="563" t="n"/>
      <c r="Z220" s="561" t="n"/>
      <c r="AA220" s="560">
        <f>S220</f>
        <v/>
      </c>
      <c r="AB220" s="559" t="n"/>
      <c r="AC220" s="560" t="n"/>
      <c r="AD220" s="561" t="n"/>
      <c r="AE220" s="560" t="n"/>
      <c r="AF220" s="562" t="n"/>
      <c r="AG220" s="563" t="n"/>
      <c r="AH220" s="561" t="n"/>
      <c r="AI220" s="560">
        <f>C220</f>
        <v/>
      </c>
      <c r="AJ220" s="559" t="n"/>
      <c r="AK220" s="560" t="n"/>
      <c r="AL220" s="561" t="n"/>
      <c r="AM220" s="560" t="n"/>
      <c r="AN220" s="562" t="n"/>
      <c r="AO220" s="563" t="n"/>
      <c r="AP220" s="560" t="n"/>
      <c r="AQ220" s="560">
        <f>C220</f>
        <v/>
      </c>
      <c r="AR220" s="721" t="n"/>
      <c r="AS220" s="560" t="n"/>
      <c r="AT220" s="563" t="n"/>
      <c r="AU220" s="561" t="n"/>
      <c r="AV220" s="563" t="n"/>
      <c r="AW220" s="563" t="n"/>
      <c r="AX220" s="561" t="n"/>
      <c r="AY220" s="561" t="n"/>
      <c r="AZ220" s="561">
        <f>C220</f>
        <v/>
      </c>
      <c r="BA220" s="561" t="n"/>
      <c r="BB220" s="561" t="n"/>
      <c r="BC220" s="561" t="n"/>
      <c r="BD220" s="563" t="n"/>
      <c r="BE220" s="563" t="n"/>
      <c r="BF220" s="563" t="n"/>
      <c r="BG220" s="631" t="n"/>
      <c r="BH220" s="5">
        <f>C220</f>
        <v/>
      </c>
      <c r="BL220" s="19" t="n"/>
      <c r="BM220" s="19" t="n"/>
      <c r="BN220" s="19" t="n"/>
      <c r="BP220" s="5">
        <f>C220</f>
        <v/>
      </c>
      <c r="BQ220" s="633" t="n"/>
      <c r="BT220" s="19" t="n"/>
      <c r="BU220" s="19" t="n"/>
      <c r="BV220" s="19" t="n"/>
      <c r="BX220" s="5">
        <f>C220</f>
        <v/>
      </c>
      <c r="CB220" s="19" t="n"/>
      <c r="CC220" s="19" t="n"/>
      <c r="CD220" s="19" t="n"/>
      <c r="CE220" s="552" t="n"/>
      <c r="CF220" s="528">
        <f>C220</f>
        <v/>
      </c>
      <c r="CG220" s="528">
        <f>CH220*10000</f>
        <v/>
      </c>
      <c r="CH220" s="528" t="n">
        <v>1.07</v>
      </c>
      <c r="CJ220" s="528" t="n"/>
      <c r="CK220" s="525" t="n"/>
      <c r="CL220" s="19" t="n"/>
      <c r="CN220" s="5">
        <f>C220</f>
        <v/>
      </c>
      <c r="CR220" s="19" t="n"/>
      <c r="CS220" s="19" t="n"/>
      <c r="CT220" s="19" t="n"/>
      <c r="CV220" s="5">
        <f>C220</f>
        <v/>
      </c>
      <c r="CZ220" s="19" t="n"/>
      <c r="DA220" s="19" t="n"/>
      <c r="DB220" s="19" t="n"/>
      <c r="DC220" s="23" t="n"/>
      <c r="DD220" s="5">
        <f>C220</f>
        <v/>
      </c>
      <c r="DH220" s="19" t="n"/>
      <c r="DI220" s="19" t="n"/>
      <c r="DJ220" s="19" t="n"/>
      <c r="DL220" s="5">
        <f>C220</f>
        <v/>
      </c>
      <c r="DP220" s="19" t="n"/>
      <c r="DQ220" s="19" t="n"/>
      <c r="DR220" s="19" t="n"/>
      <c r="DT220" s="5">
        <f>C220</f>
        <v/>
      </c>
      <c r="DX220" s="19" t="n"/>
      <c r="DY220" s="19" t="n"/>
      <c r="DZ220" s="19" t="n"/>
      <c r="EB220" s="5">
        <f>C220</f>
        <v/>
      </c>
      <c r="EF220" s="19" t="n"/>
      <c r="EG220" s="19" t="n"/>
      <c r="EH220" s="19" t="n"/>
      <c r="EJ220" s="5">
        <f>C220</f>
        <v/>
      </c>
      <c r="EN220" s="19" t="n"/>
      <c r="EO220" s="19" t="n"/>
      <c r="EP220" s="19" t="n"/>
      <c r="EQ220" s="19" t="n"/>
      <c r="ER220" s="5">
        <f>C220</f>
        <v/>
      </c>
      <c r="ES220" s="19" t="n"/>
      <c r="ET220" s="19" t="n"/>
      <c r="EU220" s="19" t="n"/>
      <c r="EV220" s="19" t="n"/>
      <c r="EW220" s="19" t="n"/>
      <c r="EX220" s="19" t="n"/>
      <c r="EY220" s="551" t="n"/>
      <c r="EZ220" s="522">
        <f>C220</f>
        <v/>
      </c>
      <c r="FA220" s="522">
        <f>FB220*10000</f>
        <v/>
      </c>
      <c r="FB220" s="522" t="n">
        <v>5.26</v>
      </c>
      <c r="FD220" s="525" t="n"/>
      <c r="FE220" s="525" t="n"/>
      <c r="FF220" s="19" t="n"/>
      <c r="FG220" s="19" t="n"/>
      <c r="FH220" s="5">
        <f>C220</f>
        <v/>
      </c>
      <c r="FI220" s="633" t="n"/>
      <c r="FL220" s="19" t="n"/>
      <c r="FM220" s="19" t="n"/>
      <c r="FN220" s="19" t="n"/>
      <c r="FP220" s="5">
        <f>C220</f>
        <v/>
      </c>
      <c r="FT220" s="19" t="n"/>
      <c r="FU220" s="19" t="n"/>
      <c r="FV220" s="19" t="n"/>
      <c r="FX220" s="5">
        <f>C220</f>
        <v/>
      </c>
      <c r="GB220" s="19" t="n"/>
      <c r="GC220" s="19" t="n"/>
      <c r="GD220" s="19" t="n"/>
      <c r="GF220" s="5">
        <f>C220</f>
        <v/>
      </c>
      <c r="GJ220" s="19" t="n"/>
      <c r="GK220" s="19" t="n"/>
      <c r="GL220" s="19" t="n"/>
      <c r="GN220" s="5">
        <f>C220</f>
        <v/>
      </c>
      <c r="GR220" s="19" t="n"/>
      <c r="GS220" s="19" t="n"/>
      <c r="GT220" s="19" t="n"/>
      <c r="GV220" s="5">
        <f>C220</f>
        <v/>
      </c>
      <c r="GZ220" s="19" t="n"/>
      <c r="HA220" s="19" t="n"/>
      <c r="HB220" s="19" t="n"/>
      <c r="HD220" s="5">
        <f>C220</f>
        <v/>
      </c>
      <c r="HH220" s="19" t="n"/>
      <c r="HI220" s="19" t="n"/>
      <c r="HJ220" s="19" t="n"/>
      <c r="HL220" s="5">
        <f>C220</f>
        <v/>
      </c>
      <c r="HP220" s="19" t="n"/>
      <c r="HQ220" s="19" t="n"/>
      <c r="HR220" s="19" t="n"/>
      <c r="HT220" s="5">
        <f>C220</f>
        <v/>
      </c>
      <c r="HX220" s="19" t="n"/>
      <c r="HY220" s="19" t="n"/>
      <c r="HZ220" s="19" t="n"/>
      <c r="IA220" s="551" t="n"/>
      <c r="IB220" s="522">
        <f>C220</f>
        <v/>
      </c>
      <c r="IC220" s="522">
        <f>ID220*10000</f>
        <v/>
      </c>
      <c r="ID220" s="522" t="n">
        <v>0.52</v>
      </c>
      <c r="IF220" s="528" t="n"/>
      <c r="IG220" s="525" t="n"/>
      <c r="IH220" s="19" t="n"/>
      <c r="IJ220" s="5">
        <f>C220</f>
        <v/>
      </c>
      <c r="IN220" s="19" t="n"/>
      <c r="IO220" s="19" t="n"/>
      <c r="IP220" s="19" t="n"/>
      <c r="IR220" s="5">
        <f>C220</f>
        <v/>
      </c>
      <c r="IV220" s="19" t="n"/>
      <c r="IW220" s="19" t="n"/>
      <c r="IX220" s="19" t="n"/>
      <c r="IY220" s="551" t="n"/>
      <c r="IZ220" s="522">
        <f>C220</f>
        <v/>
      </c>
      <c r="JA220" s="522">
        <f>JB220*10000</f>
        <v/>
      </c>
      <c r="JB220" s="522" t="n">
        <v>7.3</v>
      </c>
      <c r="JD220" s="525" t="n"/>
      <c r="JE220" s="525" t="n"/>
      <c r="JF220" s="19" t="n"/>
      <c r="JG220" s="551" t="n"/>
      <c r="JH220" s="522">
        <f>C220</f>
        <v/>
      </c>
      <c r="JI220" s="522">
        <f>JJ220*10000</f>
        <v/>
      </c>
      <c r="JJ220" s="522" t="n">
        <v>3.84</v>
      </c>
      <c r="JL220" s="525" t="n"/>
      <c r="JM220" s="525" t="n"/>
      <c r="JN220" s="525" t="n"/>
      <c r="JO220" s="19" t="n"/>
      <c r="JP220" s="5">
        <f>C220</f>
        <v/>
      </c>
      <c r="JT220" s="19" t="n"/>
      <c r="JU220" s="19" t="n"/>
      <c r="JV220" s="19" t="n"/>
      <c r="JW220" s="19" t="n"/>
      <c r="JX220" s="5">
        <f>C220</f>
        <v/>
      </c>
      <c r="KB220" s="19" t="n"/>
      <c r="KC220" s="19" t="n"/>
      <c r="KD220" s="19" t="n"/>
      <c r="KE220" s="19" t="n"/>
      <c r="KF220" s="5">
        <f>C220</f>
        <v/>
      </c>
      <c r="KG220" s="19" t="n"/>
      <c r="KH220" s="19" t="n"/>
      <c r="KJ220" s="19" t="n"/>
      <c r="KK220" s="19" t="n"/>
      <c r="KL220" s="19" t="n"/>
      <c r="KM220" s="19" t="n"/>
      <c r="KN220" s="5">
        <f>C220</f>
        <v/>
      </c>
      <c r="KR220" s="19" t="n"/>
      <c r="KS220" s="19" t="n"/>
      <c r="KT220" s="19" t="n"/>
      <c r="KV220" s="5">
        <f>C220</f>
        <v/>
      </c>
      <c r="KZ220" s="19" t="n"/>
      <c r="LA220" s="19" t="n"/>
      <c r="LB220" s="19" t="n"/>
      <c r="LD220" s="5">
        <f>C220</f>
        <v/>
      </c>
      <c r="LH220" s="19" t="n"/>
      <c r="LI220" s="19" t="n"/>
      <c r="LJ220" s="19" t="n"/>
      <c r="LL220" s="5">
        <f>C220</f>
        <v/>
      </c>
      <c r="LM220" s="633" t="n"/>
      <c r="LP220" s="19" t="n"/>
      <c r="LQ220" s="19" t="n"/>
      <c r="LR220" s="19" t="n"/>
      <c r="LS220" s="551" t="n"/>
      <c r="LT220" s="522">
        <f>C220</f>
        <v/>
      </c>
      <c r="LU220" s="522">
        <f>LV220*10000</f>
        <v/>
      </c>
      <c r="LV220" s="522" t="n">
        <v>8.1</v>
      </c>
      <c r="LX220" s="525" t="n"/>
      <c r="LY220" s="525" t="n"/>
      <c r="LZ220" s="19" t="n"/>
      <c r="MB220" s="5">
        <f>C220</f>
        <v/>
      </c>
      <c r="MF220" s="19" t="n"/>
      <c r="MG220" s="19" t="n"/>
      <c r="MH220" s="19" t="n"/>
      <c r="MK220" s="5">
        <f>C220</f>
        <v/>
      </c>
      <c r="MM220" s="24" t="n"/>
      <c r="MO220" s="19" t="n"/>
      <c r="MP220" s="19" t="n"/>
      <c r="MQ220" s="19" t="n"/>
      <c r="MR220" s="19" t="n"/>
      <c r="MS220" s="19" t="n"/>
      <c r="MT220" s="25">
        <f>C220</f>
        <v/>
      </c>
      <c r="MX220" s="19" t="n"/>
      <c r="MY220" s="19" t="n"/>
      <c r="MZ220" s="19" t="n"/>
      <c r="NA220" s="19" t="n"/>
      <c r="NB220" s="19" t="n"/>
      <c r="NC220" s="5">
        <f>C220</f>
        <v/>
      </c>
      <c r="NG220" s="19" t="n"/>
      <c r="NH220" s="19" t="n"/>
      <c r="NI220" s="19" t="n"/>
      <c r="NJ220" s="19" t="n"/>
      <c r="NK220" s="19" t="n"/>
      <c r="NM220" s="5">
        <f>C220</f>
        <v/>
      </c>
      <c r="NQ220" s="19" t="n"/>
      <c r="NR220" s="19" t="n"/>
      <c r="NU220" s="5">
        <f>C220</f>
        <v/>
      </c>
      <c r="NY220" s="19" t="n"/>
      <c r="NZ220" s="19" t="n"/>
      <c r="OC220" s="5">
        <f>C220</f>
        <v/>
      </c>
      <c r="OG220" s="19" t="n"/>
      <c r="OH220" s="19" t="n"/>
      <c r="OI220" s="19" t="n"/>
      <c r="OK220" s="5">
        <f>C220</f>
        <v/>
      </c>
      <c r="OO220" s="19" t="n"/>
      <c r="OP220" s="19" t="n"/>
      <c r="OQ220" s="19" t="n"/>
      <c r="OT220" s="25">
        <f>OK220</f>
        <v/>
      </c>
      <c r="OX220" s="19" t="n"/>
    </row>
    <row r="221" ht="21" customFormat="1" customHeight="1" s="5">
      <c r="A221" s="674" t="inlineStr">
        <is>
          <t>年前</t>
        </is>
      </c>
      <c r="B221" s="674" t="n"/>
      <c r="C221" s="720" t="inlineStr">
        <is>
          <t>2026//1//27</t>
        </is>
      </c>
      <c r="D221" s="559" t="n">
        <v>9015618.77</v>
      </c>
      <c r="E221" s="522">
        <f>D222</f>
        <v/>
      </c>
      <c r="F221" s="523">
        <f>D221-E221</f>
        <v/>
      </c>
      <c r="G221" s="524">
        <f>F221/E221</f>
        <v/>
      </c>
      <c r="H221" s="562" t="n"/>
      <c r="I221" s="563" t="n"/>
      <c r="J221" s="563" t="n"/>
      <c r="K221" s="560">
        <f>C221</f>
        <v/>
      </c>
      <c r="L221" s="527" t="n">
        <v>6432904.4</v>
      </c>
      <c r="M221" s="522">
        <f>L222</f>
        <v/>
      </c>
      <c r="N221" s="523">
        <f>L221-M221</f>
        <v/>
      </c>
      <c r="O221" s="525">
        <f>N221/M221</f>
        <v/>
      </c>
      <c r="P221" s="562" t="n"/>
      <c r="Q221" s="563" t="n"/>
      <c r="R221" s="561" t="n"/>
      <c r="S221" s="560">
        <f>C221</f>
        <v/>
      </c>
      <c r="T221" s="527" t="n">
        <v>5456136.68</v>
      </c>
      <c r="U221" s="522">
        <f>T222</f>
        <v/>
      </c>
      <c r="V221" s="523">
        <f>T221-U221</f>
        <v/>
      </c>
      <c r="W221" s="525">
        <f>V221/T221</f>
        <v/>
      </c>
      <c r="X221" s="562" t="n"/>
      <c r="Y221" s="563" t="n"/>
      <c r="Z221" s="561" t="n"/>
      <c r="AA221" s="560">
        <f>S221</f>
        <v/>
      </c>
      <c r="AB221" s="559" t="n"/>
      <c r="AC221" s="560" t="n"/>
      <c r="AD221" s="561" t="n"/>
      <c r="AE221" s="560" t="n"/>
      <c r="AF221" s="562" t="n"/>
      <c r="AG221" s="563" t="n"/>
      <c r="AH221" s="561" t="n"/>
      <c r="AI221" s="560">
        <f>C221</f>
        <v/>
      </c>
      <c r="AJ221" s="559" t="n"/>
      <c r="AK221" s="560" t="n"/>
      <c r="AL221" s="561" t="n"/>
      <c r="AM221" s="560" t="n"/>
      <c r="AN221" s="562" t="n"/>
      <c r="AO221" s="563" t="n"/>
      <c r="AP221" s="560" t="n"/>
      <c r="AQ221" s="560">
        <f>C221</f>
        <v/>
      </c>
      <c r="AR221" s="721" t="n"/>
      <c r="AS221" s="560" t="n"/>
      <c r="AT221" s="563" t="n"/>
      <c r="AU221" s="561" t="n"/>
      <c r="AV221" s="563" t="n"/>
      <c r="AW221" s="563" t="n"/>
      <c r="AX221" s="561" t="n"/>
      <c r="AY221" s="561" t="n"/>
      <c r="AZ221" s="561">
        <f>C221</f>
        <v/>
      </c>
      <c r="BA221" s="561" t="n"/>
      <c r="BB221" s="561" t="n"/>
      <c r="BC221" s="561" t="n"/>
      <c r="BD221" s="563" t="n"/>
      <c r="BE221" s="563" t="n"/>
      <c r="BF221" s="563" t="n"/>
      <c r="BG221" s="631" t="n"/>
      <c r="BH221" s="5">
        <f>C221</f>
        <v/>
      </c>
      <c r="BL221" s="19" t="n"/>
      <c r="BM221" s="19" t="n"/>
      <c r="BN221" s="19" t="n"/>
      <c r="BP221" s="5">
        <f>C221</f>
        <v/>
      </c>
      <c r="BQ221" s="633" t="n"/>
      <c r="BT221" s="19" t="n"/>
      <c r="BU221" s="19" t="n"/>
      <c r="BV221" s="19" t="n"/>
      <c r="BX221" s="5">
        <f>C221</f>
        <v/>
      </c>
      <c r="CB221" s="19" t="n"/>
      <c r="CC221" s="19" t="n"/>
      <c r="CD221" s="19" t="n"/>
      <c r="CE221" s="552" t="n"/>
      <c r="CF221" s="528">
        <f>C221</f>
        <v/>
      </c>
      <c r="CG221" s="528">
        <f>CH221*10000</f>
        <v/>
      </c>
      <c r="CH221" s="528" t="n">
        <v>1.36</v>
      </c>
      <c r="CJ221" s="528" t="n"/>
      <c r="CK221" s="525" t="n"/>
      <c r="CL221" s="19" t="n"/>
      <c r="CN221" s="5">
        <f>C221</f>
        <v/>
      </c>
      <c r="CR221" s="19" t="n"/>
      <c r="CS221" s="19" t="n"/>
      <c r="CT221" s="19" t="n"/>
      <c r="CV221" s="5">
        <f>C221</f>
        <v/>
      </c>
      <c r="CZ221" s="19" t="n"/>
      <c r="DA221" s="19" t="n"/>
      <c r="DB221" s="19" t="n"/>
      <c r="DC221" s="23" t="n"/>
      <c r="DD221" s="5">
        <f>C221</f>
        <v/>
      </c>
      <c r="DH221" s="19" t="n"/>
      <c r="DI221" s="19" t="n"/>
      <c r="DJ221" s="19" t="n"/>
      <c r="DL221" s="5">
        <f>C221</f>
        <v/>
      </c>
      <c r="DP221" s="19" t="n"/>
      <c r="DQ221" s="19" t="n"/>
      <c r="DR221" s="19" t="n"/>
      <c r="DT221" s="5">
        <f>C221</f>
        <v/>
      </c>
      <c r="DX221" s="19" t="n"/>
      <c r="DY221" s="19" t="n"/>
      <c r="DZ221" s="19" t="n"/>
      <c r="EB221" s="5">
        <f>C221</f>
        <v/>
      </c>
      <c r="EF221" s="19" t="n"/>
      <c r="EG221" s="19" t="n"/>
      <c r="EH221" s="19" t="n"/>
      <c r="EJ221" s="5">
        <f>C221</f>
        <v/>
      </c>
      <c r="EN221" s="19" t="n"/>
      <c r="EO221" s="19" t="n"/>
      <c r="EP221" s="19" t="n"/>
      <c r="EQ221" s="19" t="n"/>
      <c r="ER221" s="5">
        <f>C221</f>
        <v/>
      </c>
      <c r="ES221" s="19" t="n"/>
      <c r="ET221" s="19" t="n"/>
      <c r="EU221" s="19" t="n"/>
      <c r="EV221" s="19" t="n"/>
      <c r="EW221" s="19" t="n"/>
      <c r="EX221" s="19" t="n"/>
      <c r="EY221" s="551" t="n"/>
      <c r="EZ221" s="522">
        <f>C221</f>
        <v/>
      </c>
      <c r="FA221" s="522">
        <f>FB221*10000</f>
        <v/>
      </c>
      <c r="FB221" s="522" t="n">
        <v>4.28</v>
      </c>
      <c r="FD221" s="525" t="n"/>
      <c r="FE221" s="525" t="n"/>
      <c r="FF221" s="19" t="n"/>
      <c r="FG221" s="19" t="n"/>
      <c r="FH221" s="5">
        <f>C221</f>
        <v/>
      </c>
      <c r="FI221" s="633" t="n"/>
      <c r="FL221" s="19" t="n"/>
      <c r="FM221" s="19" t="n"/>
      <c r="FN221" s="19" t="n"/>
      <c r="FP221" s="5">
        <f>C221</f>
        <v/>
      </c>
      <c r="FT221" s="19" t="n"/>
      <c r="FU221" s="19" t="n"/>
      <c r="FV221" s="19" t="n"/>
      <c r="FX221" s="5">
        <f>C221</f>
        <v/>
      </c>
      <c r="GB221" s="19" t="n"/>
      <c r="GC221" s="19" t="n"/>
      <c r="GD221" s="19" t="n"/>
      <c r="GF221" s="5">
        <f>C221</f>
        <v/>
      </c>
      <c r="GJ221" s="19" t="n"/>
      <c r="GK221" s="19" t="n"/>
      <c r="GL221" s="19" t="n"/>
      <c r="GN221" s="5">
        <f>C221</f>
        <v/>
      </c>
      <c r="GR221" s="19" t="n"/>
      <c r="GS221" s="19" t="n"/>
      <c r="GT221" s="19" t="n"/>
      <c r="GV221" s="5">
        <f>C221</f>
        <v/>
      </c>
      <c r="GZ221" s="19" t="n"/>
      <c r="HA221" s="19" t="n"/>
      <c r="HB221" s="19" t="n"/>
      <c r="HD221" s="5">
        <f>C221</f>
        <v/>
      </c>
      <c r="HH221" s="19" t="n"/>
      <c r="HI221" s="19" t="n"/>
      <c r="HJ221" s="19" t="n"/>
      <c r="HL221" s="5">
        <f>C221</f>
        <v/>
      </c>
      <c r="HP221" s="19" t="n"/>
      <c r="HQ221" s="19" t="n"/>
      <c r="HR221" s="19" t="n"/>
      <c r="HT221" s="5">
        <f>C221</f>
        <v/>
      </c>
      <c r="HX221" s="19" t="n"/>
      <c r="HY221" s="19" t="n"/>
      <c r="HZ221" s="19" t="n"/>
      <c r="IA221" s="551" t="n"/>
      <c r="IB221" s="522">
        <f>C221</f>
        <v/>
      </c>
      <c r="IC221" s="522">
        <f>ID221*10000</f>
        <v/>
      </c>
      <c r="ID221" s="522" t="n">
        <v>0.52</v>
      </c>
      <c r="IF221" s="528" t="n"/>
      <c r="IG221" s="525" t="n"/>
      <c r="IH221" s="19" t="n"/>
      <c r="IJ221" s="5">
        <f>C221</f>
        <v/>
      </c>
      <c r="IN221" s="19" t="n"/>
      <c r="IO221" s="19" t="n"/>
      <c r="IP221" s="19" t="n"/>
      <c r="IR221" s="5">
        <f>C221</f>
        <v/>
      </c>
      <c r="IV221" s="19" t="n"/>
      <c r="IW221" s="19" t="n"/>
      <c r="IX221" s="19" t="n"/>
      <c r="IY221" s="551" t="n"/>
      <c r="IZ221" s="522">
        <f>C221</f>
        <v/>
      </c>
      <c r="JA221" s="522">
        <f>JB221*10000</f>
        <v/>
      </c>
      <c r="JB221" s="522" t="n">
        <v>3.44</v>
      </c>
      <c r="JD221" s="525" t="n"/>
      <c r="JE221" s="525" t="n"/>
      <c r="JF221" s="19" t="n"/>
      <c r="JG221" s="551" t="n"/>
      <c r="JH221" s="522">
        <f>C221</f>
        <v/>
      </c>
      <c r="JI221" s="522">
        <f>JJ221*10000</f>
        <v/>
      </c>
      <c r="JJ221" s="522" t="n">
        <v>1.66</v>
      </c>
      <c r="JL221" s="525" t="n"/>
      <c r="JM221" s="525" t="n"/>
      <c r="JN221" s="525" t="n"/>
      <c r="JO221" s="19" t="n"/>
      <c r="JP221" s="5">
        <f>C221</f>
        <v/>
      </c>
      <c r="JT221" s="19" t="n"/>
      <c r="JU221" s="19" t="n"/>
      <c r="JV221" s="19" t="n"/>
      <c r="JW221" s="19" t="n"/>
      <c r="JX221" s="5">
        <f>C221</f>
        <v/>
      </c>
      <c r="KB221" s="19" t="n"/>
      <c r="KC221" s="19" t="n"/>
      <c r="KD221" s="19" t="n"/>
      <c r="KE221" s="19" t="n"/>
      <c r="KF221" s="5">
        <f>C221</f>
        <v/>
      </c>
      <c r="KG221" s="19" t="n"/>
      <c r="KH221" s="19" t="n"/>
      <c r="KJ221" s="19" t="n"/>
      <c r="KK221" s="19" t="n"/>
      <c r="KL221" s="19" t="n"/>
      <c r="KM221" s="19" t="n"/>
      <c r="KN221" s="5">
        <f>C221</f>
        <v/>
      </c>
      <c r="KR221" s="19" t="n"/>
      <c r="KS221" s="19" t="n"/>
      <c r="KT221" s="19" t="n"/>
      <c r="KV221" s="5">
        <f>C221</f>
        <v/>
      </c>
      <c r="KZ221" s="19" t="n"/>
      <c r="LA221" s="19" t="n"/>
      <c r="LB221" s="19" t="n"/>
      <c r="LD221" s="5">
        <f>C221</f>
        <v/>
      </c>
      <c r="LH221" s="19" t="n"/>
      <c r="LI221" s="19" t="n"/>
      <c r="LJ221" s="19" t="n"/>
      <c r="LL221" s="5">
        <f>C221</f>
        <v/>
      </c>
      <c r="LM221" s="633" t="n"/>
      <c r="LP221" s="19" t="n"/>
      <c r="LQ221" s="19" t="n"/>
      <c r="LR221" s="19" t="n"/>
      <c r="LS221" s="551" t="n"/>
      <c r="LT221" s="522">
        <f>C221</f>
        <v/>
      </c>
      <c r="LU221" s="522">
        <f>LV221*10000</f>
        <v/>
      </c>
      <c r="LV221" s="522" t="n">
        <v>6.72</v>
      </c>
      <c r="LX221" s="525" t="n"/>
      <c r="LY221" s="525" t="n"/>
      <c r="LZ221" s="19" t="n"/>
      <c r="MB221" s="5">
        <f>C221</f>
        <v/>
      </c>
      <c r="MF221" s="19" t="n"/>
      <c r="MG221" s="19" t="n"/>
      <c r="MH221" s="19" t="n"/>
      <c r="MK221" s="5">
        <f>C221</f>
        <v/>
      </c>
      <c r="MM221" s="24" t="n"/>
      <c r="MO221" s="19" t="n"/>
      <c r="MP221" s="19" t="n"/>
      <c r="MQ221" s="19" t="n"/>
      <c r="MR221" s="19" t="n"/>
      <c r="MS221" s="19" t="n"/>
      <c r="MT221" s="25">
        <f>C221</f>
        <v/>
      </c>
      <c r="MX221" s="19" t="n"/>
      <c r="MY221" s="19" t="n"/>
      <c r="MZ221" s="19" t="n"/>
      <c r="NA221" s="19" t="n"/>
      <c r="NB221" s="19" t="n"/>
      <c r="NC221" s="5">
        <f>C221</f>
        <v/>
      </c>
      <c r="NG221" s="19" t="n"/>
      <c r="NH221" s="19" t="n"/>
      <c r="NI221" s="19" t="n"/>
      <c r="NJ221" s="19" t="n"/>
      <c r="NK221" s="19" t="n"/>
      <c r="NM221" s="5">
        <f>C221</f>
        <v/>
      </c>
      <c r="NQ221" s="19" t="n"/>
      <c r="NR221" s="19" t="n"/>
      <c r="NU221" s="5">
        <f>C221</f>
        <v/>
      </c>
      <c r="NY221" s="19" t="n"/>
      <c r="NZ221" s="19" t="n"/>
      <c r="OC221" s="5">
        <f>C221</f>
        <v/>
      </c>
      <c r="OG221" s="19" t="n"/>
      <c r="OH221" s="19" t="n"/>
      <c r="OI221" s="19" t="n"/>
      <c r="OK221" s="5">
        <f>C221</f>
        <v/>
      </c>
      <c r="OO221" s="19" t="n"/>
      <c r="OP221" s="19" t="n"/>
      <c r="OQ221" s="19" t="n"/>
      <c r="OT221" s="25">
        <f>OK221</f>
        <v/>
      </c>
      <c r="OX221" s="19" t="n"/>
    </row>
    <row r="222" ht="21" customFormat="1" customHeight="1" s="5">
      <c r="A222" s="631" t="n"/>
      <c r="B222" s="631" t="n"/>
      <c r="C222" s="714" t="inlineStr">
        <is>
          <t>2026//1//2</t>
        </is>
      </c>
      <c r="D222" s="527" t="n">
        <v>9011028.77</v>
      </c>
      <c r="E222" s="522" t="n"/>
      <c r="F222" s="523" t="n"/>
      <c r="G222" s="524" t="n"/>
      <c r="H222" s="525" t="n"/>
      <c r="I222" s="526" t="n"/>
      <c r="J222" s="526" t="n"/>
      <c r="K222" s="522">
        <f>C222</f>
        <v/>
      </c>
      <c r="L222" s="527" t="n">
        <v>6386464.4</v>
      </c>
      <c r="M222" s="522" t="n"/>
      <c r="N222" s="523" t="n"/>
      <c r="O222" s="528" t="n"/>
      <c r="P222" s="525" t="n"/>
      <c r="Q222" s="526" t="n"/>
      <c r="R222" s="523" t="n"/>
      <c r="S222" s="522">
        <f>C222</f>
        <v/>
      </c>
      <c r="T222" s="527" t="n">
        <v>5555856.68</v>
      </c>
      <c r="U222" s="522" t="n"/>
      <c r="V222" s="523" t="n"/>
      <c r="W222" s="525" t="n"/>
      <c r="X222" s="525" t="n"/>
      <c r="Y222" s="526" t="n"/>
      <c r="Z222" s="523" t="n"/>
      <c r="AA222" s="522">
        <f>S222</f>
        <v/>
      </c>
      <c r="AB222" s="521" t="n"/>
      <c r="AC222" s="522" t="n"/>
      <c r="AD222" s="523" t="n"/>
      <c r="AE222" s="528" t="n"/>
      <c r="AF222" s="525" t="n"/>
      <c r="AG222" s="526" t="n"/>
      <c r="AH222" s="523" t="n"/>
      <c r="AI222" s="522">
        <f>C222</f>
        <v/>
      </c>
      <c r="AJ222" s="521" t="n"/>
      <c r="AK222" s="522" t="n"/>
      <c r="AL222" s="523" t="n"/>
      <c r="AM222" s="528" t="n"/>
      <c r="AN222" s="525" t="n"/>
      <c r="AO222" s="526" t="n"/>
      <c r="AP222" s="522" t="n"/>
      <c r="AQ222" s="522">
        <f>C222</f>
        <v/>
      </c>
      <c r="AR222" s="715" t="n"/>
      <c r="AS222" s="522" t="n"/>
      <c r="AT222" s="526" t="n"/>
      <c r="AU222" s="523" t="n"/>
      <c r="AV222" s="526" t="n"/>
      <c r="AW222" s="526" t="n"/>
      <c r="AX222" s="523" t="n"/>
      <c r="AY222" s="523" t="n"/>
      <c r="AZ222" s="523">
        <f>C222</f>
        <v/>
      </c>
      <c r="BA222" s="523" t="n"/>
      <c r="BB222" s="523" t="n"/>
      <c r="BC222" s="523" t="n"/>
      <c r="BD222" s="526" t="n"/>
      <c r="BE222" s="526" t="n"/>
      <c r="BF222" s="526" t="n"/>
      <c r="BG222" s="631" t="n"/>
      <c r="BH222" s="5">
        <f>C222</f>
        <v/>
      </c>
      <c r="BL222" s="19" t="n"/>
      <c r="BM222" s="19" t="n"/>
      <c r="BN222" s="19" t="n"/>
      <c r="BP222" s="5">
        <f>C222</f>
        <v/>
      </c>
      <c r="BQ222" s="633" t="n"/>
      <c r="BT222" s="19" t="n"/>
      <c r="BU222" s="19" t="n"/>
      <c r="BV222" s="19" t="n"/>
      <c r="BX222" s="5">
        <f>C222</f>
        <v/>
      </c>
      <c r="CB222" s="19" t="n"/>
      <c r="CC222" s="19" t="n"/>
      <c r="CD222" s="19" t="n"/>
      <c r="CF222" s="5">
        <f>C222</f>
        <v/>
      </c>
      <c r="CJ222" s="19" t="n"/>
      <c r="CK222" s="19" t="n"/>
      <c r="CL222" s="19" t="n"/>
      <c r="CN222" s="5">
        <f>C222</f>
        <v/>
      </c>
      <c r="CR222" s="19" t="n"/>
      <c r="CS222" s="19" t="n"/>
      <c r="CT222" s="19" t="n"/>
      <c r="CV222" s="5">
        <f>C222</f>
        <v/>
      </c>
      <c r="CZ222" s="19" t="n"/>
      <c r="DA222" s="19" t="n"/>
      <c r="DB222" s="19" t="n"/>
      <c r="DC222" s="23" t="n"/>
      <c r="DD222" s="5">
        <f>C222</f>
        <v/>
      </c>
      <c r="DH222" s="19" t="n"/>
      <c r="DI222" s="19" t="n"/>
      <c r="DJ222" s="19" t="n"/>
      <c r="DL222" s="5">
        <f>C222</f>
        <v/>
      </c>
      <c r="DP222" s="19" t="n"/>
      <c r="DQ222" s="19" t="n"/>
      <c r="DR222" s="19" t="n"/>
      <c r="DT222" s="5">
        <f>C222</f>
        <v/>
      </c>
      <c r="DX222" s="19" t="n"/>
      <c r="DY222" s="19" t="n"/>
      <c r="DZ222" s="19" t="n"/>
      <c r="EB222" s="5">
        <f>C222</f>
        <v/>
      </c>
      <c r="EF222" s="19" t="n"/>
      <c r="EG222" s="19" t="n"/>
      <c r="EH222" s="19" t="n"/>
      <c r="EJ222" s="5">
        <f>C222</f>
        <v/>
      </c>
      <c r="EN222" s="19" t="n"/>
      <c r="EO222" s="19" t="n"/>
      <c r="EP222" s="19" t="n"/>
      <c r="EQ222" s="19" t="n"/>
      <c r="ER222" s="5">
        <f>C222</f>
        <v/>
      </c>
      <c r="ES222" s="19" t="n"/>
      <c r="ET222" s="19" t="n"/>
      <c r="EU222" s="19" t="n"/>
      <c r="EV222" s="19" t="n"/>
      <c r="EW222" s="19" t="n"/>
      <c r="EX222" s="19" t="n"/>
      <c r="EY222" s="551" t="n"/>
      <c r="EZ222" s="522">
        <f>C222</f>
        <v/>
      </c>
      <c r="FA222" s="522">
        <f>FB222*10000</f>
        <v/>
      </c>
      <c r="FB222" s="522" t="n">
        <v>4.2</v>
      </c>
      <c r="FD222" s="525" t="n"/>
      <c r="FE222" s="525" t="n"/>
      <c r="FF222" s="19" t="n"/>
      <c r="FG222" s="19" t="n"/>
      <c r="FH222" s="5">
        <f>C222</f>
        <v/>
      </c>
      <c r="FI222" s="633" t="n"/>
      <c r="FL222" s="19" t="n"/>
      <c r="FM222" s="19" t="n"/>
      <c r="FN222" s="19" t="n"/>
      <c r="FP222" s="5">
        <f>C222</f>
        <v/>
      </c>
      <c r="FT222" s="19" t="n"/>
      <c r="FU222" s="19" t="n"/>
      <c r="FV222" s="19" t="n"/>
      <c r="FX222" s="5">
        <f>C222</f>
        <v/>
      </c>
      <c r="GB222" s="19" t="n"/>
      <c r="GC222" s="19" t="n"/>
      <c r="GD222" s="19" t="n"/>
      <c r="GF222" s="5">
        <f>C222</f>
        <v/>
      </c>
      <c r="GJ222" s="19" t="n"/>
      <c r="GK222" s="19" t="n"/>
      <c r="GL222" s="19" t="n"/>
      <c r="GN222" s="5">
        <f>C222</f>
        <v/>
      </c>
      <c r="GR222" s="19" t="n"/>
      <c r="GS222" s="19" t="n"/>
      <c r="GT222" s="19" t="n"/>
      <c r="GV222" s="5">
        <f>C222</f>
        <v/>
      </c>
      <c r="GZ222" s="19" t="n"/>
      <c r="HA222" s="19" t="n"/>
      <c r="HB222" s="19" t="n"/>
      <c r="HD222" s="5">
        <f>C222</f>
        <v/>
      </c>
      <c r="HH222" s="19" t="n"/>
      <c r="HI222" s="19" t="n"/>
      <c r="HJ222" s="19" t="n"/>
      <c r="HL222" s="5">
        <f>C222</f>
        <v/>
      </c>
      <c r="HP222" s="19" t="n"/>
      <c r="HQ222" s="19" t="n"/>
      <c r="HR222" s="19" t="n"/>
      <c r="HT222" s="5">
        <f>C222</f>
        <v/>
      </c>
      <c r="HX222" s="19" t="n"/>
      <c r="HY222" s="19" t="n"/>
      <c r="HZ222" s="19" t="n"/>
      <c r="IA222" s="551" t="n"/>
      <c r="IB222" s="522">
        <f>C222</f>
        <v/>
      </c>
      <c r="IC222" s="522">
        <f>ID222*10000</f>
        <v/>
      </c>
      <c r="ID222" s="522" t="n">
        <v>0.72</v>
      </c>
      <c r="IF222" s="528" t="n"/>
      <c r="IG222" s="525" t="n"/>
      <c r="IH222" s="19" t="n"/>
      <c r="IJ222" s="5">
        <f>C222</f>
        <v/>
      </c>
      <c r="IN222" s="19" t="n"/>
      <c r="IO222" s="19" t="n"/>
      <c r="IP222" s="19" t="n"/>
      <c r="IR222" s="5">
        <f>C222</f>
        <v/>
      </c>
      <c r="IV222" s="19" t="n"/>
      <c r="IW222" s="19" t="n"/>
      <c r="IX222" s="19" t="n"/>
      <c r="IY222" s="551" t="n"/>
      <c r="IZ222" s="522">
        <f>C222</f>
        <v/>
      </c>
      <c r="JA222" s="522">
        <f>JB222*10000</f>
        <v/>
      </c>
      <c r="JB222" s="522" t="n">
        <v>2.66</v>
      </c>
      <c r="JD222" s="525" t="n"/>
      <c r="JE222" s="525" t="n"/>
      <c r="JF222" s="19" t="n"/>
      <c r="JG222" s="551" t="n"/>
      <c r="JH222" s="522">
        <f>C222</f>
        <v/>
      </c>
      <c r="JI222" s="522">
        <f>JJ222*10000</f>
        <v/>
      </c>
      <c r="JJ222" s="522" t="n">
        <v>2.29</v>
      </c>
      <c r="JL222" s="525" t="n"/>
      <c r="JM222" s="525" t="n"/>
      <c r="JN222" s="525" t="n"/>
      <c r="JO222" s="19" t="n"/>
      <c r="JP222" s="5">
        <f>C222</f>
        <v/>
      </c>
      <c r="JT222" s="19" t="n"/>
      <c r="JU222" s="19" t="n"/>
      <c r="JV222" s="19" t="n"/>
      <c r="JW222" s="19" t="n"/>
      <c r="JX222" s="5">
        <f>C222</f>
        <v/>
      </c>
      <c r="KB222" s="19" t="n"/>
      <c r="KC222" s="19" t="n"/>
      <c r="KD222" s="19" t="n"/>
      <c r="KE222" s="19" t="n"/>
      <c r="KF222" s="5">
        <f>C222</f>
        <v/>
      </c>
      <c r="KG222" s="19" t="n"/>
      <c r="KH222" s="19" t="n"/>
      <c r="KJ222" s="19" t="n"/>
      <c r="KK222" s="19" t="n"/>
      <c r="KL222" s="19" t="n"/>
      <c r="KM222" s="19" t="n"/>
      <c r="KN222" s="5">
        <f>C222</f>
        <v/>
      </c>
      <c r="KR222" s="19" t="n"/>
      <c r="KS222" s="19" t="n"/>
      <c r="KT222" s="19" t="n"/>
      <c r="KV222" s="5">
        <f>C222</f>
        <v/>
      </c>
      <c r="KZ222" s="19" t="n"/>
      <c r="LA222" s="19" t="n"/>
      <c r="LB222" s="19" t="n"/>
      <c r="LD222" s="5">
        <f>C222</f>
        <v/>
      </c>
      <c r="LH222" s="19" t="n"/>
      <c r="LI222" s="19" t="n"/>
      <c r="LJ222" s="19" t="n"/>
      <c r="LL222" s="5">
        <f>C222</f>
        <v/>
      </c>
      <c r="LM222" s="633" t="n"/>
      <c r="LP222" s="19" t="n"/>
      <c r="LQ222" s="19" t="n"/>
      <c r="LR222" s="19" t="n"/>
      <c r="LS222" s="551" t="n"/>
      <c r="LT222" s="522">
        <f>C222</f>
        <v/>
      </c>
      <c r="LU222" s="522">
        <f>LV222*10000</f>
        <v/>
      </c>
      <c r="LV222" s="522" t="n">
        <v>4.76</v>
      </c>
      <c r="LX222" s="525" t="n"/>
      <c r="LY222" s="525" t="n"/>
      <c r="LZ222" s="19" t="n"/>
      <c r="MB222" s="5">
        <f>C222</f>
        <v/>
      </c>
      <c r="MF222" s="19" t="n"/>
      <c r="MG222" s="19" t="n"/>
      <c r="MH222" s="19" t="n"/>
      <c r="MK222" s="5">
        <f>C222</f>
        <v/>
      </c>
      <c r="MM222" s="24" t="n"/>
      <c r="MO222" s="19" t="n"/>
      <c r="MP222" s="19" t="n"/>
      <c r="MQ222" s="19" t="n"/>
      <c r="MR222" s="19" t="n"/>
      <c r="MS222" s="19" t="n"/>
      <c r="MT222" s="25">
        <f>C222</f>
        <v/>
      </c>
      <c r="MX222" s="19" t="n"/>
      <c r="MY222" s="19" t="n"/>
      <c r="MZ222" s="19" t="n"/>
      <c r="NA222" s="19" t="n"/>
      <c r="NB222" s="19" t="n"/>
      <c r="NC222" s="5">
        <f>C222</f>
        <v/>
      </c>
      <c r="NG222" s="19" t="n"/>
      <c r="NH222" s="19" t="n"/>
      <c r="NI222" s="19" t="n"/>
      <c r="NJ222" s="19" t="n"/>
      <c r="NK222" s="19" t="n"/>
      <c r="NM222" s="5">
        <f>C222</f>
        <v/>
      </c>
      <c r="NQ222" s="19" t="n"/>
      <c r="NR222" s="19" t="n"/>
      <c r="NU222" s="5">
        <f>C222</f>
        <v/>
      </c>
      <c r="NY222" s="19" t="n"/>
      <c r="NZ222" s="19" t="n"/>
      <c r="OC222" s="5">
        <f>C222</f>
        <v/>
      </c>
      <c r="OG222" s="19" t="n"/>
      <c r="OH222" s="19" t="n"/>
      <c r="OI222" s="19" t="n"/>
      <c r="OK222" s="5">
        <f>C222</f>
        <v/>
      </c>
      <c r="OO222" s="19" t="n"/>
      <c r="OP222" s="19" t="n"/>
      <c r="OQ222" s="19" t="n"/>
      <c r="OT222" s="25">
        <f>OK222</f>
        <v/>
      </c>
      <c r="OX222" s="19" t="n"/>
    </row>
    <row r="223" customFormat="1" s="5">
      <c r="A223" s="631" t="n"/>
      <c r="B223" s="631" t="n"/>
      <c r="C223" s="714" t="n"/>
      <c r="D223" s="521" t="n"/>
      <c r="E223" s="522" t="n"/>
      <c r="F223" s="523" t="n"/>
      <c r="G223" s="524" t="n"/>
      <c r="H223" s="525" t="n"/>
      <c r="I223" s="526" t="n"/>
      <c r="J223" s="526" t="n"/>
      <c r="K223" s="522">
        <f>C223</f>
        <v/>
      </c>
      <c r="L223" s="521" t="n"/>
      <c r="M223" s="522" t="n"/>
      <c r="N223" s="523" t="n"/>
      <c r="O223" s="528" t="n"/>
      <c r="P223" s="525" t="n"/>
      <c r="Q223" s="526" t="n"/>
      <c r="R223" s="523" t="n"/>
      <c r="S223" s="522">
        <f>C223</f>
        <v/>
      </c>
      <c r="T223" s="521" t="n"/>
      <c r="U223" s="522" t="n"/>
      <c r="V223" s="523" t="n"/>
      <c r="W223" s="525" t="n"/>
      <c r="X223" s="525" t="n"/>
      <c r="Y223" s="526" t="n"/>
      <c r="Z223" s="523" t="n"/>
      <c r="AA223" s="522">
        <f>S223</f>
        <v/>
      </c>
      <c r="AB223" s="521" t="n"/>
      <c r="AC223" s="522" t="n"/>
      <c r="AD223" s="523" t="n"/>
      <c r="AE223" s="528" t="n"/>
      <c r="AF223" s="525" t="n"/>
      <c r="AG223" s="526" t="n"/>
      <c r="AH223" s="523" t="n"/>
      <c r="AI223" s="522">
        <f>C223</f>
        <v/>
      </c>
      <c r="AJ223" s="521" t="n"/>
      <c r="AK223" s="522" t="n"/>
      <c r="AL223" s="523" t="n"/>
      <c r="AM223" s="528" t="n"/>
      <c r="AN223" s="525" t="n"/>
      <c r="AO223" s="526" t="n"/>
      <c r="AP223" s="522" t="n"/>
      <c r="AQ223" s="522">
        <f>C223</f>
        <v/>
      </c>
      <c r="AR223" s="715" t="n"/>
      <c r="AS223" s="522" t="n"/>
      <c r="AT223" s="526" t="n"/>
      <c r="AU223" s="523" t="n"/>
      <c r="AV223" s="526" t="n"/>
      <c r="AW223" s="526" t="n"/>
      <c r="AX223" s="523" t="n"/>
      <c r="AY223" s="523" t="n"/>
      <c r="AZ223" s="523">
        <f>C223</f>
        <v/>
      </c>
      <c r="BA223" s="523" t="n"/>
      <c r="BB223" s="523" t="n"/>
      <c r="BC223" s="523" t="n"/>
      <c r="BD223" s="526" t="n"/>
      <c r="BE223" s="526" t="n"/>
      <c r="BF223" s="526" t="n"/>
      <c r="BG223" s="631" t="n"/>
      <c r="BH223" s="5">
        <f>C223</f>
        <v/>
      </c>
      <c r="BL223" s="19" t="n"/>
      <c r="BM223" s="19" t="n"/>
      <c r="BN223" s="19" t="n"/>
      <c r="BP223" s="5">
        <f>C223</f>
        <v/>
      </c>
      <c r="BQ223" s="633" t="n"/>
      <c r="BT223" s="19" t="n"/>
      <c r="BU223" s="19" t="n"/>
      <c r="BV223" s="19" t="n"/>
      <c r="BX223" s="5">
        <f>C223</f>
        <v/>
      </c>
      <c r="CB223" s="19" t="n"/>
      <c r="CC223" s="19" t="n"/>
      <c r="CD223" s="19" t="n"/>
      <c r="CF223" s="5">
        <f>C223</f>
        <v/>
      </c>
      <c r="CJ223" s="19" t="n"/>
      <c r="CK223" s="19" t="n"/>
      <c r="CL223" s="19" t="n"/>
      <c r="CN223" s="5">
        <f>C223</f>
        <v/>
      </c>
      <c r="CR223" s="19" t="n"/>
      <c r="CS223" s="19" t="n"/>
      <c r="CT223" s="19" t="n"/>
      <c r="CV223" s="5">
        <f>C223</f>
        <v/>
      </c>
      <c r="CZ223" s="19" t="n"/>
      <c r="DA223" s="19" t="n"/>
      <c r="DB223" s="19" t="n"/>
      <c r="DC223" s="23" t="n"/>
      <c r="DD223" s="5">
        <f>C223</f>
        <v/>
      </c>
      <c r="DH223" s="19" t="n"/>
      <c r="DI223" s="19" t="n"/>
      <c r="DJ223" s="19" t="n"/>
      <c r="DL223" s="5">
        <f>C223</f>
        <v/>
      </c>
      <c r="DP223" s="19" t="n"/>
      <c r="DQ223" s="19" t="n"/>
      <c r="DR223" s="19" t="n"/>
      <c r="DT223" s="5">
        <f>C223</f>
        <v/>
      </c>
      <c r="DX223" s="19" t="n"/>
      <c r="DY223" s="19" t="n"/>
      <c r="DZ223" s="19" t="n"/>
      <c r="EB223" s="5">
        <f>C223</f>
        <v/>
      </c>
      <c r="EF223" s="19" t="n"/>
      <c r="EG223" s="19" t="n"/>
      <c r="EH223" s="19" t="n"/>
      <c r="EJ223" s="5">
        <f>C223</f>
        <v/>
      </c>
      <c r="EN223" s="19" t="n"/>
      <c r="EO223" s="19" t="n"/>
      <c r="EP223" s="19" t="n"/>
      <c r="EQ223" s="19" t="n"/>
      <c r="ER223" s="5">
        <f>C223</f>
        <v/>
      </c>
      <c r="ES223" s="19" t="n"/>
      <c r="ET223" s="19" t="n"/>
      <c r="EU223" s="19" t="n"/>
      <c r="EV223" s="19" t="n"/>
      <c r="EW223" s="19" t="n"/>
      <c r="EX223" s="19" t="n"/>
      <c r="EY223" s="551" t="n"/>
      <c r="EZ223" s="522">
        <f>C223</f>
        <v/>
      </c>
      <c r="FA223" s="522">
        <f>FB223*10000</f>
        <v/>
      </c>
      <c r="FB223" s="522" t="n">
        <v>3.97</v>
      </c>
      <c r="FD223" s="525" t="n"/>
      <c r="FE223" s="525" t="n"/>
      <c r="FF223" s="19" t="n"/>
      <c r="FG223" s="19" t="n"/>
      <c r="FH223" s="5">
        <f>C223</f>
        <v/>
      </c>
      <c r="FI223" s="633" t="n"/>
      <c r="FL223" s="19" t="n"/>
      <c r="FM223" s="19" t="n"/>
      <c r="FN223" s="19" t="n"/>
      <c r="FP223" s="5">
        <f>C223</f>
        <v/>
      </c>
      <c r="FT223" s="19" t="n"/>
      <c r="FU223" s="19" t="n"/>
      <c r="FV223" s="19" t="n"/>
      <c r="FX223" s="5">
        <f>C223</f>
        <v/>
      </c>
      <c r="GB223" s="19" t="n"/>
      <c r="GC223" s="19" t="n"/>
      <c r="GD223" s="19" t="n"/>
      <c r="GF223" s="5">
        <f>C223</f>
        <v/>
      </c>
      <c r="GJ223" s="19" t="n"/>
      <c r="GK223" s="19" t="n"/>
      <c r="GL223" s="19" t="n"/>
      <c r="GN223" s="5">
        <f>C223</f>
        <v/>
      </c>
      <c r="GR223" s="19" t="n"/>
      <c r="GS223" s="19" t="n"/>
      <c r="GT223" s="19" t="n"/>
      <c r="GV223" s="5">
        <f>C223</f>
        <v/>
      </c>
      <c r="GZ223" s="19" t="n"/>
      <c r="HA223" s="19" t="n"/>
      <c r="HB223" s="19" t="n"/>
      <c r="HD223" s="5">
        <f>C223</f>
        <v/>
      </c>
      <c r="HH223" s="19" t="n"/>
      <c r="HI223" s="19" t="n"/>
      <c r="HJ223" s="19" t="n"/>
      <c r="HL223" s="5">
        <f>C223</f>
        <v/>
      </c>
      <c r="HP223" s="19" t="n"/>
      <c r="HQ223" s="19" t="n"/>
      <c r="HR223" s="19" t="n"/>
      <c r="HT223" s="5">
        <f>C223</f>
        <v/>
      </c>
      <c r="HX223" s="19" t="n"/>
      <c r="HY223" s="19" t="n"/>
      <c r="HZ223" s="19" t="n"/>
      <c r="IB223" s="5">
        <f>C223</f>
        <v/>
      </c>
      <c r="IG223" s="19" t="n"/>
      <c r="IH223" s="19" t="n"/>
      <c r="IJ223" s="5">
        <f>C223</f>
        <v/>
      </c>
      <c r="IN223" s="19" t="n"/>
      <c r="IO223" s="19" t="n"/>
      <c r="IP223" s="19" t="n"/>
      <c r="IR223" s="5">
        <f>C223</f>
        <v/>
      </c>
      <c r="IV223" s="19" t="n"/>
      <c r="IW223" s="19" t="n"/>
      <c r="IX223" s="19" t="n"/>
      <c r="IY223" s="551" t="n"/>
      <c r="IZ223" s="522">
        <f>C223</f>
        <v/>
      </c>
      <c r="JA223" s="522">
        <f>JB223*10000</f>
        <v/>
      </c>
      <c r="JB223" s="522" t="n">
        <v>1.82</v>
      </c>
      <c r="JD223" s="525" t="n"/>
      <c r="JE223" s="525" t="n"/>
      <c r="JF223" s="19" t="n"/>
      <c r="JH223" s="5">
        <f>C223</f>
        <v/>
      </c>
      <c r="JL223" s="19" t="n"/>
      <c r="JM223" s="19" t="n"/>
      <c r="JN223" s="19" t="n"/>
      <c r="JO223" s="19" t="n"/>
      <c r="JP223" s="5">
        <f>C223</f>
        <v/>
      </c>
      <c r="JT223" s="19" t="n"/>
      <c r="JU223" s="19" t="n"/>
      <c r="JV223" s="19" t="n"/>
      <c r="JW223" s="19" t="n"/>
      <c r="JX223" s="5">
        <f>C223</f>
        <v/>
      </c>
      <c r="KB223" s="19" t="n"/>
      <c r="KC223" s="19" t="n"/>
      <c r="KD223" s="19" t="n"/>
      <c r="KE223" s="19" t="n"/>
      <c r="KF223" s="5">
        <f>C223</f>
        <v/>
      </c>
      <c r="KG223" s="19" t="n"/>
      <c r="KH223" s="19" t="n"/>
      <c r="KJ223" s="19" t="n"/>
      <c r="KK223" s="19" t="n"/>
      <c r="KL223" s="19" t="n"/>
      <c r="KM223" s="19" t="n"/>
      <c r="KN223" s="5">
        <f>C223</f>
        <v/>
      </c>
      <c r="KR223" s="19" t="n"/>
      <c r="KS223" s="19" t="n"/>
      <c r="KT223" s="19" t="n"/>
      <c r="KV223" s="5">
        <f>C223</f>
        <v/>
      </c>
      <c r="KZ223" s="19" t="n"/>
      <c r="LA223" s="19" t="n"/>
      <c r="LB223" s="19" t="n"/>
      <c r="LD223" s="5">
        <f>C223</f>
        <v/>
      </c>
      <c r="LH223" s="19" t="n"/>
      <c r="LI223" s="19" t="n"/>
      <c r="LJ223" s="19" t="n"/>
      <c r="LL223" s="5">
        <f>C223</f>
        <v/>
      </c>
      <c r="LM223" s="633" t="n"/>
      <c r="LP223" s="19" t="n"/>
      <c r="LQ223" s="19" t="n"/>
      <c r="LR223" s="19" t="n"/>
      <c r="LS223" s="551" t="n"/>
      <c r="LT223" s="522">
        <f>C223</f>
        <v/>
      </c>
      <c r="LU223" s="522">
        <f>LV223*10000</f>
        <v/>
      </c>
      <c r="LV223" s="522" t="n">
        <v>4.72</v>
      </c>
      <c r="LX223" s="525" t="n"/>
      <c r="LY223" s="525" t="n"/>
      <c r="LZ223" s="19" t="n"/>
      <c r="MB223" s="5">
        <f>C223</f>
        <v/>
      </c>
      <c r="MF223" s="19" t="n"/>
      <c r="MG223" s="19" t="n"/>
      <c r="MH223" s="19" t="n"/>
      <c r="MK223" s="5">
        <f>C223</f>
        <v/>
      </c>
      <c r="MM223" s="24" t="n"/>
      <c r="MO223" s="19" t="n"/>
      <c r="MP223" s="19" t="n"/>
      <c r="MQ223" s="19" t="n"/>
      <c r="MR223" s="19" t="n"/>
      <c r="MS223" s="19" t="n"/>
      <c r="MT223" s="25">
        <f>C223</f>
        <v/>
      </c>
      <c r="MX223" s="19" t="n"/>
      <c r="MY223" s="19" t="n"/>
      <c r="MZ223" s="19" t="n"/>
      <c r="NA223" s="19" t="n"/>
      <c r="NB223" s="19" t="n"/>
      <c r="NC223" s="5">
        <f>C223</f>
        <v/>
      </c>
      <c r="NG223" s="19" t="n"/>
      <c r="NH223" s="19" t="n"/>
      <c r="NI223" s="19" t="n"/>
      <c r="NJ223" s="19" t="n"/>
      <c r="NK223" s="19" t="n"/>
      <c r="NM223" s="5">
        <f>C223</f>
        <v/>
      </c>
      <c r="NQ223" s="19" t="n"/>
      <c r="NR223" s="19" t="n"/>
      <c r="NU223" s="5">
        <f>C223</f>
        <v/>
      </c>
      <c r="NY223" s="19" t="n"/>
      <c r="NZ223" s="19" t="n"/>
      <c r="OC223" s="5">
        <f>C223</f>
        <v/>
      </c>
      <c r="OG223" s="19" t="n"/>
      <c r="OH223" s="19" t="n"/>
      <c r="OI223" s="19" t="n"/>
      <c r="OK223" s="5">
        <f>C223</f>
        <v/>
      </c>
      <c r="OO223" s="19" t="n"/>
      <c r="OP223" s="19" t="n"/>
      <c r="OQ223" s="19" t="n"/>
      <c r="OT223" s="25">
        <f>OK223</f>
        <v/>
      </c>
      <c r="OX223" s="19" t="n"/>
    </row>
    <row r="224" customFormat="1" s="5">
      <c r="A224" s="631" t="n"/>
      <c r="B224" s="631" t="n"/>
      <c r="C224" s="714" t="n"/>
      <c r="D224" s="521" t="n"/>
      <c r="E224" s="522" t="n"/>
      <c r="F224" s="523" t="n"/>
      <c r="G224" s="525" t="n"/>
      <c r="H224" s="525" t="n"/>
      <c r="I224" s="526" t="n"/>
      <c r="J224" s="526" t="n"/>
      <c r="K224" s="522">
        <f>C224</f>
        <v/>
      </c>
      <c r="L224" s="521" t="n"/>
      <c r="M224" s="522" t="n"/>
      <c r="N224" s="523" t="n"/>
      <c r="O224" s="528" t="n"/>
      <c r="P224" s="525" t="n"/>
      <c r="Q224" s="526" t="n"/>
      <c r="R224" s="523" t="n"/>
      <c r="S224" s="522">
        <f>C224</f>
        <v/>
      </c>
      <c r="T224" s="521" t="n"/>
      <c r="U224" s="522" t="n"/>
      <c r="V224" s="523" t="n"/>
      <c r="W224" s="525" t="n"/>
      <c r="X224" s="525" t="n"/>
      <c r="Y224" s="526" t="n"/>
      <c r="Z224" s="523" t="n"/>
      <c r="AA224" s="522">
        <f>S224</f>
        <v/>
      </c>
      <c r="AB224" s="521" t="n"/>
      <c r="AC224" s="522" t="n"/>
      <c r="AD224" s="523" t="n"/>
      <c r="AE224" s="528" t="n"/>
      <c r="AF224" s="525" t="n"/>
      <c r="AG224" s="526" t="n"/>
      <c r="AH224" s="523" t="n"/>
      <c r="AI224" s="522">
        <f>C224</f>
        <v/>
      </c>
      <c r="AJ224" s="521" t="n"/>
      <c r="AK224" s="522" t="n"/>
      <c r="AL224" s="523" t="n"/>
      <c r="AM224" s="528" t="n"/>
      <c r="AN224" s="525" t="n"/>
      <c r="AO224" s="526" t="n"/>
      <c r="AP224" s="522" t="n"/>
      <c r="AQ224" s="522">
        <f>C224</f>
        <v/>
      </c>
      <c r="AR224" s="715" t="n"/>
      <c r="AS224" s="522" t="n"/>
      <c r="AT224" s="526" t="n"/>
      <c r="AU224" s="523" t="n"/>
      <c r="AV224" s="526" t="n"/>
      <c r="AW224" s="526" t="n"/>
      <c r="AX224" s="523" t="n"/>
      <c r="AY224" s="523" t="n"/>
      <c r="AZ224" s="523">
        <f>C224</f>
        <v/>
      </c>
      <c r="BA224" s="523" t="n"/>
      <c r="BB224" s="523" t="n"/>
      <c r="BC224" s="523" t="n"/>
      <c r="BD224" s="526" t="n"/>
      <c r="BE224" s="526" t="n"/>
      <c r="BF224" s="526" t="n"/>
      <c r="BG224" s="631" t="n"/>
      <c r="BH224" s="5">
        <f>C224</f>
        <v/>
      </c>
      <c r="BL224" s="19" t="n"/>
      <c r="BM224" s="19" t="n"/>
      <c r="BN224" s="19" t="n"/>
      <c r="BP224" s="5">
        <f>C224</f>
        <v/>
      </c>
      <c r="BQ224" s="633" t="n"/>
      <c r="BT224" s="19" t="n"/>
      <c r="BU224" s="19" t="n"/>
      <c r="BV224" s="19" t="n"/>
      <c r="BX224" s="5">
        <f>C224</f>
        <v/>
      </c>
      <c r="CB224" s="19" t="n"/>
      <c r="CC224" s="19" t="n"/>
      <c r="CD224" s="19" t="n"/>
      <c r="CF224" s="5">
        <f>C224</f>
        <v/>
      </c>
      <c r="CJ224" s="19" t="n"/>
      <c r="CK224" s="19" t="n"/>
      <c r="CL224" s="19" t="n"/>
      <c r="CN224" s="5">
        <f>C224</f>
        <v/>
      </c>
      <c r="CR224" s="19" t="n"/>
      <c r="CS224" s="19" t="n"/>
      <c r="CT224" s="19" t="n"/>
      <c r="CV224" s="5">
        <f>C224</f>
        <v/>
      </c>
      <c r="CZ224" s="19" t="n"/>
      <c r="DA224" s="19" t="n"/>
      <c r="DB224" s="19" t="n"/>
      <c r="DC224" s="23" t="n"/>
      <c r="DD224" s="5">
        <f>C224</f>
        <v/>
      </c>
      <c r="DH224" s="19" t="n"/>
      <c r="DI224" s="19" t="n"/>
      <c r="DJ224" s="19" t="n"/>
      <c r="DL224" s="5">
        <f>C224</f>
        <v/>
      </c>
      <c r="DP224" s="19" t="n"/>
      <c r="DQ224" s="19" t="n"/>
      <c r="DR224" s="19" t="n"/>
      <c r="DT224" s="5">
        <f>C224</f>
        <v/>
      </c>
      <c r="DX224" s="19" t="n"/>
      <c r="DY224" s="19" t="n"/>
      <c r="DZ224" s="19" t="n"/>
      <c r="EB224" s="5">
        <f>C224</f>
        <v/>
      </c>
      <c r="EF224" s="19" t="n"/>
      <c r="EG224" s="19" t="n"/>
      <c r="EH224" s="19" t="n"/>
      <c r="EJ224" s="5">
        <f>C224</f>
        <v/>
      </c>
      <c r="EN224" s="19" t="n"/>
      <c r="EO224" s="19" t="n"/>
      <c r="EP224" s="19" t="n"/>
      <c r="EQ224" s="19" t="n"/>
      <c r="ER224" s="5">
        <f>C224</f>
        <v/>
      </c>
      <c r="ES224" s="19" t="n"/>
      <c r="ET224" s="19" t="n"/>
      <c r="EU224" s="19" t="n"/>
      <c r="EV224" s="19" t="n"/>
      <c r="EW224" s="19" t="n"/>
      <c r="EX224" s="19" t="n"/>
      <c r="EY224" s="551" t="n"/>
      <c r="EZ224" s="522">
        <f>C224</f>
        <v/>
      </c>
      <c r="FA224" s="522">
        <f>FB224*10000</f>
        <v/>
      </c>
      <c r="FB224" s="522" t="n">
        <v>1.16</v>
      </c>
      <c r="FD224" s="525" t="n"/>
      <c r="FE224" s="525" t="n"/>
      <c r="FF224" s="19" t="n"/>
      <c r="FG224" s="19" t="n"/>
      <c r="FH224" s="5">
        <f>C224</f>
        <v/>
      </c>
      <c r="FI224" s="633" t="n"/>
      <c r="FL224" s="19" t="n"/>
      <c r="FM224" s="19" t="n"/>
      <c r="FN224" s="19" t="n"/>
      <c r="FP224" s="5">
        <f>C224</f>
        <v/>
      </c>
      <c r="FT224" s="19" t="n"/>
      <c r="FU224" s="19" t="n"/>
      <c r="FV224" s="19" t="n"/>
      <c r="FX224" s="5">
        <f>C224</f>
        <v/>
      </c>
      <c r="GB224" s="19" t="n"/>
      <c r="GC224" s="19" t="n"/>
      <c r="GD224" s="19" t="n"/>
      <c r="GF224" s="5">
        <f>C224</f>
        <v/>
      </c>
      <c r="GJ224" s="19" t="n"/>
      <c r="GK224" s="19" t="n"/>
      <c r="GL224" s="19" t="n"/>
      <c r="GN224" s="5">
        <f>C224</f>
        <v/>
      </c>
      <c r="GR224" s="19" t="n"/>
      <c r="GS224" s="19" t="n"/>
      <c r="GT224" s="19" t="n"/>
      <c r="GV224" s="5">
        <f>C224</f>
        <v/>
      </c>
      <c r="GZ224" s="19" t="n"/>
      <c r="HA224" s="19" t="n"/>
      <c r="HB224" s="19" t="n"/>
      <c r="HD224" s="5">
        <f>C224</f>
        <v/>
      </c>
      <c r="HH224" s="19" t="n"/>
      <c r="HI224" s="19" t="n"/>
      <c r="HJ224" s="19" t="n"/>
      <c r="HL224" s="5">
        <f>C224</f>
        <v/>
      </c>
      <c r="HP224" s="19" t="n"/>
      <c r="HQ224" s="19" t="n"/>
      <c r="HR224" s="19" t="n"/>
      <c r="HT224" s="5">
        <f>C224</f>
        <v/>
      </c>
      <c r="HX224" s="19" t="n"/>
      <c r="HY224" s="19" t="n"/>
      <c r="HZ224" s="19" t="n"/>
      <c r="IB224" s="5">
        <f>C224</f>
        <v/>
      </c>
      <c r="IG224" s="19" t="n"/>
      <c r="IH224" s="19" t="n"/>
      <c r="IJ224" s="5">
        <f>C224</f>
        <v/>
      </c>
      <c r="IN224" s="19" t="n"/>
      <c r="IO224" s="19" t="n"/>
      <c r="IP224" s="19" t="n"/>
      <c r="IR224" s="5">
        <f>C224</f>
        <v/>
      </c>
      <c r="IV224" s="19" t="n"/>
      <c r="IW224" s="19" t="n"/>
      <c r="IX224" s="19" t="n"/>
      <c r="IY224" s="551" t="n"/>
      <c r="IZ224" s="522">
        <f>C224</f>
        <v/>
      </c>
      <c r="JA224" s="522">
        <f>JB224*10000</f>
        <v/>
      </c>
      <c r="JB224" s="522" t="n">
        <v>1.42</v>
      </c>
      <c r="JD224" s="525" t="n"/>
      <c r="JE224" s="525" t="n"/>
      <c r="JF224" s="19" t="n"/>
      <c r="JH224" s="5">
        <f>C224</f>
        <v/>
      </c>
      <c r="JL224" s="19" t="n"/>
      <c r="JM224" s="19" t="n"/>
      <c r="JN224" s="19" t="n"/>
      <c r="JO224" s="19" t="n"/>
      <c r="JP224" s="5">
        <f>C224</f>
        <v/>
      </c>
      <c r="JT224" s="19" t="n"/>
      <c r="JU224" s="19" t="n"/>
      <c r="JV224" s="19" t="n"/>
      <c r="JW224" s="19" t="n"/>
      <c r="JX224" s="5">
        <f>C224</f>
        <v/>
      </c>
      <c r="KB224" s="19" t="n"/>
      <c r="KC224" s="19" t="n"/>
      <c r="KD224" s="19" t="n"/>
      <c r="KE224" s="19" t="n"/>
      <c r="KF224" s="5">
        <f>C224</f>
        <v/>
      </c>
      <c r="KG224" s="19" t="n"/>
      <c r="KH224" s="19" t="n"/>
      <c r="KJ224" s="19" t="n"/>
      <c r="KK224" s="19" t="n"/>
      <c r="KL224" s="19" t="n"/>
      <c r="KM224" s="19" t="n"/>
      <c r="KN224" s="5">
        <f>C224</f>
        <v/>
      </c>
      <c r="KR224" s="19" t="n"/>
      <c r="KS224" s="19" t="n"/>
      <c r="KT224" s="19" t="n"/>
      <c r="KV224" s="5">
        <f>C224</f>
        <v/>
      </c>
      <c r="KZ224" s="19" t="n"/>
      <c r="LA224" s="19" t="n"/>
      <c r="LB224" s="19" t="n"/>
      <c r="LD224" s="5">
        <f>C224</f>
        <v/>
      </c>
      <c r="LH224" s="19" t="n"/>
      <c r="LI224" s="19" t="n"/>
      <c r="LJ224" s="19" t="n"/>
      <c r="LL224" s="5">
        <f>C224</f>
        <v/>
      </c>
      <c r="LM224" s="633" t="n"/>
      <c r="LP224" s="19" t="n"/>
      <c r="LQ224" s="19" t="n"/>
      <c r="LR224" s="19" t="n"/>
      <c r="LS224" s="551" t="n"/>
      <c r="LT224" s="522">
        <f>C224</f>
        <v/>
      </c>
      <c r="LU224" s="522">
        <f>LV224*10000</f>
        <v/>
      </c>
      <c r="LV224" s="522" t="n">
        <v>5.39</v>
      </c>
      <c r="LX224" s="525" t="n"/>
      <c r="LY224" s="525" t="n"/>
      <c r="LZ224" s="19" t="n"/>
      <c r="MB224" s="5">
        <f>C224</f>
        <v/>
      </c>
      <c r="MF224" s="19" t="n"/>
      <c r="MG224" s="19" t="n"/>
      <c r="MH224" s="19" t="n"/>
      <c r="MK224" s="5">
        <f>C224</f>
        <v/>
      </c>
      <c r="MM224" s="24" t="n"/>
      <c r="MO224" s="19" t="n"/>
      <c r="MP224" s="19" t="n"/>
      <c r="MQ224" s="19" t="n"/>
      <c r="MR224" s="19" t="n"/>
      <c r="MS224" s="19" t="n"/>
      <c r="MT224" s="25">
        <f>C224</f>
        <v/>
      </c>
      <c r="MX224" s="19" t="n"/>
      <c r="MY224" s="19" t="n"/>
      <c r="MZ224" s="19" t="n"/>
      <c r="NA224" s="19" t="n"/>
      <c r="NB224" s="19" t="n"/>
      <c r="NC224" s="5">
        <f>C224</f>
        <v/>
      </c>
      <c r="NG224" s="19" t="n"/>
      <c r="NH224" s="19" t="n"/>
      <c r="NI224" s="19" t="n"/>
      <c r="NJ224" s="19" t="n"/>
      <c r="NK224" s="19" t="n"/>
      <c r="NM224" s="5">
        <f>C224</f>
        <v/>
      </c>
      <c r="NQ224" s="19" t="n"/>
      <c r="NR224" s="19" t="n"/>
      <c r="NU224" s="5">
        <f>C224</f>
        <v/>
      </c>
      <c r="NY224" s="19" t="n"/>
      <c r="NZ224" s="19" t="n"/>
      <c r="OC224" s="5">
        <f>C224</f>
        <v/>
      </c>
      <c r="OG224" s="19" t="n"/>
      <c r="OH224" s="19" t="n"/>
      <c r="OI224" s="19" t="n"/>
      <c r="OK224" s="5">
        <f>C224</f>
        <v/>
      </c>
      <c r="OO224" s="19" t="n"/>
      <c r="OP224" s="19" t="n"/>
      <c r="OQ224" s="19" t="n"/>
      <c r="OT224" s="25">
        <f>OK224</f>
        <v/>
      </c>
      <c r="OX224" s="19" t="n"/>
    </row>
    <row r="225" customFormat="1" s="5">
      <c r="A225" s="631" t="n"/>
      <c r="B225" s="631" t="n"/>
      <c r="C225" s="714" t="n"/>
      <c r="D225" s="521" t="n"/>
      <c r="E225" s="522" t="n"/>
      <c r="F225" s="523" t="n"/>
      <c r="G225" s="525" t="n"/>
      <c r="H225" s="525" t="n"/>
      <c r="I225" s="526" t="n"/>
      <c r="J225" s="526" t="n"/>
      <c r="K225" s="522">
        <f>C225</f>
        <v/>
      </c>
      <c r="L225" s="521" t="n"/>
      <c r="M225" s="522" t="n"/>
      <c r="N225" s="523" t="n"/>
      <c r="O225" s="528" t="n"/>
      <c r="P225" s="525" t="n"/>
      <c r="Q225" s="526" t="n"/>
      <c r="R225" s="523" t="n"/>
      <c r="S225" s="522">
        <f>C225</f>
        <v/>
      </c>
      <c r="T225" s="521" t="n"/>
      <c r="U225" s="522" t="n"/>
      <c r="V225" s="523" t="n"/>
      <c r="W225" s="525" t="n"/>
      <c r="X225" s="525" t="n"/>
      <c r="Y225" s="526" t="n"/>
      <c r="Z225" s="523" t="n"/>
      <c r="AA225" s="522">
        <f>S225</f>
        <v/>
      </c>
      <c r="AB225" s="521" t="n"/>
      <c r="AC225" s="522" t="n"/>
      <c r="AD225" s="523" t="n"/>
      <c r="AE225" s="528" t="n"/>
      <c r="AF225" s="525" t="n"/>
      <c r="AG225" s="526" t="n"/>
      <c r="AH225" s="523" t="n"/>
      <c r="AI225" s="522">
        <f>C225</f>
        <v/>
      </c>
      <c r="AJ225" s="521" t="n"/>
      <c r="AK225" s="522" t="n"/>
      <c r="AL225" s="523" t="n"/>
      <c r="AM225" s="528" t="n"/>
      <c r="AN225" s="525" t="n"/>
      <c r="AO225" s="526" t="n"/>
      <c r="AP225" s="522" t="n"/>
      <c r="AQ225" s="522">
        <f>C225</f>
        <v/>
      </c>
      <c r="AR225" s="715" t="n"/>
      <c r="AS225" s="522" t="n"/>
      <c r="AT225" s="526" t="n"/>
      <c r="AU225" s="523" t="n"/>
      <c r="AV225" s="526" t="n"/>
      <c r="AW225" s="526" t="n"/>
      <c r="AX225" s="523" t="n"/>
      <c r="AY225" s="523" t="n"/>
      <c r="AZ225" s="523">
        <f>C225</f>
        <v/>
      </c>
      <c r="BA225" s="523" t="n"/>
      <c r="BB225" s="523" t="n"/>
      <c r="BC225" s="523" t="n"/>
      <c r="BD225" s="526" t="n"/>
      <c r="BE225" s="526" t="n"/>
      <c r="BF225" s="526" t="n"/>
      <c r="BG225" s="631" t="n"/>
      <c r="BH225" s="5">
        <f>C225</f>
        <v/>
      </c>
      <c r="BL225" s="19" t="n"/>
      <c r="BM225" s="19" t="n"/>
      <c r="BN225" s="19" t="n"/>
      <c r="BP225" s="5">
        <f>C225</f>
        <v/>
      </c>
      <c r="BQ225" s="633" t="n"/>
      <c r="BT225" s="19" t="n"/>
      <c r="BU225" s="19" t="n"/>
      <c r="BV225" s="19" t="n"/>
      <c r="BX225" s="5">
        <f>C225</f>
        <v/>
      </c>
      <c r="CB225" s="19" t="n"/>
      <c r="CC225" s="19" t="n"/>
      <c r="CD225" s="19" t="n"/>
      <c r="CF225" s="5">
        <f>C225</f>
        <v/>
      </c>
      <c r="CJ225" s="19" t="n"/>
      <c r="CK225" s="19" t="n"/>
      <c r="CL225" s="19" t="n"/>
      <c r="CN225" s="5">
        <f>C225</f>
        <v/>
      </c>
      <c r="CR225" s="19" t="n"/>
      <c r="CS225" s="19" t="n"/>
      <c r="CT225" s="19" t="n"/>
      <c r="CV225" s="5">
        <f>C225</f>
        <v/>
      </c>
      <c r="CZ225" s="19" t="n"/>
      <c r="DA225" s="19" t="n"/>
      <c r="DB225" s="19" t="n"/>
      <c r="DC225" s="23" t="n"/>
      <c r="DD225" s="5">
        <f>C225</f>
        <v/>
      </c>
      <c r="DH225" s="19" t="n"/>
      <c r="DI225" s="19" t="n"/>
      <c r="DJ225" s="19" t="n"/>
      <c r="DL225" s="5">
        <f>C225</f>
        <v/>
      </c>
      <c r="DP225" s="19" t="n"/>
      <c r="DQ225" s="19" t="n"/>
      <c r="DR225" s="19" t="n"/>
      <c r="DT225" s="5">
        <f>C225</f>
        <v/>
      </c>
      <c r="DX225" s="19" t="n"/>
      <c r="DY225" s="19" t="n"/>
      <c r="DZ225" s="19" t="n"/>
      <c r="EB225" s="5">
        <f>C225</f>
        <v/>
      </c>
      <c r="EF225" s="19" t="n"/>
      <c r="EG225" s="19" t="n"/>
      <c r="EH225" s="19" t="n"/>
      <c r="EJ225" s="5">
        <f>C225</f>
        <v/>
      </c>
      <c r="EN225" s="19" t="n"/>
      <c r="EO225" s="19" t="n"/>
      <c r="EP225" s="19" t="n"/>
      <c r="EQ225" s="19" t="n"/>
      <c r="ER225" s="5">
        <f>C225</f>
        <v/>
      </c>
      <c r="ES225" s="19" t="n"/>
      <c r="ET225" s="19" t="n"/>
      <c r="EU225" s="19" t="n"/>
      <c r="EV225" s="19" t="n"/>
      <c r="EW225" s="19" t="n"/>
      <c r="EX225" s="19" t="n"/>
      <c r="EY225" s="551" t="n"/>
      <c r="EZ225" s="522">
        <f>C225</f>
        <v/>
      </c>
      <c r="FA225" s="522">
        <f>FB225*10000</f>
        <v/>
      </c>
      <c r="FB225" s="522" t="n">
        <v>1.54</v>
      </c>
      <c r="FD225" s="525" t="n"/>
      <c r="FE225" s="525" t="n"/>
      <c r="FF225" s="19" t="n"/>
      <c r="FG225" s="19" t="n"/>
      <c r="FH225" s="5">
        <f>C225</f>
        <v/>
      </c>
      <c r="FI225" s="633" t="n"/>
      <c r="FL225" s="19" t="n"/>
      <c r="FM225" s="19" t="n"/>
      <c r="FN225" s="19" t="n"/>
      <c r="FP225" s="5">
        <f>C225</f>
        <v/>
      </c>
      <c r="FT225" s="19" t="n"/>
      <c r="FU225" s="19" t="n"/>
      <c r="FV225" s="19" t="n"/>
      <c r="FX225" s="5">
        <f>C225</f>
        <v/>
      </c>
      <c r="GB225" s="19" t="n"/>
      <c r="GC225" s="19" t="n"/>
      <c r="GD225" s="19" t="n"/>
      <c r="GF225" s="5">
        <f>C225</f>
        <v/>
      </c>
      <c r="GJ225" s="19" t="n"/>
      <c r="GK225" s="19" t="n"/>
      <c r="GL225" s="19" t="n"/>
      <c r="GN225" s="5">
        <f>C225</f>
        <v/>
      </c>
      <c r="GR225" s="19" t="n"/>
      <c r="GS225" s="19" t="n"/>
      <c r="GT225" s="19" t="n"/>
      <c r="GV225" s="5">
        <f>C225</f>
        <v/>
      </c>
      <c r="GZ225" s="19" t="n"/>
      <c r="HA225" s="19" t="n"/>
      <c r="HB225" s="19" t="n"/>
      <c r="HD225" s="5">
        <f>C225</f>
        <v/>
      </c>
      <c r="HH225" s="19" t="n"/>
      <c r="HI225" s="19" t="n"/>
      <c r="HJ225" s="19" t="n"/>
      <c r="HL225" s="5">
        <f>C225</f>
        <v/>
      </c>
      <c r="HP225" s="19" t="n"/>
      <c r="HQ225" s="19" t="n"/>
      <c r="HR225" s="19" t="n"/>
      <c r="HT225" s="5">
        <f>C225</f>
        <v/>
      </c>
      <c r="HX225" s="19" t="n"/>
      <c r="HY225" s="19" t="n"/>
      <c r="HZ225" s="19" t="n"/>
      <c r="IB225" s="5">
        <f>C225</f>
        <v/>
      </c>
      <c r="IG225" s="19" t="n"/>
      <c r="IH225" s="19" t="n"/>
      <c r="IJ225" s="5">
        <f>C225</f>
        <v/>
      </c>
      <c r="IN225" s="19" t="n"/>
      <c r="IO225" s="19" t="n"/>
      <c r="IP225" s="19" t="n"/>
      <c r="IR225" s="5">
        <f>C225</f>
        <v/>
      </c>
      <c r="IV225" s="19" t="n"/>
      <c r="IW225" s="19" t="n"/>
      <c r="IX225" s="19" t="n"/>
      <c r="IY225" s="551" t="n"/>
      <c r="IZ225" s="522">
        <f>C225</f>
        <v/>
      </c>
      <c r="JA225" s="522">
        <f>JB225*10000</f>
        <v/>
      </c>
      <c r="JB225" s="522" t="n">
        <v>2.23</v>
      </c>
      <c r="JD225" s="525" t="n"/>
      <c r="JE225" s="525" t="n"/>
      <c r="JF225" s="19" t="n"/>
      <c r="JH225" s="5">
        <f>C225</f>
        <v/>
      </c>
      <c r="JL225" s="19" t="n"/>
      <c r="JM225" s="19" t="n"/>
      <c r="JN225" s="19" t="n"/>
      <c r="JO225" s="19" t="n"/>
      <c r="JP225" s="5">
        <f>C225</f>
        <v/>
      </c>
      <c r="JT225" s="19" t="n"/>
      <c r="JU225" s="19" t="n"/>
      <c r="JV225" s="19" t="n"/>
      <c r="JW225" s="19" t="n"/>
      <c r="JX225" s="5">
        <f>C225</f>
        <v/>
      </c>
      <c r="KB225" s="19" t="n"/>
      <c r="KC225" s="19" t="n"/>
      <c r="KD225" s="19" t="n"/>
      <c r="KE225" s="19" t="n"/>
      <c r="KF225" s="5">
        <f>C225</f>
        <v/>
      </c>
      <c r="KG225" s="19" t="n"/>
      <c r="KH225" s="19" t="n"/>
      <c r="KJ225" s="19" t="n"/>
      <c r="KK225" s="19" t="n"/>
      <c r="KL225" s="19" t="n"/>
      <c r="KM225" s="19" t="n"/>
      <c r="KN225" s="5">
        <f>C225</f>
        <v/>
      </c>
      <c r="KR225" s="19" t="n"/>
      <c r="KS225" s="19" t="n"/>
      <c r="KT225" s="19" t="n"/>
      <c r="KV225" s="5">
        <f>C225</f>
        <v/>
      </c>
      <c r="KZ225" s="19" t="n"/>
      <c r="LA225" s="19" t="n"/>
      <c r="LB225" s="19" t="n"/>
      <c r="LD225" s="5">
        <f>C225</f>
        <v/>
      </c>
      <c r="LH225" s="19" t="n"/>
      <c r="LI225" s="19" t="n"/>
      <c r="LJ225" s="19" t="n"/>
      <c r="LL225" s="5">
        <f>C225</f>
        <v/>
      </c>
      <c r="LM225" s="633" t="n"/>
      <c r="LP225" s="19" t="n"/>
      <c r="LQ225" s="19" t="n"/>
      <c r="LR225" s="19" t="n"/>
      <c r="LS225" s="551" t="n"/>
      <c r="LT225" s="522">
        <f>C225</f>
        <v/>
      </c>
      <c r="LU225" s="522">
        <f>LV225*10000</f>
        <v/>
      </c>
      <c r="LV225" s="522" t="n">
        <v>5.9</v>
      </c>
      <c r="LX225" s="525" t="n"/>
      <c r="LY225" s="525" t="n"/>
      <c r="LZ225" s="19" t="n"/>
      <c r="MB225" s="5">
        <f>C225</f>
        <v/>
      </c>
      <c r="MF225" s="19" t="n"/>
      <c r="MG225" s="19" t="n"/>
      <c r="MH225" s="19" t="n"/>
      <c r="MK225" s="5">
        <f>C225</f>
        <v/>
      </c>
      <c r="MM225" s="24" t="n"/>
      <c r="MO225" s="19" t="n"/>
      <c r="MP225" s="19" t="n"/>
      <c r="MQ225" s="19" t="n"/>
      <c r="MR225" s="19" t="n"/>
      <c r="MS225" s="19" t="n"/>
      <c r="MT225" s="25">
        <f>C225</f>
        <v/>
      </c>
      <c r="MX225" s="19" t="n"/>
      <c r="MY225" s="19" t="n"/>
      <c r="MZ225" s="19" t="n"/>
      <c r="NA225" s="19" t="n"/>
      <c r="NB225" s="19" t="n"/>
      <c r="NC225" s="5">
        <f>C225</f>
        <v/>
      </c>
      <c r="NG225" s="19" t="n"/>
      <c r="NH225" s="19" t="n"/>
      <c r="NI225" s="19" t="n"/>
      <c r="NJ225" s="19" t="n"/>
      <c r="NK225" s="19" t="n"/>
      <c r="NM225" s="5">
        <f>C225</f>
        <v/>
      </c>
      <c r="NQ225" s="19" t="n"/>
      <c r="NR225" s="19" t="n"/>
      <c r="NU225" s="5">
        <f>C225</f>
        <v/>
      </c>
      <c r="NY225" s="19" t="n"/>
      <c r="NZ225" s="19" t="n"/>
      <c r="OC225" s="5">
        <f>C225</f>
        <v/>
      </c>
      <c r="OG225" s="19" t="n"/>
      <c r="OH225" s="19" t="n"/>
      <c r="OI225" s="19" t="n"/>
      <c r="OK225" s="5">
        <f>C225</f>
        <v/>
      </c>
      <c r="OO225" s="19" t="n"/>
      <c r="OP225" s="19" t="n"/>
      <c r="OQ225" s="19" t="n"/>
      <c r="OT225" s="25">
        <f>OK225</f>
        <v/>
      </c>
      <c r="OX225" s="19" t="n"/>
    </row>
    <row r="226" ht="37.5" customFormat="1" customHeight="1" s="5">
      <c r="A226" s="631" t="n"/>
      <c r="B226" s="631" t="n"/>
      <c r="C226" s="729" t="inlineStr">
        <is>
          <t>日期</t>
        </is>
      </c>
      <c r="D226" s="521" t="inlineStr">
        <is>
          <t>期末总份额（万份）</t>
        </is>
      </c>
      <c r="E226" s="521" t="inlineStr">
        <is>
          <t>期末总份额（亿份）</t>
        </is>
      </c>
      <c r="F226" s="523" t="inlineStr">
        <is>
          <t>市值</t>
        </is>
      </c>
      <c r="G226" s="525" t="n"/>
      <c r="H226" s="525" t="n"/>
      <c r="I226" s="526" t="n"/>
      <c r="J226" s="526" t="n"/>
      <c r="K226" s="521">
        <f>C226</f>
        <v/>
      </c>
      <c r="L226" s="521" t="inlineStr">
        <is>
          <t>期末总份额（万份）</t>
        </is>
      </c>
      <c r="M226" s="521" t="inlineStr">
        <is>
          <t>期末总份额（亿份）</t>
        </is>
      </c>
      <c r="N226" s="523" t="inlineStr">
        <is>
          <t>市值</t>
        </is>
      </c>
      <c r="O226" s="528" t="n"/>
      <c r="P226" s="525" t="n"/>
      <c r="Q226" s="526" t="n"/>
      <c r="R226" s="523" t="n"/>
      <c r="S226" s="521">
        <f>C226</f>
        <v/>
      </c>
      <c r="T226" s="521" t="inlineStr">
        <is>
          <t>期末总份额（万份）</t>
        </is>
      </c>
      <c r="U226" s="521" t="inlineStr">
        <is>
          <t>期末总份额（亿份）</t>
        </is>
      </c>
      <c r="V226" s="523" t="n"/>
      <c r="W226" s="525" t="n"/>
      <c r="X226" s="525" t="n"/>
      <c r="Y226" s="526" t="n"/>
      <c r="Z226" s="523" t="n"/>
      <c r="AA226" s="521">
        <f>S226</f>
        <v/>
      </c>
      <c r="AB226" s="521" t="inlineStr">
        <is>
          <t>期末总份额（万份）</t>
        </is>
      </c>
      <c r="AC226" s="521" t="inlineStr">
        <is>
          <t>期末总份额（亿份）</t>
        </is>
      </c>
      <c r="AD226" s="523" t="n"/>
      <c r="AE226" s="528" t="n"/>
      <c r="AF226" s="525" t="n"/>
      <c r="AG226" s="526" t="n"/>
      <c r="AH226" s="523" t="n"/>
      <c r="AI226" s="521">
        <f>C226</f>
        <v/>
      </c>
      <c r="AJ226" s="521" t="inlineStr">
        <is>
          <t>期末总份额（万份）</t>
        </is>
      </c>
      <c r="AK226" s="521" t="inlineStr">
        <is>
          <t>期末总份额（亿份）</t>
        </is>
      </c>
      <c r="AL226" s="523" t="n"/>
      <c r="AM226" s="528" t="n"/>
      <c r="AN226" s="525" t="n"/>
      <c r="AO226" s="526" t="n"/>
      <c r="AP226" s="522" t="n"/>
      <c r="AQ226" s="521">
        <f>C226</f>
        <v/>
      </c>
      <c r="AR226" s="730" t="inlineStr">
        <is>
          <t>期末总份额（万份）</t>
        </is>
      </c>
      <c r="AS226" s="521" t="inlineStr">
        <is>
          <t>期末总份额（亿份）</t>
        </is>
      </c>
      <c r="AT226" s="526" t="n"/>
      <c r="AU226" s="523" t="n"/>
      <c r="AV226" s="526" t="n"/>
      <c r="AW226" s="526" t="n"/>
      <c r="AX226" s="523" t="n"/>
      <c r="AY226" s="523" t="n"/>
      <c r="AZ226" s="523">
        <f>C226</f>
        <v/>
      </c>
      <c r="BA226" s="523" t="n"/>
      <c r="BB226" s="523" t="n"/>
      <c r="BC226" s="523" t="n"/>
      <c r="BD226" s="526" t="n"/>
      <c r="BE226" s="526" t="n"/>
      <c r="BF226" s="526" t="n"/>
      <c r="BG226" s="631" t="n"/>
      <c r="BH226" s="5">
        <f>C226</f>
        <v/>
      </c>
      <c r="BL226" s="19" t="n"/>
      <c r="BM226" s="19" t="n"/>
      <c r="BN226" s="19" t="n"/>
      <c r="BP226" s="5">
        <f>C226</f>
        <v/>
      </c>
      <c r="BQ226" s="633" t="n"/>
      <c r="BT226" s="19" t="n"/>
      <c r="BU226" s="19" t="n"/>
      <c r="BV226" s="19" t="n"/>
      <c r="BX226" s="5">
        <f>C226</f>
        <v/>
      </c>
      <c r="CB226" s="19" t="n"/>
      <c r="CC226" s="19" t="n"/>
      <c r="CD226" s="19" t="n"/>
      <c r="CF226" s="5">
        <f>C226</f>
        <v/>
      </c>
      <c r="CJ226" s="19" t="n"/>
      <c r="CK226" s="19" t="n"/>
      <c r="CL226" s="19" t="n"/>
      <c r="CN226" s="5">
        <f>C226</f>
        <v/>
      </c>
      <c r="CR226" s="19" t="n"/>
      <c r="CS226" s="19" t="n"/>
      <c r="CT226" s="19" t="n"/>
      <c r="CV226" s="5">
        <f>C226</f>
        <v/>
      </c>
      <c r="CZ226" s="19" t="n"/>
      <c r="DA226" s="19" t="n"/>
      <c r="DB226" s="19" t="n"/>
      <c r="DC226" s="23" t="n"/>
      <c r="DD226" s="5">
        <f>C226</f>
        <v/>
      </c>
      <c r="DH226" s="19" t="n"/>
      <c r="DI226" s="19" t="n"/>
      <c r="DJ226" s="19" t="n"/>
      <c r="DL226" s="5">
        <f>C226</f>
        <v/>
      </c>
      <c r="DP226" s="19" t="n"/>
      <c r="DQ226" s="19" t="n"/>
      <c r="DR226" s="19" t="n"/>
      <c r="DT226" s="5">
        <f>C226</f>
        <v/>
      </c>
      <c r="DX226" s="19" t="n"/>
      <c r="DY226" s="19" t="n"/>
      <c r="DZ226" s="19" t="n"/>
      <c r="EB226" s="5">
        <f>C226</f>
        <v/>
      </c>
      <c r="EF226" s="19" t="n"/>
      <c r="EG226" s="19" t="n"/>
      <c r="EH226" s="19" t="n"/>
      <c r="EJ226" s="5">
        <f>C226</f>
        <v/>
      </c>
      <c r="EN226" s="19" t="n"/>
      <c r="EO226" s="19" t="n"/>
      <c r="EP226" s="19" t="n"/>
      <c r="EQ226" s="19" t="n"/>
      <c r="ER226" s="5">
        <f>C226</f>
        <v/>
      </c>
      <c r="ES226" s="19" t="n"/>
      <c r="ET226" s="19" t="n"/>
      <c r="EU226" s="19" t="n"/>
      <c r="EV226" s="19" t="n"/>
      <c r="EW226" s="19" t="n"/>
      <c r="EX226" s="19" t="n"/>
      <c r="EY226" s="551" t="n"/>
      <c r="EZ226" s="522">
        <f>C226</f>
        <v/>
      </c>
      <c r="FA226" s="522">
        <f>FB226*10000</f>
        <v/>
      </c>
      <c r="FB226" s="522" t="n">
        <v>3.04</v>
      </c>
      <c r="FD226" s="525" t="n"/>
      <c r="FE226" s="525" t="n"/>
      <c r="FF226" s="19" t="n"/>
      <c r="FG226" s="19" t="n"/>
      <c r="FH226" s="5">
        <f>C226</f>
        <v/>
      </c>
      <c r="FI226" s="633" t="n"/>
      <c r="FL226" s="19" t="n"/>
      <c r="FM226" s="19" t="n"/>
      <c r="FN226" s="19" t="n"/>
      <c r="FP226" s="5">
        <f>C226</f>
        <v/>
      </c>
      <c r="FT226" s="19" t="n"/>
      <c r="FU226" s="19" t="n"/>
      <c r="FV226" s="19" t="n"/>
      <c r="FX226" s="5">
        <f>C226</f>
        <v/>
      </c>
      <c r="GB226" s="19" t="n"/>
      <c r="GC226" s="19" t="n"/>
      <c r="GD226" s="19" t="n"/>
      <c r="GF226" s="5">
        <f>C226</f>
        <v/>
      </c>
      <c r="GJ226" s="19" t="n"/>
      <c r="GK226" s="19" t="n"/>
      <c r="GL226" s="19" t="n"/>
      <c r="GN226" s="5">
        <f>C226</f>
        <v/>
      </c>
      <c r="GR226" s="19" t="n"/>
      <c r="GS226" s="19" t="n"/>
      <c r="GT226" s="19" t="n"/>
      <c r="GV226" s="5">
        <f>C226</f>
        <v/>
      </c>
      <c r="GZ226" s="19" t="n"/>
      <c r="HA226" s="19" t="n"/>
      <c r="HB226" s="19" t="n"/>
      <c r="HD226" s="5">
        <f>C226</f>
        <v/>
      </c>
      <c r="HH226" s="19" t="n"/>
      <c r="HI226" s="19" t="n"/>
      <c r="HJ226" s="19" t="n"/>
      <c r="HL226" s="5">
        <f>C226</f>
        <v/>
      </c>
      <c r="HP226" s="19" t="n"/>
      <c r="HQ226" s="19" t="n"/>
      <c r="HR226" s="19" t="n"/>
      <c r="HT226" s="5">
        <f>C226</f>
        <v/>
      </c>
      <c r="HX226" s="19" t="n"/>
      <c r="HY226" s="19" t="n"/>
      <c r="HZ226" s="19" t="n"/>
      <c r="IB226" s="5">
        <f>C226</f>
        <v/>
      </c>
      <c r="IG226" s="19" t="n"/>
      <c r="IH226" s="19" t="n"/>
      <c r="IJ226" s="5">
        <f>C226</f>
        <v/>
      </c>
      <c r="IN226" s="19" t="n"/>
      <c r="IO226" s="19" t="n"/>
      <c r="IP226" s="19" t="n"/>
      <c r="IR226" s="5">
        <f>C226</f>
        <v/>
      </c>
      <c r="IV226" s="19" t="n"/>
      <c r="IW226" s="19" t="n"/>
      <c r="IX226" s="19" t="n"/>
      <c r="IZ226" s="5">
        <f>C226</f>
        <v/>
      </c>
      <c r="JD226" s="19" t="n"/>
      <c r="JE226" s="19" t="n"/>
      <c r="JF226" s="19" t="n"/>
      <c r="JH226" s="5">
        <f>C226</f>
        <v/>
      </c>
      <c r="JL226" s="19" t="n"/>
      <c r="JM226" s="19" t="n"/>
      <c r="JN226" s="19" t="n"/>
      <c r="JO226" s="19" t="n"/>
      <c r="JP226" s="5">
        <f>C226</f>
        <v/>
      </c>
      <c r="JT226" s="19" t="n"/>
      <c r="JU226" s="19" t="n"/>
      <c r="JV226" s="19" t="n"/>
      <c r="JW226" s="19" t="n"/>
      <c r="JX226" s="5">
        <f>C226</f>
        <v/>
      </c>
      <c r="KB226" s="19" t="n"/>
      <c r="KC226" s="19" t="n"/>
      <c r="KD226" s="19" t="n"/>
      <c r="KE226" s="19" t="n"/>
      <c r="KF226" s="5">
        <f>C226</f>
        <v/>
      </c>
      <c r="KG226" s="19" t="n"/>
      <c r="KH226" s="19" t="n"/>
      <c r="KJ226" s="19" t="n"/>
      <c r="KK226" s="19" t="n"/>
      <c r="KL226" s="19" t="n"/>
      <c r="KM226" s="19" t="n"/>
      <c r="KN226" s="5">
        <f>C226</f>
        <v/>
      </c>
      <c r="KR226" s="19" t="n"/>
      <c r="KS226" s="19" t="n"/>
      <c r="KT226" s="19" t="n"/>
      <c r="KV226" s="5">
        <f>C226</f>
        <v/>
      </c>
      <c r="KZ226" s="19" t="n"/>
      <c r="LA226" s="19" t="n"/>
      <c r="LB226" s="19" t="n"/>
      <c r="LD226" s="5">
        <f>C226</f>
        <v/>
      </c>
      <c r="LH226" s="19" t="n"/>
      <c r="LI226" s="19" t="n"/>
      <c r="LJ226" s="19" t="n"/>
      <c r="LL226" s="5">
        <f>C226</f>
        <v/>
      </c>
      <c r="LM226" s="633" t="n"/>
      <c r="LP226" s="19" t="n"/>
      <c r="LQ226" s="19" t="n"/>
      <c r="LR226" s="19" t="n"/>
      <c r="LS226" s="551" t="n"/>
      <c r="LT226" s="522">
        <f>C226</f>
        <v/>
      </c>
      <c r="LU226" s="522">
        <f>LV226*10000</f>
        <v/>
      </c>
      <c r="LV226" s="522" t="n">
        <v>6.78</v>
      </c>
      <c r="LX226" s="525" t="n"/>
      <c r="LY226" s="525" t="n"/>
      <c r="LZ226" s="19" t="n"/>
      <c r="MB226" s="5">
        <f>C226</f>
        <v/>
      </c>
      <c r="MF226" s="19" t="n"/>
      <c r="MG226" s="19" t="n"/>
      <c r="MH226" s="19" t="n"/>
      <c r="MK226" s="5">
        <f>C226</f>
        <v/>
      </c>
      <c r="MM226" s="24" t="n"/>
      <c r="MO226" s="19" t="n"/>
      <c r="MP226" s="19" t="n"/>
      <c r="MQ226" s="19" t="n"/>
      <c r="MR226" s="19" t="n"/>
      <c r="MS226" s="19" t="n"/>
      <c r="MT226" s="25">
        <f>C226</f>
        <v/>
      </c>
      <c r="MX226" s="19" t="n"/>
      <c r="MY226" s="19" t="n"/>
      <c r="MZ226" s="19" t="n"/>
      <c r="NA226" s="19" t="n"/>
      <c r="NB226" s="19" t="n"/>
      <c r="NC226" s="5">
        <f>C226</f>
        <v/>
      </c>
      <c r="NG226" s="19" t="n"/>
      <c r="NH226" s="19" t="n"/>
      <c r="NI226" s="19" t="n"/>
      <c r="NJ226" s="19" t="n"/>
      <c r="NK226" s="19" t="n"/>
      <c r="NM226" s="5">
        <f>C226</f>
        <v/>
      </c>
      <c r="NQ226" s="19" t="n"/>
      <c r="NR226" s="19" t="n"/>
      <c r="NU226" s="5">
        <f>C226</f>
        <v/>
      </c>
      <c r="NY226" s="19" t="n"/>
      <c r="NZ226" s="19" t="n"/>
      <c r="OC226" s="5">
        <f>C226</f>
        <v/>
      </c>
      <c r="OG226" s="19" t="n"/>
      <c r="OH226" s="19" t="n"/>
      <c r="OI226" s="19" t="n"/>
      <c r="OK226" s="5">
        <f>C226</f>
        <v/>
      </c>
      <c r="OO226" s="19" t="n"/>
      <c r="OP226" s="19" t="n"/>
      <c r="OQ226" s="19" t="n"/>
      <c r="OT226" s="25">
        <f>OK226</f>
        <v/>
      </c>
      <c r="OX226" s="19" t="n"/>
    </row>
    <row r="227" ht="21" customFormat="1" customHeight="1" s="5">
      <c r="A227" s="631" t="n"/>
      <c r="B227" s="631" t="n"/>
      <c r="C227" s="714" t="inlineStr">
        <is>
          <t>2025//12//31</t>
        </is>
      </c>
      <c r="D227" s="591">
        <f>E227*10000</f>
        <v/>
      </c>
      <c r="E227" s="591" t="n">
        <v>888.3</v>
      </c>
      <c r="F227" s="523">
        <f>42315240.2/10000</f>
        <v/>
      </c>
      <c r="G227" s="592">
        <f>(D227-D228)/D228</f>
        <v/>
      </c>
      <c r="H227" s="592" t="n"/>
      <c r="I227" s="526" t="n"/>
      <c r="J227" s="526" t="n"/>
      <c r="K227" s="522">
        <f>C227</f>
        <v/>
      </c>
      <c r="L227" s="591">
        <f>M227*10000</f>
        <v/>
      </c>
      <c r="M227" s="591" t="n">
        <v>659.34</v>
      </c>
      <c r="N227" s="523">
        <f>30057376.39/10000</f>
        <v/>
      </c>
      <c r="O227" s="593" t="n"/>
      <c r="P227" s="592" t="n"/>
      <c r="Q227" s="526" t="n"/>
      <c r="R227" s="523" t="n"/>
      <c r="S227" s="522">
        <f>C227</f>
        <v/>
      </c>
      <c r="T227" s="591">
        <f>U227*10000</f>
        <v/>
      </c>
      <c r="U227" s="591" t="n">
        <v>566.65</v>
      </c>
      <c r="V227" s="523" t="n"/>
      <c r="W227" s="592" t="n"/>
      <c r="X227" s="592" t="n"/>
      <c r="Y227" s="526" t="n"/>
      <c r="Z227" s="523" t="n"/>
      <c r="AA227" s="522">
        <f>S227</f>
        <v/>
      </c>
      <c r="AB227" s="591">
        <f>AC227*10000</f>
        <v/>
      </c>
      <c r="AC227" s="591" t="n">
        <v>190.65</v>
      </c>
      <c r="AD227" s="523" t="n"/>
      <c r="AE227" s="593" t="n"/>
      <c r="AF227" s="592" t="n"/>
      <c r="AG227" s="526" t="n"/>
      <c r="AH227" s="523" t="n"/>
      <c r="AI227" s="522">
        <f>C227</f>
        <v/>
      </c>
      <c r="AJ227" s="591">
        <f>AK227*10000</f>
        <v/>
      </c>
      <c r="AK227" s="522" t="n">
        <v>256.51</v>
      </c>
      <c r="AL227" s="523" t="n"/>
      <c r="AM227" s="594" t="n"/>
      <c r="AN227" s="592" t="n"/>
      <c r="AO227" s="526" t="n"/>
      <c r="AP227" s="551" t="n"/>
      <c r="AQ227" s="522">
        <f>C227</f>
        <v/>
      </c>
      <c r="AR227" s="634">
        <f>AS227*10000</f>
        <v/>
      </c>
      <c r="AS227" s="591" t="n">
        <v>315.07</v>
      </c>
      <c r="AT227" s="528" t="n"/>
      <c r="AU227" s="523" t="n"/>
      <c r="AV227" s="526" t="n"/>
      <c r="AW227" s="526" t="n"/>
      <c r="AX227" s="523" t="n"/>
      <c r="AY227" s="523" t="n"/>
      <c r="AZ227" s="523">
        <f>C227</f>
        <v/>
      </c>
      <c r="BA227" s="523" t="n"/>
      <c r="BB227" s="523" t="n"/>
      <c r="BC227" s="523" t="n"/>
      <c r="BD227" s="526" t="n"/>
      <c r="BE227" s="526" t="n"/>
      <c r="BF227" s="526" t="n"/>
      <c r="BG227" s="631" t="n"/>
      <c r="BH227" s="5">
        <f>C227</f>
        <v/>
      </c>
      <c r="BL227" s="19" t="n"/>
      <c r="BM227" s="19" t="n"/>
      <c r="BN227" s="19" t="n"/>
      <c r="BP227" s="5">
        <f>C227</f>
        <v/>
      </c>
      <c r="BQ227" s="633" t="n"/>
      <c r="BT227" s="19" t="n"/>
      <c r="BU227" s="19" t="n"/>
      <c r="BV227" s="19" t="n"/>
      <c r="BX227" s="5">
        <f>C227</f>
        <v/>
      </c>
      <c r="CB227" s="19" t="n"/>
      <c r="CC227" s="19" t="n"/>
      <c r="CD227" s="19" t="n"/>
      <c r="CF227" s="5">
        <f>C227</f>
        <v/>
      </c>
      <c r="CJ227" s="19" t="n"/>
      <c r="CK227" s="19" t="n"/>
      <c r="CL227" s="19" t="n"/>
      <c r="CN227" s="5">
        <f>C227</f>
        <v/>
      </c>
      <c r="CR227" s="19" t="n"/>
      <c r="CS227" s="19" t="n"/>
      <c r="CT227" s="19" t="n"/>
      <c r="CV227" s="5">
        <f>C227</f>
        <v/>
      </c>
      <c r="CZ227" s="19" t="n"/>
      <c r="DA227" s="19" t="n"/>
      <c r="DB227" s="19" t="n"/>
      <c r="DC227" s="23" t="n"/>
      <c r="DD227" s="5">
        <f>C227</f>
        <v/>
      </c>
      <c r="DH227" s="19" t="n"/>
      <c r="DI227" s="19" t="n"/>
      <c r="DJ227" s="19" t="n"/>
      <c r="DL227" s="5">
        <f>C227</f>
        <v/>
      </c>
      <c r="DP227" s="19" t="n"/>
      <c r="DQ227" s="19" t="n"/>
      <c r="DR227" s="19" t="n"/>
      <c r="DT227" s="5">
        <f>C227</f>
        <v/>
      </c>
      <c r="DX227" s="19" t="n"/>
      <c r="DY227" s="19" t="n"/>
      <c r="DZ227" s="19" t="n"/>
      <c r="EB227" s="5">
        <f>C227</f>
        <v/>
      </c>
      <c r="EF227" s="19" t="n"/>
      <c r="EG227" s="19" t="n"/>
      <c r="EH227" s="19" t="n"/>
      <c r="EJ227" s="5">
        <f>C227</f>
        <v/>
      </c>
      <c r="EN227" s="19" t="n"/>
      <c r="EO227" s="19" t="n"/>
      <c r="EP227" s="19" t="n"/>
      <c r="EQ227" s="19" t="n"/>
      <c r="ER227" s="5">
        <f>C227</f>
        <v/>
      </c>
      <c r="ES227" s="19" t="n"/>
      <c r="ET227" s="19" t="n"/>
      <c r="EU227" s="19" t="n"/>
      <c r="EV227" s="19" t="n"/>
      <c r="EW227" s="19" t="n"/>
      <c r="EX227" s="19" t="n"/>
      <c r="EZ227" s="5">
        <f>C227</f>
        <v/>
      </c>
      <c r="FD227" s="19" t="n"/>
      <c r="FE227" s="19" t="n"/>
      <c r="FF227" s="19" t="n"/>
      <c r="FG227" s="19" t="n"/>
      <c r="FH227" s="5">
        <f>C227</f>
        <v/>
      </c>
      <c r="FI227" s="633" t="n"/>
      <c r="FL227" s="19" t="n"/>
      <c r="FM227" s="19" t="n"/>
      <c r="FN227" s="19" t="n"/>
      <c r="FP227" s="5">
        <f>C227</f>
        <v/>
      </c>
      <c r="FT227" s="19" t="n"/>
      <c r="FU227" s="19" t="n"/>
      <c r="FV227" s="19" t="n"/>
      <c r="FX227" s="5">
        <f>C227</f>
        <v/>
      </c>
      <c r="GB227" s="19" t="n"/>
      <c r="GC227" s="19" t="n"/>
      <c r="GD227" s="19" t="n"/>
      <c r="GF227" s="5">
        <f>C227</f>
        <v/>
      </c>
      <c r="GJ227" s="19" t="n"/>
      <c r="GK227" s="19" t="n"/>
      <c r="GL227" s="19" t="n"/>
      <c r="GN227" s="5">
        <f>C227</f>
        <v/>
      </c>
      <c r="GR227" s="19" t="n"/>
      <c r="GS227" s="19" t="n"/>
      <c r="GT227" s="19" t="n"/>
      <c r="GV227" s="5">
        <f>C227</f>
        <v/>
      </c>
      <c r="GZ227" s="19" t="n"/>
      <c r="HA227" s="19" t="n"/>
      <c r="HB227" s="19" t="n"/>
      <c r="HD227" s="5">
        <f>C227</f>
        <v/>
      </c>
      <c r="HH227" s="19" t="n"/>
      <c r="HI227" s="19" t="n"/>
      <c r="HJ227" s="19" t="n"/>
      <c r="HL227" s="5">
        <f>C227</f>
        <v/>
      </c>
      <c r="HP227" s="19" t="n"/>
      <c r="HQ227" s="19" t="n"/>
      <c r="HR227" s="19" t="n"/>
      <c r="HT227" s="5">
        <f>C227</f>
        <v/>
      </c>
      <c r="HX227" s="19" t="n"/>
      <c r="HY227" s="19" t="n"/>
      <c r="HZ227" s="19" t="n"/>
      <c r="IB227" s="5">
        <f>C227</f>
        <v/>
      </c>
      <c r="IG227" s="19" t="n"/>
      <c r="IH227" s="19" t="n"/>
      <c r="IJ227" s="5">
        <f>C227</f>
        <v/>
      </c>
      <c r="IN227" s="19" t="n"/>
      <c r="IO227" s="19" t="n"/>
      <c r="IP227" s="19" t="n"/>
      <c r="IR227" s="5">
        <f>C227</f>
        <v/>
      </c>
      <c r="IV227" s="19" t="n"/>
      <c r="IW227" s="19" t="n"/>
      <c r="IX227" s="19" t="n"/>
      <c r="IZ227" s="5">
        <f>C227</f>
        <v/>
      </c>
      <c r="JD227" s="19" t="n"/>
      <c r="JE227" s="19" t="n"/>
      <c r="JF227" s="19" t="n"/>
      <c r="JH227" s="5">
        <f>C227</f>
        <v/>
      </c>
      <c r="JL227" s="19" t="n"/>
      <c r="JM227" s="19" t="n"/>
      <c r="JN227" s="19" t="n"/>
      <c r="JO227" s="19" t="n"/>
      <c r="JP227" s="5">
        <f>C227</f>
        <v/>
      </c>
      <c r="JT227" s="19" t="n"/>
      <c r="JU227" s="19" t="n"/>
      <c r="JV227" s="19" t="n"/>
      <c r="JW227" s="19" t="n"/>
      <c r="JX227" s="5">
        <f>C227</f>
        <v/>
      </c>
      <c r="KB227" s="19" t="n"/>
      <c r="KC227" s="19" t="n"/>
      <c r="KD227" s="19" t="n"/>
      <c r="KE227" s="19" t="n"/>
      <c r="KF227" s="5">
        <f>C227</f>
        <v/>
      </c>
      <c r="KG227" s="19" t="n"/>
      <c r="KH227" s="19" t="n"/>
      <c r="KJ227" s="19" t="n"/>
      <c r="KK227" s="19" t="n"/>
      <c r="KL227" s="19" t="n"/>
      <c r="KM227" s="19" t="n"/>
      <c r="KN227" s="5">
        <f>C227</f>
        <v/>
      </c>
      <c r="KR227" s="19" t="n"/>
      <c r="KS227" s="19" t="n"/>
      <c r="KT227" s="19" t="n"/>
      <c r="KV227" s="5">
        <f>C227</f>
        <v/>
      </c>
      <c r="KZ227" s="19" t="n"/>
      <c r="LA227" s="19" t="n"/>
      <c r="LB227" s="19" t="n"/>
      <c r="LD227" s="5">
        <f>C227</f>
        <v/>
      </c>
      <c r="LH227" s="19" t="n"/>
      <c r="LI227" s="19" t="n"/>
      <c r="LJ227" s="19" t="n"/>
      <c r="LL227" s="5">
        <f>C227</f>
        <v/>
      </c>
      <c r="LM227" s="633" t="n"/>
      <c r="LP227" s="19" t="n"/>
      <c r="LQ227" s="19" t="n"/>
      <c r="LR227" s="19" t="n"/>
      <c r="LS227" s="551" t="n"/>
      <c r="LT227" s="522">
        <f>C227</f>
        <v/>
      </c>
      <c r="LU227" s="522">
        <f>LV227*10000</f>
        <v/>
      </c>
      <c r="LV227" s="522" t="n">
        <v>7.48</v>
      </c>
      <c r="LX227" s="525" t="n"/>
      <c r="LY227" s="525" t="n"/>
      <c r="LZ227" s="19" t="n"/>
      <c r="MB227" s="5">
        <f>C227</f>
        <v/>
      </c>
      <c r="MF227" s="19" t="n"/>
      <c r="MG227" s="19" t="n"/>
      <c r="MH227" s="19" t="n"/>
      <c r="MK227" s="5">
        <f>C227</f>
        <v/>
      </c>
      <c r="MM227" s="24" t="n"/>
      <c r="MO227" s="19" t="n"/>
      <c r="MP227" s="19" t="n"/>
      <c r="MQ227" s="19" t="n"/>
      <c r="MR227" s="19" t="n"/>
      <c r="MS227" s="19" t="n"/>
      <c r="MT227" s="25">
        <f>C227</f>
        <v/>
      </c>
      <c r="MX227" s="19" t="n"/>
      <c r="MY227" s="19" t="n"/>
      <c r="MZ227" s="19" t="n"/>
      <c r="NA227" s="19" t="n"/>
      <c r="NB227" s="19" t="n"/>
      <c r="NC227" s="5">
        <f>C227</f>
        <v/>
      </c>
      <c r="NG227" s="19" t="n"/>
      <c r="NH227" s="19" t="n"/>
      <c r="NI227" s="19" t="n"/>
      <c r="NJ227" s="19" t="n"/>
      <c r="NK227" s="19" t="n"/>
      <c r="NM227" s="5">
        <f>C227</f>
        <v/>
      </c>
      <c r="NQ227" s="19" t="n"/>
      <c r="NR227" s="19" t="n"/>
      <c r="NU227" s="5">
        <f>C227</f>
        <v/>
      </c>
      <c r="NY227" s="19" t="n"/>
      <c r="NZ227" s="19" t="n"/>
      <c r="OC227" s="5">
        <f>C227</f>
        <v/>
      </c>
      <c r="OG227" s="19" t="n"/>
      <c r="OH227" s="19" t="n"/>
      <c r="OI227" s="19" t="n"/>
      <c r="OK227" s="5">
        <f>C227</f>
        <v/>
      </c>
      <c r="OO227" s="19" t="n"/>
      <c r="OP227" s="19" t="n"/>
      <c r="OQ227" s="19" t="n"/>
      <c r="OT227" s="25">
        <f>OK227</f>
        <v/>
      </c>
      <c r="OU227" s="595" t="n">
        <v>136992.4066</v>
      </c>
      <c r="OX227" s="19" t="n"/>
    </row>
    <row r="228" ht="21" customFormat="1" customHeight="1" s="5">
      <c r="A228" s="631" t="n"/>
      <c r="B228" s="631" t="n"/>
      <c r="C228" s="714" t="inlineStr">
        <is>
          <t>2025//9//30</t>
        </is>
      </c>
      <c r="D228" s="591">
        <f>E228*10000</f>
        <v/>
      </c>
      <c r="E228" s="591" t="n">
        <v>897.16</v>
      </c>
      <c r="F228" s="523">
        <f>42506662.32/10000</f>
        <v/>
      </c>
      <c r="G228" s="592">
        <f>(D228-D229)/D229</f>
        <v/>
      </c>
      <c r="H228" s="592" t="n"/>
      <c r="I228" s="526" t="n"/>
      <c r="J228" s="526" t="n"/>
      <c r="K228" s="522">
        <f>C228</f>
        <v/>
      </c>
      <c r="L228" s="591">
        <f>M228*10000</f>
        <v/>
      </c>
      <c r="M228" s="591" t="n">
        <v>668.09</v>
      </c>
      <c r="N228" s="523">
        <f>30465643.19/10000</f>
        <v/>
      </c>
      <c r="O228" s="593" t="n"/>
      <c r="P228" s="592" t="n"/>
      <c r="Q228" s="526" t="n"/>
      <c r="R228" s="523" t="n"/>
      <c r="S228" s="522">
        <f>C228</f>
        <v/>
      </c>
      <c r="T228" s="591">
        <f>U228*10000</f>
        <v/>
      </c>
      <c r="U228" s="591" t="n">
        <v>577.24</v>
      </c>
      <c r="V228" s="523" t="n"/>
      <c r="W228" s="592" t="n"/>
      <c r="X228" s="592" t="n"/>
      <c r="Y228" s="526" t="n"/>
      <c r="Z228" s="523" t="n"/>
      <c r="AA228" s="522">
        <f>S228</f>
        <v/>
      </c>
      <c r="AB228" s="591">
        <f>AC228*10000</f>
        <v/>
      </c>
      <c r="AC228" s="591" t="n">
        <v>186.45</v>
      </c>
      <c r="AD228" s="523" t="n"/>
      <c r="AE228" s="593" t="n"/>
      <c r="AF228" s="592" t="n"/>
      <c r="AG228" s="526" t="n"/>
      <c r="AH228" s="523" t="n"/>
      <c r="AI228" s="522">
        <f>C228</f>
        <v/>
      </c>
      <c r="AJ228" s="591">
        <f>AK228*10000</f>
        <v/>
      </c>
      <c r="AK228" s="522" t="n">
        <v>250.09</v>
      </c>
      <c r="AL228" s="523" t="n"/>
      <c r="AM228" s="594" t="n"/>
      <c r="AN228" s="592" t="n"/>
      <c r="AO228" s="526" t="n"/>
      <c r="AP228" s="551" t="n"/>
      <c r="AQ228" s="522">
        <f>C228</f>
        <v/>
      </c>
      <c r="AR228" s="634">
        <f>AS228*10000</f>
        <v/>
      </c>
      <c r="AS228" s="591" t="n">
        <v>343.01</v>
      </c>
      <c r="AT228" s="592" t="n"/>
      <c r="AU228" s="523" t="n"/>
      <c r="AV228" s="526" t="n"/>
      <c r="AW228" s="526" t="n"/>
      <c r="AX228" s="523" t="n"/>
      <c r="AY228" s="523" t="n"/>
      <c r="AZ228" s="523">
        <f>C228</f>
        <v/>
      </c>
      <c r="BA228" s="523" t="n"/>
      <c r="BB228" s="523" t="n"/>
      <c r="BC228" s="523" t="n"/>
      <c r="BD228" s="526" t="n"/>
      <c r="BE228" s="526" t="n"/>
      <c r="BF228" s="526" t="n"/>
      <c r="BG228" s="631" t="n"/>
      <c r="BH228" s="5">
        <f>C228</f>
        <v/>
      </c>
      <c r="BL228" s="19" t="n"/>
      <c r="BM228" s="19" t="n"/>
      <c r="BN228" s="19" t="n"/>
      <c r="BP228" s="5">
        <f>C228</f>
        <v/>
      </c>
      <c r="BQ228" s="633" t="n"/>
      <c r="BT228" s="19" t="n"/>
      <c r="BU228" s="19" t="n"/>
      <c r="BV228" s="19" t="n"/>
      <c r="BX228" s="5">
        <f>C228</f>
        <v/>
      </c>
      <c r="CB228" s="19" t="n"/>
      <c r="CC228" s="19" t="n"/>
      <c r="CD228" s="19" t="n"/>
      <c r="CF228" s="5">
        <f>C228</f>
        <v/>
      </c>
      <c r="CJ228" s="19" t="n"/>
      <c r="CK228" s="19" t="n"/>
      <c r="CL228" s="19" t="n"/>
      <c r="CN228" s="5">
        <f>C228</f>
        <v/>
      </c>
      <c r="CR228" s="19" t="n"/>
      <c r="CS228" s="19" t="n"/>
      <c r="CT228" s="19" t="n"/>
      <c r="CV228" s="5">
        <f>C228</f>
        <v/>
      </c>
      <c r="CZ228" s="19" t="n"/>
      <c r="DA228" s="19" t="n"/>
      <c r="DB228" s="19" t="n"/>
      <c r="DC228" s="23" t="n"/>
      <c r="DD228" s="5">
        <f>C228</f>
        <v/>
      </c>
      <c r="DH228" s="19" t="n"/>
      <c r="DI228" s="19" t="n"/>
      <c r="DJ228" s="19" t="n"/>
      <c r="DL228" s="5">
        <f>C228</f>
        <v/>
      </c>
      <c r="DP228" s="19" t="n"/>
      <c r="DQ228" s="19" t="n"/>
      <c r="DR228" s="19" t="n"/>
      <c r="DT228" s="5">
        <f>C228</f>
        <v/>
      </c>
      <c r="DX228" s="19" t="n"/>
      <c r="DY228" s="19" t="n"/>
      <c r="DZ228" s="19" t="n"/>
      <c r="EB228" s="5">
        <f>C228</f>
        <v/>
      </c>
      <c r="EF228" s="19" t="n"/>
      <c r="EG228" s="19" t="n"/>
      <c r="EH228" s="19" t="n"/>
      <c r="EJ228" s="5">
        <f>C228</f>
        <v/>
      </c>
      <c r="EN228" s="19" t="n"/>
      <c r="EO228" s="19" t="n"/>
      <c r="EP228" s="19" t="n"/>
      <c r="EQ228" s="19" t="n"/>
      <c r="ER228" s="5">
        <f>C228</f>
        <v/>
      </c>
      <c r="ES228" s="19" t="n"/>
      <c r="ET228" s="19" t="n"/>
      <c r="EU228" s="19" t="n"/>
      <c r="EV228" s="19" t="n"/>
      <c r="EW228" s="19" t="n"/>
      <c r="EX228" s="19" t="n"/>
      <c r="EZ228" s="5">
        <f>C228</f>
        <v/>
      </c>
      <c r="FD228" s="19" t="n"/>
      <c r="FE228" s="19" t="n"/>
      <c r="FF228" s="19" t="n"/>
      <c r="FG228" s="19" t="n"/>
      <c r="FH228" s="5">
        <f>C228</f>
        <v/>
      </c>
      <c r="FI228" s="633" t="n"/>
      <c r="FL228" s="19" t="n"/>
      <c r="FM228" s="19" t="n"/>
      <c r="FN228" s="19" t="n"/>
      <c r="FP228" s="5">
        <f>C228</f>
        <v/>
      </c>
      <c r="FT228" s="19" t="n"/>
      <c r="FU228" s="19" t="n"/>
      <c r="FV228" s="19" t="n"/>
      <c r="FX228" s="5">
        <f>C228</f>
        <v/>
      </c>
      <c r="GB228" s="19" t="n"/>
      <c r="GC228" s="19" t="n"/>
      <c r="GD228" s="19" t="n"/>
      <c r="GF228" s="5">
        <f>C228</f>
        <v/>
      </c>
      <c r="GJ228" s="19" t="n"/>
      <c r="GK228" s="19" t="n"/>
      <c r="GL228" s="19" t="n"/>
      <c r="GN228" s="5">
        <f>C228</f>
        <v/>
      </c>
      <c r="GR228" s="19" t="n"/>
      <c r="GS228" s="19" t="n"/>
      <c r="GT228" s="19" t="n"/>
      <c r="GV228" s="5">
        <f>C228</f>
        <v/>
      </c>
      <c r="GZ228" s="19" t="n"/>
      <c r="HA228" s="19" t="n"/>
      <c r="HB228" s="19" t="n"/>
      <c r="HD228" s="5">
        <f>C228</f>
        <v/>
      </c>
      <c r="HH228" s="19" t="n"/>
      <c r="HI228" s="19" t="n"/>
      <c r="HJ228" s="19" t="n"/>
      <c r="HL228" s="5">
        <f>C228</f>
        <v/>
      </c>
      <c r="HP228" s="19" t="n"/>
      <c r="HQ228" s="19" t="n"/>
      <c r="HR228" s="19" t="n"/>
      <c r="HT228" s="5">
        <f>C228</f>
        <v/>
      </c>
      <c r="HX228" s="19" t="n"/>
      <c r="HY228" s="19" t="n"/>
      <c r="HZ228" s="19" t="n"/>
      <c r="IB228" s="5">
        <f>C228</f>
        <v/>
      </c>
      <c r="IG228" s="19" t="n"/>
      <c r="IH228" s="19" t="n"/>
      <c r="IJ228" s="5">
        <f>C228</f>
        <v/>
      </c>
      <c r="IN228" s="19" t="n"/>
      <c r="IO228" s="19" t="n"/>
      <c r="IP228" s="19" t="n"/>
      <c r="IR228" s="5">
        <f>C228</f>
        <v/>
      </c>
      <c r="IV228" s="19" t="n"/>
      <c r="IW228" s="19" t="n"/>
      <c r="IX228" s="19" t="n"/>
      <c r="IZ228" s="5">
        <f>C228</f>
        <v/>
      </c>
      <c r="JD228" s="19" t="n"/>
      <c r="JE228" s="19" t="n"/>
      <c r="JF228" s="19" t="n"/>
      <c r="JH228" s="5">
        <f>C228</f>
        <v/>
      </c>
      <c r="JL228" s="19" t="n"/>
      <c r="JM228" s="19" t="n"/>
      <c r="JN228" s="19" t="n"/>
      <c r="JO228" s="19" t="n"/>
      <c r="JP228" s="5">
        <f>C228</f>
        <v/>
      </c>
      <c r="JT228" s="19" t="n"/>
      <c r="JU228" s="19" t="n"/>
      <c r="JV228" s="19" t="n"/>
      <c r="JW228" s="19" t="n"/>
      <c r="JX228" s="5">
        <f>C228</f>
        <v/>
      </c>
      <c r="KB228" s="19" t="n"/>
      <c r="KC228" s="19" t="n"/>
      <c r="KD228" s="19" t="n"/>
      <c r="KE228" s="19" t="n"/>
      <c r="KF228" s="5">
        <f>C228</f>
        <v/>
      </c>
      <c r="KG228" s="19" t="n"/>
      <c r="KH228" s="19" t="n"/>
      <c r="KJ228" s="19" t="n"/>
      <c r="KK228" s="19" t="n"/>
      <c r="KL228" s="19" t="n"/>
      <c r="KM228" s="19" t="n"/>
      <c r="KN228" s="5">
        <f>C228</f>
        <v/>
      </c>
      <c r="KR228" s="19" t="n"/>
      <c r="KS228" s="19" t="n"/>
      <c r="KT228" s="19" t="n"/>
      <c r="KV228" s="5">
        <f>C228</f>
        <v/>
      </c>
      <c r="KZ228" s="19" t="n"/>
      <c r="LA228" s="19" t="n"/>
      <c r="LB228" s="19" t="n"/>
      <c r="LD228" s="5">
        <f>C228</f>
        <v/>
      </c>
      <c r="LH228" s="19" t="n"/>
      <c r="LI228" s="19" t="n"/>
      <c r="LJ228" s="19" t="n"/>
      <c r="LL228" s="5">
        <f>C228</f>
        <v/>
      </c>
      <c r="LM228" s="633" t="n"/>
      <c r="LP228" s="19" t="n"/>
      <c r="LQ228" s="19" t="n"/>
      <c r="LR228" s="19" t="n"/>
      <c r="LS228" s="551" t="n"/>
      <c r="LT228" s="522">
        <f>C228</f>
        <v/>
      </c>
      <c r="LU228" s="522">
        <f>LV228*10000</f>
        <v/>
      </c>
      <c r="LV228" s="522" t="n">
        <v>8.619999999999999</v>
      </c>
      <c r="LX228" s="525" t="n"/>
      <c r="LY228" s="525" t="n"/>
      <c r="LZ228" s="19" t="n"/>
      <c r="MB228" s="5">
        <f>C228</f>
        <v/>
      </c>
      <c r="MF228" s="19" t="n"/>
      <c r="MG228" s="19" t="n"/>
      <c r="MH228" s="19" t="n"/>
      <c r="MK228" s="5">
        <f>C228</f>
        <v/>
      </c>
      <c r="MM228" s="24" t="n"/>
      <c r="MO228" s="19" t="n"/>
      <c r="MP228" s="19" t="n"/>
      <c r="MQ228" s="19" t="n"/>
      <c r="MR228" s="19" t="n"/>
      <c r="MS228" s="19" t="n"/>
      <c r="MT228" s="25">
        <f>C228</f>
        <v/>
      </c>
      <c r="MX228" s="19" t="n"/>
      <c r="MY228" s="19" t="n"/>
      <c r="MZ228" s="19" t="n"/>
      <c r="NA228" s="19" t="n"/>
      <c r="NB228" s="19" t="n"/>
      <c r="NC228" s="5">
        <f>C228</f>
        <v/>
      </c>
      <c r="NG228" s="19" t="n"/>
      <c r="NH228" s="19" t="n"/>
      <c r="NI228" s="19" t="n"/>
      <c r="NJ228" s="19" t="n"/>
      <c r="NK228" s="19" t="n"/>
      <c r="NM228" s="5">
        <f>C228</f>
        <v/>
      </c>
      <c r="NQ228" s="19" t="n"/>
      <c r="NR228" s="19" t="n"/>
      <c r="NU228" s="5">
        <f>C228</f>
        <v/>
      </c>
      <c r="NY228" s="19" t="n"/>
      <c r="NZ228" s="19" t="n"/>
      <c r="OC228" s="5">
        <f>C228</f>
        <v/>
      </c>
      <c r="OG228" s="19" t="n"/>
      <c r="OH228" s="19" t="n"/>
      <c r="OI228" s="19" t="n"/>
      <c r="OK228" s="5">
        <f>C228</f>
        <v/>
      </c>
      <c r="OO228" s="19" t="n"/>
      <c r="OP228" s="19" t="n"/>
      <c r="OQ228" s="19" t="n"/>
      <c r="OT228" s="25">
        <f>OK228</f>
        <v/>
      </c>
      <c r="OU228" s="596" t="n">
        <v>129792.4</v>
      </c>
      <c r="OX228" s="19" t="n"/>
    </row>
    <row r="229" ht="21" customFormat="1" customHeight="1" s="5">
      <c r="A229" s="631" t="n"/>
      <c r="B229" s="631" t="n"/>
      <c r="C229" s="714" t="inlineStr">
        <is>
          <t>2025//6//30</t>
        </is>
      </c>
      <c r="D229" s="591">
        <f>E229*10000</f>
        <v/>
      </c>
      <c r="E229" s="591" t="n">
        <v>940.42</v>
      </c>
      <c r="F229" s="523">
        <f>37716105.4/10000</f>
        <v/>
      </c>
      <c r="G229" s="592">
        <f>(D229-D230)/D230</f>
        <v/>
      </c>
      <c r="H229" s="592" t="n"/>
      <c r="I229" s="526" t="n"/>
      <c r="J229" s="526" t="n"/>
      <c r="K229" s="522">
        <f>C229</f>
        <v/>
      </c>
      <c r="L229" s="591">
        <f>M229*10000</f>
        <v/>
      </c>
      <c r="M229" s="591" t="n">
        <v>684.25</v>
      </c>
      <c r="N229" s="523">
        <f>26680069.66/10000</f>
        <v/>
      </c>
      <c r="O229" s="593" t="n"/>
      <c r="P229" s="592" t="n"/>
      <c r="Q229" s="526" t="n"/>
      <c r="R229" s="523" t="n"/>
      <c r="S229" s="522">
        <f>C229</f>
        <v/>
      </c>
      <c r="T229" s="591">
        <f>U229*10000</f>
        <v/>
      </c>
      <c r="U229" s="591" t="n">
        <v>589.52</v>
      </c>
      <c r="V229" s="523" t="n"/>
      <c r="W229" s="592" t="n"/>
      <c r="X229" s="592" t="n"/>
      <c r="Y229" s="526" t="n"/>
      <c r="Z229" s="523" t="n"/>
      <c r="AA229" s="522">
        <f>S229</f>
        <v/>
      </c>
      <c r="AB229" s="591">
        <f>AC229*10000</f>
        <v/>
      </c>
      <c r="AC229" s="591" t="n">
        <v>190.12</v>
      </c>
      <c r="AD229" s="523" t="n"/>
      <c r="AE229" s="593" t="n"/>
      <c r="AF229" s="592" t="n"/>
      <c r="AG229" s="526" t="n"/>
      <c r="AH229" s="523" t="n"/>
      <c r="AI229" s="522">
        <f>C229</f>
        <v/>
      </c>
      <c r="AJ229" s="591">
        <f>AK229*10000</f>
        <v/>
      </c>
      <c r="AK229" s="522" t="n">
        <v>253.43</v>
      </c>
      <c r="AL229" s="523" t="n"/>
      <c r="AM229" s="594" t="n"/>
      <c r="AN229" s="592" t="n"/>
      <c r="AO229" s="526" t="n"/>
      <c r="AP229" s="551" t="n"/>
      <c r="AQ229" s="522">
        <f>C229</f>
        <v/>
      </c>
      <c r="AR229" s="634">
        <f>AS229*10000</f>
        <v/>
      </c>
      <c r="AS229" s="591" t="n">
        <v>401.26</v>
      </c>
      <c r="AT229" s="592" t="n"/>
      <c r="AU229" s="523" t="n"/>
      <c r="AV229" s="526" t="n"/>
      <c r="AW229" s="526" t="n"/>
      <c r="AX229" s="523" t="n"/>
      <c r="AY229" s="523" t="n"/>
      <c r="AZ229" s="523">
        <f>C229</f>
        <v/>
      </c>
      <c r="BA229" s="523" t="n"/>
      <c r="BB229" s="523" t="n"/>
      <c r="BC229" s="523" t="n"/>
      <c r="BD229" s="526" t="n"/>
      <c r="BE229" s="526" t="n"/>
      <c r="BF229" s="526" t="n"/>
      <c r="BG229" s="631" t="n"/>
      <c r="BH229" s="5">
        <f>C229</f>
        <v/>
      </c>
      <c r="BL229" s="19" t="n"/>
      <c r="BM229" s="19" t="n"/>
      <c r="BN229" s="19" t="n"/>
      <c r="BP229" s="5">
        <f>C229</f>
        <v/>
      </c>
      <c r="BQ229" s="633" t="n"/>
      <c r="BT229" s="19" t="n"/>
      <c r="BU229" s="19" t="n"/>
      <c r="BV229" s="19" t="n"/>
      <c r="BX229" s="5">
        <f>C229</f>
        <v/>
      </c>
      <c r="CB229" s="19" t="n"/>
      <c r="CC229" s="19" t="n"/>
      <c r="CD229" s="19" t="n"/>
      <c r="CF229" s="5">
        <f>C229</f>
        <v/>
      </c>
      <c r="CJ229" s="19" t="n"/>
      <c r="CK229" s="19" t="n"/>
      <c r="CL229" s="19" t="n"/>
      <c r="CN229" s="5">
        <f>C229</f>
        <v/>
      </c>
      <c r="CR229" s="19" t="n"/>
      <c r="CS229" s="19" t="n"/>
      <c r="CT229" s="19" t="n"/>
      <c r="CV229" s="5">
        <f>C229</f>
        <v/>
      </c>
      <c r="CZ229" s="19" t="n"/>
      <c r="DA229" s="19" t="n"/>
      <c r="DB229" s="19" t="n"/>
      <c r="DC229" s="23" t="n"/>
      <c r="DD229" s="5">
        <f>C229</f>
        <v/>
      </c>
      <c r="DH229" s="19" t="n"/>
      <c r="DI229" s="19" t="n"/>
      <c r="DJ229" s="19" t="n"/>
      <c r="DL229" s="5">
        <f>C229</f>
        <v/>
      </c>
      <c r="DP229" s="19" t="n"/>
      <c r="DQ229" s="19" t="n"/>
      <c r="DR229" s="19" t="n"/>
      <c r="DT229" s="5">
        <f>C229</f>
        <v/>
      </c>
      <c r="DX229" s="19" t="n"/>
      <c r="DY229" s="19" t="n"/>
      <c r="DZ229" s="19" t="n"/>
      <c r="EB229" s="5">
        <f>C229</f>
        <v/>
      </c>
      <c r="EF229" s="19" t="n"/>
      <c r="EG229" s="19" t="n"/>
      <c r="EH229" s="19" t="n"/>
      <c r="EJ229" s="5">
        <f>C229</f>
        <v/>
      </c>
      <c r="EN229" s="19" t="n"/>
      <c r="EO229" s="19" t="n"/>
      <c r="EP229" s="19" t="n"/>
      <c r="EQ229" s="19" t="n"/>
      <c r="ER229" s="5">
        <f>C229</f>
        <v/>
      </c>
      <c r="ES229" s="19" t="n"/>
      <c r="ET229" s="19" t="n"/>
      <c r="EU229" s="19" t="n"/>
      <c r="EV229" s="19" t="n"/>
      <c r="EW229" s="19" t="n"/>
      <c r="EX229" s="19" t="n"/>
      <c r="EZ229" s="5">
        <f>C229</f>
        <v/>
      </c>
      <c r="FD229" s="19" t="n"/>
      <c r="FE229" s="19" t="n"/>
      <c r="FF229" s="19" t="n"/>
      <c r="FG229" s="19" t="n"/>
      <c r="FH229" s="5">
        <f>C229</f>
        <v/>
      </c>
      <c r="FI229" s="633" t="n"/>
      <c r="FL229" s="19" t="n"/>
      <c r="FM229" s="19" t="n"/>
      <c r="FN229" s="19" t="n"/>
      <c r="FP229" s="5">
        <f>C229</f>
        <v/>
      </c>
      <c r="FT229" s="19" t="n"/>
      <c r="FU229" s="19" t="n"/>
      <c r="FV229" s="19" t="n"/>
      <c r="FX229" s="5">
        <f>C229</f>
        <v/>
      </c>
      <c r="GB229" s="19" t="n"/>
      <c r="GC229" s="19" t="n"/>
      <c r="GD229" s="19" t="n"/>
      <c r="GF229" s="5">
        <f>C229</f>
        <v/>
      </c>
      <c r="GJ229" s="19" t="n"/>
      <c r="GK229" s="19" t="n"/>
      <c r="GL229" s="19" t="n"/>
      <c r="GN229" s="5">
        <f>C229</f>
        <v/>
      </c>
      <c r="GR229" s="19" t="n"/>
      <c r="GS229" s="19" t="n"/>
      <c r="GT229" s="19" t="n"/>
      <c r="GV229" s="5">
        <f>C229</f>
        <v/>
      </c>
      <c r="GZ229" s="19" t="n"/>
      <c r="HA229" s="19" t="n"/>
      <c r="HB229" s="19" t="n"/>
      <c r="HD229" s="5">
        <f>C229</f>
        <v/>
      </c>
      <c r="HH229" s="19" t="n"/>
      <c r="HI229" s="19" t="n"/>
      <c r="HJ229" s="19" t="n"/>
      <c r="HL229" s="5">
        <f>C229</f>
        <v/>
      </c>
      <c r="HP229" s="19" t="n"/>
      <c r="HQ229" s="19" t="n"/>
      <c r="HR229" s="19" t="n"/>
      <c r="HT229" s="5">
        <f>C229</f>
        <v/>
      </c>
      <c r="HX229" s="19" t="n"/>
      <c r="HY229" s="19" t="n"/>
      <c r="HZ229" s="19" t="n"/>
      <c r="IB229" s="5">
        <f>C229</f>
        <v/>
      </c>
      <c r="IG229" s="19" t="n"/>
      <c r="IH229" s="19" t="n"/>
      <c r="IJ229" s="5">
        <f>C229</f>
        <v/>
      </c>
      <c r="IN229" s="19" t="n"/>
      <c r="IO229" s="19" t="n"/>
      <c r="IP229" s="19" t="n"/>
      <c r="IR229" s="5">
        <f>C229</f>
        <v/>
      </c>
      <c r="IV229" s="19" t="n"/>
      <c r="IW229" s="19" t="n"/>
      <c r="IX229" s="19" t="n"/>
      <c r="IZ229" s="5">
        <f>C229</f>
        <v/>
      </c>
      <c r="JD229" s="19" t="n"/>
      <c r="JE229" s="19" t="n"/>
      <c r="JF229" s="19" t="n"/>
      <c r="JH229" s="5">
        <f>C229</f>
        <v/>
      </c>
      <c r="JL229" s="19" t="n"/>
      <c r="JM229" s="19" t="n"/>
      <c r="JN229" s="19" t="n"/>
      <c r="JO229" s="19" t="n"/>
      <c r="JP229" s="5">
        <f>C229</f>
        <v/>
      </c>
      <c r="JT229" s="19" t="n"/>
      <c r="JU229" s="19" t="n"/>
      <c r="JV229" s="19" t="n"/>
      <c r="JW229" s="19" t="n"/>
      <c r="JX229" s="5">
        <f>C229</f>
        <v/>
      </c>
      <c r="KB229" s="19" t="n"/>
      <c r="KC229" s="19" t="n"/>
      <c r="KD229" s="19" t="n"/>
      <c r="KE229" s="19" t="n"/>
      <c r="KF229" s="5">
        <f>C229</f>
        <v/>
      </c>
      <c r="KG229" s="19" t="n"/>
      <c r="KH229" s="19" t="n"/>
      <c r="KJ229" s="19" t="n"/>
      <c r="KK229" s="19" t="n"/>
      <c r="KL229" s="19" t="n"/>
      <c r="KM229" s="19" t="n"/>
      <c r="KN229" s="5">
        <f>C229</f>
        <v/>
      </c>
      <c r="KR229" s="19" t="n"/>
      <c r="KS229" s="19" t="n"/>
      <c r="KT229" s="19" t="n"/>
      <c r="KV229" s="5">
        <f>C229</f>
        <v/>
      </c>
      <c r="KZ229" s="19" t="n"/>
      <c r="LA229" s="19" t="n"/>
      <c r="LB229" s="19" t="n"/>
      <c r="LD229" s="5">
        <f>C229</f>
        <v/>
      </c>
      <c r="LH229" s="19" t="n"/>
      <c r="LI229" s="19" t="n"/>
      <c r="LJ229" s="19" t="n"/>
      <c r="LL229" s="5">
        <f>C229</f>
        <v/>
      </c>
      <c r="LM229" s="633" t="n"/>
      <c r="LP229" s="19" t="n"/>
      <c r="LQ229" s="19" t="n"/>
      <c r="LR229" s="19" t="n"/>
      <c r="LS229" s="551" t="n"/>
      <c r="LT229" s="522">
        <f>C229</f>
        <v/>
      </c>
      <c r="LU229" s="522">
        <f>LV229*10000</f>
        <v/>
      </c>
      <c r="LV229" s="522" t="n">
        <v>8.42</v>
      </c>
      <c r="LX229" s="525" t="n"/>
      <c r="LY229" s="525" t="n"/>
      <c r="LZ229" s="19" t="n"/>
      <c r="MB229" s="5">
        <f>C229</f>
        <v/>
      </c>
      <c r="MF229" s="19" t="n"/>
      <c r="MG229" s="19" t="n"/>
      <c r="MH229" s="19" t="n"/>
      <c r="MK229" s="5">
        <f>C229</f>
        <v/>
      </c>
      <c r="MM229" s="24" t="n"/>
      <c r="MO229" s="19" t="n"/>
      <c r="MP229" s="19" t="n"/>
      <c r="MQ229" s="19" t="n"/>
      <c r="MR229" s="19" t="n"/>
      <c r="MS229" s="19" t="n"/>
      <c r="MT229" s="25">
        <f>C229</f>
        <v/>
      </c>
      <c r="MX229" s="19" t="n"/>
      <c r="MY229" s="19" t="n"/>
      <c r="MZ229" s="19" t="n"/>
      <c r="NA229" s="19" t="n"/>
      <c r="NB229" s="19" t="n"/>
      <c r="NC229" s="5">
        <f>C229</f>
        <v/>
      </c>
      <c r="NG229" s="19" t="n"/>
      <c r="NH229" s="19" t="n"/>
      <c r="NI229" s="19" t="n"/>
      <c r="NJ229" s="19" t="n"/>
      <c r="NK229" s="19" t="n"/>
      <c r="NM229" s="5">
        <f>C229</f>
        <v/>
      </c>
      <c r="NQ229" s="19" t="n"/>
      <c r="NR229" s="19" t="n"/>
      <c r="NU229" s="5">
        <f>C229</f>
        <v/>
      </c>
      <c r="NY229" s="19" t="n"/>
      <c r="NZ229" s="19" t="n"/>
      <c r="OC229" s="5">
        <f>C229</f>
        <v/>
      </c>
      <c r="OG229" s="19" t="n"/>
      <c r="OH229" s="19" t="n"/>
      <c r="OI229" s="19" t="n"/>
      <c r="OK229" s="5">
        <f>C229</f>
        <v/>
      </c>
      <c r="OO229" s="19" t="n"/>
      <c r="OP229" s="19" t="n"/>
      <c r="OQ229" s="19" t="n"/>
      <c r="OT229" s="25">
        <f>OK229</f>
        <v/>
      </c>
      <c r="OU229" s="596" t="n">
        <v>141552.4</v>
      </c>
      <c r="OX229" s="19" t="n"/>
    </row>
    <row r="230" ht="21" customFormat="1" customHeight="1" s="5">
      <c r="A230" s="631" t="n"/>
      <c r="B230" s="631" t="n"/>
      <c r="C230" s="714" t="inlineStr">
        <is>
          <t>2025//3//31</t>
        </is>
      </c>
      <c r="D230" s="591">
        <f>E230*10000</f>
        <v/>
      </c>
      <c r="E230" s="591" t="n">
        <v>850.6</v>
      </c>
      <c r="F230" s="523">
        <f>33854712.38/10000</f>
        <v/>
      </c>
      <c r="G230" s="592">
        <f>(D230-D231)/D231</f>
        <v/>
      </c>
      <c r="H230" s="592" t="n"/>
      <c r="I230" s="526" t="n"/>
      <c r="J230" s="526" t="n"/>
      <c r="K230" s="522">
        <f>C230</f>
        <v/>
      </c>
      <c r="L230" s="591">
        <f>M230*10000</f>
        <v/>
      </c>
      <c r="M230" s="591" t="n">
        <v>614.36</v>
      </c>
      <c r="N230" s="523">
        <f>23382910.31/10000</f>
        <v/>
      </c>
      <c r="O230" s="593" t="n"/>
      <c r="P230" s="592" t="n"/>
      <c r="Q230" s="526" t="n"/>
      <c r="R230" s="523" t="n"/>
      <c r="S230" s="522">
        <f>C230</f>
        <v/>
      </c>
      <c r="T230" s="591">
        <f>U230*10000</f>
        <v/>
      </c>
      <c r="U230" s="591" t="n">
        <v>534.9</v>
      </c>
      <c r="V230" s="523" t="n"/>
      <c r="W230" s="592" t="n"/>
      <c r="X230" s="592" t="n"/>
      <c r="Y230" s="526" t="n"/>
      <c r="Z230" s="523" t="n"/>
      <c r="AA230" s="522">
        <f>S230</f>
        <v/>
      </c>
      <c r="AB230" s="591">
        <f>AC230*10000</f>
        <v/>
      </c>
      <c r="AC230" s="591" t="n">
        <v>162.06</v>
      </c>
      <c r="AD230" s="523" t="n"/>
      <c r="AE230" s="594" t="n"/>
      <c r="AF230" s="592" t="n"/>
      <c r="AG230" s="526" t="n"/>
      <c r="AH230" s="523" t="n"/>
      <c r="AI230" s="522">
        <f>C230</f>
        <v/>
      </c>
      <c r="AJ230" s="591">
        <f>AK230*10000</f>
        <v/>
      </c>
      <c r="AK230" s="522" t="n">
        <v>206.45</v>
      </c>
      <c r="AL230" s="523" t="n"/>
      <c r="AM230" s="594" t="n"/>
      <c r="AN230" s="592" t="n"/>
      <c r="AO230" s="526" t="n"/>
      <c r="AP230" s="551" t="n"/>
      <c r="AQ230" s="522">
        <f>C230</f>
        <v/>
      </c>
      <c r="AR230" s="634">
        <f>AS230*10000</f>
        <v/>
      </c>
      <c r="AS230" s="591" t="n">
        <v>403.56</v>
      </c>
      <c r="AT230" s="592" t="n"/>
      <c r="AU230" s="523" t="n"/>
      <c r="AV230" s="526" t="n"/>
      <c r="AW230" s="526" t="n"/>
      <c r="AX230" s="523" t="n"/>
      <c r="AY230" s="523" t="n"/>
      <c r="AZ230" s="523">
        <f>C230</f>
        <v/>
      </c>
      <c r="BA230" s="523" t="n"/>
      <c r="BB230" s="523" t="n"/>
      <c r="BC230" s="523" t="n"/>
      <c r="BD230" s="526" t="n"/>
      <c r="BE230" s="526" t="n"/>
      <c r="BF230" s="526" t="n"/>
      <c r="BG230" s="631" t="n"/>
      <c r="BH230" s="5">
        <f>C230</f>
        <v/>
      </c>
      <c r="BL230" s="19" t="n"/>
      <c r="BM230" s="19" t="n"/>
      <c r="BN230" s="19" t="n"/>
      <c r="BP230" s="5">
        <f>C230</f>
        <v/>
      </c>
      <c r="BQ230" s="633" t="n"/>
      <c r="BT230" s="19" t="n"/>
      <c r="BU230" s="19" t="n"/>
      <c r="BV230" s="19" t="n"/>
      <c r="BX230" s="5">
        <f>C230</f>
        <v/>
      </c>
      <c r="CB230" s="19" t="n"/>
      <c r="CC230" s="19" t="n"/>
      <c r="CD230" s="19" t="n"/>
      <c r="CF230" s="5">
        <f>C230</f>
        <v/>
      </c>
      <c r="CJ230" s="19" t="n"/>
      <c r="CK230" s="19" t="n"/>
      <c r="CL230" s="19" t="n"/>
      <c r="CN230" s="5">
        <f>C230</f>
        <v/>
      </c>
      <c r="CR230" s="19" t="n"/>
      <c r="CS230" s="19" t="n"/>
      <c r="CT230" s="19" t="n"/>
      <c r="CV230" s="5">
        <f>C230</f>
        <v/>
      </c>
      <c r="CZ230" s="19" t="n"/>
      <c r="DA230" s="19" t="n"/>
      <c r="DB230" s="19" t="n"/>
      <c r="DC230" s="23" t="n"/>
      <c r="DD230" s="5">
        <f>C230</f>
        <v/>
      </c>
      <c r="DH230" s="19" t="n"/>
      <c r="DI230" s="19" t="n"/>
      <c r="DJ230" s="19" t="n"/>
      <c r="DL230" s="5">
        <f>C230</f>
        <v/>
      </c>
      <c r="DP230" s="19" t="n"/>
      <c r="DQ230" s="19" t="n"/>
      <c r="DR230" s="19" t="n"/>
      <c r="DT230" s="5">
        <f>C230</f>
        <v/>
      </c>
      <c r="DX230" s="19" t="n"/>
      <c r="DY230" s="19" t="n"/>
      <c r="DZ230" s="19" t="n"/>
      <c r="EB230" s="5">
        <f>C230</f>
        <v/>
      </c>
      <c r="EF230" s="19" t="n"/>
      <c r="EG230" s="19" t="n"/>
      <c r="EH230" s="19" t="n"/>
      <c r="EJ230" s="5">
        <f>C230</f>
        <v/>
      </c>
      <c r="EN230" s="19" t="n"/>
      <c r="EO230" s="19" t="n"/>
      <c r="EP230" s="19" t="n"/>
      <c r="EQ230" s="19" t="n"/>
      <c r="ER230" s="5">
        <f>C230</f>
        <v/>
      </c>
      <c r="ES230" s="19" t="n"/>
      <c r="ET230" s="19" t="n"/>
      <c r="EU230" s="19" t="n"/>
      <c r="EV230" s="19" t="n"/>
      <c r="EW230" s="19" t="n"/>
      <c r="EX230" s="19" t="n"/>
      <c r="EZ230" s="5">
        <f>C230</f>
        <v/>
      </c>
      <c r="FD230" s="19" t="n"/>
      <c r="FE230" s="19" t="n"/>
      <c r="FF230" s="19" t="n"/>
      <c r="FG230" s="19" t="n"/>
      <c r="FH230" s="5">
        <f>C230</f>
        <v/>
      </c>
      <c r="FI230" s="633" t="n"/>
      <c r="FL230" s="19" t="n"/>
      <c r="FM230" s="19" t="n"/>
      <c r="FN230" s="19" t="n"/>
      <c r="FP230" s="5">
        <f>C230</f>
        <v/>
      </c>
      <c r="FT230" s="19" t="n"/>
      <c r="FU230" s="19" t="n"/>
      <c r="FV230" s="19" t="n"/>
      <c r="FX230" s="5">
        <f>C230</f>
        <v/>
      </c>
      <c r="GB230" s="19" t="n"/>
      <c r="GC230" s="19" t="n"/>
      <c r="GD230" s="19" t="n"/>
      <c r="GF230" s="5">
        <f>C230</f>
        <v/>
      </c>
      <c r="GJ230" s="19" t="n"/>
      <c r="GK230" s="19" t="n"/>
      <c r="GL230" s="19" t="n"/>
      <c r="GN230" s="5">
        <f>C230</f>
        <v/>
      </c>
      <c r="GR230" s="19" t="n"/>
      <c r="GS230" s="19" t="n"/>
      <c r="GT230" s="19" t="n"/>
      <c r="GV230" s="5">
        <f>C230</f>
        <v/>
      </c>
      <c r="GZ230" s="19" t="n"/>
      <c r="HA230" s="19" t="n"/>
      <c r="HB230" s="19" t="n"/>
      <c r="HD230" s="5">
        <f>C230</f>
        <v/>
      </c>
      <c r="HH230" s="19" t="n"/>
      <c r="HI230" s="19" t="n"/>
      <c r="HJ230" s="19" t="n"/>
      <c r="HL230" s="5">
        <f>C230</f>
        <v/>
      </c>
      <c r="HP230" s="19" t="n"/>
      <c r="HQ230" s="19" t="n"/>
      <c r="HR230" s="19" t="n"/>
      <c r="HT230" s="5">
        <f>C230</f>
        <v/>
      </c>
      <c r="HX230" s="19" t="n"/>
      <c r="HY230" s="19" t="n"/>
      <c r="HZ230" s="19" t="n"/>
      <c r="IB230" s="5">
        <f>C230</f>
        <v/>
      </c>
      <c r="IG230" s="19" t="n"/>
      <c r="IH230" s="19" t="n"/>
      <c r="IJ230" s="5">
        <f>C230</f>
        <v/>
      </c>
      <c r="IN230" s="19" t="n"/>
      <c r="IO230" s="19" t="n"/>
      <c r="IP230" s="19" t="n"/>
      <c r="IR230" s="5">
        <f>C230</f>
        <v/>
      </c>
      <c r="IV230" s="19" t="n"/>
      <c r="IW230" s="19" t="n"/>
      <c r="IX230" s="19" t="n"/>
      <c r="IZ230" s="5">
        <f>C230</f>
        <v/>
      </c>
      <c r="JD230" s="19" t="n"/>
      <c r="JE230" s="19" t="n"/>
      <c r="JF230" s="19" t="n"/>
      <c r="JH230" s="5">
        <f>C230</f>
        <v/>
      </c>
      <c r="JL230" s="19" t="n"/>
      <c r="JM230" s="19" t="n"/>
      <c r="JN230" s="19" t="n"/>
      <c r="JO230" s="19" t="n"/>
      <c r="JP230" s="5">
        <f>C230</f>
        <v/>
      </c>
      <c r="JT230" s="19" t="n"/>
      <c r="JU230" s="19" t="n"/>
      <c r="JV230" s="19" t="n"/>
      <c r="JW230" s="19" t="n"/>
      <c r="JX230" s="5">
        <f>C230</f>
        <v/>
      </c>
      <c r="KB230" s="19" t="n"/>
      <c r="KC230" s="19" t="n"/>
      <c r="KD230" s="19" t="n"/>
      <c r="KE230" s="19" t="n"/>
      <c r="KF230" s="5">
        <f>C230</f>
        <v/>
      </c>
      <c r="KG230" s="19" t="n"/>
      <c r="KH230" s="19" t="n"/>
      <c r="KJ230" s="19" t="n"/>
      <c r="KK230" s="19" t="n"/>
      <c r="KL230" s="19" t="n"/>
      <c r="KM230" s="19" t="n"/>
      <c r="KN230" s="5">
        <f>C230</f>
        <v/>
      </c>
      <c r="KR230" s="19" t="n"/>
      <c r="KS230" s="19" t="n"/>
      <c r="KT230" s="19" t="n"/>
      <c r="KV230" s="5">
        <f>C230</f>
        <v/>
      </c>
      <c r="KZ230" s="19" t="n"/>
      <c r="LA230" s="19" t="n"/>
      <c r="LB230" s="19" t="n"/>
      <c r="LD230" s="5">
        <f>C230</f>
        <v/>
      </c>
      <c r="LH230" s="19" t="n"/>
      <c r="LI230" s="19" t="n"/>
      <c r="LJ230" s="19" t="n"/>
      <c r="LL230" s="5">
        <f>C230</f>
        <v/>
      </c>
      <c r="LM230" s="633" t="n"/>
      <c r="LP230" s="19" t="n"/>
      <c r="LQ230" s="19" t="n"/>
      <c r="LR230" s="19" t="n"/>
      <c r="LS230" s="551" t="n"/>
      <c r="LT230" s="522">
        <f>C230</f>
        <v/>
      </c>
      <c r="LU230" s="522">
        <f>LV230*10000</f>
        <v/>
      </c>
      <c r="LV230" s="522" t="n">
        <v>8.390000000000001</v>
      </c>
      <c r="LX230" s="525" t="n"/>
      <c r="LY230" s="525" t="n"/>
      <c r="LZ230" s="19" t="n"/>
      <c r="MB230" s="5">
        <f>C230</f>
        <v/>
      </c>
      <c r="MF230" s="19" t="n"/>
      <c r="MG230" s="19" t="n"/>
      <c r="MH230" s="19" t="n"/>
      <c r="MK230" s="5">
        <f>C230</f>
        <v/>
      </c>
      <c r="MM230" s="24" t="n"/>
      <c r="MO230" s="19" t="n"/>
      <c r="MP230" s="19" t="n"/>
      <c r="MQ230" s="19" t="n"/>
      <c r="MR230" s="19" t="n"/>
      <c r="MS230" s="19" t="n"/>
      <c r="MT230" s="25">
        <f>C230</f>
        <v/>
      </c>
      <c r="MX230" s="19" t="n"/>
      <c r="MY230" s="19" t="n"/>
      <c r="MZ230" s="19" t="n"/>
      <c r="NA230" s="19" t="n"/>
      <c r="NB230" s="19" t="n"/>
      <c r="NC230" s="5">
        <f>C230</f>
        <v/>
      </c>
      <c r="NG230" s="19" t="n"/>
      <c r="NH230" s="19" t="n"/>
      <c r="NI230" s="19" t="n"/>
      <c r="NJ230" s="19" t="n"/>
      <c r="NK230" s="19" t="n"/>
      <c r="NM230" s="5">
        <f>C230</f>
        <v/>
      </c>
      <c r="NQ230" s="19" t="n"/>
      <c r="NR230" s="19" t="n"/>
      <c r="NU230" s="5">
        <f>C230</f>
        <v/>
      </c>
      <c r="NY230" s="19" t="n"/>
      <c r="NZ230" s="19" t="n"/>
      <c r="OC230" s="5">
        <f>C230</f>
        <v/>
      </c>
      <c r="OG230" s="19" t="n"/>
      <c r="OH230" s="19" t="n"/>
      <c r="OI230" s="19" t="n"/>
      <c r="OK230" s="5">
        <f>C230</f>
        <v/>
      </c>
      <c r="OO230" s="19" t="n"/>
      <c r="OP230" s="19" t="n"/>
      <c r="OQ230" s="19" t="n"/>
      <c r="OT230" s="25">
        <f>OK230</f>
        <v/>
      </c>
      <c r="OU230" s="596" t="n">
        <v>146952.4</v>
      </c>
      <c r="OX230" s="19" t="n"/>
    </row>
    <row r="231" ht="21" customFormat="1" customHeight="1" s="5">
      <c r="A231" s="631" t="n"/>
      <c r="B231" s="631" t="n"/>
      <c r="C231" s="714" t="inlineStr">
        <is>
          <t>2024//12//31</t>
        </is>
      </c>
      <c r="D231" s="591">
        <f>E231*10000</f>
        <v/>
      </c>
      <c r="E231" s="591" t="n">
        <v>893.87</v>
      </c>
      <c r="F231" s="523">
        <f>36231860.29/10000</f>
        <v/>
      </c>
      <c r="G231" s="592">
        <f>(D231-D232)/D232</f>
        <v/>
      </c>
      <c r="H231" s="592" t="n"/>
      <c r="I231" s="526" t="n"/>
      <c r="J231" s="526" t="n"/>
      <c r="K231" s="522">
        <f>C231</f>
        <v/>
      </c>
      <c r="L231" s="591">
        <f>M231*10000</f>
        <v/>
      </c>
      <c r="M231" s="591" t="n">
        <v>640.9299999999999</v>
      </c>
      <c r="N231" s="523">
        <f>24693510.53/10000</f>
        <v/>
      </c>
      <c r="O231" s="593" t="n"/>
      <c r="P231" s="592" t="n"/>
      <c r="Q231" s="526" t="n"/>
      <c r="R231" s="523" t="n"/>
      <c r="S231" s="522">
        <f>C231</f>
        <v/>
      </c>
      <c r="T231" s="591">
        <f>U231*10000</f>
        <v/>
      </c>
      <c r="U231" s="591" t="n">
        <v>553.33</v>
      </c>
      <c r="V231" s="523" t="n"/>
      <c r="W231" s="592" t="n"/>
      <c r="X231" s="592" t="n"/>
      <c r="Y231" s="526" t="n"/>
      <c r="Z231" s="523" t="n"/>
      <c r="AA231" s="522">
        <f>S231</f>
        <v/>
      </c>
      <c r="AB231" s="591">
        <f>AC231*10000</f>
        <v/>
      </c>
      <c r="AC231" s="591" t="n">
        <v>174.93</v>
      </c>
      <c r="AD231" s="523" t="n"/>
      <c r="AE231" s="593" t="n"/>
      <c r="AF231" s="592" t="n"/>
      <c r="AG231" s="526" t="n"/>
      <c r="AH231" s="523" t="n"/>
      <c r="AI231" s="522">
        <f>C231</f>
        <v/>
      </c>
      <c r="AJ231" s="591">
        <f>AK231*10000</f>
        <v/>
      </c>
      <c r="AK231" s="522" t="n">
        <v>222.53</v>
      </c>
      <c r="AL231" s="523" t="n"/>
      <c r="AM231" s="594" t="n"/>
      <c r="AN231" s="592" t="n"/>
      <c r="AO231" s="526" t="n"/>
      <c r="AP231" s="551" t="n"/>
      <c r="AQ231" s="522">
        <f>C231</f>
        <v/>
      </c>
      <c r="AR231" s="634">
        <f>AS231*10000</f>
        <v/>
      </c>
      <c r="AS231" s="591" t="n">
        <v>435.72</v>
      </c>
      <c r="AT231" s="592" t="n"/>
      <c r="AU231" s="523" t="n"/>
      <c r="AV231" s="526" t="n"/>
      <c r="AW231" s="526" t="n"/>
      <c r="AX231" s="523" t="n"/>
      <c r="AY231" s="523" t="n"/>
      <c r="AZ231" s="523">
        <f>C231</f>
        <v/>
      </c>
      <c r="BA231" s="523" t="n"/>
      <c r="BB231" s="523" t="n"/>
      <c r="BC231" s="523" t="n"/>
      <c r="BD231" s="526" t="n"/>
      <c r="BE231" s="526" t="n"/>
      <c r="BF231" s="526" t="n"/>
      <c r="BG231" s="631" t="n"/>
      <c r="BH231" s="5">
        <f>C231</f>
        <v/>
      </c>
      <c r="BL231" s="19" t="n"/>
      <c r="BM231" s="19" t="n"/>
      <c r="BN231" s="19" t="n"/>
      <c r="BP231" s="5">
        <f>C231</f>
        <v/>
      </c>
      <c r="BQ231" s="633" t="n"/>
      <c r="BT231" s="19" t="n"/>
      <c r="BU231" s="19" t="n"/>
      <c r="BV231" s="19" t="n"/>
      <c r="BX231" s="5">
        <f>C231</f>
        <v/>
      </c>
      <c r="CB231" s="19" t="n"/>
      <c r="CC231" s="19" t="n"/>
      <c r="CD231" s="19" t="n"/>
      <c r="CF231" s="5">
        <f>C231</f>
        <v/>
      </c>
      <c r="CJ231" s="19" t="n"/>
      <c r="CK231" s="19" t="n"/>
      <c r="CL231" s="19" t="n"/>
      <c r="CN231" s="5">
        <f>C231</f>
        <v/>
      </c>
      <c r="CR231" s="19" t="n"/>
      <c r="CS231" s="19" t="n"/>
      <c r="CT231" s="19" t="n"/>
      <c r="CV231" s="5">
        <f>C231</f>
        <v/>
      </c>
      <c r="CZ231" s="19" t="n"/>
      <c r="DA231" s="19" t="n"/>
      <c r="DB231" s="19" t="n"/>
      <c r="DC231" s="23" t="n"/>
      <c r="DD231" s="5">
        <f>C231</f>
        <v/>
      </c>
      <c r="DH231" s="19" t="n"/>
      <c r="DI231" s="19" t="n"/>
      <c r="DJ231" s="19" t="n"/>
      <c r="DL231" s="5">
        <f>C231</f>
        <v/>
      </c>
      <c r="DP231" s="19" t="n"/>
      <c r="DQ231" s="19" t="n"/>
      <c r="DR231" s="19" t="n"/>
      <c r="DT231" s="5">
        <f>C231</f>
        <v/>
      </c>
      <c r="DX231" s="19" t="n"/>
      <c r="DY231" s="19" t="n"/>
      <c r="DZ231" s="19" t="n"/>
      <c r="EB231" s="5">
        <f>C231</f>
        <v/>
      </c>
      <c r="EF231" s="19" t="n"/>
      <c r="EG231" s="19" t="n"/>
      <c r="EH231" s="19" t="n"/>
      <c r="EJ231" s="5">
        <f>C231</f>
        <v/>
      </c>
      <c r="EN231" s="19" t="n"/>
      <c r="EO231" s="19" t="n"/>
      <c r="EP231" s="19" t="n"/>
      <c r="EQ231" s="19" t="n"/>
      <c r="ER231" s="5">
        <f>C231</f>
        <v/>
      </c>
      <c r="ES231" s="19" t="n"/>
      <c r="ET231" s="19" t="n"/>
      <c r="EU231" s="19" t="n"/>
      <c r="EV231" s="19" t="n"/>
      <c r="EW231" s="19" t="n"/>
      <c r="EX231" s="19" t="n"/>
      <c r="EZ231" s="5">
        <f>C231</f>
        <v/>
      </c>
      <c r="FD231" s="19" t="n"/>
      <c r="FE231" s="19" t="n"/>
      <c r="FF231" s="19" t="n"/>
      <c r="FG231" s="19" t="n"/>
      <c r="FH231" s="5">
        <f>C231</f>
        <v/>
      </c>
      <c r="FI231" s="633" t="n"/>
      <c r="FL231" s="19" t="n"/>
      <c r="FM231" s="19" t="n"/>
      <c r="FN231" s="19" t="n"/>
      <c r="FP231" s="5">
        <f>C231</f>
        <v/>
      </c>
      <c r="FT231" s="19" t="n"/>
      <c r="FU231" s="19" t="n"/>
      <c r="FV231" s="19" t="n"/>
      <c r="FX231" s="5">
        <f>C231</f>
        <v/>
      </c>
      <c r="GB231" s="19" t="n"/>
      <c r="GC231" s="19" t="n"/>
      <c r="GD231" s="19" t="n"/>
      <c r="GF231" s="5">
        <f>C231</f>
        <v/>
      </c>
      <c r="GJ231" s="19" t="n"/>
      <c r="GK231" s="19" t="n"/>
      <c r="GL231" s="19" t="n"/>
      <c r="GN231" s="5">
        <f>C231</f>
        <v/>
      </c>
      <c r="GR231" s="19" t="n"/>
      <c r="GS231" s="19" t="n"/>
      <c r="GT231" s="19" t="n"/>
      <c r="GV231" s="5">
        <f>C231</f>
        <v/>
      </c>
      <c r="GZ231" s="19" t="n"/>
      <c r="HA231" s="19" t="n"/>
      <c r="HB231" s="19" t="n"/>
      <c r="HD231" s="5">
        <f>C231</f>
        <v/>
      </c>
      <c r="HH231" s="19" t="n"/>
      <c r="HI231" s="19" t="n"/>
      <c r="HJ231" s="19" t="n"/>
      <c r="HL231" s="5">
        <f>C231</f>
        <v/>
      </c>
      <c r="HP231" s="19" t="n"/>
      <c r="HQ231" s="19" t="n"/>
      <c r="HR231" s="19" t="n"/>
      <c r="HT231" s="5">
        <f>C231</f>
        <v/>
      </c>
      <c r="HX231" s="19" t="n"/>
      <c r="HY231" s="19" t="n"/>
      <c r="HZ231" s="19" t="n"/>
      <c r="IB231" s="5">
        <f>C231</f>
        <v/>
      </c>
      <c r="IG231" s="19" t="n"/>
      <c r="IH231" s="19" t="n"/>
      <c r="IJ231" s="5">
        <f>C231</f>
        <v/>
      </c>
      <c r="IN231" s="19" t="n"/>
      <c r="IO231" s="19" t="n"/>
      <c r="IP231" s="19" t="n"/>
      <c r="IR231" s="5">
        <f>C231</f>
        <v/>
      </c>
      <c r="IV231" s="19" t="n"/>
      <c r="IW231" s="19" t="n"/>
      <c r="IX231" s="19" t="n"/>
      <c r="IZ231" s="5">
        <f>C231</f>
        <v/>
      </c>
      <c r="JD231" s="19" t="n"/>
      <c r="JE231" s="19" t="n"/>
      <c r="JF231" s="19" t="n"/>
      <c r="JH231" s="5">
        <f>C231</f>
        <v/>
      </c>
      <c r="JL231" s="19" t="n"/>
      <c r="JM231" s="19" t="n"/>
      <c r="JN231" s="19" t="n"/>
      <c r="JO231" s="19" t="n"/>
      <c r="JP231" s="5">
        <f>C231</f>
        <v/>
      </c>
      <c r="JT231" s="19" t="n"/>
      <c r="JU231" s="19" t="n"/>
      <c r="JV231" s="19" t="n"/>
      <c r="JW231" s="19" t="n"/>
      <c r="JX231" s="5">
        <f>C231</f>
        <v/>
      </c>
      <c r="KB231" s="19" t="n"/>
      <c r="KC231" s="19" t="n"/>
      <c r="KD231" s="19" t="n"/>
      <c r="KE231" s="19" t="n"/>
      <c r="KF231" s="5">
        <f>C231</f>
        <v/>
      </c>
      <c r="KG231" s="19" t="n"/>
      <c r="KH231" s="19" t="n"/>
      <c r="KJ231" s="19" t="n"/>
      <c r="KK231" s="19" t="n"/>
      <c r="KL231" s="19" t="n"/>
      <c r="KM231" s="19" t="n"/>
      <c r="KN231" s="5">
        <f>C231</f>
        <v/>
      </c>
      <c r="KR231" s="19" t="n"/>
      <c r="KS231" s="19" t="n"/>
      <c r="KT231" s="19" t="n"/>
      <c r="KV231" s="5">
        <f>C231</f>
        <v/>
      </c>
      <c r="KZ231" s="19" t="n"/>
      <c r="LA231" s="19" t="n"/>
      <c r="LB231" s="19" t="n"/>
      <c r="LD231" s="5">
        <f>C231</f>
        <v/>
      </c>
      <c r="LH231" s="19" t="n"/>
      <c r="LI231" s="19" t="n"/>
      <c r="LJ231" s="19" t="n"/>
      <c r="LL231" s="5">
        <f>C231</f>
        <v/>
      </c>
      <c r="LM231" s="633" t="n"/>
      <c r="LP231" s="19" t="n"/>
      <c r="LQ231" s="19" t="n"/>
      <c r="LR231" s="19" t="n"/>
      <c r="LS231" s="551" t="n"/>
      <c r="LT231" s="522">
        <f>C231</f>
        <v/>
      </c>
      <c r="LU231" s="522">
        <f>LV231*10000</f>
        <v/>
      </c>
      <c r="LV231" s="522" t="n">
        <v>9.890000000000001</v>
      </c>
      <c r="LX231" s="525" t="n"/>
      <c r="LY231" s="525" t="n"/>
      <c r="LZ231" s="19" t="n"/>
      <c r="MB231" s="5">
        <f>C231</f>
        <v/>
      </c>
      <c r="MF231" s="19" t="n"/>
      <c r="MG231" s="19" t="n"/>
      <c r="MH231" s="19" t="n"/>
      <c r="MK231" s="5">
        <f>C231</f>
        <v/>
      </c>
      <c r="MM231" s="24" t="n"/>
      <c r="MO231" s="19" t="n"/>
      <c r="MP231" s="19" t="n"/>
      <c r="MQ231" s="19" t="n"/>
      <c r="MR231" s="19" t="n"/>
      <c r="MS231" s="19" t="n"/>
      <c r="MT231" s="25">
        <f>C231</f>
        <v/>
      </c>
      <c r="MX231" s="19" t="n"/>
      <c r="MY231" s="19" t="n"/>
      <c r="MZ231" s="19" t="n"/>
      <c r="NA231" s="19" t="n"/>
      <c r="NB231" s="19" t="n"/>
      <c r="NC231" s="5">
        <f>C231</f>
        <v/>
      </c>
      <c r="NG231" s="19" t="n"/>
      <c r="NH231" s="19" t="n"/>
      <c r="NI231" s="19" t="n"/>
      <c r="NJ231" s="19" t="n"/>
      <c r="NK231" s="19" t="n"/>
      <c r="NM231" s="5">
        <f>C231</f>
        <v/>
      </c>
      <c r="NQ231" s="19" t="n"/>
      <c r="NR231" s="19" t="n"/>
      <c r="NU231" s="5">
        <f>C231</f>
        <v/>
      </c>
      <c r="NY231" s="19" t="n"/>
      <c r="NZ231" s="19" t="n"/>
      <c r="OC231" s="5">
        <f>C231</f>
        <v/>
      </c>
      <c r="OG231" s="19" t="n"/>
      <c r="OH231" s="19" t="n"/>
      <c r="OI231" s="19" t="n"/>
      <c r="OK231" s="5">
        <f>C231</f>
        <v/>
      </c>
      <c r="OO231" s="19" t="n"/>
      <c r="OP231" s="19" t="n"/>
      <c r="OQ231" s="19" t="n"/>
      <c r="OT231" s="25">
        <f>OK231</f>
        <v/>
      </c>
      <c r="OU231" s="596" t="n">
        <v>229392.4</v>
      </c>
      <c r="OX231" s="19" t="n"/>
    </row>
    <row r="232" ht="21" customFormat="1" customHeight="1" s="5">
      <c r="A232" s="631" t="n"/>
      <c r="B232" s="631" t="n"/>
      <c r="C232" s="714" t="inlineStr">
        <is>
          <t>2024//9//30</t>
        </is>
      </c>
      <c r="D232" s="591">
        <f>E232*10000</f>
        <v/>
      </c>
      <c r="E232" s="591" t="n">
        <v>969.22</v>
      </c>
      <c r="F232" s="523">
        <f>40026057.55/10000</f>
        <v/>
      </c>
      <c r="G232" s="592">
        <f>(D232-D233)/D233</f>
        <v/>
      </c>
      <c r="H232" s="592" t="n"/>
      <c r="I232" s="526" t="n"/>
      <c r="J232" s="526" t="n"/>
      <c r="K232" s="522">
        <f>C232</f>
        <v/>
      </c>
      <c r="L232" s="591">
        <f>M232*10000</f>
        <v/>
      </c>
      <c r="M232" s="591" t="n">
        <v>655.46</v>
      </c>
      <c r="N232" s="523">
        <f>26282768.92/10000</f>
        <v/>
      </c>
      <c r="O232" s="593" t="n"/>
      <c r="P232" s="592" t="n"/>
      <c r="Q232" s="526" t="n"/>
      <c r="R232" s="523" t="n"/>
      <c r="S232" s="522">
        <f>C232</f>
        <v/>
      </c>
      <c r="T232" s="591">
        <f>U232*10000</f>
        <v/>
      </c>
      <c r="U232" s="591" t="n">
        <v>575.72</v>
      </c>
      <c r="V232" s="523" t="n"/>
      <c r="W232" s="592" t="n"/>
      <c r="X232" s="592" t="n"/>
      <c r="Y232" s="526" t="n"/>
      <c r="Z232" s="523" t="n"/>
      <c r="AA232" s="522">
        <f>S232</f>
        <v/>
      </c>
      <c r="AB232" s="591">
        <f>AC232*10000</f>
        <v/>
      </c>
      <c r="AC232" s="591" t="n">
        <v>212.15</v>
      </c>
      <c r="AD232" s="523" t="n"/>
      <c r="AE232" s="593" t="n"/>
      <c r="AF232" s="592" t="n"/>
      <c r="AG232" s="526" t="n"/>
      <c r="AH232" s="523" t="n"/>
      <c r="AI232" s="522">
        <f>C232</f>
        <v/>
      </c>
      <c r="AJ232" s="591">
        <f>AK232*10000</f>
        <v/>
      </c>
      <c r="AK232" s="522" t="n">
        <v>302.09</v>
      </c>
      <c r="AL232" s="523" t="n"/>
      <c r="AM232" s="594" t="n"/>
      <c r="AN232" s="592" t="n"/>
      <c r="AO232" s="526" t="n"/>
      <c r="AP232" s="551" t="n"/>
      <c r="AQ232" s="522">
        <f>C232</f>
        <v/>
      </c>
      <c r="AR232" s="634">
        <f>AS232*10000</f>
        <v/>
      </c>
      <c r="AS232" s="591" t="n">
        <v>425.73</v>
      </c>
      <c r="AT232" s="592" t="n"/>
      <c r="AU232" s="523" t="n"/>
      <c r="AV232" s="526" t="n"/>
      <c r="AW232" s="526" t="n"/>
      <c r="AX232" s="523" t="n"/>
      <c r="AY232" s="523" t="n"/>
      <c r="AZ232" s="523">
        <f>C232</f>
        <v/>
      </c>
      <c r="BA232" s="523" t="n"/>
      <c r="BB232" s="523" t="n"/>
      <c r="BC232" s="523" t="n"/>
      <c r="BD232" s="526" t="n"/>
      <c r="BE232" s="526" t="n"/>
      <c r="BF232" s="526" t="n"/>
      <c r="BG232" s="631" t="n"/>
      <c r="BH232" s="5">
        <f>C232</f>
        <v/>
      </c>
      <c r="BL232" s="19" t="n"/>
      <c r="BM232" s="19" t="n"/>
      <c r="BN232" s="19" t="n"/>
      <c r="BP232" s="5">
        <f>C232</f>
        <v/>
      </c>
      <c r="BQ232" s="633" t="n"/>
      <c r="BT232" s="19" t="n"/>
      <c r="BU232" s="19" t="n"/>
      <c r="BV232" s="19" t="n"/>
      <c r="BX232" s="5">
        <f>C232</f>
        <v/>
      </c>
      <c r="CB232" s="19" t="n"/>
      <c r="CC232" s="19" t="n"/>
      <c r="CD232" s="19" t="n"/>
      <c r="CF232" s="5">
        <f>C232</f>
        <v/>
      </c>
      <c r="CJ232" s="19" t="n"/>
      <c r="CK232" s="19" t="n"/>
      <c r="CL232" s="19" t="n"/>
      <c r="CN232" s="5">
        <f>C232</f>
        <v/>
      </c>
      <c r="CR232" s="19" t="n"/>
      <c r="CS232" s="19" t="n"/>
      <c r="CT232" s="19" t="n"/>
      <c r="CV232" s="5">
        <f>C232</f>
        <v/>
      </c>
      <c r="CZ232" s="19" t="n"/>
      <c r="DA232" s="19" t="n"/>
      <c r="DB232" s="19" t="n"/>
      <c r="DC232" s="23" t="n"/>
      <c r="DD232" s="5">
        <f>C232</f>
        <v/>
      </c>
      <c r="DH232" s="19" t="n"/>
      <c r="DI232" s="19" t="n"/>
      <c r="DJ232" s="19" t="n"/>
      <c r="DL232" s="5">
        <f>C232</f>
        <v/>
      </c>
      <c r="DP232" s="19" t="n"/>
      <c r="DQ232" s="19" t="n"/>
      <c r="DR232" s="19" t="n"/>
      <c r="DT232" s="5">
        <f>C232</f>
        <v/>
      </c>
      <c r="DX232" s="19" t="n"/>
      <c r="DY232" s="19" t="n"/>
      <c r="DZ232" s="19" t="n"/>
      <c r="EB232" s="5">
        <f>C232</f>
        <v/>
      </c>
      <c r="EF232" s="19" t="n"/>
      <c r="EG232" s="19" t="n"/>
      <c r="EH232" s="19" t="n"/>
      <c r="EJ232" s="5">
        <f>C232</f>
        <v/>
      </c>
      <c r="EN232" s="19" t="n"/>
      <c r="EO232" s="19" t="n"/>
      <c r="EP232" s="19" t="n"/>
      <c r="EQ232" s="19" t="n"/>
      <c r="ER232" s="5">
        <f>C232</f>
        <v/>
      </c>
      <c r="ES232" s="19" t="n"/>
      <c r="ET232" s="19" t="n"/>
      <c r="EU232" s="19" t="n"/>
      <c r="EV232" s="19" t="n"/>
      <c r="EW232" s="19" t="n"/>
      <c r="EX232" s="19" t="n"/>
      <c r="EZ232" s="5">
        <f>C232</f>
        <v/>
      </c>
      <c r="FD232" s="19" t="n"/>
      <c r="FE232" s="19" t="n"/>
      <c r="FF232" s="19" t="n"/>
      <c r="FG232" s="19" t="n"/>
      <c r="FH232" s="5">
        <f>C232</f>
        <v/>
      </c>
      <c r="FI232" s="633" t="n"/>
      <c r="FL232" s="19" t="n"/>
      <c r="FM232" s="19" t="n"/>
      <c r="FN232" s="19" t="n"/>
      <c r="FP232" s="5">
        <f>C232</f>
        <v/>
      </c>
      <c r="FT232" s="19" t="n"/>
      <c r="FU232" s="19" t="n"/>
      <c r="FV232" s="19" t="n"/>
      <c r="FX232" s="5">
        <f>C232</f>
        <v/>
      </c>
      <c r="GB232" s="19" t="n"/>
      <c r="GC232" s="19" t="n"/>
      <c r="GD232" s="19" t="n"/>
      <c r="GF232" s="5">
        <f>C232</f>
        <v/>
      </c>
      <c r="GJ232" s="19" t="n"/>
      <c r="GK232" s="19" t="n"/>
      <c r="GL232" s="19" t="n"/>
      <c r="GN232" s="5">
        <f>C232</f>
        <v/>
      </c>
      <c r="GR232" s="19" t="n"/>
      <c r="GS232" s="19" t="n"/>
      <c r="GT232" s="19" t="n"/>
      <c r="GV232" s="5">
        <f>C232</f>
        <v/>
      </c>
      <c r="GZ232" s="19" t="n"/>
      <c r="HA232" s="19" t="n"/>
      <c r="HB232" s="19" t="n"/>
      <c r="HD232" s="5">
        <f>C232</f>
        <v/>
      </c>
      <c r="HH232" s="19" t="n"/>
      <c r="HI232" s="19" t="n"/>
      <c r="HJ232" s="19" t="n"/>
      <c r="HL232" s="5">
        <f>C232</f>
        <v/>
      </c>
      <c r="HP232" s="19" t="n"/>
      <c r="HQ232" s="19" t="n"/>
      <c r="HR232" s="19" t="n"/>
      <c r="HT232" s="5">
        <f>C232</f>
        <v/>
      </c>
      <c r="HX232" s="19" t="n"/>
      <c r="HY232" s="19" t="n"/>
      <c r="HZ232" s="19" t="n"/>
      <c r="IB232" s="5">
        <f>C232</f>
        <v/>
      </c>
      <c r="IG232" s="19" t="n"/>
      <c r="IH232" s="19" t="n"/>
      <c r="IJ232" s="5">
        <f>C232</f>
        <v/>
      </c>
      <c r="IN232" s="19" t="n"/>
      <c r="IO232" s="19" t="n"/>
      <c r="IP232" s="19" t="n"/>
      <c r="IR232" s="5">
        <f>C232</f>
        <v/>
      </c>
      <c r="IV232" s="19" t="n"/>
      <c r="IW232" s="19" t="n"/>
      <c r="IX232" s="19" t="n"/>
      <c r="IZ232" s="5">
        <f>C232</f>
        <v/>
      </c>
      <c r="JD232" s="19" t="n"/>
      <c r="JE232" s="19" t="n"/>
      <c r="JF232" s="19" t="n"/>
      <c r="JH232" s="5">
        <f>C232</f>
        <v/>
      </c>
      <c r="JL232" s="19" t="n"/>
      <c r="JM232" s="19" t="n"/>
      <c r="JN232" s="19" t="n"/>
      <c r="JO232" s="19" t="n"/>
      <c r="JP232" s="5">
        <f>C232</f>
        <v/>
      </c>
      <c r="JT232" s="19" t="n"/>
      <c r="JU232" s="19" t="n"/>
      <c r="JV232" s="19" t="n"/>
      <c r="JW232" s="19" t="n"/>
      <c r="JX232" s="5">
        <f>C232</f>
        <v/>
      </c>
      <c r="KB232" s="19" t="n"/>
      <c r="KC232" s="19" t="n"/>
      <c r="KD232" s="19" t="n"/>
      <c r="KE232" s="19" t="n"/>
      <c r="KF232" s="5">
        <f>C232</f>
        <v/>
      </c>
      <c r="KG232" s="19" t="n"/>
      <c r="KH232" s="19" t="n"/>
      <c r="KJ232" s="19" t="n"/>
      <c r="KK232" s="19" t="n"/>
      <c r="KL232" s="19" t="n"/>
      <c r="KM232" s="19" t="n"/>
      <c r="KN232" s="5">
        <f>C232</f>
        <v/>
      </c>
      <c r="KR232" s="19" t="n"/>
      <c r="KS232" s="19" t="n"/>
      <c r="KT232" s="19" t="n"/>
      <c r="KV232" s="5">
        <f>C232</f>
        <v/>
      </c>
      <c r="KZ232" s="19" t="n"/>
      <c r="LA232" s="19" t="n"/>
      <c r="LB232" s="19" t="n"/>
      <c r="LD232" s="5">
        <f>C232</f>
        <v/>
      </c>
      <c r="LH232" s="19" t="n"/>
      <c r="LI232" s="19" t="n"/>
      <c r="LJ232" s="19" t="n"/>
      <c r="LL232" s="5">
        <f>C232</f>
        <v/>
      </c>
      <c r="LM232" s="633" t="n"/>
      <c r="LP232" s="19" t="n"/>
      <c r="LQ232" s="19" t="n"/>
      <c r="LR232" s="19" t="n"/>
      <c r="LS232" s="551" t="n"/>
      <c r="LT232" s="522">
        <f>C232</f>
        <v/>
      </c>
      <c r="LU232" s="522">
        <f>LV232*10000</f>
        <v/>
      </c>
      <c r="LV232" s="522" t="n">
        <v>12.9</v>
      </c>
      <c r="LX232" s="525" t="n"/>
      <c r="LY232" s="525" t="n"/>
      <c r="LZ232" s="19" t="n"/>
      <c r="MB232" s="5">
        <f>C232</f>
        <v/>
      </c>
      <c r="MF232" s="19" t="n"/>
      <c r="MG232" s="19" t="n"/>
      <c r="MH232" s="19" t="n"/>
      <c r="MK232" s="5">
        <f>C232</f>
        <v/>
      </c>
      <c r="MM232" s="24" t="n"/>
      <c r="MO232" s="19" t="n"/>
      <c r="MP232" s="19" t="n"/>
      <c r="MQ232" s="19" t="n"/>
      <c r="MR232" s="19" t="n"/>
      <c r="MS232" s="19" t="n"/>
      <c r="MT232" s="25">
        <f>C232</f>
        <v/>
      </c>
      <c r="MX232" s="19" t="n"/>
      <c r="MY232" s="19" t="n"/>
      <c r="MZ232" s="19" t="n"/>
      <c r="NA232" s="19" t="n"/>
      <c r="NB232" s="19" t="n"/>
      <c r="NC232" s="5">
        <f>C232</f>
        <v/>
      </c>
      <c r="NG232" s="19" t="n"/>
      <c r="NH232" s="19" t="n"/>
      <c r="NI232" s="19" t="n"/>
      <c r="NJ232" s="19" t="n"/>
      <c r="NK232" s="19" t="n"/>
      <c r="NM232" s="5">
        <f>C232</f>
        <v/>
      </c>
      <c r="NQ232" s="19" t="n"/>
      <c r="NR232" s="19" t="n"/>
      <c r="NU232" s="5">
        <f>C232</f>
        <v/>
      </c>
      <c r="NY232" s="19" t="n"/>
      <c r="NZ232" s="19" t="n"/>
      <c r="OC232" s="5">
        <f>C232</f>
        <v/>
      </c>
      <c r="OG232" s="19" t="n"/>
      <c r="OH232" s="19" t="n"/>
      <c r="OI232" s="19" t="n"/>
      <c r="OK232" s="5">
        <f>C232</f>
        <v/>
      </c>
      <c r="OO232" s="19" t="n"/>
      <c r="OP232" s="19" t="n"/>
      <c r="OQ232" s="19" t="n"/>
      <c r="OT232" s="25">
        <f>OK232</f>
        <v/>
      </c>
      <c r="OU232" s="596" t="n">
        <v>95592.39999999999</v>
      </c>
      <c r="OX232" s="19" t="n"/>
    </row>
    <row r="233" ht="21" customFormat="1" customHeight="1" s="5">
      <c r="A233" s="631" t="n"/>
      <c r="B233" s="631" t="n"/>
      <c r="C233" s="714" t="inlineStr">
        <is>
          <t>2024//6//30</t>
        </is>
      </c>
      <c r="D233" s="591">
        <f>E233*10000</f>
        <v/>
      </c>
      <c r="E233" s="591" t="n">
        <v>607.4</v>
      </c>
      <c r="F233" s="523">
        <f>21032115.17/10000</f>
        <v/>
      </c>
      <c r="G233" s="592">
        <f>(D233-D234)/D234</f>
        <v/>
      </c>
      <c r="H233" s="592" t="n"/>
      <c r="I233" s="526" t="n"/>
      <c r="J233" s="526" t="n"/>
      <c r="K233" s="522">
        <f>C233</f>
        <v/>
      </c>
      <c r="L233" s="591">
        <f>M233*10000</f>
        <v/>
      </c>
      <c r="M233" s="591" t="n">
        <v>627.01</v>
      </c>
      <c r="N233" s="523">
        <f>19486102.76/10000</f>
        <v/>
      </c>
      <c r="O233" s="594" t="n"/>
      <c r="P233" s="592" t="n"/>
      <c r="Q233" s="526" t="n"/>
      <c r="R233" s="523" t="n"/>
      <c r="S233" s="522">
        <f>C233</f>
        <v/>
      </c>
      <c r="T233" s="591">
        <f>U233*10000</f>
        <v/>
      </c>
      <c r="U233" s="591" t="n">
        <v>462.76</v>
      </c>
      <c r="V233" s="523" t="n"/>
      <c r="W233" s="592" t="n"/>
      <c r="X233" s="592" t="n"/>
      <c r="Y233" s="526" t="n"/>
      <c r="Z233" s="523" t="n"/>
      <c r="AA233" s="522">
        <f>S233</f>
        <v/>
      </c>
      <c r="AB233" s="591">
        <f>AC233*10000</f>
        <v/>
      </c>
      <c r="AC233" s="591" t="n">
        <v>147.74</v>
      </c>
      <c r="AD233" s="523" t="n"/>
      <c r="AE233" s="594" t="n"/>
      <c r="AF233" s="592" t="n"/>
      <c r="AG233" s="526" t="n"/>
      <c r="AH233" s="523" t="n"/>
      <c r="AI233" s="522">
        <f>C233</f>
        <v/>
      </c>
      <c r="AJ233" s="591">
        <f>AK233*10000</f>
        <v/>
      </c>
      <c r="AK233" s="522" t="n">
        <v>121.57</v>
      </c>
      <c r="AL233" s="523" t="n"/>
      <c r="AM233" s="594" t="n"/>
      <c r="AN233" s="592" t="n"/>
      <c r="AO233" s="526" t="n"/>
      <c r="AP233" s="551" t="n"/>
      <c r="AQ233" s="522">
        <f>C233</f>
        <v/>
      </c>
      <c r="AR233" s="634">
        <f>AS233*10000</f>
        <v/>
      </c>
      <c r="AS233" s="591" t="n">
        <v>312.48</v>
      </c>
      <c r="AT233" s="592" t="n"/>
      <c r="AU233" s="523" t="n"/>
      <c r="AV233" s="526" t="n"/>
      <c r="AW233" s="526" t="n"/>
      <c r="AX233" s="523" t="n"/>
      <c r="AY233" s="523" t="n"/>
      <c r="AZ233" s="523">
        <f>C233</f>
        <v/>
      </c>
      <c r="BA233" s="523" t="n"/>
      <c r="BB233" s="523" t="n"/>
      <c r="BC233" s="523" t="n"/>
      <c r="BD233" s="526" t="n"/>
      <c r="BE233" s="526" t="n"/>
      <c r="BF233" s="526" t="n"/>
      <c r="BG233" s="631" t="n"/>
      <c r="BH233" s="5">
        <f>C233</f>
        <v/>
      </c>
      <c r="BL233" s="19" t="n"/>
      <c r="BM233" s="19" t="n"/>
      <c r="BN233" s="19" t="n"/>
      <c r="BP233" s="5">
        <f>C233</f>
        <v/>
      </c>
      <c r="BQ233" s="633" t="n"/>
      <c r="BT233" s="19" t="n"/>
      <c r="BU233" s="19" t="n"/>
      <c r="BV233" s="19" t="n"/>
      <c r="BX233" s="5">
        <f>C233</f>
        <v/>
      </c>
      <c r="CB233" s="19" t="n"/>
      <c r="CC233" s="19" t="n"/>
      <c r="CD233" s="19" t="n"/>
      <c r="CF233" s="5">
        <f>C233</f>
        <v/>
      </c>
      <c r="CJ233" s="19" t="n"/>
      <c r="CK233" s="19" t="n"/>
      <c r="CL233" s="19" t="n"/>
      <c r="CN233" s="5">
        <f>C233</f>
        <v/>
      </c>
      <c r="CR233" s="19" t="n"/>
      <c r="CS233" s="19" t="n"/>
      <c r="CT233" s="19" t="n"/>
      <c r="CV233" s="5">
        <f>C233</f>
        <v/>
      </c>
      <c r="CZ233" s="19" t="n"/>
      <c r="DA233" s="19" t="n"/>
      <c r="DB233" s="19" t="n"/>
      <c r="DC233" s="23" t="n"/>
      <c r="DD233" s="5">
        <f>C233</f>
        <v/>
      </c>
      <c r="DH233" s="19" t="n"/>
      <c r="DI233" s="19" t="n"/>
      <c r="DJ233" s="19" t="n"/>
      <c r="DL233" s="5">
        <f>C233</f>
        <v/>
      </c>
      <c r="DP233" s="19" t="n"/>
      <c r="DQ233" s="19" t="n"/>
      <c r="DR233" s="19" t="n"/>
      <c r="DT233" s="5">
        <f>C233</f>
        <v/>
      </c>
      <c r="DX233" s="19" t="n"/>
      <c r="DY233" s="19" t="n"/>
      <c r="DZ233" s="19" t="n"/>
      <c r="EB233" s="5">
        <f>C233</f>
        <v/>
      </c>
      <c r="EF233" s="19" t="n"/>
      <c r="EG233" s="19" t="n"/>
      <c r="EH233" s="19" t="n"/>
      <c r="EJ233" s="5">
        <f>C233</f>
        <v/>
      </c>
      <c r="EN233" s="19" t="n"/>
      <c r="EO233" s="19" t="n"/>
      <c r="EP233" s="19" t="n"/>
      <c r="EQ233" s="19" t="n"/>
      <c r="ER233" s="5">
        <f>C233</f>
        <v/>
      </c>
      <c r="ES233" s="19" t="n"/>
      <c r="ET233" s="19" t="n"/>
      <c r="EU233" s="19" t="n"/>
      <c r="EV233" s="19" t="n"/>
      <c r="EW233" s="19" t="n"/>
      <c r="EX233" s="19" t="n"/>
      <c r="EZ233" s="5">
        <f>C233</f>
        <v/>
      </c>
      <c r="FD233" s="19" t="n"/>
      <c r="FE233" s="19" t="n"/>
      <c r="FF233" s="19" t="n"/>
      <c r="FG233" s="19" t="n"/>
      <c r="FH233" s="5">
        <f>C233</f>
        <v/>
      </c>
      <c r="FI233" s="633" t="n"/>
      <c r="FL233" s="19" t="n"/>
      <c r="FM233" s="19" t="n"/>
      <c r="FN233" s="19" t="n"/>
      <c r="FP233" s="5">
        <f>C233</f>
        <v/>
      </c>
      <c r="FT233" s="19" t="n"/>
      <c r="FU233" s="19" t="n"/>
      <c r="FV233" s="19" t="n"/>
      <c r="FX233" s="5">
        <f>C233</f>
        <v/>
      </c>
      <c r="GB233" s="19" t="n"/>
      <c r="GC233" s="19" t="n"/>
      <c r="GD233" s="19" t="n"/>
      <c r="GF233" s="5">
        <f>C233</f>
        <v/>
      </c>
      <c r="GJ233" s="19" t="n"/>
      <c r="GK233" s="19" t="n"/>
      <c r="GL233" s="19" t="n"/>
      <c r="GN233" s="5">
        <f>C233</f>
        <v/>
      </c>
      <c r="GR233" s="19" t="n"/>
      <c r="GS233" s="19" t="n"/>
      <c r="GT233" s="19" t="n"/>
      <c r="GV233" s="5">
        <f>C233</f>
        <v/>
      </c>
      <c r="GZ233" s="19" t="n"/>
      <c r="HA233" s="19" t="n"/>
      <c r="HB233" s="19" t="n"/>
      <c r="HD233" s="5">
        <f>C233</f>
        <v/>
      </c>
      <c r="HH233" s="19" t="n"/>
      <c r="HI233" s="19" t="n"/>
      <c r="HJ233" s="19" t="n"/>
      <c r="HL233" s="5">
        <f>C233</f>
        <v/>
      </c>
      <c r="HP233" s="19" t="n"/>
      <c r="HQ233" s="19" t="n"/>
      <c r="HR233" s="19" t="n"/>
      <c r="HT233" s="5">
        <f>C233</f>
        <v/>
      </c>
      <c r="HX233" s="19" t="n"/>
      <c r="HY233" s="19" t="n"/>
      <c r="HZ233" s="19" t="n"/>
      <c r="IB233" s="5">
        <f>C233</f>
        <v/>
      </c>
      <c r="IG233" s="19" t="n"/>
      <c r="IH233" s="19" t="n"/>
      <c r="IJ233" s="5">
        <f>C233</f>
        <v/>
      </c>
      <c r="IN233" s="19" t="n"/>
      <c r="IO233" s="19" t="n"/>
      <c r="IP233" s="19" t="n"/>
      <c r="IR233" s="5">
        <f>C233</f>
        <v/>
      </c>
      <c r="IV233" s="19" t="n"/>
      <c r="IW233" s="19" t="n"/>
      <c r="IX233" s="19" t="n"/>
      <c r="IZ233" s="5">
        <f>C233</f>
        <v/>
      </c>
      <c r="JD233" s="19" t="n"/>
      <c r="JE233" s="19" t="n"/>
      <c r="JF233" s="19" t="n"/>
      <c r="JH233" s="5">
        <f>C233</f>
        <v/>
      </c>
      <c r="JL233" s="19" t="n"/>
      <c r="JM233" s="19" t="n"/>
      <c r="JN233" s="19" t="n"/>
      <c r="JO233" s="19" t="n"/>
      <c r="JP233" s="5">
        <f>C233</f>
        <v/>
      </c>
      <c r="JT233" s="19" t="n"/>
      <c r="JU233" s="19" t="n"/>
      <c r="JV233" s="19" t="n"/>
      <c r="JW233" s="19" t="n"/>
      <c r="JX233" s="5">
        <f>C233</f>
        <v/>
      </c>
      <c r="KB233" s="19" t="n"/>
      <c r="KC233" s="19" t="n"/>
      <c r="KD233" s="19" t="n"/>
      <c r="KE233" s="19" t="n"/>
      <c r="KF233" s="5">
        <f>C233</f>
        <v/>
      </c>
      <c r="KG233" s="19" t="n"/>
      <c r="KH233" s="19" t="n"/>
      <c r="KJ233" s="19" t="n"/>
      <c r="KK233" s="19" t="n"/>
      <c r="KL233" s="19" t="n"/>
      <c r="KM233" s="19" t="n"/>
      <c r="KN233" s="5">
        <f>C233</f>
        <v/>
      </c>
      <c r="KR233" s="19" t="n"/>
      <c r="KS233" s="19" t="n"/>
      <c r="KT233" s="19" t="n"/>
      <c r="KV233" s="5">
        <f>C233</f>
        <v/>
      </c>
      <c r="KZ233" s="19" t="n"/>
      <c r="LA233" s="19" t="n"/>
      <c r="LB233" s="19" t="n"/>
      <c r="LD233" s="5">
        <f>C233</f>
        <v/>
      </c>
      <c r="LH233" s="19" t="n"/>
      <c r="LI233" s="19" t="n"/>
      <c r="LJ233" s="19" t="n"/>
      <c r="LL233" s="5">
        <f>C233</f>
        <v/>
      </c>
      <c r="LM233" s="633" t="n"/>
      <c r="LP233" s="19" t="n"/>
      <c r="LQ233" s="19" t="n"/>
      <c r="LR233" s="19" t="n"/>
      <c r="LS233" s="551" t="n"/>
      <c r="LT233" s="522">
        <f>C233</f>
        <v/>
      </c>
      <c r="LU233" s="522">
        <f>LV233*10000</f>
        <v/>
      </c>
      <c r="LV233" s="522" t="n">
        <v>0.75</v>
      </c>
      <c r="LX233" s="525" t="n"/>
      <c r="LY233" s="525" t="n"/>
      <c r="LZ233" s="19" t="n"/>
      <c r="MB233" s="5">
        <f>C233</f>
        <v/>
      </c>
      <c r="MF233" s="19" t="n"/>
      <c r="MG233" s="19" t="n"/>
      <c r="MH233" s="19" t="n"/>
      <c r="MK233" s="5">
        <f>C233</f>
        <v/>
      </c>
      <c r="MM233" s="24" t="n"/>
      <c r="MO233" s="19" t="n"/>
      <c r="MP233" s="19" t="n"/>
      <c r="MQ233" s="19" t="n"/>
      <c r="MR233" s="19" t="n"/>
      <c r="MS233" s="19" t="n"/>
      <c r="MT233" s="25">
        <f>C233</f>
        <v/>
      </c>
      <c r="MX233" s="19" t="n"/>
      <c r="MY233" s="19" t="n"/>
      <c r="MZ233" s="19" t="n"/>
      <c r="NA233" s="19" t="n"/>
      <c r="NB233" s="19" t="n"/>
      <c r="NC233" s="5">
        <f>C233</f>
        <v/>
      </c>
      <c r="NG233" s="19" t="n"/>
      <c r="NH233" s="19" t="n"/>
      <c r="NI233" s="19" t="n"/>
      <c r="NJ233" s="19" t="n"/>
      <c r="NK233" s="19" t="n"/>
      <c r="NM233" s="5">
        <f>C233</f>
        <v/>
      </c>
      <c r="NQ233" s="19" t="n"/>
      <c r="NR233" s="19" t="n"/>
      <c r="NU233" s="5">
        <f>C233</f>
        <v/>
      </c>
      <c r="NY233" s="19" t="n"/>
      <c r="NZ233" s="19" t="n"/>
      <c r="OC233" s="5">
        <f>C233</f>
        <v/>
      </c>
      <c r="OG233" s="19" t="n"/>
      <c r="OH233" s="19" t="n"/>
      <c r="OI233" s="19" t="n"/>
      <c r="OK233" s="5">
        <f>C233</f>
        <v/>
      </c>
      <c r="OO233" s="19" t="n"/>
      <c r="OP233" s="19" t="n"/>
      <c r="OQ233" s="19" t="n"/>
      <c r="OT233" s="25">
        <f>OK233</f>
        <v/>
      </c>
      <c r="OU233" s="596" t="n">
        <v>65232.4</v>
      </c>
      <c r="OX233" s="19" t="n"/>
    </row>
    <row r="234" ht="21" customFormat="1" customHeight="1" s="5">
      <c r="A234" s="631" t="n"/>
      <c r="B234" s="631" t="n"/>
      <c r="C234" s="714" t="inlineStr">
        <is>
          <t>2024//3//31</t>
        </is>
      </c>
      <c r="D234" s="591">
        <f>E234*10000</f>
        <v/>
      </c>
      <c r="E234" s="591" t="n">
        <v>553.29</v>
      </c>
      <c r="F234" s="523">
        <f>19573068.48/10000</f>
        <v/>
      </c>
      <c r="G234" s="592">
        <f>(D234-D235)/D235</f>
        <v/>
      </c>
      <c r="H234" s="592" t="n"/>
      <c r="I234" s="526" t="n"/>
      <c r="J234" s="526" t="n"/>
      <c r="K234" s="522">
        <f>C234</f>
        <v/>
      </c>
      <c r="L234" s="591">
        <f>M234*10000/2</f>
        <v/>
      </c>
      <c r="M234" s="591" t="n">
        <v>824.25</v>
      </c>
      <c r="N234" s="523">
        <f>13847039.41/10000</f>
        <v/>
      </c>
      <c r="O234" s="593" t="n"/>
      <c r="P234" s="592" t="n"/>
      <c r="Q234" s="526" t="n"/>
      <c r="R234" s="523" t="n"/>
      <c r="S234" s="522">
        <f>C234</f>
        <v/>
      </c>
      <c r="T234" s="591">
        <f>U234*10000</f>
        <v/>
      </c>
      <c r="U234" s="591" t="n">
        <v>459.15</v>
      </c>
      <c r="V234" s="523" t="n"/>
      <c r="W234" s="592" t="n"/>
      <c r="X234" s="592" t="n"/>
      <c r="Y234" s="526" t="n"/>
      <c r="Z234" s="523" t="n"/>
      <c r="AA234" s="522">
        <f>S234</f>
        <v/>
      </c>
      <c r="AB234" s="591">
        <f>AC234*10000</f>
        <v/>
      </c>
      <c r="AC234" s="591" t="n">
        <v>145.68</v>
      </c>
      <c r="AD234" s="523" t="n"/>
      <c r="AE234" s="594" t="n"/>
      <c r="AF234" s="592" t="n"/>
      <c r="AG234" s="526" t="n"/>
      <c r="AH234" s="523" t="n"/>
      <c r="AI234" s="522">
        <f>C234</f>
        <v/>
      </c>
      <c r="AJ234" s="591">
        <f>AK234*10000</f>
        <v/>
      </c>
      <c r="AK234" s="522" t="n">
        <v>117.75</v>
      </c>
      <c r="AL234" s="523" t="n"/>
      <c r="AM234" s="594" t="n"/>
      <c r="AN234" s="592" t="n"/>
      <c r="AO234" s="526" t="n"/>
      <c r="AP234" s="551" t="n"/>
      <c r="AQ234" s="522">
        <f>C234</f>
        <v/>
      </c>
      <c r="AR234" s="634">
        <f>AS234*10000</f>
        <v/>
      </c>
      <c r="AS234" s="591" t="n">
        <v>311.31</v>
      </c>
      <c r="AT234" s="592" t="n"/>
      <c r="AU234" s="523" t="n"/>
      <c r="AV234" s="526" t="n"/>
      <c r="AW234" s="526" t="n"/>
      <c r="AX234" s="523" t="n"/>
      <c r="AY234" s="523" t="n"/>
      <c r="AZ234" s="523">
        <f>C234</f>
        <v/>
      </c>
      <c r="BA234" s="523" t="n"/>
      <c r="BB234" s="523" t="n"/>
      <c r="BC234" s="523" t="n"/>
      <c r="BD234" s="526" t="n"/>
      <c r="BE234" s="526" t="n"/>
      <c r="BF234" s="526" t="n"/>
      <c r="BG234" s="631" t="n"/>
      <c r="BH234" s="5">
        <f>C234</f>
        <v/>
      </c>
      <c r="BL234" s="19" t="n"/>
      <c r="BM234" s="19" t="n"/>
      <c r="BN234" s="19" t="n"/>
      <c r="BP234" s="5">
        <f>C234</f>
        <v/>
      </c>
      <c r="BQ234" s="633" t="n"/>
      <c r="BT234" s="19" t="n"/>
      <c r="BU234" s="19" t="n"/>
      <c r="BV234" s="19" t="n"/>
      <c r="BX234" s="5">
        <f>C234</f>
        <v/>
      </c>
      <c r="CB234" s="19" t="n"/>
      <c r="CC234" s="19" t="n"/>
      <c r="CD234" s="19" t="n"/>
      <c r="CF234" s="5">
        <f>C234</f>
        <v/>
      </c>
      <c r="CJ234" s="19" t="n"/>
      <c r="CK234" s="19" t="n"/>
      <c r="CL234" s="19" t="n"/>
      <c r="CN234" s="5">
        <f>C234</f>
        <v/>
      </c>
      <c r="CR234" s="19" t="n"/>
      <c r="CS234" s="19" t="n"/>
      <c r="CT234" s="19" t="n"/>
      <c r="CV234" s="5">
        <f>C234</f>
        <v/>
      </c>
      <c r="CZ234" s="19" t="n"/>
      <c r="DA234" s="19" t="n"/>
      <c r="DB234" s="19" t="n"/>
      <c r="DC234" s="23" t="n"/>
      <c r="DD234" s="5">
        <f>C234</f>
        <v/>
      </c>
      <c r="DH234" s="19" t="n"/>
      <c r="DI234" s="19" t="n"/>
      <c r="DJ234" s="19" t="n"/>
      <c r="DL234" s="5">
        <f>C234</f>
        <v/>
      </c>
      <c r="DP234" s="19" t="n"/>
      <c r="DQ234" s="19" t="n"/>
      <c r="DR234" s="19" t="n"/>
      <c r="DT234" s="5">
        <f>C234</f>
        <v/>
      </c>
      <c r="DX234" s="19" t="n"/>
      <c r="DY234" s="19" t="n"/>
      <c r="DZ234" s="19" t="n"/>
      <c r="EB234" s="5">
        <f>C234</f>
        <v/>
      </c>
      <c r="EF234" s="19" t="n"/>
      <c r="EG234" s="19" t="n"/>
      <c r="EH234" s="19" t="n"/>
      <c r="EJ234" s="5">
        <f>C234</f>
        <v/>
      </c>
      <c r="EN234" s="19" t="n"/>
      <c r="EO234" s="19" t="n"/>
      <c r="EP234" s="19" t="n"/>
      <c r="EQ234" s="19" t="n"/>
      <c r="ER234" s="5">
        <f>C234</f>
        <v/>
      </c>
      <c r="ES234" s="19" t="n"/>
      <c r="ET234" s="19" t="n"/>
      <c r="EU234" s="19" t="n"/>
      <c r="EV234" s="19" t="n"/>
      <c r="EW234" s="19" t="n"/>
      <c r="EX234" s="19" t="n"/>
      <c r="EZ234" s="5">
        <f>C234</f>
        <v/>
      </c>
      <c r="FD234" s="19" t="n"/>
      <c r="FE234" s="19" t="n"/>
      <c r="FF234" s="19" t="n"/>
      <c r="FG234" s="19" t="n"/>
      <c r="FH234" s="5">
        <f>C234</f>
        <v/>
      </c>
      <c r="FI234" s="633" t="n"/>
      <c r="FL234" s="19" t="n"/>
      <c r="FM234" s="19" t="n"/>
      <c r="FN234" s="19" t="n"/>
      <c r="FP234" s="5">
        <f>C234</f>
        <v/>
      </c>
      <c r="FT234" s="19" t="n"/>
      <c r="FU234" s="19" t="n"/>
      <c r="FV234" s="19" t="n"/>
      <c r="FX234" s="5">
        <f>C234</f>
        <v/>
      </c>
      <c r="GB234" s="19" t="n"/>
      <c r="GC234" s="19" t="n"/>
      <c r="GD234" s="19" t="n"/>
      <c r="GF234" s="5">
        <f>C234</f>
        <v/>
      </c>
      <c r="GJ234" s="19" t="n"/>
      <c r="GK234" s="19" t="n"/>
      <c r="GL234" s="19" t="n"/>
      <c r="GN234" s="5">
        <f>C234</f>
        <v/>
      </c>
      <c r="GR234" s="19" t="n"/>
      <c r="GS234" s="19" t="n"/>
      <c r="GT234" s="19" t="n"/>
      <c r="GV234" s="5">
        <f>C234</f>
        <v/>
      </c>
      <c r="GZ234" s="19" t="n"/>
      <c r="HA234" s="19" t="n"/>
      <c r="HB234" s="19" t="n"/>
      <c r="HD234" s="5">
        <f>C234</f>
        <v/>
      </c>
      <c r="HH234" s="19" t="n"/>
      <c r="HI234" s="19" t="n"/>
      <c r="HJ234" s="19" t="n"/>
      <c r="HL234" s="5">
        <f>C234</f>
        <v/>
      </c>
      <c r="HP234" s="19" t="n"/>
      <c r="HQ234" s="19" t="n"/>
      <c r="HR234" s="19" t="n"/>
      <c r="HT234" s="5">
        <f>C234</f>
        <v/>
      </c>
      <c r="HX234" s="19" t="n"/>
      <c r="HY234" s="19" t="n"/>
      <c r="HZ234" s="19" t="n"/>
      <c r="IB234" s="5">
        <f>C234</f>
        <v/>
      </c>
      <c r="IG234" s="19" t="n"/>
      <c r="IH234" s="19" t="n"/>
      <c r="IJ234" s="5">
        <f>C234</f>
        <v/>
      </c>
      <c r="IN234" s="19" t="n"/>
      <c r="IO234" s="19" t="n"/>
      <c r="IP234" s="19" t="n"/>
      <c r="IR234" s="5">
        <f>C234</f>
        <v/>
      </c>
      <c r="IV234" s="19" t="n"/>
      <c r="IW234" s="19" t="n"/>
      <c r="IX234" s="19" t="n"/>
      <c r="IZ234" s="5">
        <f>C234</f>
        <v/>
      </c>
      <c r="JD234" s="19" t="n"/>
      <c r="JE234" s="19" t="n"/>
      <c r="JF234" s="19" t="n"/>
      <c r="JH234" s="5">
        <f>C234</f>
        <v/>
      </c>
      <c r="JL234" s="19" t="n"/>
      <c r="JM234" s="19" t="n"/>
      <c r="JN234" s="19" t="n"/>
      <c r="JO234" s="19" t="n"/>
      <c r="JP234" s="5">
        <f>C234</f>
        <v/>
      </c>
      <c r="JT234" s="19" t="n"/>
      <c r="JU234" s="19" t="n"/>
      <c r="JV234" s="19" t="n"/>
      <c r="JW234" s="19" t="n"/>
      <c r="JX234" s="5">
        <f>C234</f>
        <v/>
      </c>
      <c r="KB234" s="19" t="n"/>
      <c r="KC234" s="19" t="n"/>
      <c r="KD234" s="19" t="n"/>
      <c r="KE234" s="19" t="n"/>
      <c r="KF234" s="5">
        <f>C234</f>
        <v/>
      </c>
      <c r="KG234" s="19" t="n"/>
      <c r="KH234" s="19" t="n"/>
      <c r="KJ234" s="19" t="n"/>
      <c r="KK234" s="19" t="n"/>
      <c r="KL234" s="19" t="n"/>
      <c r="KM234" s="19" t="n"/>
      <c r="KN234" s="5">
        <f>C234</f>
        <v/>
      </c>
      <c r="KR234" s="19" t="n"/>
      <c r="KS234" s="19" t="n"/>
      <c r="KT234" s="19" t="n"/>
      <c r="KV234" s="5">
        <f>C234</f>
        <v/>
      </c>
      <c r="KZ234" s="19" t="n"/>
      <c r="LA234" s="19" t="n"/>
      <c r="LB234" s="19" t="n"/>
      <c r="LD234" s="5">
        <f>C234</f>
        <v/>
      </c>
      <c r="LH234" s="19" t="n"/>
      <c r="LI234" s="19" t="n"/>
      <c r="LJ234" s="19" t="n"/>
      <c r="LL234" s="5">
        <f>C234</f>
        <v/>
      </c>
      <c r="LM234" s="633" t="n"/>
      <c r="LP234" s="19" t="n"/>
      <c r="LQ234" s="19" t="n"/>
      <c r="LR234" s="19" t="n"/>
      <c r="LS234" s="551" t="n"/>
      <c r="LT234" s="522">
        <f>C234</f>
        <v/>
      </c>
      <c r="LU234" s="522">
        <f>LV234*10000</f>
        <v/>
      </c>
      <c r="LV234" s="522" t="n">
        <v>0.83</v>
      </c>
      <c r="LX234" s="525" t="n"/>
      <c r="LY234" s="525" t="n"/>
      <c r="LZ234" s="19" t="n"/>
      <c r="MB234" s="5">
        <f>C234</f>
        <v/>
      </c>
      <c r="MF234" s="19" t="n"/>
      <c r="MG234" s="19" t="n"/>
      <c r="MH234" s="19" t="n"/>
      <c r="MK234" s="5">
        <f>C234</f>
        <v/>
      </c>
      <c r="MM234" s="24" t="n"/>
      <c r="MO234" s="19" t="n"/>
      <c r="MP234" s="19" t="n"/>
      <c r="MQ234" s="19" t="n"/>
      <c r="MR234" s="19" t="n"/>
      <c r="MS234" s="19" t="n"/>
      <c r="MT234" s="25">
        <f>C234</f>
        <v/>
      </c>
      <c r="MX234" s="19" t="n"/>
      <c r="MY234" s="19" t="n"/>
      <c r="MZ234" s="19" t="n"/>
      <c r="NA234" s="19" t="n"/>
      <c r="NB234" s="19" t="n"/>
      <c r="NC234" s="5">
        <f>C234</f>
        <v/>
      </c>
      <c r="NG234" s="19" t="n"/>
      <c r="NH234" s="19" t="n"/>
      <c r="NI234" s="19" t="n"/>
      <c r="NJ234" s="19" t="n"/>
      <c r="NK234" s="19" t="n"/>
      <c r="NM234" s="5">
        <f>C234</f>
        <v/>
      </c>
      <c r="NQ234" s="19" t="n"/>
      <c r="NR234" s="19" t="n"/>
      <c r="NU234" s="5">
        <f>C234</f>
        <v/>
      </c>
      <c r="NY234" s="19" t="n"/>
      <c r="NZ234" s="19" t="n"/>
      <c r="OC234" s="5">
        <f>C234</f>
        <v/>
      </c>
      <c r="OG234" s="19" t="n"/>
      <c r="OH234" s="19" t="n"/>
      <c r="OI234" s="19" t="n"/>
      <c r="OK234" s="5">
        <f>C234</f>
        <v/>
      </c>
      <c r="OO234" s="19" t="n"/>
      <c r="OP234" s="19" t="n"/>
      <c r="OQ234" s="19" t="n"/>
      <c r="OT234" s="25">
        <f>OK234</f>
        <v/>
      </c>
      <c r="OU234" s="596" t="n">
        <v>67872.39999999999</v>
      </c>
      <c r="OX234" s="19" t="n"/>
    </row>
    <row r="235" ht="21" customFormat="1" customHeight="1" s="5">
      <c r="A235" s="631" t="n"/>
      <c r="B235" s="631" t="n"/>
      <c r="C235" s="714" t="inlineStr">
        <is>
          <t>2023//12//31</t>
        </is>
      </c>
      <c r="D235" s="591">
        <f>E235*10000</f>
        <v/>
      </c>
      <c r="E235" s="591" t="n">
        <v>374.44</v>
      </c>
      <c r="F235" s="523">
        <f>12507766.02/10000</f>
        <v/>
      </c>
      <c r="G235" s="592" t="n"/>
      <c r="H235" s="592" t="n"/>
      <c r="I235" s="526" t="n"/>
      <c r="J235" s="526" t="n"/>
      <c r="K235" s="522">
        <f>C235</f>
        <v/>
      </c>
      <c r="L235" s="591">
        <f>M235*10000/2</f>
        <v/>
      </c>
      <c r="M235" s="591" t="n">
        <v>788.77</v>
      </c>
      <c r="N235" s="523">
        <f>13491142.97/10000</f>
        <v/>
      </c>
      <c r="O235" s="593" t="n"/>
      <c r="P235" s="592" t="n"/>
      <c r="Q235" s="526" t="n"/>
      <c r="R235" s="523" t="n"/>
      <c r="S235" s="522">
        <f>C235</f>
        <v/>
      </c>
      <c r="T235" s="591">
        <f>U235*10000</f>
        <v/>
      </c>
      <c r="U235" s="591" t="n">
        <v>339.68</v>
      </c>
      <c r="V235" s="523" t="n"/>
      <c r="W235" s="592" t="n"/>
      <c r="X235" s="592" t="n"/>
      <c r="Y235" s="526" t="n"/>
      <c r="Z235" s="523" t="n"/>
      <c r="AA235" s="522">
        <f>S235</f>
        <v/>
      </c>
      <c r="AB235" s="591">
        <f>AC235*10000</f>
        <v/>
      </c>
      <c r="AC235" s="591" t="n">
        <v>84.63</v>
      </c>
      <c r="AD235" s="523" t="n"/>
      <c r="AE235" s="594" t="n"/>
      <c r="AF235" s="592" t="n"/>
      <c r="AG235" s="526" t="n"/>
      <c r="AH235" s="523" t="n"/>
      <c r="AI235" s="522">
        <f>C235</f>
        <v/>
      </c>
      <c r="AJ235" s="591">
        <f>AK235*10000</f>
        <v/>
      </c>
      <c r="AK235" s="522" t="n">
        <v>38.67</v>
      </c>
      <c r="AL235" s="523" t="n"/>
      <c r="AM235" s="594" t="n"/>
      <c r="AN235" s="592" t="n"/>
      <c r="AO235" s="526" t="n"/>
      <c r="AP235" s="551" t="n"/>
      <c r="AQ235" s="522">
        <f>C235</f>
        <v/>
      </c>
      <c r="AR235" s="634">
        <f>AS235*10000</f>
        <v/>
      </c>
      <c r="AS235" s="591" t="n">
        <v>221.48</v>
      </c>
      <c r="AT235" s="592" t="n"/>
      <c r="AU235" s="523" t="n"/>
      <c r="AV235" s="526" t="n"/>
      <c r="AW235" s="526" t="n"/>
      <c r="AX235" s="523" t="n"/>
      <c r="AY235" s="523" t="n"/>
      <c r="AZ235" s="523">
        <f>C235</f>
        <v/>
      </c>
      <c r="BA235" s="523" t="n"/>
      <c r="BB235" s="523" t="n"/>
      <c r="BC235" s="523" t="n"/>
      <c r="BD235" s="526" t="n"/>
      <c r="BE235" s="526" t="n"/>
      <c r="BF235" s="526" t="n"/>
      <c r="BG235" s="631" t="n"/>
      <c r="BH235" s="5">
        <f>C235</f>
        <v/>
      </c>
      <c r="BL235" s="19" t="n"/>
      <c r="BM235" s="19" t="n"/>
      <c r="BN235" s="19" t="n"/>
      <c r="BP235" s="5">
        <f>C235</f>
        <v/>
      </c>
      <c r="BQ235" s="633" t="n"/>
      <c r="BT235" s="19" t="n"/>
      <c r="BU235" s="19" t="n"/>
      <c r="BV235" s="19" t="n"/>
      <c r="BX235" s="5">
        <f>C235</f>
        <v/>
      </c>
      <c r="CB235" s="19" t="n"/>
      <c r="CC235" s="19" t="n"/>
      <c r="CD235" s="19" t="n"/>
      <c r="CF235" s="5">
        <f>C235</f>
        <v/>
      </c>
      <c r="CJ235" s="19" t="n"/>
      <c r="CK235" s="19" t="n"/>
      <c r="CL235" s="19" t="n"/>
      <c r="CN235" s="5">
        <f>C235</f>
        <v/>
      </c>
      <c r="CR235" s="19" t="n"/>
      <c r="CS235" s="19" t="n"/>
      <c r="CT235" s="19" t="n"/>
      <c r="CV235" s="5">
        <f>C235</f>
        <v/>
      </c>
      <c r="CZ235" s="19" t="n"/>
      <c r="DA235" s="19" t="n"/>
      <c r="DB235" s="19" t="n"/>
      <c r="DC235" s="23" t="n"/>
      <c r="DD235" s="5">
        <f>C235</f>
        <v/>
      </c>
      <c r="DH235" s="19" t="n"/>
      <c r="DI235" s="19" t="n"/>
      <c r="DJ235" s="19" t="n"/>
      <c r="DL235" s="5">
        <f>C235</f>
        <v/>
      </c>
      <c r="DP235" s="19" t="n"/>
      <c r="DQ235" s="19" t="n"/>
      <c r="DR235" s="19" t="n"/>
      <c r="DT235" s="5">
        <f>C235</f>
        <v/>
      </c>
      <c r="DX235" s="19" t="n"/>
      <c r="DY235" s="19" t="n"/>
      <c r="DZ235" s="19" t="n"/>
      <c r="EB235" s="5">
        <f>C235</f>
        <v/>
      </c>
      <c r="EF235" s="19" t="n"/>
      <c r="EG235" s="19" t="n"/>
      <c r="EH235" s="19" t="n"/>
      <c r="EJ235" s="5">
        <f>C235</f>
        <v/>
      </c>
      <c r="EN235" s="19" t="n"/>
      <c r="EO235" s="19" t="n"/>
      <c r="EP235" s="19" t="n"/>
      <c r="EQ235" s="19" t="n"/>
      <c r="ER235" s="5">
        <f>C235</f>
        <v/>
      </c>
      <c r="ES235" s="19" t="n"/>
      <c r="ET235" s="19" t="n"/>
      <c r="EU235" s="19" t="n"/>
      <c r="EV235" s="19" t="n"/>
      <c r="EW235" s="19" t="n"/>
      <c r="EX235" s="19" t="n"/>
      <c r="EZ235" s="5">
        <f>C235</f>
        <v/>
      </c>
      <c r="FD235" s="19" t="n"/>
      <c r="FE235" s="19" t="n"/>
      <c r="FF235" s="19" t="n"/>
      <c r="FG235" s="19" t="n"/>
      <c r="FH235" s="5">
        <f>C235</f>
        <v/>
      </c>
      <c r="FI235" s="633" t="n"/>
      <c r="FL235" s="19" t="n"/>
      <c r="FM235" s="19" t="n"/>
      <c r="FN235" s="19" t="n"/>
      <c r="FP235" s="5">
        <f>C235</f>
        <v/>
      </c>
      <c r="FT235" s="19" t="n"/>
      <c r="FU235" s="19" t="n"/>
      <c r="FV235" s="19" t="n"/>
      <c r="FX235" s="5">
        <f>C235</f>
        <v/>
      </c>
      <c r="GB235" s="19" t="n"/>
      <c r="GC235" s="19" t="n"/>
      <c r="GD235" s="19" t="n"/>
      <c r="GF235" s="5">
        <f>C235</f>
        <v/>
      </c>
      <c r="GJ235" s="19" t="n"/>
      <c r="GK235" s="19" t="n"/>
      <c r="GL235" s="19" t="n"/>
      <c r="GN235" s="5">
        <f>C235</f>
        <v/>
      </c>
      <c r="GR235" s="19" t="n"/>
      <c r="GS235" s="19" t="n"/>
      <c r="GT235" s="19" t="n"/>
      <c r="GV235" s="5">
        <f>C235</f>
        <v/>
      </c>
      <c r="GZ235" s="19" t="n"/>
      <c r="HA235" s="19" t="n"/>
      <c r="HB235" s="19" t="n"/>
      <c r="HD235" s="5">
        <f>C235</f>
        <v/>
      </c>
      <c r="HH235" s="19" t="n"/>
      <c r="HI235" s="19" t="n"/>
      <c r="HJ235" s="19" t="n"/>
      <c r="HL235" s="5">
        <f>C235</f>
        <v/>
      </c>
      <c r="HP235" s="19" t="n"/>
      <c r="HQ235" s="19" t="n"/>
      <c r="HR235" s="19" t="n"/>
      <c r="HT235" s="5">
        <f>C235</f>
        <v/>
      </c>
      <c r="HX235" s="19" t="n"/>
      <c r="HY235" s="19" t="n"/>
      <c r="HZ235" s="19" t="n"/>
      <c r="IB235" s="5">
        <f>C235</f>
        <v/>
      </c>
      <c r="IG235" s="19" t="n"/>
      <c r="IH235" s="19" t="n"/>
      <c r="IJ235" s="5">
        <f>C235</f>
        <v/>
      </c>
      <c r="IN235" s="19" t="n"/>
      <c r="IO235" s="19" t="n"/>
      <c r="IP235" s="19" t="n"/>
      <c r="IR235" s="5">
        <f>C235</f>
        <v/>
      </c>
      <c r="IV235" s="19" t="n"/>
      <c r="IW235" s="19" t="n"/>
      <c r="IX235" s="19" t="n"/>
      <c r="IZ235" s="5">
        <f>C235</f>
        <v/>
      </c>
      <c r="JD235" s="19" t="n"/>
      <c r="JE235" s="19" t="n"/>
      <c r="JF235" s="19" t="n"/>
      <c r="JH235" s="5">
        <f>C235</f>
        <v/>
      </c>
      <c r="JL235" s="19" t="n"/>
      <c r="JM235" s="19" t="n"/>
      <c r="JN235" s="19" t="n"/>
      <c r="JO235" s="19" t="n"/>
      <c r="JP235" s="5">
        <f>C235</f>
        <v/>
      </c>
      <c r="JT235" s="19" t="n"/>
      <c r="JU235" s="19" t="n"/>
      <c r="JV235" s="19" t="n"/>
      <c r="JW235" s="19" t="n"/>
      <c r="JX235" s="5">
        <f>C235</f>
        <v/>
      </c>
      <c r="KB235" s="19" t="n"/>
      <c r="KC235" s="19" t="n"/>
      <c r="KD235" s="19" t="n"/>
      <c r="KE235" s="19" t="n"/>
      <c r="KF235" s="5">
        <f>C235</f>
        <v/>
      </c>
      <c r="KG235" s="19" t="n"/>
      <c r="KH235" s="19" t="n"/>
      <c r="KJ235" s="19" t="n"/>
      <c r="KK235" s="19" t="n"/>
      <c r="KL235" s="19" t="n"/>
      <c r="KM235" s="19" t="n"/>
      <c r="KN235" s="5">
        <f>C235</f>
        <v/>
      </c>
      <c r="KR235" s="19" t="n"/>
      <c r="KS235" s="19" t="n"/>
      <c r="KT235" s="19" t="n"/>
      <c r="KV235" s="5">
        <f>C235</f>
        <v/>
      </c>
      <c r="KZ235" s="19" t="n"/>
      <c r="LA235" s="19" t="n"/>
      <c r="LB235" s="19" t="n"/>
      <c r="LD235" s="5">
        <f>C235</f>
        <v/>
      </c>
      <c r="LH235" s="19" t="n"/>
      <c r="LI235" s="19" t="n"/>
      <c r="LJ235" s="19" t="n"/>
      <c r="LL235" s="5">
        <f>C235</f>
        <v/>
      </c>
      <c r="LM235" s="633" t="n"/>
      <c r="LP235" s="19" t="n"/>
      <c r="LQ235" s="19" t="n"/>
      <c r="LR235" s="19" t="n"/>
      <c r="LS235" s="551" t="n"/>
      <c r="LT235" s="522">
        <f>C235</f>
        <v/>
      </c>
      <c r="LU235" s="522">
        <f>LV235*10000</f>
        <v/>
      </c>
      <c r="LV235" s="522" t="n">
        <v>1.21</v>
      </c>
      <c r="LX235" s="525" t="n"/>
      <c r="LY235" s="525" t="n"/>
      <c r="LZ235" s="19" t="n"/>
      <c r="MB235" s="5">
        <f>C235</f>
        <v/>
      </c>
      <c r="MF235" s="19" t="n"/>
      <c r="MG235" s="19" t="n"/>
      <c r="MH235" s="19" t="n"/>
      <c r="MK235" s="5">
        <f>C235</f>
        <v/>
      </c>
      <c r="MM235" s="24" t="n"/>
      <c r="MO235" s="19" t="n"/>
      <c r="MP235" s="19" t="n"/>
      <c r="MQ235" s="19" t="n"/>
      <c r="MR235" s="19" t="n"/>
      <c r="MS235" s="19" t="n"/>
      <c r="MT235" s="25">
        <f>C235</f>
        <v/>
      </c>
      <c r="MX235" s="19" t="n"/>
      <c r="MY235" s="19" t="n"/>
      <c r="MZ235" s="19" t="n"/>
      <c r="NA235" s="19" t="n"/>
      <c r="NB235" s="19" t="n"/>
      <c r="NC235" s="5">
        <f>C235</f>
        <v/>
      </c>
      <c r="NG235" s="19" t="n"/>
      <c r="NH235" s="19" t="n"/>
      <c r="NI235" s="19" t="n"/>
      <c r="NJ235" s="19" t="n"/>
      <c r="NK235" s="19" t="n"/>
      <c r="NM235" s="5">
        <f>C235</f>
        <v/>
      </c>
      <c r="NQ235" s="19" t="n"/>
      <c r="NR235" s="19" t="n"/>
      <c r="NU235" s="5">
        <f>C235</f>
        <v/>
      </c>
      <c r="NY235" s="19" t="n"/>
      <c r="NZ235" s="19" t="n"/>
      <c r="OC235" s="5">
        <f>C235</f>
        <v/>
      </c>
      <c r="OG235" s="19" t="n"/>
      <c r="OH235" s="19" t="n"/>
      <c r="OI235" s="19" t="n"/>
      <c r="OK235" s="5">
        <f>C235</f>
        <v/>
      </c>
      <c r="OO235" s="19" t="n"/>
      <c r="OP235" s="19" t="n"/>
      <c r="OQ235" s="19" t="n"/>
      <c r="OT235" s="25">
        <f>OK235</f>
        <v/>
      </c>
      <c r="OX235" s="19" t="n"/>
    </row>
    <row r="236" ht="21" customFormat="1" customHeight="1" s="5">
      <c r="A236" s="631" t="n"/>
      <c r="B236" s="631" t="n"/>
      <c r="C236" s="714" t="inlineStr">
        <is>
          <t>2023//9//30</t>
        </is>
      </c>
      <c r="D236" s="591">
        <f>E236*10000</f>
        <v/>
      </c>
      <c r="E236" s="591" t="n">
        <v>319.16</v>
      </c>
      <c r="F236" s="523">
        <f>11860509.93/10000</f>
        <v/>
      </c>
      <c r="G236" s="592" t="n"/>
      <c r="H236" s="592" t="n"/>
      <c r="I236" s="526" t="n"/>
      <c r="J236" s="526" t="n"/>
      <c r="K236" s="522">
        <f>C236</f>
        <v/>
      </c>
      <c r="L236" s="591">
        <f>M236*10000/2</f>
        <v/>
      </c>
      <c r="M236" s="591" t="n">
        <v>291.41</v>
      </c>
      <c r="N236" s="523">
        <f>4563660.83/10000</f>
        <v/>
      </c>
      <c r="O236" s="594" t="n"/>
      <c r="P236" s="592" t="n"/>
      <c r="Q236" s="526" t="n"/>
      <c r="R236" s="523" t="n"/>
      <c r="S236" s="522">
        <f>C236</f>
        <v/>
      </c>
      <c r="T236" s="591">
        <f>U236*10000</f>
        <v/>
      </c>
      <c r="U236" s="591" t="n">
        <v>248.88</v>
      </c>
      <c r="V236" s="523" t="n"/>
      <c r="W236" s="592" t="n"/>
      <c r="X236" s="592" t="n"/>
      <c r="Y236" s="526" t="n"/>
      <c r="Z236" s="523" t="n"/>
      <c r="AA236" s="522">
        <f>S236</f>
        <v/>
      </c>
      <c r="AB236" s="591">
        <f>AC236*10000</f>
        <v/>
      </c>
      <c r="AC236" s="591" t="n">
        <v>99.53</v>
      </c>
      <c r="AD236" s="523" t="n"/>
      <c r="AE236" s="594" t="n"/>
      <c r="AF236" s="592" t="n"/>
      <c r="AG236" s="526" t="n"/>
      <c r="AH236" s="523" t="n"/>
      <c r="AI236" s="522">
        <f>C236</f>
        <v/>
      </c>
      <c r="AJ236" s="591">
        <f>AK236*10000</f>
        <v/>
      </c>
      <c r="AK236" s="522" t="n">
        <v>49.5</v>
      </c>
      <c r="AL236" s="523" t="n"/>
      <c r="AM236" s="594" t="n"/>
      <c r="AN236" s="592" t="n"/>
      <c r="AO236" s="526" t="n"/>
      <c r="AP236" s="551" t="n"/>
      <c r="AQ236" s="522">
        <f>C236</f>
        <v/>
      </c>
      <c r="AR236" s="634">
        <f>AS236*10000</f>
        <v/>
      </c>
      <c r="AS236" s="591" t="n">
        <v>203.72</v>
      </c>
      <c r="AT236" s="592" t="n"/>
      <c r="AU236" s="523" t="n"/>
      <c r="AV236" s="526" t="n"/>
      <c r="AW236" s="526" t="n"/>
      <c r="AX236" s="523" t="n"/>
      <c r="AY236" s="523" t="n"/>
      <c r="AZ236" s="523">
        <f>C236</f>
        <v/>
      </c>
      <c r="BA236" s="523" t="n"/>
      <c r="BB236" s="523" t="n"/>
      <c r="BC236" s="523" t="n"/>
      <c r="BD236" s="526" t="n"/>
      <c r="BE236" s="526" t="n"/>
      <c r="BF236" s="526" t="n"/>
      <c r="BG236" s="631" t="n"/>
      <c r="BH236" s="5">
        <f>C236</f>
        <v/>
      </c>
      <c r="BL236" s="19" t="n"/>
      <c r="BM236" s="19" t="n"/>
      <c r="BN236" s="19" t="n"/>
      <c r="BP236" s="5">
        <f>C236</f>
        <v/>
      </c>
      <c r="BQ236" s="633" t="n"/>
      <c r="BT236" s="19" t="n"/>
      <c r="BU236" s="19" t="n"/>
      <c r="BV236" s="19" t="n"/>
      <c r="BX236" s="5">
        <f>C236</f>
        <v/>
      </c>
      <c r="CB236" s="19" t="n"/>
      <c r="CC236" s="19" t="n"/>
      <c r="CD236" s="19" t="n"/>
      <c r="CF236" s="5">
        <f>C236</f>
        <v/>
      </c>
      <c r="CJ236" s="19" t="n"/>
      <c r="CK236" s="19" t="n"/>
      <c r="CL236" s="19" t="n"/>
      <c r="CN236" s="5">
        <f>C236</f>
        <v/>
      </c>
      <c r="CR236" s="19" t="n"/>
      <c r="CS236" s="19" t="n"/>
      <c r="CT236" s="19" t="n"/>
      <c r="CV236" s="5">
        <f>C236</f>
        <v/>
      </c>
      <c r="CZ236" s="19" t="n"/>
      <c r="DA236" s="19" t="n"/>
      <c r="DB236" s="19" t="n"/>
      <c r="DC236" s="23" t="n"/>
      <c r="DD236" s="5">
        <f>C236</f>
        <v/>
      </c>
      <c r="DH236" s="19" t="n"/>
      <c r="DI236" s="19" t="n"/>
      <c r="DJ236" s="19" t="n"/>
      <c r="DL236" s="5">
        <f>C236</f>
        <v/>
      </c>
      <c r="DP236" s="19" t="n"/>
      <c r="DQ236" s="19" t="n"/>
      <c r="DR236" s="19" t="n"/>
      <c r="DT236" s="5">
        <f>C236</f>
        <v/>
      </c>
      <c r="DX236" s="19" t="n"/>
      <c r="DY236" s="19" t="n"/>
      <c r="DZ236" s="19" t="n"/>
      <c r="EB236" s="5">
        <f>C236</f>
        <v/>
      </c>
      <c r="EF236" s="19" t="n"/>
      <c r="EG236" s="19" t="n"/>
      <c r="EH236" s="19" t="n"/>
      <c r="EJ236" s="5">
        <f>C236</f>
        <v/>
      </c>
      <c r="EN236" s="19" t="n"/>
      <c r="EO236" s="19" t="n"/>
      <c r="EP236" s="19" t="n"/>
      <c r="EQ236" s="19" t="n"/>
      <c r="ER236" s="5">
        <f>C236</f>
        <v/>
      </c>
      <c r="ES236" s="19" t="n"/>
      <c r="ET236" s="19" t="n"/>
      <c r="EU236" s="19" t="n"/>
      <c r="EV236" s="19" t="n"/>
      <c r="EW236" s="19" t="n"/>
      <c r="EX236" s="19" t="n"/>
      <c r="EZ236" s="5">
        <f>C236</f>
        <v/>
      </c>
      <c r="FD236" s="19" t="n"/>
      <c r="FE236" s="19" t="n"/>
      <c r="FF236" s="19" t="n"/>
      <c r="FG236" s="19" t="n"/>
      <c r="FH236" s="5">
        <f>C236</f>
        <v/>
      </c>
      <c r="FI236" s="633" t="n"/>
      <c r="FL236" s="19" t="n"/>
      <c r="FM236" s="19" t="n"/>
      <c r="FN236" s="19" t="n"/>
      <c r="FP236" s="5">
        <f>C236</f>
        <v/>
      </c>
      <c r="FT236" s="19" t="n"/>
      <c r="FU236" s="19" t="n"/>
      <c r="FV236" s="19" t="n"/>
      <c r="FX236" s="5">
        <f>C236</f>
        <v/>
      </c>
      <c r="GB236" s="19" t="n"/>
      <c r="GC236" s="19" t="n"/>
      <c r="GD236" s="19" t="n"/>
      <c r="GF236" s="5">
        <f>C236</f>
        <v/>
      </c>
      <c r="GJ236" s="19" t="n"/>
      <c r="GK236" s="19" t="n"/>
      <c r="GL236" s="19" t="n"/>
      <c r="GN236" s="5">
        <f>C236</f>
        <v/>
      </c>
      <c r="GR236" s="19" t="n"/>
      <c r="GS236" s="19" t="n"/>
      <c r="GT236" s="19" t="n"/>
      <c r="GV236" s="5">
        <f>C236</f>
        <v/>
      </c>
      <c r="GZ236" s="19" t="n"/>
      <c r="HA236" s="19" t="n"/>
      <c r="HB236" s="19" t="n"/>
      <c r="HD236" s="5">
        <f>C236</f>
        <v/>
      </c>
      <c r="HH236" s="19" t="n"/>
      <c r="HI236" s="19" t="n"/>
      <c r="HJ236" s="19" t="n"/>
      <c r="HL236" s="5">
        <f>C236</f>
        <v/>
      </c>
      <c r="HP236" s="19" t="n"/>
      <c r="HQ236" s="19" t="n"/>
      <c r="HR236" s="19" t="n"/>
      <c r="HT236" s="5">
        <f>C236</f>
        <v/>
      </c>
      <c r="HX236" s="19" t="n"/>
      <c r="HY236" s="19" t="n"/>
      <c r="HZ236" s="19" t="n"/>
      <c r="IB236" s="5">
        <f>C236</f>
        <v/>
      </c>
      <c r="IG236" s="19" t="n"/>
      <c r="IH236" s="19" t="n"/>
      <c r="IJ236" s="5">
        <f>C236</f>
        <v/>
      </c>
      <c r="IN236" s="19" t="n"/>
      <c r="IO236" s="19" t="n"/>
      <c r="IP236" s="19" t="n"/>
      <c r="IR236" s="5">
        <f>C236</f>
        <v/>
      </c>
      <c r="IV236" s="19" t="n"/>
      <c r="IW236" s="19" t="n"/>
      <c r="IX236" s="19" t="n"/>
      <c r="IZ236" s="5">
        <f>C236</f>
        <v/>
      </c>
      <c r="JD236" s="19" t="n"/>
      <c r="JE236" s="19" t="n"/>
      <c r="JF236" s="19" t="n"/>
      <c r="JH236" s="5">
        <f>C236</f>
        <v/>
      </c>
      <c r="JL236" s="19" t="n"/>
      <c r="JM236" s="19" t="n"/>
      <c r="JN236" s="19" t="n"/>
      <c r="JO236" s="19" t="n"/>
      <c r="JP236" s="5">
        <f>C236</f>
        <v/>
      </c>
      <c r="JT236" s="19" t="n"/>
      <c r="JU236" s="19" t="n"/>
      <c r="JV236" s="19" t="n"/>
      <c r="JW236" s="19" t="n"/>
      <c r="JX236" s="5">
        <f>C236</f>
        <v/>
      </c>
      <c r="KB236" s="19" t="n"/>
      <c r="KC236" s="19" t="n"/>
      <c r="KD236" s="19" t="n"/>
      <c r="KE236" s="19" t="n"/>
      <c r="KF236" s="5">
        <f>C236</f>
        <v/>
      </c>
      <c r="KG236" s="19" t="n"/>
      <c r="KH236" s="19" t="n"/>
      <c r="KJ236" s="19" t="n"/>
      <c r="KK236" s="19" t="n"/>
      <c r="KL236" s="19" t="n"/>
      <c r="KM236" s="19" t="n"/>
      <c r="KN236" s="5">
        <f>C236</f>
        <v/>
      </c>
      <c r="KR236" s="19" t="n"/>
      <c r="KS236" s="19" t="n"/>
      <c r="KT236" s="19" t="n"/>
      <c r="KV236" s="5">
        <f>C236</f>
        <v/>
      </c>
      <c r="KZ236" s="19" t="n"/>
      <c r="LA236" s="19" t="n"/>
      <c r="LB236" s="19" t="n"/>
      <c r="LD236" s="5">
        <f>C236</f>
        <v/>
      </c>
      <c r="LH236" s="19" t="n"/>
      <c r="LI236" s="19" t="n"/>
      <c r="LJ236" s="19" t="n"/>
      <c r="LL236" s="5">
        <f>C236</f>
        <v/>
      </c>
      <c r="LM236" s="633" t="n"/>
      <c r="LP236" s="19" t="n"/>
      <c r="LQ236" s="19" t="n"/>
      <c r="LR236" s="19" t="n"/>
      <c r="LS236" s="551" t="n"/>
      <c r="LT236" s="522">
        <f>C236</f>
        <v/>
      </c>
      <c r="LU236" s="522">
        <f>LV236*10000</f>
        <v/>
      </c>
      <c r="LV236" s="522" t="n">
        <v>1.97</v>
      </c>
      <c r="LX236" s="525" t="n"/>
      <c r="LY236" s="525" t="n"/>
      <c r="LZ236" s="19" t="n"/>
      <c r="MB236" s="5">
        <f>C236</f>
        <v/>
      </c>
      <c r="MF236" s="19" t="n"/>
      <c r="MG236" s="19" t="n"/>
      <c r="MH236" s="19" t="n"/>
      <c r="MK236" s="5">
        <f>C236</f>
        <v/>
      </c>
      <c r="MM236" s="24" t="n"/>
      <c r="MO236" s="19" t="n"/>
      <c r="MP236" s="19" t="n"/>
      <c r="MQ236" s="19" t="n"/>
      <c r="MR236" s="19" t="n"/>
      <c r="MS236" s="19" t="n"/>
      <c r="MT236" s="25">
        <f>C236</f>
        <v/>
      </c>
      <c r="MX236" s="19" t="n"/>
      <c r="MY236" s="19" t="n"/>
      <c r="MZ236" s="19" t="n"/>
      <c r="NA236" s="19" t="n"/>
      <c r="NB236" s="19" t="n"/>
      <c r="NC236" s="5">
        <f>C236</f>
        <v/>
      </c>
      <c r="NG236" s="19" t="n"/>
      <c r="NH236" s="19" t="n"/>
      <c r="NI236" s="19" t="n"/>
      <c r="NJ236" s="19" t="n"/>
      <c r="NK236" s="19" t="n"/>
      <c r="NM236" s="5">
        <f>C236</f>
        <v/>
      </c>
      <c r="NQ236" s="19" t="n"/>
      <c r="NR236" s="19" t="n"/>
      <c r="NU236" s="5">
        <f>C236</f>
        <v/>
      </c>
      <c r="NY236" s="19" t="n"/>
      <c r="NZ236" s="19" t="n"/>
      <c r="OC236" s="5">
        <f>C236</f>
        <v/>
      </c>
      <c r="OG236" s="19" t="n"/>
      <c r="OH236" s="19" t="n"/>
      <c r="OI236" s="19" t="n"/>
      <c r="OK236" s="5">
        <f>C236</f>
        <v/>
      </c>
      <c r="OO236" s="19" t="n"/>
      <c r="OP236" s="19" t="n"/>
      <c r="OQ236" s="19" t="n"/>
      <c r="OT236" s="25">
        <f>OK236</f>
        <v/>
      </c>
      <c r="OX236" s="19" t="n"/>
    </row>
    <row r="237" ht="21" customFormat="1" customHeight="1" s="5">
      <c r="A237" s="631" t="n"/>
      <c r="B237" s="631" t="n"/>
      <c r="C237" s="714" t="inlineStr">
        <is>
          <t>2023//6//30</t>
        </is>
      </c>
      <c r="D237" s="591">
        <f>E237*10000</f>
        <v/>
      </c>
      <c r="E237" s="591" t="n">
        <v>185.22</v>
      </c>
      <c r="F237" s="527">
        <f>7111120.46/10000</f>
        <v/>
      </c>
      <c r="G237" s="592" t="n"/>
      <c r="H237" s="592" t="n"/>
      <c r="I237" s="526" t="n"/>
      <c r="J237" s="526" t="n"/>
      <c r="K237" s="522">
        <f>C237</f>
        <v/>
      </c>
      <c r="L237" s="591">
        <f>M237*10000/2</f>
        <v/>
      </c>
      <c r="M237" s="591" t="n">
        <v>171.29</v>
      </c>
      <c r="N237" s="523">
        <f>2920899.04/10000</f>
        <v/>
      </c>
      <c r="O237" s="594" t="n"/>
      <c r="P237" s="592" t="n"/>
      <c r="Q237" s="526" t="n"/>
      <c r="R237" s="523" t="n"/>
      <c r="S237" s="522">
        <f>C237</f>
        <v/>
      </c>
      <c r="T237" s="591">
        <f>U237*10000</f>
        <v/>
      </c>
      <c r="U237" s="591" t="n">
        <v>226.86</v>
      </c>
      <c r="V237" s="523" t="n"/>
      <c r="W237" s="592" t="n"/>
      <c r="X237" s="592" t="n"/>
      <c r="Y237" s="526" t="n"/>
      <c r="Z237" s="523" t="n"/>
      <c r="AA237" s="522">
        <f>S237</f>
        <v/>
      </c>
      <c r="AB237" s="591">
        <f>AC237*10000</f>
        <v/>
      </c>
      <c r="AC237" s="591" t="n">
        <v>79.48999999999999</v>
      </c>
      <c r="AD237" s="523" t="n"/>
      <c r="AE237" s="594" t="n"/>
      <c r="AF237" s="592" t="n"/>
      <c r="AG237" s="526" t="n"/>
      <c r="AH237" s="523" t="n"/>
      <c r="AI237" s="522">
        <f>C237</f>
        <v/>
      </c>
      <c r="AJ237" s="591">
        <f>AK237*10000</f>
        <v/>
      </c>
      <c r="AK237" s="522" t="n">
        <v>36.99</v>
      </c>
      <c r="AL237" s="523" t="n"/>
      <c r="AM237" s="594" t="n"/>
      <c r="AN237" s="592" t="n"/>
      <c r="AO237" s="526" t="n"/>
      <c r="AP237" s="551" t="n"/>
      <c r="AQ237" s="522">
        <f>C237</f>
        <v/>
      </c>
      <c r="AR237" s="634">
        <f>AS237*10000</f>
        <v/>
      </c>
      <c r="AS237" s="591" t="n">
        <v>180.56</v>
      </c>
      <c r="AT237" s="592" t="n"/>
      <c r="AU237" s="523" t="n"/>
      <c r="AV237" s="526" t="n"/>
      <c r="AW237" s="526" t="n"/>
      <c r="AX237" s="523" t="n"/>
      <c r="AY237" s="523" t="n"/>
      <c r="AZ237" s="523">
        <f>C237</f>
        <v/>
      </c>
      <c r="BA237" s="523" t="n"/>
      <c r="BB237" s="523" t="n"/>
      <c r="BC237" s="523" t="n"/>
      <c r="BD237" s="526" t="n"/>
      <c r="BE237" s="526" t="n"/>
      <c r="BF237" s="526" t="n"/>
      <c r="BG237" s="631" t="n"/>
      <c r="BH237" s="5">
        <f>C237</f>
        <v/>
      </c>
      <c r="BL237" s="19" t="n"/>
      <c r="BM237" s="19" t="n"/>
      <c r="BN237" s="19" t="n"/>
      <c r="BP237" s="5">
        <f>C237</f>
        <v/>
      </c>
      <c r="BQ237" s="633" t="n"/>
      <c r="BT237" s="19" t="n"/>
      <c r="BU237" s="19" t="n"/>
      <c r="BV237" s="19" t="n"/>
      <c r="BX237" s="5">
        <f>C237</f>
        <v/>
      </c>
      <c r="CB237" s="19" t="n"/>
      <c r="CC237" s="19" t="n"/>
      <c r="CD237" s="19" t="n"/>
      <c r="CF237" s="5">
        <f>C237</f>
        <v/>
      </c>
      <c r="CJ237" s="19" t="n"/>
      <c r="CK237" s="19" t="n"/>
      <c r="CL237" s="19" t="n"/>
      <c r="CN237" s="5">
        <f>C237</f>
        <v/>
      </c>
      <c r="CR237" s="19" t="n"/>
      <c r="CS237" s="19" t="n"/>
      <c r="CT237" s="19" t="n"/>
      <c r="CV237" s="5">
        <f>C237</f>
        <v/>
      </c>
      <c r="CZ237" s="19" t="n"/>
      <c r="DA237" s="19" t="n"/>
      <c r="DB237" s="19" t="n"/>
      <c r="DC237" s="23" t="n"/>
      <c r="DD237" s="5">
        <f>C237</f>
        <v/>
      </c>
      <c r="DH237" s="19" t="n"/>
      <c r="DI237" s="19" t="n"/>
      <c r="DJ237" s="19" t="n"/>
      <c r="DL237" s="5">
        <f>C237</f>
        <v/>
      </c>
      <c r="DP237" s="19" t="n"/>
      <c r="DQ237" s="19" t="n"/>
      <c r="DR237" s="19" t="n"/>
      <c r="DT237" s="5">
        <f>C237</f>
        <v/>
      </c>
      <c r="DX237" s="19" t="n"/>
      <c r="DY237" s="19" t="n"/>
      <c r="DZ237" s="19" t="n"/>
      <c r="EB237" s="5">
        <f>C237</f>
        <v/>
      </c>
      <c r="EF237" s="19" t="n"/>
      <c r="EG237" s="19" t="n"/>
      <c r="EH237" s="19" t="n"/>
      <c r="EJ237" s="5">
        <f>C237</f>
        <v/>
      </c>
      <c r="EN237" s="19" t="n"/>
      <c r="EO237" s="19" t="n"/>
      <c r="EP237" s="19" t="n"/>
      <c r="EQ237" s="19" t="n"/>
      <c r="ER237" s="5">
        <f>C237</f>
        <v/>
      </c>
      <c r="ES237" s="19" t="n"/>
      <c r="ET237" s="19" t="n"/>
      <c r="EU237" s="19" t="n"/>
      <c r="EV237" s="19" t="n"/>
      <c r="EW237" s="19" t="n"/>
      <c r="EX237" s="19" t="n"/>
      <c r="EZ237" s="5">
        <f>C237</f>
        <v/>
      </c>
      <c r="FD237" s="19" t="n"/>
      <c r="FE237" s="19" t="n"/>
      <c r="FF237" s="19" t="n"/>
      <c r="FG237" s="19" t="n"/>
      <c r="FH237" s="5">
        <f>C237</f>
        <v/>
      </c>
      <c r="FI237" s="633" t="n"/>
      <c r="FL237" s="19" t="n"/>
      <c r="FM237" s="19" t="n"/>
      <c r="FN237" s="19" t="n"/>
      <c r="FP237" s="5">
        <f>C237</f>
        <v/>
      </c>
      <c r="FT237" s="19" t="n"/>
      <c r="FU237" s="19" t="n"/>
      <c r="FV237" s="19" t="n"/>
      <c r="FX237" s="5">
        <f>C237</f>
        <v/>
      </c>
      <c r="GB237" s="19" t="n"/>
      <c r="GC237" s="19" t="n"/>
      <c r="GD237" s="19" t="n"/>
      <c r="GF237" s="5">
        <f>C237</f>
        <v/>
      </c>
      <c r="GJ237" s="19" t="n"/>
      <c r="GK237" s="19" t="n"/>
      <c r="GL237" s="19" t="n"/>
      <c r="GN237" s="5">
        <f>C237</f>
        <v/>
      </c>
      <c r="GR237" s="19" t="n"/>
      <c r="GS237" s="19" t="n"/>
      <c r="GT237" s="19" t="n"/>
      <c r="GV237" s="5">
        <f>C237</f>
        <v/>
      </c>
      <c r="GZ237" s="19" t="n"/>
      <c r="HA237" s="19" t="n"/>
      <c r="HB237" s="19" t="n"/>
      <c r="HD237" s="5">
        <f>C237</f>
        <v/>
      </c>
      <c r="HH237" s="19" t="n"/>
      <c r="HI237" s="19" t="n"/>
      <c r="HJ237" s="19" t="n"/>
      <c r="HL237" s="5">
        <f>C237</f>
        <v/>
      </c>
      <c r="HP237" s="19" t="n"/>
      <c r="HQ237" s="19" t="n"/>
      <c r="HR237" s="19" t="n"/>
      <c r="HT237" s="5">
        <f>C237</f>
        <v/>
      </c>
      <c r="HX237" s="19" t="n"/>
      <c r="HY237" s="19" t="n"/>
      <c r="HZ237" s="19" t="n"/>
      <c r="IB237" s="5">
        <f>C237</f>
        <v/>
      </c>
      <c r="IG237" s="19" t="n"/>
      <c r="IH237" s="19" t="n"/>
      <c r="IJ237" s="5">
        <f>C237</f>
        <v/>
      </c>
      <c r="IN237" s="19" t="n"/>
      <c r="IO237" s="19" t="n"/>
      <c r="IP237" s="19" t="n"/>
      <c r="IR237" s="5">
        <f>C237</f>
        <v/>
      </c>
      <c r="IV237" s="19" t="n"/>
      <c r="IW237" s="19" t="n"/>
      <c r="IX237" s="19" t="n"/>
      <c r="IZ237" s="5">
        <f>C237</f>
        <v/>
      </c>
      <c r="JD237" s="19" t="n"/>
      <c r="JE237" s="19" t="n"/>
      <c r="JF237" s="19" t="n"/>
      <c r="JH237" s="5">
        <f>C237</f>
        <v/>
      </c>
      <c r="JL237" s="19" t="n"/>
      <c r="JM237" s="19" t="n"/>
      <c r="JN237" s="19" t="n"/>
      <c r="JO237" s="19" t="n"/>
      <c r="JP237" s="5">
        <f>C237</f>
        <v/>
      </c>
      <c r="JT237" s="19" t="n"/>
      <c r="JU237" s="19" t="n"/>
      <c r="JV237" s="19" t="n"/>
      <c r="JW237" s="19" t="n"/>
      <c r="JX237" s="5">
        <f>C237</f>
        <v/>
      </c>
      <c r="KB237" s="19" t="n"/>
      <c r="KC237" s="19" t="n"/>
      <c r="KD237" s="19" t="n"/>
      <c r="KE237" s="19" t="n"/>
      <c r="KF237" s="5">
        <f>C237</f>
        <v/>
      </c>
      <c r="KG237" s="19" t="n"/>
      <c r="KH237" s="19" t="n"/>
      <c r="KJ237" s="19" t="n"/>
      <c r="KK237" s="19" t="n"/>
      <c r="KL237" s="19" t="n"/>
      <c r="KM237" s="19" t="n"/>
      <c r="KN237" s="5">
        <f>C237</f>
        <v/>
      </c>
      <c r="KR237" s="19" t="n"/>
      <c r="KS237" s="19" t="n"/>
      <c r="KT237" s="19" t="n"/>
      <c r="KV237" s="5">
        <f>C237</f>
        <v/>
      </c>
      <c r="KZ237" s="19" t="n"/>
      <c r="LA237" s="19" t="n"/>
      <c r="LB237" s="19" t="n"/>
      <c r="LD237" s="5">
        <f>C237</f>
        <v/>
      </c>
      <c r="LH237" s="19" t="n"/>
      <c r="LI237" s="19" t="n"/>
      <c r="LJ237" s="19" t="n"/>
      <c r="LL237" s="5">
        <f>C237</f>
        <v/>
      </c>
      <c r="LM237" s="633" t="n"/>
      <c r="LP237" s="19" t="n"/>
      <c r="LQ237" s="19" t="n"/>
      <c r="LR237" s="19" t="n"/>
      <c r="LS237" s="551" t="n"/>
      <c r="LT237" s="522">
        <f>C237</f>
        <v/>
      </c>
      <c r="LU237" s="522">
        <f>LV237*10000</f>
        <v/>
      </c>
      <c r="LV237" s="522" t="n">
        <v>2.01</v>
      </c>
      <c r="LX237" s="525" t="n"/>
      <c r="LY237" s="525" t="n"/>
      <c r="LZ237" s="19" t="n"/>
      <c r="MB237" s="5">
        <f>C237</f>
        <v/>
      </c>
      <c r="MF237" s="19" t="n"/>
      <c r="MG237" s="19" t="n"/>
      <c r="MH237" s="19" t="n"/>
      <c r="MK237" s="5">
        <f>C237</f>
        <v/>
      </c>
      <c r="MM237" s="24" t="n"/>
      <c r="MO237" s="19" t="n"/>
      <c r="MP237" s="19" t="n"/>
      <c r="MQ237" s="19" t="n"/>
      <c r="MR237" s="19" t="n"/>
      <c r="MS237" s="19" t="n"/>
      <c r="MT237" s="25">
        <f>C237</f>
        <v/>
      </c>
      <c r="MX237" s="19" t="n"/>
      <c r="MY237" s="19" t="n"/>
      <c r="MZ237" s="19" t="n"/>
      <c r="NA237" s="19" t="n"/>
      <c r="NB237" s="19" t="n"/>
      <c r="NC237" s="5">
        <f>C237</f>
        <v/>
      </c>
      <c r="NG237" s="19" t="n"/>
      <c r="NH237" s="19" t="n"/>
      <c r="NI237" s="19" t="n"/>
      <c r="NJ237" s="19" t="n"/>
      <c r="NK237" s="19" t="n"/>
      <c r="NM237" s="5">
        <f>C237</f>
        <v/>
      </c>
      <c r="NQ237" s="19" t="n"/>
      <c r="NR237" s="19" t="n"/>
      <c r="NU237" s="5">
        <f>C237</f>
        <v/>
      </c>
      <c r="NY237" s="19" t="n"/>
      <c r="NZ237" s="19" t="n"/>
      <c r="OC237" s="5">
        <f>C237</f>
        <v/>
      </c>
      <c r="OG237" s="19" t="n"/>
      <c r="OH237" s="19" t="n"/>
      <c r="OI237" s="19" t="n"/>
      <c r="OK237" s="5">
        <f>C237</f>
        <v/>
      </c>
      <c r="OO237" s="19" t="n"/>
      <c r="OP237" s="19" t="n"/>
      <c r="OQ237" s="19" t="n"/>
      <c r="OT237" s="25">
        <f>OK237</f>
        <v/>
      </c>
      <c r="OX237" s="19" t="n"/>
    </row>
    <row r="238" ht="21" customFormat="1" customHeight="1" s="5">
      <c r="A238" s="631" t="n"/>
      <c r="B238" s="631" t="n"/>
      <c r="C238" s="714" t="inlineStr">
        <is>
          <t>2023//3//31</t>
        </is>
      </c>
      <c r="D238" s="591">
        <f>E238*10000</f>
        <v/>
      </c>
      <c r="E238" s="591" t="n">
        <v>165.77</v>
      </c>
      <c r="F238" s="523" t="n"/>
      <c r="G238" s="592" t="n"/>
      <c r="H238" s="592" t="n"/>
      <c r="I238" s="526" t="n"/>
      <c r="J238" s="526" t="n"/>
      <c r="K238" s="522">
        <f>C238</f>
        <v/>
      </c>
      <c r="L238" s="591">
        <f>M238*10000</f>
        <v/>
      </c>
      <c r="M238" s="591" t="n">
        <v>104.85</v>
      </c>
      <c r="N238" s="523">
        <f>1800431.76/10000</f>
        <v/>
      </c>
      <c r="O238" s="594" t="n"/>
      <c r="P238" s="592" t="n"/>
      <c r="Q238" s="526" t="n"/>
      <c r="R238" s="523" t="n"/>
      <c r="S238" s="522">
        <f>C238</f>
        <v/>
      </c>
      <c r="T238" s="591">
        <f>U238*10000</f>
        <v/>
      </c>
      <c r="U238" s="591" t="n">
        <v>202.4</v>
      </c>
      <c r="V238" s="523" t="n"/>
      <c r="W238" s="592" t="n"/>
      <c r="X238" s="592" t="n"/>
      <c r="Y238" s="526" t="n"/>
      <c r="Z238" s="523" t="n"/>
      <c r="AA238" s="522">
        <f>S238</f>
        <v/>
      </c>
      <c r="AB238" s="591">
        <f>AC238*10000</f>
        <v/>
      </c>
      <c r="AC238" s="591" t="n">
        <v>78.5</v>
      </c>
      <c r="AD238" s="523" t="n"/>
      <c r="AE238" s="594" t="n"/>
      <c r="AF238" s="592" t="n"/>
      <c r="AG238" s="526" t="n"/>
      <c r="AH238" s="523" t="n"/>
      <c r="AI238" s="522">
        <f>C238</f>
        <v/>
      </c>
      <c r="AJ238" s="591">
        <f>AK238*10000</f>
        <v/>
      </c>
      <c r="AK238" s="522" t="n">
        <v>36.06</v>
      </c>
      <c r="AL238" s="523" t="n"/>
      <c r="AM238" s="594" t="n"/>
      <c r="AN238" s="592" t="n"/>
      <c r="AO238" s="526" t="n"/>
      <c r="AP238" s="551" t="n"/>
      <c r="AQ238" s="522">
        <f>C238</f>
        <v/>
      </c>
      <c r="AR238" s="634">
        <f>AS238*10000</f>
        <v/>
      </c>
      <c r="AS238" s="591" t="n">
        <v>144.45</v>
      </c>
      <c r="AT238" s="592" t="n"/>
      <c r="AU238" s="523" t="n"/>
      <c r="AV238" s="526" t="n"/>
      <c r="AW238" s="526" t="n"/>
      <c r="AX238" s="523" t="n"/>
      <c r="AY238" s="523" t="n"/>
      <c r="AZ238" s="523">
        <f>C238</f>
        <v/>
      </c>
      <c r="BA238" s="523" t="n"/>
      <c r="BB238" s="523" t="n"/>
      <c r="BC238" s="523" t="n"/>
      <c r="BD238" s="526" t="n"/>
      <c r="BE238" s="526" t="n"/>
      <c r="BF238" s="526" t="n"/>
      <c r="BG238" s="631" t="n"/>
      <c r="BH238" s="5">
        <f>C238</f>
        <v/>
      </c>
      <c r="BL238" s="19" t="n"/>
      <c r="BM238" s="19" t="n"/>
      <c r="BN238" s="19" t="n"/>
      <c r="BP238" s="5">
        <f>C238</f>
        <v/>
      </c>
      <c r="BQ238" s="633" t="n"/>
      <c r="BT238" s="19" t="n"/>
      <c r="BU238" s="19" t="n"/>
      <c r="BV238" s="19" t="n"/>
      <c r="BX238" s="5">
        <f>C238</f>
        <v/>
      </c>
      <c r="CB238" s="19" t="n"/>
      <c r="CC238" s="19" t="n"/>
      <c r="CD238" s="19" t="n"/>
      <c r="CF238" s="5">
        <f>C238</f>
        <v/>
      </c>
      <c r="CJ238" s="19" t="n"/>
      <c r="CK238" s="19" t="n"/>
      <c r="CL238" s="19" t="n"/>
      <c r="CN238" s="5">
        <f>C238</f>
        <v/>
      </c>
      <c r="CR238" s="19" t="n"/>
      <c r="CS238" s="19" t="n"/>
      <c r="CT238" s="19" t="n"/>
      <c r="CV238" s="5">
        <f>C238</f>
        <v/>
      </c>
      <c r="CZ238" s="19" t="n"/>
      <c r="DA238" s="19" t="n"/>
      <c r="DB238" s="19" t="n"/>
      <c r="DC238" s="23" t="n"/>
      <c r="DD238" s="5">
        <f>C238</f>
        <v/>
      </c>
      <c r="DH238" s="19" t="n"/>
      <c r="DI238" s="19" t="n"/>
      <c r="DJ238" s="19" t="n"/>
      <c r="DL238" s="5">
        <f>C238</f>
        <v/>
      </c>
      <c r="DP238" s="19" t="n"/>
      <c r="DQ238" s="19" t="n"/>
      <c r="DR238" s="19" t="n"/>
      <c r="DT238" s="5">
        <f>C238</f>
        <v/>
      </c>
      <c r="DX238" s="19" t="n"/>
      <c r="DY238" s="19" t="n"/>
      <c r="DZ238" s="19" t="n"/>
      <c r="EB238" s="5">
        <f>C238</f>
        <v/>
      </c>
      <c r="EF238" s="19" t="n"/>
      <c r="EG238" s="19" t="n"/>
      <c r="EH238" s="19" t="n"/>
      <c r="EJ238" s="5">
        <f>C238</f>
        <v/>
      </c>
      <c r="EN238" s="19" t="n"/>
      <c r="EO238" s="19" t="n"/>
      <c r="EP238" s="19" t="n"/>
      <c r="EQ238" s="19" t="n"/>
      <c r="ER238" s="5">
        <f>C238</f>
        <v/>
      </c>
      <c r="ES238" s="19" t="n"/>
      <c r="ET238" s="19" t="n"/>
      <c r="EU238" s="19" t="n"/>
      <c r="EV238" s="19" t="n"/>
      <c r="EW238" s="19" t="n"/>
      <c r="EX238" s="19" t="n"/>
      <c r="EZ238" s="5">
        <f>C238</f>
        <v/>
      </c>
      <c r="FD238" s="19" t="n"/>
      <c r="FE238" s="19" t="n"/>
      <c r="FF238" s="19" t="n"/>
      <c r="FG238" s="19" t="n"/>
      <c r="FH238" s="5">
        <f>C238</f>
        <v/>
      </c>
      <c r="FI238" s="633" t="n"/>
      <c r="FL238" s="19" t="n"/>
      <c r="FM238" s="19" t="n"/>
      <c r="FN238" s="19" t="n"/>
      <c r="FP238" s="5">
        <f>C238</f>
        <v/>
      </c>
      <c r="FT238" s="19" t="n"/>
      <c r="FU238" s="19" t="n"/>
      <c r="FV238" s="19" t="n"/>
      <c r="FX238" s="5">
        <f>C238</f>
        <v/>
      </c>
      <c r="GB238" s="19" t="n"/>
      <c r="GC238" s="19" t="n"/>
      <c r="GD238" s="19" t="n"/>
      <c r="GF238" s="5">
        <f>C238</f>
        <v/>
      </c>
      <c r="GJ238" s="19" t="n"/>
      <c r="GK238" s="19" t="n"/>
      <c r="GL238" s="19" t="n"/>
      <c r="GN238" s="5">
        <f>C238</f>
        <v/>
      </c>
      <c r="GR238" s="19" t="n"/>
      <c r="GS238" s="19" t="n"/>
      <c r="GT238" s="19" t="n"/>
      <c r="GV238" s="5">
        <f>C238</f>
        <v/>
      </c>
      <c r="GZ238" s="19" t="n"/>
      <c r="HA238" s="19" t="n"/>
      <c r="HB238" s="19" t="n"/>
      <c r="HD238" s="5">
        <f>C238</f>
        <v/>
      </c>
      <c r="HH238" s="19" t="n"/>
      <c r="HI238" s="19" t="n"/>
      <c r="HJ238" s="19" t="n"/>
      <c r="HL238" s="5">
        <f>C238</f>
        <v/>
      </c>
      <c r="HP238" s="19" t="n"/>
      <c r="HQ238" s="19" t="n"/>
      <c r="HR238" s="19" t="n"/>
      <c r="HT238" s="5">
        <f>C238</f>
        <v/>
      </c>
      <c r="HX238" s="19" t="n"/>
      <c r="HY238" s="19" t="n"/>
      <c r="HZ238" s="19" t="n"/>
      <c r="IB238" s="5">
        <f>C238</f>
        <v/>
      </c>
      <c r="IG238" s="19" t="n"/>
      <c r="IH238" s="19" t="n"/>
      <c r="IJ238" s="5">
        <f>C238</f>
        <v/>
      </c>
      <c r="IN238" s="19" t="n"/>
      <c r="IO238" s="19" t="n"/>
      <c r="IP238" s="19" t="n"/>
      <c r="IR238" s="5">
        <f>C238</f>
        <v/>
      </c>
      <c r="IV238" s="19" t="n"/>
      <c r="IW238" s="19" t="n"/>
      <c r="IX238" s="19" t="n"/>
      <c r="IZ238" s="5">
        <f>C238</f>
        <v/>
      </c>
      <c r="JD238" s="19" t="n"/>
      <c r="JE238" s="19" t="n"/>
      <c r="JF238" s="19" t="n"/>
      <c r="JH238" s="5">
        <f>C238</f>
        <v/>
      </c>
      <c r="JL238" s="19" t="n"/>
      <c r="JM238" s="19" t="n"/>
      <c r="JN238" s="19" t="n"/>
      <c r="JO238" s="19" t="n"/>
      <c r="JP238" s="5">
        <f>C238</f>
        <v/>
      </c>
      <c r="JT238" s="19" t="n"/>
      <c r="JU238" s="19" t="n"/>
      <c r="JV238" s="19" t="n"/>
      <c r="JW238" s="19" t="n"/>
      <c r="JX238" s="5">
        <f>C238</f>
        <v/>
      </c>
      <c r="KB238" s="19" t="n"/>
      <c r="KC238" s="19" t="n"/>
      <c r="KD238" s="19" t="n"/>
      <c r="KE238" s="19" t="n"/>
      <c r="KF238" s="5">
        <f>C238</f>
        <v/>
      </c>
      <c r="KG238" s="19" t="n"/>
      <c r="KH238" s="19" t="n"/>
      <c r="KJ238" s="19" t="n"/>
      <c r="KK238" s="19" t="n"/>
      <c r="KL238" s="19" t="n"/>
      <c r="KM238" s="19" t="n"/>
      <c r="KN238" s="5">
        <f>C238</f>
        <v/>
      </c>
      <c r="KR238" s="19" t="n"/>
      <c r="KS238" s="19" t="n"/>
      <c r="KT238" s="19" t="n"/>
      <c r="KV238" s="5">
        <f>C238</f>
        <v/>
      </c>
      <c r="KZ238" s="19" t="n"/>
      <c r="LA238" s="19" t="n"/>
      <c r="LB238" s="19" t="n"/>
      <c r="LD238" s="5">
        <f>C238</f>
        <v/>
      </c>
      <c r="LH238" s="19" t="n"/>
      <c r="LI238" s="19" t="n"/>
      <c r="LJ238" s="19" t="n"/>
      <c r="LL238" s="5">
        <f>C238</f>
        <v/>
      </c>
      <c r="LM238" s="633" t="n"/>
      <c r="LP238" s="19" t="n"/>
      <c r="LQ238" s="19" t="n"/>
      <c r="LR238" s="19" t="n"/>
      <c r="LS238" s="551" t="n"/>
      <c r="LT238" s="522">
        <f>C238</f>
        <v/>
      </c>
      <c r="LU238" s="522">
        <f>LV238*10000</f>
        <v/>
      </c>
      <c r="LV238" s="522" t="n">
        <v>2.1</v>
      </c>
      <c r="LX238" s="525" t="n"/>
      <c r="LY238" s="525" t="n"/>
      <c r="LZ238" s="19" t="n"/>
      <c r="MB238" s="5">
        <f>C238</f>
        <v/>
      </c>
      <c r="MF238" s="19" t="n"/>
      <c r="MG238" s="19" t="n"/>
      <c r="MH238" s="19" t="n"/>
      <c r="MK238" s="5">
        <f>C238</f>
        <v/>
      </c>
      <c r="MM238" s="24" t="n"/>
      <c r="MO238" s="19" t="n"/>
      <c r="MP238" s="19" t="n"/>
      <c r="MQ238" s="19" t="n"/>
      <c r="MR238" s="19" t="n"/>
      <c r="MS238" s="19" t="n"/>
      <c r="MT238" s="25">
        <f>C238</f>
        <v/>
      </c>
      <c r="MX238" s="19" t="n"/>
      <c r="MY238" s="19" t="n"/>
      <c r="MZ238" s="19" t="n"/>
      <c r="NA238" s="19" t="n"/>
      <c r="NB238" s="19" t="n"/>
      <c r="NC238" s="5">
        <f>C238</f>
        <v/>
      </c>
      <c r="NG238" s="19" t="n"/>
      <c r="NH238" s="19" t="n"/>
      <c r="NI238" s="19" t="n"/>
      <c r="NJ238" s="19" t="n"/>
      <c r="NK238" s="19" t="n"/>
      <c r="NM238" s="5">
        <f>C238</f>
        <v/>
      </c>
      <c r="NQ238" s="19" t="n"/>
      <c r="NR238" s="19" t="n"/>
      <c r="NU238" s="5">
        <f>C238</f>
        <v/>
      </c>
      <c r="NY238" s="19" t="n"/>
      <c r="NZ238" s="19" t="n"/>
      <c r="OC238" s="5">
        <f>C238</f>
        <v/>
      </c>
      <c r="OG238" s="19" t="n"/>
      <c r="OH238" s="19" t="n"/>
      <c r="OI238" s="19" t="n"/>
      <c r="OK238" s="5">
        <f>C238</f>
        <v/>
      </c>
      <c r="OO238" s="19" t="n"/>
      <c r="OP238" s="19" t="n"/>
      <c r="OQ238" s="19" t="n"/>
      <c r="OT238" s="25">
        <f>OK238</f>
        <v/>
      </c>
      <c r="OX238" s="19" t="n"/>
    </row>
    <row r="239" ht="21" customFormat="1" customHeight="1" s="5">
      <c r="A239" s="631" t="n"/>
      <c r="B239" s="631" t="n"/>
      <c r="C239" s="714" t="inlineStr">
        <is>
          <t>2022//12//31</t>
        </is>
      </c>
      <c r="D239" s="591">
        <f>E239*10000</f>
        <v/>
      </c>
      <c r="E239" s="591" t="n">
        <v>196.92</v>
      </c>
      <c r="F239" s="523" t="n"/>
      <c r="G239" s="592" t="n"/>
      <c r="H239" s="592" t="n"/>
      <c r="I239" s="526" t="n"/>
      <c r="J239" s="526" t="n"/>
      <c r="K239" s="522">
        <f>C239</f>
        <v/>
      </c>
      <c r="L239" s="591">
        <f>M239*10000</f>
        <v/>
      </c>
      <c r="M239" s="591" t="n">
        <v>90.05</v>
      </c>
      <c r="N239" s="523" t="n"/>
      <c r="O239" s="594" t="n"/>
      <c r="P239" s="592" t="n"/>
      <c r="Q239" s="526" t="n"/>
      <c r="R239" s="523" t="n"/>
      <c r="S239" s="522">
        <f>C239</f>
        <v/>
      </c>
      <c r="T239" s="591">
        <f>U239*10000</f>
        <v/>
      </c>
      <c r="U239" s="591" t="n">
        <v>220.24</v>
      </c>
      <c r="V239" s="523" t="n"/>
      <c r="W239" s="592" t="n"/>
      <c r="X239" s="592" t="n"/>
      <c r="Y239" s="526" t="n"/>
      <c r="Z239" s="523" t="n"/>
      <c r="AA239" s="522">
        <f>S239</f>
        <v/>
      </c>
      <c r="AB239" s="591">
        <f>AC239*10000</f>
        <v/>
      </c>
      <c r="AC239" s="591" t="n">
        <v>102.51</v>
      </c>
      <c r="AD239" s="523" t="n"/>
      <c r="AE239" s="594" t="n"/>
      <c r="AF239" s="592" t="n"/>
      <c r="AG239" s="526" t="n"/>
      <c r="AH239" s="523" t="n"/>
      <c r="AI239" s="522">
        <f>C239</f>
        <v/>
      </c>
      <c r="AJ239" s="591">
        <f>AK239*10000</f>
        <v/>
      </c>
      <c r="AK239" s="522" t="n">
        <v>42.26</v>
      </c>
      <c r="AL239" s="523" t="n"/>
      <c r="AM239" s="594" t="n"/>
      <c r="AN239" s="592" t="n"/>
      <c r="AO239" s="526" t="n"/>
      <c r="AP239" s="551" t="n"/>
      <c r="AQ239" s="522">
        <f>C239</f>
        <v/>
      </c>
      <c r="AR239" s="634">
        <f>AS239*10000</f>
        <v/>
      </c>
      <c r="AS239" s="591" t="n">
        <v>90.42</v>
      </c>
      <c r="AT239" s="592" t="n"/>
      <c r="AU239" s="523" t="n"/>
      <c r="AV239" s="526" t="n"/>
      <c r="AW239" s="526" t="n"/>
      <c r="AX239" s="523" t="n"/>
      <c r="AY239" s="523" t="n"/>
      <c r="AZ239" s="523">
        <f>C239</f>
        <v/>
      </c>
      <c r="BA239" s="523" t="n"/>
      <c r="BB239" s="523" t="n"/>
      <c r="BC239" s="523" t="n"/>
      <c r="BD239" s="526" t="n"/>
      <c r="BE239" s="526" t="n"/>
      <c r="BF239" s="526" t="n"/>
      <c r="BG239" s="631" t="n"/>
      <c r="BH239" s="5">
        <f>C239</f>
        <v/>
      </c>
      <c r="BL239" s="19" t="n"/>
      <c r="BM239" s="19" t="n"/>
      <c r="BN239" s="19" t="n"/>
      <c r="BP239" s="5">
        <f>C239</f>
        <v/>
      </c>
      <c r="BQ239" s="633" t="n"/>
      <c r="BT239" s="19" t="n"/>
      <c r="BU239" s="19" t="n"/>
      <c r="BV239" s="19" t="n"/>
      <c r="BX239" s="5">
        <f>C239</f>
        <v/>
      </c>
      <c r="CB239" s="19" t="n"/>
      <c r="CC239" s="19" t="n"/>
      <c r="CD239" s="19" t="n"/>
      <c r="CF239" s="5">
        <f>C239</f>
        <v/>
      </c>
      <c r="CJ239" s="19" t="n"/>
      <c r="CK239" s="19" t="n"/>
      <c r="CL239" s="19" t="n"/>
      <c r="CN239" s="5">
        <f>C239</f>
        <v/>
      </c>
      <c r="CR239" s="19" t="n"/>
      <c r="CS239" s="19" t="n"/>
      <c r="CT239" s="19" t="n"/>
      <c r="CV239" s="5">
        <f>C239</f>
        <v/>
      </c>
      <c r="CZ239" s="19" t="n"/>
      <c r="DA239" s="19" t="n"/>
      <c r="DB239" s="19" t="n"/>
      <c r="DC239" s="23" t="n"/>
      <c r="DD239" s="5">
        <f>C239</f>
        <v/>
      </c>
      <c r="DH239" s="19" t="n"/>
      <c r="DI239" s="19" t="n"/>
      <c r="DJ239" s="19" t="n"/>
      <c r="DL239" s="5">
        <f>C239</f>
        <v/>
      </c>
      <c r="DP239" s="19" t="n"/>
      <c r="DQ239" s="19" t="n"/>
      <c r="DR239" s="19" t="n"/>
      <c r="DT239" s="5">
        <f>C239</f>
        <v/>
      </c>
      <c r="DX239" s="19" t="n"/>
      <c r="DY239" s="19" t="n"/>
      <c r="DZ239" s="19" t="n"/>
      <c r="EB239" s="5">
        <f>C239</f>
        <v/>
      </c>
      <c r="EF239" s="19" t="n"/>
      <c r="EG239" s="19" t="n"/>
      <c r="EH239" s="19" t="n"/>
      <c r="EJ239" s="5">
        <f>C239</f>
        <v/>
      </c>
      <c r="EN239" s="19" t="n"/>
      <c r="EO239" s="19" t="n"/>
      <c r="EP239" s="19" t="n"/>
      <c r="EQ239" s="19" t="n"/>
      <c r="ER239" s="5">
        <f>C239</f>
        <v/>
      </c>
      <c r="ES239" s="19" t="n"/>
      <c r="ET239" s="19" t="n"/>
      <c r="EU239" s="19" t="n"/>
      <c r="EV239" s="19" t="n"/>
      <c r="EW239" s="19" t="n"/>
      <c r="EX239" s="19" t="n"/>
      <c r="EZ239" s="5">
        <f>C239</f>
        <v/>
      </c>
      <c r="FD239" s="19" t="n"/>
      <c r="FE239" s="19" t="n"/>
      <c r="FF239" s="19" t="n"/>
      <c r="FG239" s="19" t="n"/>
      <c r="FH239" s="5">
        <f>C239</f>
        <v/>
      </c>
      <c r="FI239" s="633" t="n"/>
      <c r="FL239" s="19" t="n"/>
      <c r="FM239" s="19" t="n"/>
      <c r="FN239" s="19" t="n"/>
      <c r="FP239" s="5">
        <f>C239</f>
        <v/>
      </c>
      <c r="FT239" s="19" t="n"/>
      <c r="FU239" s="19" t="n"/>
      <c r="FV239" s="19" t="n"/>
      <c r="FX239" s="5">
        <f>C239</f>
        <v/>
      </c>
      <c r="GB239" s="19" t="n"/>
      <c r="GC239" s="19" t="n"/>
      <c r="GD239" s="19" t="n"/>
      <c r="GF239" s="5">
        <f>C239</f>
        <v/>
      </c>
      <c r="GJ239" s="19" t="n"/>
      <c r="GK239" s="19" t="n"/>
      <c r="GL239" s="19" t="n"/>
      <c r="GN239" s="5">
        <f>C239</f>
        <v/>
      </c>
      <c r="GR239" s="19" t="n"/>
      <c r="GS239" s="19" t="n"/>
      <c r="GT239" s="19" t="n"/>
      <c r="GV239" s="5">
        <f>C239</f>
        <v/>
      </c>
      <c r="GZ239" s="19" t="n"/>
      <c r="HA239" s="19" t="n"/>
      <c r="HB239" s="19" t="n"/>
      <c r="HD239" s="5">
        <f>C239</f>
        <v/>
      </c>
      <c r="HH239" s="19" t="n"/>
      <c r="HI239" s="19" t="n"/>
      <c r="HJ239" s="19" t="n"/>
      <c r="HL239" s="5">
        <f>C239</f>
        <v/>
      </c>
      <c r="HP239" s="19" t="n"/>
      <c r="HQ239" s="19" t="n"/>
      <c r="HR239" s="19" t="n"/>
      <c r="HT239" s="5">
        <f>C239</f>
        <v/>
      </c>
      <c r="HX239" s="19" t="n"/>
      <c r="HY239" s="19" t="n"/>
      <c r="HZ239" s="19" t="n"/>
      <c r="IB239" s="5">
        <f>C239</f>
        <v/>
      </c>
      <c r="IG239" s="19" t="n"/>
      <c r="IH239" s="19" t="n"/>
      <c r="IJ239" s="5">
        <f>C239</f>
        <v/>
      </c>
      <c r="IN239" s="19" t="n"/>
      <c r="IO239" s="19" t="n"/>
      <c r="IP239" s="19" t="n"/>
      <c r="IR239" s="5">
        <f>C239</f>
        <v/>
      </c>
      <c r="IV239" s="19" t="n"/>
      <c r="IW239" s="19" t="n"/>
      <c r="IX239" s="19" t="n"/>
      <c r="IZ239" s="5">
        <f>C239</f>
        <v/>
      </c>
      <c r="JD239" s="19" t="n"/>
      <c r="JE239" s="19" t="n"/>
      <c r="JF239" s="19" t="n"/>
      <c r="JH239" s="5">
        <f>C239</f>
        <v/>
      </c>
      <c r="JL239" s="19" t="n"/>
      <c r="JM239" s="19" t="n"/>
      <c r="JN239" s="19" t="n"/>
      <c r="JO239" s="19" t="n"/>
      <c r="JP239" s="5">
        <f>C239</f>
        <v/>
      </c>
      <c r="JT239" s="19" t="n"/>
      <c r="JU239" s="19" t="n"/>
      <c r="JV239" s="19" t="n"/>
      <c r="JW239" s="19" t="n"/>
      <c r="JX239" s="5">
        <f>C239</f>
        <v/>
      </c>
      <c r="KB239" s="19" t="n"/>
      <c r="KC239" s="19" t="n"/>
      <c r="KD239" s="19" t="n"/>
      <c r="KE239" s="19" t="n"/>
      <c r="KF239" s="5">
        <f>C239</f>
        <v/>
      </c>
      <c r="KG239" s="19" t="n"/>
      <c r="KH239" s="19" t="n"/>
      <c r="KJ239" s="19" t="n"/>
      <c r="KK239" s="19" t="n"/>
      <c r="KL239" s="19" t="n"/>
      <c r="KM239" s="19" t="n"/>
      <c r="KN239" s="5">
        <f>C239</f>
        <v/>
      </c>
      <c r="KR239" s="19" t="n"/>
      <c r="KS239" s="19" t="n"/>
      <c r="KT239" s="19" t="n"/>
      <c r="KV239" s="5">
        <f>C239</f>
        <v/>
      </c>
      <c r="KZ239" s="19" t="n"/>
      <c r="LA239" s="19" t="n"/>
      <c r="LB239" s="19" t="n"/>
      <c r="LD239" s="5">
        <f>C239</f>
        <v/>
      </c>
      <c r="LH239" s="19" t="n"/>
      <c r="LI239" s="19" t="n"/>
      <c r="LJ239" s="19" t="n"/>
      <c r="LL239" s="5">
        <f>C239</f>
        <v/>
      </c>
      <c r="LM239" s="633" t="n"/>
      <c r="LP239" s="19" t="n"/>
      <c r="LQ239" s="19" t="n"/>
      <c r="LR239" s="19" t="n"/>
      <c r="LS239" s="551" t="n"/>
      <c r="LT239" s="522">
        <f>C239</f>
        <v/>
      </c>
      <c r="LU239" s="522">
        <f>LV239*10000</f>
        <v/>
      </c>
      <c r="LV239" s="522" t="n">
        <v>4.58</v>
      </c>
      <c r="LX239" s="525" t="n"/>
      <c r="LY239" s="525" t="n"/>
      <c r="LZ239" s="19" t="n"/>
      <c r="MB239" s="5">
        <f>C239</f>
        <v/>
      </c>
      <c r="MF239" s="19" t="n"/>
      <c r="MG239" s="19" t="n"/>
      <c r="MH239" s="19" t="n"/>
      <c r="MK239" s="5">
        <f>C239</f>
        <v/>
      </c>
      <c r="MM239" s="24" t="n"/>
      <c r="MO239" s="19" t="n"/>
      <c r="MP239" s="19" t="n"/>
      <c r="MQ239" s="19" t="n"/>
      <c r="MR239" s="19" t="n"/>
      <c r="MS239" s="19" t="n"/>
      <c r="MT239" s="25">
        <f>C239</f>
        <v/>
      </c>
      <c r="MX239" s="19" t="n"/>
      <c r="MY239" s="19" t="n"/>
      <c r="MZ239" s="19" t="n"/>
      <c r="NA239" s="19" t="n"/>
      <c r="NB239" s="19" t="n"/>
      <c r="NC239" s="5">
        <f>C239</f>
        <v/>
      </c>
      <c r="NG239" s="19" t="n"/>
      <c r="NH239" s="19" t="n"/>
      <c r="NI239" s="19" t="n"/>
      <c r="NJ239" s="19" t="n"/>
      <c r="NK239" s="19" t="n"/>
      <c r="NM239" s="5">
        <f>C239</f>
        <v/>
      </c>
      <c r="NQ239" s="19" t="n"/>
      <c r="NR239" s="19" t="n"/>
      <c r="NU239" s="5">
        <f>C239</f>
        <v/>
      </c>
      <c r="NY239" s="19" t="n"/>
      <c r="NZ239" s="19" t="n"/>
      <c r="OC239" s="5">
        <f>C239</f>
        <v/>
      </c>
      <c r="OG239" s="19" t="n"/>
      <c r="OH239" s="19" t="n"/>
      <c r="OI239" s="19" t="n"/>
      <c r="OK239" s="5">
        <f>C239</f>
        <v/>
      </c>
      <c r="OO239" s="19" t="n"/>
      <c r="OP239" s="19" t="n"/>
      <c r="OQ239" s="19" t="n"/>
      <c r="OT239" s="25">
        <f>OK239</f>
        <v/>
      </c>
      <c r="OX239" s="19" t="n"/>
    </row>
    <row r="240" ht="21" customFormat="1" customHeight="1" s="5">
      <c r="A240" s="631" t="n"/>
      <c r="B240" s="631" t="n"/>
      <c r="C240" s="714" t="inlineStr">
        <is>
          <t>2022//9//30</t>
        </is>
      </c>
      <c r="D240" s="591">
        <f>E240*10000</f>
        <v/>
      </c>
      <c r="E240" s="591" t="n">
        <v>132.44</v>
      </c>
      <c r="F240" s="523" t="n"/>
      <c r="G240" s="592" t="n"/>
      <c r="H240" s="592" t="n"/>
      <c r="I240" s="526" t="n"/>
      <c r="J240" s="526" t="n"/>
      <c r="K240" s="522">
        <f>C240</f>
        <v/>
      </c>
      <c r="L240" s="591">
        <f>M240*10000</f>
        <v/>
      </c>
      <c r="M240" s="591" t="n">
        <v>90.40000000000001</v>
      </c>
      <c r="N240" s="523" t="n"/>
      <c r="O240" s="594" t="n"/>
      <c r="P240" s="592" t="n"/>
      <c r="Q240" s="526" t="n"/>
      <c r="R240" s="523" t="n"/>
      <c r="S240" s="522">
        <f>C240</f>
        <v/>
      </c>
      <c r="T240" s="591">
        <f>U240*10000</f>
        <v/>
      </c>
      <c r="U240" s="591" t="n">
        <v>231.64</v>
      </c>
      <c r="V240" s="523" t="n"/>
      <c r="W240" s="592" t="n"/>
      <c r="X240" s="592" t="n"/>
      <c r="Y240" s="526" t="n"/>
      <c r="Z240" s="523" t="n"/>
      <c r="AA240" s="522">
        <f>S240</f>
        <v/>
      </c>
      <c r="AB240" s="591">
        <f>AC240*10000</f>
        <v/>
      </c>
      <c r="AC240" s="591" t="n">
        <v>67.78</v>
      </c>
      <c r="AD240" s="523" t="n"/>
      <c r="AE240" s="594" t="n"/>
      <c r="AF240" s="592" t="n"/>
      <c r="AG240" s="526" t="n"/>
      <c r="AH240" s="523" t="n"/>
      <c r="AI240" s="522">
        <f>C240</f>
        <v/>
      </c>
      <c r="AJ240" s="591">
        <f>AK240*10000</f>
        <v/>
      </c>
      <c r="AK240" s="522" t="n">
        <v>42.06</v>
      </c>
      <c r="AL240" s="523" t="n"/>
      <c r="AM240" s="594" t="n"/>
      <c r="AN240" s="592" t="n"/>
      <c r="AO240" s="526" t="n"/>
      <c r="AP240" s="551" t="n"/>
      <c r="AQ240" s="522">
        <f>C240</f>
        <v/>
      </c>
      <c r="AR240" s="634">
        <f>AS240*10000</f>
        <v/>
      </c>
      <c r="AS240" s="591" t="n">
        <v>72.26000000000001</v>
      </c>
      <c r="AT240" s="592" t="n"/>
      <c r="AU240" s="523" t="n"/>
      <c r="AV240" s="526" t="n"/>
      <c r="AW240" s="526" t="n"/>
      <c r="AX240" s="523" t="n"/>
      <c r="AY240" s="523" t="n"/>
      <c r="AZ240" s="523">
        <f>C240</f>
        <v/>
      </c>
      <c r="BA240" s="523" t="n"/>
      <c r="BB240" s="523" t="n"/>
      <c r="BC240" s="523" t="n"/>
      <c r="BD240" s="526" t="n"/>
      <c r="BE240" s="526" t="n"/>
      <c r="BF240" s="526" t="n"/>
      <c r="BG240" s="631" t="n"/>
      <c r="BH240" s="5">
        <f>C240</f>
        <v/>
      </c>
      <c r="BL240" s="19" t="n"/>
      <c r="BM240" s="19" t="n"/>
      <c r="BN240" s="19" t="n"/>
      <c r="BP240" s="5">
        <f>C240</f>
        <v/>
      </c>
      <c r="BQ240" s="633" t="n"/>
      <c r="BT240" s="19" t="n"/>
      <c r="BU240" s="19" t="n"/>
      <c r="BV240" s="19" t="n"/>
      <c r="BX240" s="5">
        <f>C240</f>
        <v/>
      </c>
      <c r="CB240" s="19" t="n"/>
      <c r="CC240" s="19" t="n"/>
      <c r="CD240" s="19" t="n"/>
      <c r="CF240" s="5">
        <f>C240</f>
        <v/>
      </c>
      <c r="CJ240" s="19" t="n"/>
      <c r="CK240" s="19" t="n"/>
      <c r="CL240" s="19" t="n"/>
      <c r="CN240" s="5">
        <f>C240</f>
        <v/>
      </c>
      <c r="CR240" s="19" t="n"/>
      <c r="CS240" s="19" t="n"/>
      <c r="CT240" s="19" t="n"/>
      <c r="CV240" s="5">
        <f>C240</f>
        <v/>
      </c>
      <c r="CZ240" s="19" t="n"/>
      <c r="DA240" s="19" t="n"/>
      <c r="DB240" s="19" t="n"/>
      <c r="DC240" s="23" t="n"/>
      <c r="DD240" s="5">
        <f>C240</f>
        <v/>
      </c>
      <c r="DH240" s="19" t="n"/>
      <c r="DI240" s="19" t="n"/>
      <c r="DJ240" s="19" t="n"/>
      <c r="DL240" s="5">
        <f>C240</f>
        <v/>
      </c>
      <c r="DP240" s="19" t="n"/>
      <c r="DQ240" s="19" t="n"/>
      <c r="DR240" s="19" t="n"/>
      <c r="DT240" s="5">
        <f>C240</f>
        <v/>
      </c>
      <c r="DX240" s="19" t="n"/>
      <c r="DY240" s="19" t="n"/>
      <c r="DZ240" s="19" t="n"/>
      <c r="EB240" s="5">
        <f>C240</f>
        <v/>
      </c>
      <c r="EF240" s="19" t="n"/>
      <c r="EG240" s="19" t="n"/>
      <c r="EH240" s="19" t="n"/>
      <c r="EJ240" s="5">
        <f>C240</f>
        <v/>
      </c>
      <c r="EN240" s="19" t="n"/>
      <c r="EO240" s="19" t="n"/>
      <c r="EP240" s="19" t="n"/>
      <c r="EQ240" s="19" t="n"/>
      <c r="ER240" s="5">
        <f>C240</f>
        <v/>
      </c>
      <c r="ES240" s="19" t="n"/>
      <c r="ET240" s="19" t="n"/>
      <c r="EU240" s="19" t="n"/>
      <c r="EV240" s="19" t="n"/>
      <c r="EW240" s="19" t="n"/>
      <c r="EX240" s="19" t="n"/>
      <c r="EZ240" s="5">
        <f>C240</f>
        <v/>
      </c>
      <c r="FD240" s="19" t="n"/>
      <c r="FE240" s="19" t="n"/>
      <c r="FF240" s="19" t="n"/>
      <c r="FG240" s="19" t="n"/>
      <c r="FH240" s="5">
        <f>C240</f>
        <v/>
      </c>
      <c r="FI240" s="633" t="n"/>
      <c r="FL240" s="19" t="n"/>
      <c r="FM240" s="19" t="n"/>
      <c r="FN240" s="19" t="n"/>
      <c r="FP240" s="5">
        <f>C240</f>
        <v/>
      </c>
      <c r="FT240" s="19" t="n"/>
      <c r="FU240" s="19" t="n"/>
      <c r="FV240" s="19" t="n"/>
      <c r="FX240" s="5">
        <f>C240</f>
        <v/>
      </c>
      <c r="GB240" s="19" t="n"/>
      <c r="GC240" s="19" t="n"/>
      <c r="GD240" s="19" t="n"/>
      <c r="GF240" s="5">
        <f>C240</f>
        <v/>
      </c>
      <c r="GJ240" s="19" t="n"/>
      <c r="GK240" s="19" t="n"/>
      <c r="GL240" s="19" t="n"/>
      <c r="GN240" s="5">
        <f>C240</f>
        <v/>
      </c>
      <c r="GR240" s="19" t="n"/>
      <c r="GS240" s="19" t="n"/>
      <c r="GT240" s="19" t="n"/>
      <c r="GV240" s="5">
        <f>C240</f>
        <v/>
      </c>
      <c r="GZ240" s="19" t="n"/>
      <c r="HA240" s="19" t="n"/>
      <c r="HB240" s="19" t="n"/>
      <c r="HD240" s="5">
        <f>C240</f>
        <v/>
      </c>
      <c r="HH240" s="19" t="n"/>
      <c r="HI240" s="19" t="n"/>
      <c r="HJ240" s="19" t="n"/>
      <c r="HL240" s="5">
        <f>C240</f>
        <v/>
      </c>
      <c r="HP240" s="19" t="n"/>
      <c r="HQ240" s="19" t="n"/>
      <c r="HR240" s="19" t="n"/>
      <c r="HT240" s="5">
        <f>C240</f>
        <v/>
      </c>
      <c r="HX240" s="19" t="n"/>
      <c r="HY240" s="19" t="n"/>
      <c r="HZ240" s="19" t="n"/>
      <c r="IB240" s="5">
        <f>C240</f>
        <v/>
      </c>
      <c r="IG240" s="19" t="n"/>
      <c r="IH240" s="19" t="n"/>
      <c r="IJ240" s="5">
        <f>C240</f>
        <v/>
      </c>
      <c r="IN240" s="19" t="n"/>
      <c r="IO240" s="19" t="n"/>
      <c r="IP240" s="19" t="n"/>
      <c r="IR240" s="5">
        <f>C240</f>
        <v/>
      </c>
      <c r="IV240" s="19" t="n"/>
      <c r="IW240" s="19" t="n"/>
      <c r="IX240" s="19" t="n"/>
      <c r="IZ240" s="5">
        <f>C240</f>
        <v/>
      </c>
      <c r="JD240" s="19" t="n"/>
      <c r="JE240" s="19" t="n"/>
      <c r="JF240" s="19" t="n"/>
      <c r="JH240" s="5">
        <f>C240</f>
        <v/>
      </c>
      <c r="JL240" s="19" t="n"/>
      <c r="JM240" s="19" t="n"/>
      <c r="JN240" s="19" t="n"/>
      <c r="JO240" s="19" t="n"/>
      <c r="JP240" s="5">
        <f>C240</f>
        <v/>
      </c>
      <c r="JT240" s="19" t="n"/>
      <c r="JU240" s="19" t="n"/>
      <c r="JV240" s="19" t="n"/>
      <c r="JW240" s="19" t="n"/>
      <c r="JX240" s="5">
        <f>C240</f>
        <v/>
      </c>
      <c r="KB240" s="19" t="n"/>
      <c r="KC240" s="19" t="n"/>
      <c r="KD240" s="19" t="n"/>
      <c r="KE240" s="19" t="n"/>
      <c r="KF240" s="5">
        <f>C240</f>
        <v/>
      </c>
      <c r="KG240" s="19" t="n"/>
      <c r="KH240" s="19" t="n"/>
      <c r="KJ240" s="19" t="n"/>
      <c r="KK240" s="19" t="n"/>
      <c r="KL240" s="19" t="n"/>
      <c r="KM240" s="19" t="n"/>
      <c r="KN240" s="5">
        <f>C240</f>
        <v/>
      </c>
      <c r="KR240" s="19" t="n"/>
      <c r="KS240" s="19" t="n"/>
      <c r="KT240" s="19" t="n"/>
      <c r="KV240" s="5">
        <f>C240</f>
        <v/>
      </c>
      <c r="KZ240" s="19" t="n"/>
      <c r="LA240" s="19" t="n"/>
      <c r="LB240" s="19" t="n"/>
      <c r="LD240" s="5">
        <f>C240</f>
        <v/>
      </c>
      <c r="LH240" s="19" t="n"/>
      <c r="LI240" s="19" t="n"/>
      <c r="LJ240" s="19" t="n"/>
      <c r="LL240" s="5">
        <f>C240</f>
        <v/>
      </c>
      <c r="LM240" s="633" t="n"/>
      <c r="LP240" s="19" t="n"/>
      <c r="LQ240" s="19" t="n"/>
      <c r="LR240" s="19" t="n"/>
      <c r="LS240" s="551" t="n"/>
      <c r="LT240" s="522">
        <f>C240</f>
        <v/>
      </c>
      <c r="LU240" s="522">
        <f>LV240*10000</f>
        <v/>
      </c>
      <c r="LV240" s="522" t="n">
        <v>7.95</v>
      </c>
      <c r="LX240" s="525" t="n"/>
      <c r="LY240" s="525" t="n"/>
      <c r="LZ240" s="19" t="n"/>
      <c r="MB240" s="5">
        <f>C240</f>
        <v/>
      </c>
      <c r="MF240" s="19" t="n"/>
      <c r="MG240" s="19" t="n"/>
      <c r="MH240" s="19" t="n"/>
      <c r="MK240" s="5">
        <f>C240</f>
        <v/>
      </c>
      <c r="MM240" s="24" t="n"/>
      <c r="MO240" s="19" t="n"/>
      <c r="MP240" s="19" t="n"/>
      <c r="MQ240" s="19" t="n"/>
      <c r="MR240" s="19" t="n"/>
      <c r="MS240" s="19" t="n"/>
      <c r="MT240" s="25">
        <f>C240</f>
        <v/>
      </c>
      <c r="MX240" s="19" t="n"/>
      <c r="MY240" s="19" t="n"/>
      <c r="MZ240" s="19" t="n"/>
      <c r="NA240" s="19" t="n"/>
      <c r="NB240" s="19" t="n"/>
      <c r="NC240" s="5">
        <f>C240</f>
        <v/>
      </c>
      <c r="NG240" s="19" t="n"/>
      <c r="NH240" s="19" t="n"/>
      <c r="NI240" s="19" t="n"/>
      <c r="NJ240" s="19" t="n"/>
      <c r="NK240" s="19" t="n"/>
      <c r="NM240" s="5">
        <f>C240</f>
        <v/>
      </c>
      <c r="NQ240" s="19" t="n"/>
      <c r="NR240" s="19" t="n"/>
      <c r="NU240" s="5">
        <f>C240</f>
        <v/>
      </c>
      <c r="NY240" s="19" t="n"/>
      <c r="NZ240" s="19" t="n"/>
      <c r="OC240" s="5">
        <f>C240</f>
        <v/>
      </c>
      <c r="OG240" s="19" t="n"/>
      <c r="OH240" s="19" t="n"/>
      <c r="OI240" s="19" t="n"/>
      <c r="OK240" s="5">
        <f>C240</f>
        <v/>
      </c>
      <c r="OO240" s="19" t="n"/>
      <c r="OP240" s="19" t="n"/>
      <c r="OQ240" s="19" t="n"/>
      <c r="OT240" s="25">
        <f>OK240</f>
        <v/>
      </c>
      <c r="OX240" s="19" t="n"/>
    </row>
    <row r="241" ht="21" customFormat="1" customHeight="1" s="5">
      <c r="A241" s="631" t="n"/>
      <c r="B241" s="631" t="n"/>
      <c r="C241" s="714" t="inlineStr">
        <is>
          <t>2022//6//30</t>
        </is>
      </c>
      <c r="D241" s="591">
        <f>E241*10000</f>
        <v/>
      </c>
      <c r="E241" s="591" t="n">
        <v>107.98</v>
      </c>
      <c r="F241" s="523" t="n"/>
      <c r="G241" s="592" t="n"/>
      <c r="H241" s="592" t="n"/>
      <c r="I241" s="526" t="n"/>
      <c r="J241" s="526" t="n"/>
      <c r="K241" s="522">
        <f>C241</f>
        <v/>
      </c>
      <c r="L241" s="591">
        <f>M241*10000</f>
        <v/>
      </c>
      <c r="M241" s="591" t="n">
        <v>63.14</v>
      </c>
      <c r="N241" s="523" t="n"/>
      <c r="O241" s="594" t="n"/>
      <c r="P241" s="592" t="n"/>
      <c r="Q241" s="526" t="n"/>
      <c r="R241" s="523" t="n"/>
      <c r="S241" s="522">
        <f>C241</f>
        <v/>
      </c>
      <c r="T241" s="591">
        <f>U241*10000</f>
        <v/>
      </c>
      <c r="U241" s="591" t="n">
        <v>172.85</v>
      </c>
      <c r="V241" s="523" t="n"/>
      <c r="W241" s="592" t="n"/>
      <c r="X241" s="592" t="n"/>
      <c r="Y241" s="526" t="n"/>
      <c r="Z241" s="523" t="n"/>
      <c r="AA241" s="522">
        <f>S241</f>
        <v/>
      </c>
      <c r="AB241" s="591">
        <f>AC241*10000</f>
        <v/>
      </c>
      <c r="AC241" s="591" t="n">
        <v>59.26</v>
      </c>
      <c r="AD241" s="523" t="n"/>
      <c r="AE241" s="594" t="n"/>
      <c r="AF241" s="592" t="n"/>
      <c r="AG241" s="526" t="n"/>
      <c r="AH241" s="523" t="n"/>
      <c r="AI241" s="522">
        <f>C241</f>
        <v/>
      </c>
      <c r="AJ241" s="591">
        <f>AK241*10000</f>
        <v/>
      </c>
      <c r="AK241" s="522" t="n">
        <v>37.31</v>
      </c>
      <c r="AL241" s="523" t="n"/>
      <c r="AM241" s="594" t="n"/>
      <c r="AN241" s="592" t="n"/>
      <c r="AO241" s="526" t="n"/>
      <c r="AP241" s="551" t="n"/>
      <c r="AQ241" s="522">
        <f>C241</f>
        <v/>
      </c>
      <c r="AR241" s="634">
        <f>AS241*10000</f>
        <v/>
      </c>
      <c r="AS241" s="591" t="n">
        <v>62.27</v>
      </c>
      <c r="AT241" s="592" t="n"/>
      <c r="AU241" s="523" t="n"/>
      <c r="AV241" s="526" t="n"/>
      <c r="AW241" s="526" t="n"/>
      <c r="AX241" s="523" t="n"/>
      <c r="AY241" s="523" t="n"/>
      <c r="AZ241" s="523">
        <f>C241</f>
        <v/>
      </c>
      <c r="BA241" s="523" t="n"/>
      <c r="BB241" s="523" t="n"/>
      <c r="BC241" s="523" t="n"/>
      <c r="BD241" s="526" t="n"/>
      <c r="BE241" s="526" t="n"/>
      <c r="BF241" s="526" t="n"/>
      <c r="BG241" s="631" t="n"/>
      <c r="BH241" s="5">
        <f>C241</f>
        <v/>
      </c>
      <c r="BL241" s="19" t="n"/>
      <c r="BM241" s="19" t="n"/>
      <c r="BN241" s="19" t="n"/>
      <c r="BP241" s="5">
        <f>C241</f>
        <v/>
      </c>
      <c r="BQ241" s="633" t="n"/>
      <c r="BT241" s="19" t="n"/>
      <c r="BU241" s="19" t="n"/>
      <c r="BV241" s="19" t="n"/>
      <c r="BX241" s="5">
        <f>C241</f>
        <v/>
      </c>
      <c r="CB241" s="19" t="n"/>
      <c r="CC241" s="19" t="n"/>
      <c r="CD241" s="19" t="n"/>
      <c r="CF241" s="5">
        <f>C241</f>
        <v/>
      </c>
      <c r="CJ241" s="19" t="n"/>
      <c r="CK241" s="19" t="n"/>
      <c r="CL241" s="19" t="n"/>
      <c r="CN241" s="5">
        <f>C241</f>
        <v/>
      </c>
      <c r="CR241" s="19" t="n"/>
      <c r="CS241" s="19" t="n"/>
      <c r="CT241" s="19" t="n"/>
      <c r="CV241" s="5">
        <f>C241</f>
        <v/>
      </c>
      <c r="CZ241" s="19" t="n"/>
      <c r="DA241" s="19" t="n"/>
      <c r="DB241" s="19" t="n"/>
      <c r="DC241" s="23" t="n"/>
      <c r="DD241" s="5">
        <f>C241</f>
        <v/>
      </c>
      <c r="DH241" s="19" t="n"/>
      <c r="DI241" s="19" t="n"/>
      <c r="DJ241" s="19" t="n"/>
      <c r="DL241" s="5">
        <f>C241</f>
        <v/>
      </c>
      <c r="DP241" s="19" t="n"/>
      <c r="DQ241" s="19" t="n"/>
      <c r="DR241" s="19" t="n"/>
      <c r="DT241" s="5">
        <f>C241</f>
        <v/>
      </c>
      <c r="DX241" s="19" t="n"/>
      <c r="DY241" s="19" t="n"/>
      <c r="DZ241" s="19" t="n"/>
      <c r="EB241" s="5">
        <f>C241</f>
        <v/>
      </c>
      <c r="EF241" s="19" t="n"/>
      <c r="EG241" s="19" t="n"/>
      <c r="EH241" s="19" t="n"/>
      <c r="EJ241" s="5">
        <f>C241</f>
        <v/>
      </c>
      <c r="EN241" s="19" t="n"/>
      <c r="EO241" s="19" t="n"/>
      <c r="EP241" s="19" t="n"/>
      <c r="EQ241" s="19" t="n"/>
      <c r="ER241" s="5">
        <f>C241</f>
        <v/>
      </c>
      <c r="ES241" s="19" t="n"/>
      <c r="ET241" s="19" t="n"/>
      <c r="EU241" s="19" t="n"/>
      <c r="EV241" s="19" t="n"/>
      <c r="EW241" s="19" t="n"/>
      <c r="EX241" s="19" t="n"/>
      <c r="EZ241" s="5">
        <f>C241</f>
        <v/>
      </c>
      <c r="FD241" s="19" t="n"/>
      <c r="FE241" s="19" t="n"/>
      <c r="FF241" s="19" t="n"/>
      <c r="FG241" s="19" t="n"/>
      <c r="FH241" s="5">
        <f>C241</f>
        <v/>
      </c>
      <c r="FI241" s="633" t="n"/>
      <c r="FL241" s="19" t="n"/>
      <c r="FM241" s="19" t="n"/>
      <c r="FN241" s="19" t="n"/>
      <c r="FP241" s="5">
        <f>C241</f>
        <v/>
      </c>
      <c r="FT241" s="19" t="n"/>
      <c r="FU241" s="19" t="n"/>
      <c r="FV241" s="19" t="n"/>
      <c r="FX241" s="5">
        <f>C241</f>
        <v/>
      </c>
      <c r="GB241" s="19" t="n"/>
      <c r="GC241" s="19" t="n"/>
      <c r="GD241" s="19" t="n"/>
      <c r="GF241" s="5">
        <f>C241</f>
        <v/>
      </c>
      <c r="GJ241" s="19" t="n"/>
      <c r="GK241" s="19" t="n"/>
      <c r="GL241" s="19" t="n"/>
      <c r="GN241" s="5">
        <f>C241</f>
        <v/>
      </c>
      <c r="GR241" s="19" t="n"/>
      <c r="GS241" s="19" t="n"/>
      <c r="GT241" s="19" t="n"/>
      <c r="GV241" s="5">
        <f>C241</f>
        <v/>
      </c>
      <c r="GZ241" s="19" t="n"/>
      <c r="HA241" s="19" t="n"/>
      <c r="HB241" s="19" t="n"/>
      <c r="HD241" s="5">
        <f>C241</f>
        <v/>
      </c>
      <c r="HH241" s="19" t="n"/>
      <c r="HI241" s="19" t="n"/>
      <c r="HJ241" s="19" t="n"/>
      <c r="HL241" s="5">
        <f>C241</f>
        <v/>
      </c>
      <c r="HP241" s="19" t="n"/>
      <c r="HQ241" s="19" t="n"/>
      <c r="HR241" s="19" t="n"/>
      <c r="HT241" s="5">
        <f>C241</f>
        <v/>
      </c>
      <c r="HX241" s="19" t="n"/>
      <c r="HY241" s="19" t="n"/>
      <c r="HZ241" s="19" t="n"/>
      <c r="IB241" s="5">
        <f>C241</f>
        <v/>
      </c>
      <c r="IG241" s="19" t="n"/>
      <c r="IH241" s="19" t="n"/>
      <c r="IJ241" s="5">
        <f>C241</f>
        <v/>
      </c>
      <c r="IN241" s="19" t="n"/>
      <c r="IO241" s="19" t="n"/>
      <c r="IP241" s="19" t="n"/>
      <c r="IR241" s="5">
        <f>C241</f>
        <v/>
      </c>
      <c r="IV241" s="19" t="n"/>
      <c r="IW241" s="19" t="n"/>
      <c r="IX241" s="19" t="n"/>
      <c r="IZ241" s="5">
        <f>C241</f>
        <v/>
      </c>
      <c r="JD241" s="19" t="n"/>
      <c r="JE241" s="19" t="n"/>
      <c r="JF241" s="19" t="n"/>
      <c r="JH241" s="5">
        <f>C241</f>
        <v/>
      </c>
      <c r="JL241" s="19" t="n"/>
      <c r="JM241" s="19" t="n"/>
      <c r="JN241" s="19" t="n"/>
      <c r="JO241" s="19" t="n"/>
      <c r="JP241" s="5">
        <f>C241</f>
        <v/>
      </c>
      <c r="JT241" s="19" t="n"/>
      <c r="JU241" s="19" t="n"/>
      <c r="JV241" s="19" t="n"/>
      <c r="JW241" s="19" t="n"/>
      <c r="JX241" s="5">
        <f>C241</f>
        <v/>
      </c>
      <c r="KB241" s="19" t="n"/>
      <c r="KC241" s="19" t="n"/>
      <c r="KD241" s="19" t="n"/>
      <c r="KE241" s="19" t="n"/>
      <c r="KF241" s="5">
        <f>C241</f>
        <v/>
      </c>
      <c r="KG241" s="19" t="n"/>
      <c r="KH241" s="19" t="n"/>
      <c r="KJ241" s="19" t="n"/>
      <c r="KK241" s="19" t="n"/>
      <c r="KL241" s="19" t="n"/>
      <c r="KM241" s="19" t="n"/>
      <c r="KN241" s="5">
        <f>C241</f>
        <v/>
      </c>
      <c r="KR241" s="19" t="n"/>
      <c r="KS241" s="19" t="n"/>
      <c r="KT241" s="19" t="n"/>
      <c r="KV241" s="5">
        <f>C241</f>
        <v/>
      </c>
      <c r="KZ241" s="19" t="n"/>
      <c r="LA241" s="19" t="n"/>
      <c r="LB241" s="19" t="n"/>
      <c r="LD241" s="5">
        <f>C241</f>
        <v/>
      </c>
      <c r="LH241" s="19" t="n"/>
      <c r="LI241" s="19" t="n"/>
      <c r="LJ241" s="19" t="n"/>
      <c r="LL241" s="5">
        <f>C241</f>
        <v/>
      </c>
      <c r="LM241" s="633" t="n"/>
      <c r="LP241" s="19" t="n"/>
      <c r="LQ241" s="19" t="n"/>
      <c r="LR241" s="19" t="n"/>
      <c r="LS241" s="551" t="n"/>
      <c r="LT241" s="522">
        <f>C241</f>
        <v/>
      </c>
      <c r="LU241" s="522">
        <f>LV241*10000</f>
        <v/>
      </c>
      <c r="LV241" s="522" t="inlineStr">
        <is>
          <t>---</t>
        </is>
      </c>
      <c r="LX241" s="525" t="n"/>
      <c r="LY241" s="525" t="n"/>
      <c r="LZ241" s="19" t="n"/>
      <c r="MB241" s="5">
        <f>C241</f>
        <v/>
      </c>
      <c r="MF241" s="19" t="n"/>
      <c r="MG241" s="19" t="n"/>
      <c r="MH241" s="19" t="n"/>
      <c r="MK241" s="5">
        <f>C241</f>
        <v/>
      </c>
      <c r="MM241" s="24" t="n"/>
      <c r="MO241" s="19" t="n"/>
      <c r="MP241" s="19" t="n"/>
      <c r="MQ241" s="19" t="n"/>
      <c r="MR241" s="19" t="n"/>
      <c r="MS241" s="19" t="n"/>
      <c r="MT241" s="25">
        <f>C241</f>
        <v/>
      </c>
      <c r="MX241" s="19" t="n"/>
      <c r="MY241" s="19" t="n"/>
      <c r="MZ241" s="19" t="n"/>
      <c r="NA241" s="19" t="n"/>
      <c r="NB241" s="19" t="n"/>
      <c r="NC241" s="5">
        <f>C241</f>
        <v/>
      </c>
      <c r="NG241" s="19" t="n"/>
      <c r="NH241" s="19" t="n"/>
      <c r="NI241" s="19" t="n"/>
      <c r="NJ241" s="19" t="n"/>
      <c r="NK241" s="19" t="n"/>
      <c r="NM241" s="5">
        <f>C241</f>
        <v/>
      </c>
      <c r="NQ241" s="19" t="n"/>
      <c r="NR241" s="19" t="n"/>
      <c r="NU241" s="5">
        <f>C241</f>
        <v/>
      </c>
      <c r="NY241" s="19" t="n"/>
      <c r="NZ241" s="19" t="n"/>
      <c r="OC241" s="5">
        <f>C241</f>
        <v/>
      </c>
      <c r="OG241" s="19" t="n"/>
      <c r="OH241" s="19" t="n"/>
      <c r="OI241" s="19" t="n"/>
      <c r="OK241" s="5">
        <f>C241</f>
        <v/>
      </c>
      <c r="OO241" s="19" t="n"/>
      <c r="OP241" s="19" t="n"/>
      <c r="OQ241" s="19" t="n"/>
      <c r="OT241" s="25">
        <f>OK241</f>
        <v/>
      </c>
      <c r="OX241" s="19" t="n"/>
    </row>
    <row r="242" ht="21" customFormat="1" customHeight="1" s="5">
      <c r="A242" s="631" t="n"/>
      <c r="B242" s="631" t="n"/>
      <c r="C242" s="714" t="inlineStr">
        <is>
          <t>2022//3//31</t>
        </is>
      </c>
      <c r="D242" s="591">
        <f>E242*10000</f>
        <v/>
      </c>
      <c r="E242" s="591" t="n">
        <v>106.02</v>
      </c>
      <c r="F242" s="523" t="n"/>
      <c r="G242" s="592" t="n"/>
      <c r="H242" s="592" t="n"/>
      <c r="I242" s="526" t="n"/>
      <c r="J242" s="526" t="n"/>
      <c r="K242" s="522">
        <f>C242</f>
        <v/>
      </c>
      <c r="L242" s="591">
        <f>M242*10000</f>
        <v/>
      </c>
      <c r="M242" s="591" t="n">
        <v>55.2</v>
      </c>
      <c r="N242" s="523" t="n"/>
      <c r="O242" s="594" t="n"/>
      <c r="P242" s="592" t="n"/>
      <c r="Q242" s="526" t="n"/>
      <c r="R242" s="523" t="n"/>
      <c r="S242" s="522">
        <f>C242</f>
        <v/>
      </c>
      <c r="T242" s="591">
        <f>U242*10000</f>
        <v/>
      </c>
      <c r="U242" s="591" t="n">
        <v>178.08</v>
      </c>
      <c r="V242" s="523" t="n"/>
      <c r="W242" s="592" t="n"/>
      <c r="X242" s="592" t="n"/>
      <c r="Y242" s="526" t="n"/>
      <c r="Z242" s="523" t="n"/>
      <c r="AA242" s="522">
        <f>S242</f>
        <v/>
      </c>
      <c r="AB242" s="591">
        <f>AC242*10000</f>
        <v/>
      </c>
      <c r="AC242" s="591" t="n">
        <v>57.68</v>
      </c>
      <c r="AD242" s="523" t="n"/>
      <c r="AE242" s="594" t="n"/>
      <c r="AF242" s="592" t="n"/>
      <c r="AG242" s="526" t="n"/>
      <c r="AH242" s="523" t="n"/>
      <c r="AI242" s="522">
        <f>C242</f>
        <v/>
      </c>
      <c r="AJ242" s="591">
        <f>AK242*10000</f>
        <v/>
      </c>
      <c r="AK242" s="522" t="n">
        <v>25.83</v>
      </c>
      <c r="AL242" s="523" t="n"/>
      <c r="AM242" s="594" t="n"/>
      <c r="AN242" s="592" t="n"/>
      <c r="AO242" s="526" t="n"/>
      <c r="AP242" s="551" t="n"/>
      <c r="AQ242" s="522">
        <f>C242</f>
        <v/>
      </c>
      <c r="AR242" s="634">
        <f>AS242*10000</f>
        <v/>
      </c>
      <c r="AS242" s="591" t="n">
        <v>66.29000000000001</v>
      </c>
      <c r="AT242" s="592" t="n"/>
      <c r="AU242" s="523" t="n"/>
      <c r="AV242" s="526" t="n"/>
      <c r="AW242" s="526" t="n"/>
      <c r="AX242" s="523" t="n"/>
      <c r="AY242" s="523" t="n"/>
      <c r="AZ242" s="523">
        <f>C242</f>
        <v/>
      </c>
      <c r="BA242" s="523" t="n"/>
      <c r="BB242" s="523" t="n"/>
      <c r="BC242" s="523" t="n"/>
      <c r="BD242" s="526" t="n"/>
      <c r="BE242" s="526" t="n"/>
      <c r="BF242" s="526" t="n"/>
      <c r="BG242" s="631" t="n"/>
      <c r="BH242" s="5">
        <f>C242</f>
        <v/>
      </c>
      <c r="BL242" s="19" t="n"/>
      <c r="BM242" s="19" t="n"/>
      <c r="BN242" s="19" t="n"/>
      <c r="BP242" s="5">
        <f>C242</f>
        <v/>
      </c>
      <c r="BQ242" s="633" t="n"/>
      <c r="BT242" s="19" t="n"/>
      <c r="BU242" s="19" t="n"/>
      <c r="BV242" s="19" t="n"/>
      <c r="BX242" s="5">
        <f>C242</f>
        <v/>
      </c>
      <c r="CB242" s="19" t="n"/>
      <c r="CC242" s="19" t="n"/>
      <c r="CD242" s="19" t="n"/>
      <c r="CF242" s="5">
        <f>C242</f>
        <v/>
      </c>
      <c r="CJ242" s="19" t="n"/>
      <c r="CK242" s="19" t="n"/>
      <c r="CL242" s="19" t="n"/>
      <c r="CN242" s="5">
        <f>C242</f>
        <v/>
      </c>
      <c r="CR242" s="19" t="n"/>
      <c r="CS242" s="19" t="n"/>
      <c r="CT242" s="19" t="n"/>
      <c r="CV242" s="5">
        <f>C242</f>
        <v/>
      </c>
      <c r="CZ242" s="19" t="n"/>
      <c r="DA242" s="19" t="n"/>
      <c r="DB242" s="19" t="n"/>
      <c r="DC242" s="23" t="n"/>
      <c r="DD242" s="5">
        <f>C242</f>
        <v/>
      </c>
      <c r="DH242" s="19" t="n"/>
      <c r="DI242" s="19" t="n"/>
      <c r="DJ242" s="19" t="n"/>
      <c r="DL242" s="5">
        <f>C242</f>
        <v/>
      </c>
      <c r="DP242" s="19" t="n"/>
      <c r="DQ242" s="19" t="n"/>
      <c r="DR242" s="19" t="n"/>
      <c r="DT242" s="5">
        <f>C242</f>
        <v/>
      </c>
      <c r="DX242" s="19" t="n"/>
      <c r="DY242" s="19" t="n"/>
      <c r="DZ242" s="19" t="n"/>
      <c r="EB242" s="5">
        <f>C242</f>
        <v/>
      </c>
      <c r="EF242" s="19" t="n"/>
      <c r="EG242" s="19" t="n"/>
      <c r="EH242" s="19" t="n"/>
      <c r="EJ242" s="5">
        <f>C242</f>
        <v/>
      </c>
      <c r="EN242" s="19" t="n"/>
      <c r="EO242" s="19" t="n"/>
      <c r="EP242" s="19" t="n"/>
      <c r="EQ242" s="19" t="n"/>
      <c r="ER242" s="5">
        <f>C242</f>
        <v/>
      </c>
      <c r="ES242" s="19" t="n"/>
      <c r="ET242" s="19" t="n"/>
      <c r="EU242" s="19" t="n"/>
      <c r="EV242" s="19" t="n"/>
      <c r="EW242" s="19" t="n"/>
      <c r="EX242" s="19" t="n"/>
      <c r="EZ242" s="5">
        <f>C242</f>
        <v/>
      </c>
      <c r="FD242" s="19" t="n"/>
      <c r="FE242" s="19" t="n"/>
      <c r="FF242" s="19" t="n"/>
      <c r="FG242" s="19" t="n"/>
      <c r="FH242" s="5">
        <f>C242</f>
        <v/>
      </c>
      <c r="FI242" s="633" t="n"/>
      <c r="FL242" s="19" t="n"/>
      <c r="FM242" s="19" t="n"/>
      <c r="FN242" s="19" t="n"/>
      <c r="FP242" s="5">
        <f>C242</f>
        <v/>
      </c>
      <c r="FT242" s="19" t="n"/>
      <c r="FU242" s="19" t="n"/>
      <c r="FV242" s="19" t="n"/>
      <c r="FX242" s="5">
        <f>C242</f>
        <v/>
      </c>
      <c r="GB242" s="19" t="n"/>
      <c r="GC242" s="19" t="n"/>
      <c r="GD242" s="19" t="n"/>
      <c r="GF242" s="5">
        <f>C242</f>
        <v/>
      </c>
      <c r="GJ242" s="19" t="n"/>
      <c r="GK242" s="19" t="n"/>
      <c r="GL242" s="19" t="n"/>
      <c r="GN242" s="5">
        <f>C242</f>
        <v/>
      </c>
      <c r="GR242" s="19" t="n"/>
      <c r="GS242" s="19" t="n"/>
      <c r="GT242" s="19" t="n"/>
      <c r="GV242" s="5">
        <f>C242</f>
        <v/>
      </c>
      <c r="GZ242" s="19" t="n"/>
      <c r="HA242" s="19" t="n"/>
      <c r="HB242" s="19" t="n"/>
      <c r="HD242" s="5">
        <f>C242</f>
        <v/>
      </c>
      <c r="HH242" s="19" t="n"/>
      <c r="HI242" s="19" t="n"/>
      <c r="HJ242" s="19" t="n"/>
      <c r="HL242" s="5">
        <f>C242</f>
        <v/>
      </c>
      <c r="HP242" s="19" t="n"/>
      <c r="HQ242" s="19" t="n"/>
      <c r="HR242" s="19" t="n"/>
      <c r="HT242" s="5">
        <f>C242</f>
        <v/>
      </c>
      <c r="HX242" s="19" t="n"/>
      <c r="HY242" s="19" t="n"/>
      <c r="HZ242" s="19" t="n"/>
      <c r="IB242" s="5">
        <f>C242</f>
        <v/>
      </c>
      <c r="IG242" s="19" t="n"/>
      <c r="IH242" s="19" t="n"/>
      <c r="IJ242" s="5">
        <f>C242</f>
        <v/>
      </c>
      <c r="IN242" s="19" t="n"/>
      <c r="IO242" s="19" t="n"/>
      <c r="IP242" s="19" t="n"/>
      <c r="IR242" s="5">
        <f>C242</f>
        <v/>
      </c>
      <c r="IV242" s="19" t="n"/>
      <c r="IW242" s="19" t="n"/>
      <c r="IX242" s="19" t="n"/>
      <c r="IZ242" s="5">
        <f>C242</f>
        <v/>
      </c>
      <c r="JD242" s="19" t="n"/>
      <c r="JE242" s="19" t="n"/>
      <c r="JF242" s="19" t="n"/>
      <c r="JH242" s="5">
        <f>C242</f>
        <v/>
      </c>
      <c r="JL242" s="19" t="n"/>
      <c r="JM242" s="19" t="n"/>
      <c r="JN242" s="19" t="n"/>
      <c r="JO242" s="19" t="n"/>
      <c r="JP242" s="5">
        <f>C242</f>
        <v/>
      </c>
      <c r="JT242" s="19" t="n"/>
      <c r="JU242" s="19" t="n"/>
      <c r="JV242" s="19" t="n"/>
      <c r="JW242" s="19" t="n"/>
      <c r="JX242" s="5">
        <f>C242</f>
        <v/>
      </c>
      <c r="KB242" s="19" t="n"/>
      <c r="KC242" s="19" t="n"/>
      <c r="KD242" s="19" t="n"/>
      <c r="KE242" s="19" t="n"/>
      <c r="KF242" s="5">
        <f>C242</f>
        <v/>
      </c>
      <c r="KG242" s="19" t="n"/>
      <c r="KH242" s="19" t="n"/>
      <c r="KJ242" s="19" t="n"/>
      <c r="KK242" s="19" t="n"/>
      <c r="KL242" s="19" t="n"/>
      <c r="KM242" s="19" t="n"/>
      <c r="KN242" s="5">
        <f>C242</f>
        <v/>
      </c>
      <c r="KR242" s="19" t="n"/>
      <c r="KS242" s="19" t="n"/>
      <c r="KT242" s="19" t="n"/>
      <c r="KV242" s="5">
        <f>C242</f>
        <v/>
      </c>
      <c r="KZ242" s="19" t="n"/>
      <c r="LA242" s="19" t="n"/>
      <c r="LB242" s="19" t="n"/>
      <c r="LD242" s="5">
        <f>C242</f>
        <v/>
      </c>
      <c r="LH242" s="19" t="n"/>
      <c r="LI242" s="19" t="n"/>
      <c r="LJ242" s="19" t="n"/>
      <c r="LL242" s="5">
        <f>C242</f>
        <v/>
      </c>
      <c r="LM242" s="633" t="n"/>
      <c r="LP242" s="19" t="n"/>
      <c r="LQ242" s="19" t="n"/>
      <c r="LR242" s="19" t="n"/>
      <c r="LS242" s="551" t="n"/>
      <c r="LT242" s="522">
        <f>C242</f>
        <v/>
      </c>
      <c r="LU242" s="522">
        <f>LV242*10000</f>
        <v/>
      </c>
      <c r="LV242" s="522" t="inlineStr">
        <is>
          <t>---</t>
        </is>
      </c>
      <c r="LX242" s="525" t="n"/>
      <c r="LY242" s="525" t="n"/>
      <c r="LZ242" s="19" t="n"/>
      <c r="MB242" s="5">
        <f>C242</f>
        <v/>
      </c>
      <c r="MF242" s="19" t="n"/>
      <c r="MG242" s="19" t="n"/>
      <c r="MH242" s="19" t="n"/>
      <c r="MK242" s="5">
        <f>C242</f>
        <v/>
      </c>
      <c r="MM242" s="24" t="n"/>
      <c r="MO242" s="19" t="n"/>
      <c r="MP242" s="19" t="n"/>
      <c r="MQ242" s="19" t="n"/>
      <c r="MR242" s="19" t="n"/>
      <c r="MS242" s="19" t="n"/>
      <c r="MT242" s="25">
        <f>C242</f>
        <v/>
      </c>
      <c r="MX242" s="19" t="n"/>
      <c r="MY242" s="19" t="n"/>
      <c r="MZ242" s="19" t="n"/>
      <c r="NA242" s="19" t="n"/>
      <c r="NB242" s="19" t="n"/>
      <c r="NC242" s="5">
        <f>C242</f>
        <v/>
      </c>
      <c r="NG242" s="19" t="n"/>
      <c r="NH242" s="19" t="n"/>
      <c r="NI242" s="19" t="n"/>
      <c r="NJ242" s="19" t="n"/>
      <c r="NK242" s="19" t="n"/>
      <c r="NM242" s="5">
        <f>C242</f>
        <v/>
      </c>
      <c r="NQ242" s="19" t="n"/>
      <c r="NR242" s="19" t="n"/>
      <c r="NU242" s="5">
        <f>C242</f>
        <v/>
      </c>
      <c r="NY242" s="19" t="n"/>
      <c r="NZ242" s="19" t="n"/>
      <c r="OC242" s="5">
        <f>C242</f>
        <v/>
      </c>
      <c r="OG242" s="19" t="n"/>
      <c r="OH242" s="19" t="n"/>
      <c r="OI242" s="19" t="n"/>
      <c r="OK242" s="5">
        <f>C242</f>
        <v/>
      </c>
      <c r="OO242" s="19" t="n"/>
      <c r="OP242" s="19" t="n"/>
      <c r="OQ242" s="19" t="n"/>
      <c r="OT242" s="25">
        <f>OK242</f>
        <v/>
      </c>
      <c r="OX242" s="19" t="n"/>
    </row>
    <row r="243" ht="21" customFormat="1" customHeight="1" s="5">
      <c r="A243" s="631" t="n"/>
      <c r="B243" s="631" t="n"/>
      <c r="C243" s="714" t="inlineStr">
        <is>
          <t>2021//12//31</t>
        </is>
      </c>
      <c r="D243" s="591">
        <f>E243*10000</f>
        <v/>
      </c>
      <c r="E243" s="591" t="n">
        <v>113.4</v>
      </c>
      <c r="F243" s="523" t="n"/>
      <c r="G243" s="592" t="n"/>
      <c r="H243" s="592" t="n"/>
      <c r="I243" s="526" t="n"/>
      <c r="J243" s="526" t="n"/>
      <c r="K243" s="522">
        <f>C243</f>
        <v/>
      </c>
      <c r="L243" s="591">
        <f>M243*10000</f>
        <v/>
      </c>
      <c r="M243" s="591" t="n">
        <v>50.55</v>
      </c>
      <c r="N243" s="523" t="n"/>
      <c r="O243" s="594" t="n"/>
      <c r="P243" s="592" t="n"/>
      <c r="Q243" s="526" t="n"/>
      <c r="R243" s="523" t="n"/>
      <c r="S243" s="522">
        <f>C243</f>
        <v/>
      </c>
      <c r="T243" s="591">
        <f>U243*10000</f>
        <v/>
      </c>
      <c r="U243" s="591" t="n">
        <v>212.04</v>
      </c>
      <c r="V243" s="523" t="n"/>
      <c r="W243" s="592" t="n"/>
      <c r="X243" s="592" t="n"/>
      <c r="Y243" s="526" t="n"/>
      <c r="Z243" s="523" t="n"/>
      <c r="AA243" s="522">
        <f>S243</f>
        <v/>
      </c>
      <c r="AB243" s="591">
        <f>AC243*10000</f>
        <v/>
      </c>
      <c r="AC243" s="591" t="n">
        <v>56.65</v>
      </c>
      <c r="AD243" s="523" t="n"/>
      <c r="AE243" s="594" t="n"/>
      <c r="AF243" s="592" t="n"/>
      <c r="AG243" s="526" t="n"/>
      <c r="AH243" s="523" t="n"/>
      <c r="AI243" s="522">
        <f>C243</f>
        <v/>
      </c>
      <c r="AJ243" s="591">
        <f>AK243*10000</f>
        <v/>
      </c>
      <c r="AK243" s="522" t="n">
        <v>20.55</v>
      </c>
      <c r="AL243" s="523" t="n"/>
      <c r="AM243" s="594" t="n"/>
      <c r="AN243" s="592" t="n"/>
      <c r="AO243" s="526" t="n"/>
      <c r="AP243" s="551" t="n"/>
      <c r="AQ243" s="522">
        <f>C243</f>
        <v/>
      </c>
      <c r="AR243" s="634">
        <f>AS243*10000</f>
        <v/>
      </c>
      <c r="AS243" s="591" t="n">
        <v>39.22</v>
      </c>
      <c r="AT243" s="592" t="n"/>
      <c r="AU243" s="523" t="n"/>
      <c r="AV243" s="526" t="n"/>
      <c r="AW243" s="526" t="n"/>
      <c r="AX243" s="523" t="n"/>
      <c r="AY243" s="523" t="n"/>
      <c r="AZ243" s="523">
        <f>C243</f>
        <v/>
      </c>
      <c r="BA243" s="523" t="n"/>
      <c r="BB243" s="523" t="n"/>
      <c r="BC243" s="523" t="n"/>
      <c r="BD243" s="526" t="n"/>
      <c r="BE243" s="526" t="n"/>
      <c r="BF243" s="526" t="n"/>
      <c r="BG243" s="631" t="n"/>
      <c r="BH243" s="5">
        <f>C243</f>
        <v/>
      </c>
      <c r="BL243" s="19" t="n"/>
      <c r="BM243" s="19" t="n"/>
      <c r="BN243" s="19" t="n"/>
      <c r="BP243" s="5">
        <f>C243</f>
        <v/>
      </c>
      <c r="BQ243" s="633" t="n"/>
      <c r="BT243" s="19" t="n"/>
      <c r="BU243" s="19" t="n"/>
      <c r="BV243" s="19" t="n"/>
      <c r="BX243" s="5">
        <f>C243</f>
        <v/>
      </c>
      <c r="CB243" s="19" t="n"/>
      <c r="CC243" s="19" t="n"/>
      <c r="CD243" s="19" t="n"/>
      <c r="CF243" s="5">
        <f>C243</f>
        <v/>
      </c>
      <c r="CJ243" s="19" t="n"/>
      <c r="CK243" s="19" t="n"/>
      <c r="CL243" s="19" t="n"/>
      <c r="CN243" s="5">
        <f>C243</f>
        <v/>
      </c>
      <c r="CR243" s="19" t="n"/>
      <c r="CS243" s="19" t="n"/>
      <c r="CT243" s="19" t="n"/>
      <c r="CV243" s="5">
        <f>C243</f>
        <v/>
      </c>
      <c r="CZ243" s="19" t="n"/>
      <c r="DA243" s="19" t="n"/>
      <c r="DB243" s="19" t="n"/>
      <c r="DC243" s="23" t="n"/>
      <c r="DD243" s="5">
        <f>C243</f>
        <v/>
      </c>
      <c r="DH243" s="19" t="n"/>
      <c r="DI243" s="19" t="n"/>
      <c r="DJ243" s="19" t="n"/>
      <c r="DL243" s="5">
        <f>C243</f>
        <v/>
      </c>
      <c r="DP243" s="19" t="n"/>
      <c r="DQ243" s="19" t="n"/>
      <c r="DR243" s="19" t="n"/>
      <c r="DT243" s="5">
        <f>C243</f>
        <v/>
      </c>
      <c r="DX243" s="19" t="n"/>
      <c r="DY243" s="19" t="n"/>
      <c r="DZ243" s="19" t="n"/>
      <c r="EB243" s="5">
        <f>C243</f>
        <v/>
      </c>
      <c r="EF243" s="19" t="n"/>
      <c r="EG243" s="19" t="n"/>
      <c r="EH243" s="19" t="n"/>
      <c r="EJ243" s="5">
        <f>C243</f>
        <v/>
      </c>
      <c r="EN243" s="19" t="n"/>
      <c r="EO243" s="19" t="n"/>
      <c r="EP243" s="19" t="n"/>
      <c r="EQ243" s="19" t="n"/>
      <c r="ER243" s="5">
        <f>C243</f>
        <v/>
      </c>
      <c r="ES243" s="19" t="n"/>
      <c r="ET243" s="19" t="n"/>
      <c r="EU243" s="19" t="n"/>
      <c r="EV243" s="19" t="n"/>
      <c r="EW243" s="19" t="n"/>
      <c r="EX243" s="19" t="n"/>
      <c r="EZ243" s="5">
        <f>C243</f>
        <v/>
      </c>
      <c r="FD243" s="19" t="n"/>
      <c r="FE243" s="19" t="n"/>
      <c r="FF243" s="19" t="n"/>
      <c r="FG243" s="19" t="n"/>
      <c r="FH243" s="5">
        <f>C243</f>
        <v/>
      </c>
      <c r="FI243" s="633" t="n"/>
      <c r="FL243" s="19" t="n"/>
      <c r="FM243" s="19" t="n"/>
      <c r="FN243" s="19" t="n"/>
      <c r="FP243" s="5">
        <f>C243</f>
        <v/>
      </c>
      <c r="FT243" s="19" t="n"/>
      <c r="FU243" s="19" t="n"/>
      <c r="FV243" s="19" t="n"/>
      <c r="FX243" s="5">
        <f>C243</f>
        <v/>
      </c>
      <c r="GB243" s="19" t="n"/>
      <c r="GC243" s="19" t="n"/>
      <c r="GD243" s="19" t="n"/>
      <c r="GF243" s="5">
        <f>C243</f>
        <v/>
      </c>
      <c r="GJ243" s="19" t="n"/>
      <c r="GK243" s="19" t="n"/>
      <c r="GL243" s="19" t="n"/>
      <c r="GN243" s="5">
        <f>C243</f>
        <v/>
      </c>
      <c r="GR243" s="19" t="n"/>
      <c r="GS243" s="19" t="n"/>
      <c r="GT243" s="19" t="n"/>
      <c r="GV243" s="5">
        <f>C243</f>
        <v/>
      </c>
      <c r="GZ243" s="19" t="n"/>
      <c r="HA243" s="19" t="n"/>
      <c r="HB243" s="19" t="n"/>
      <c r="HD243" s="5">
        <f>C243</f>
        <v/>
      </c>
      <c r="HH243" s="19" t="n"/>
      <c r="HI243" s="19" t="n"/>
      <c r="HJ243" s="19" t="n"/>
      <c r="HL243" s="5">
        <f>C243</f>
        <v/>
      </c>
      <c r="HP243" s="19" t="n"/>
      <c r="HQ243" s="19" t="n"/>
      <c r="HR243" s="19" t="n"/>
      <c r="HT243" s="5">
        <f>C243</f>
        <v/>
      </c>
      <c r="HX243" s="19" t="n"/>
      <c r="HY243" s="19" t="n"/>
      <c r="HZ243" s="19" t="n"/>
      <c r="IB243" s="5">
        <f>C243</f>
        <v/>
      </c>
      <c r="IG243" s="19" t="n"/>
      <c r="IH243" s="19" t="n"/>
      <c r="IJ243" s="5">
        <f>C243</f>
        <v/>
      </c>
      <c r="IN243" s="19" t="n"/>
      <c r="IO243" s="19" t="n"/>
      <c r="IP243" s="19" t="n"/>
      <c r="IR243" s="5">
        <f>C243</f>
        <v/>
      </c>
      <c r="IV243" s="19" t="n"/>
      <c r="IW243" s="19" t="n"/>
      <c r="IX243" s="19" t="n"/>
      <c r="IZ243" s="5">
        <f>C243</f>
        <v/>
      </c>
      <c r="JD243" s="19" t="n"/>
      <c r="JE243" s="19" t="n"/>
      <c r="JF243" s="19" t="n"/>
      <c r="JH243" s="5">
        <f>C243</f>
        <v/>
      </c>
      <c r="JL243" s="19" t="n"/>
      <c r="JM243" s="19" t="n"/>
      <c r="JN243" s="19" t="n"/>
      <c r="JO243" s="19" t="n"/>
      <c r="JP243" s="5">
        <f>C243</f>
        <v/>
      </c>
      <c r="JT243" s="19" t="n"/>
      <c r="JU243" s="19" t="n"/>
      <c r="JV243" s="19" t="n"/>
      <c r="JW243" s="19" t="n"/>
      <c r="JX243" s="5">
        <f>C243</f>
        <v/>
      </c>
      <c r="KB243" s="19" t="n"/>
      <c r="KC243" s="19" t="n"/>
      <c r="KD243" s="19" t="n"/>
      <c r="KE243" s="19" t="n"/>
      <c r="KF243" s="5">
        <f>C243</f>
        <v/>
      </c>
      <c r="KG243" s="19" t="n"/>
      <c r="KH243" s="19" t="n"/>
      <c r="KJ243" s="19" t="n"/>
      <c r="KK243" s="19" t="n"/>
      <c r="KL243" s="19" t="n"/>
      <c r="KM243" s="19" t="n"/>
      <c r="KN243" s="5">
        <f>C243</f>
        <v/>
      </c>
      <c r="KR243" s="19" t="n"/>
      <c r="KS243" s="19" t="n"/>
      <c r="KT243" s="19" t="n"/>
      <c r="KV243" s="5">
        <f>C243</f>
        <v/>
      </c>
      <c r="KZ243" s="19" t="n"/>
      <c r="LA243" s="19" t="n"/>
      <c r="LB243" s="19" t="n"/>
      <c r="LD243" s="5">
        <f>C243</f>
        <v/>
      </c>
      <c r="LH243" s="19" t="n"/>
      <c r="LI243" s="19" t="n"/>
      <c r="LJ243" s="19" t="n"/>
      <c r="LL243" s="5">
        <f>C243</f>
        <v/>
      </c>
      <c r="LM243" s="633" t="n"/>
      <c r="LP243" s="19" t="n"/>
      <c r="LQ243" s="19" t="n"/>
      <c r="LR243" s="19" t="n"/>
      <c r="LT243" s="5">
        <f>C243</f>
        <v/>
      </c>
      <c r="LX243" s="19" t="n"/>
      <c r="LY243" s="19" t="n"/>
      <c r="LZ243" s="19" t="n"/>
      <c r="MB243" s="5">
        <f>C243</f>
        <v/>
      </c>
      <c r="MF243" s="19" t="n"/>
      <c r="MG243" s="19" t="n"/>
      <c r="MH243" s="19" t="n"/>
      <c r="MK243" s="5">
        <f>C243</f>
        <v/>
      </c>
      <c r="MM243" s="24" t="n"/>
      <c r="MO243" s="19" t="n"/>
      <c r="MP243" s="19" t="n"/>
      <c r="MQ243" s="19" t="n"/>
      <c r="MR243" s="19" t="n"/>
      <c r="MS243" s="19" t="n"/>
      <c r="MT243" s="25">
        <f>C243</f>
        <v/>
      </c>
      <c r="MX243" s="19" t="n"/>
      <c r="MY243" s="19" t="n"/>
      <c r="MZ243" s="19" t="n"/>
      <c r="NA243" s="19" t="n"/>
      <c r="NB243" s="19" t="n"/>
      <c r="NC243" s="5">
        <f>C243</f>
        <v/>
      </c>
      <c r="NG243" s="19" t="n"/>
      <c r="NH243" s="19" t="n"/>
      <c r="NI243" s="19" t="n"/>
      <c r="NJ243" s="19" t="n"/>
      <c r="NK243" s="19" t="n"/>
      <c r="NM243" s="5">
        <f>C243</f>
        <v/>
      </c>
      <c r="NQ243" s="19" t="n"/>
      <c r="NR243" s="19" t="n"/>
      <c r="NU243" s="5">
        <f>C243</f>
        <v/>
      </c>
      <c r="NY243" s="19" t="n"/>
      <c r="NZ243" s="19" t="n"/>
      <c r="OC243" s="5">
        <f>C243</f>
        <v/>
      </c>
      <c r="OG243" s="19" t="n"/>
      <c r="OH243" s="19" t="n"/>
      <c r="OI243" s="19" t="n"/>
      <c r="OK243" s="5">
        <f>C243</f>
        <v/>
      </c>
      <c r="OO243" s="19" t="n"/>
      <c r="OP243" s="19" t="n"/>
      <c r="OQ243" s="19" t="n"/>
      <c r="OT243" s="25">
        <f>OK243</f>
        <v/>
      </c>
      <c r="OX243" s="19" t="n"/>
    </row>
    <row r="244" ht="21" customFormat="1" customHeight="1" s="5">
      <c r="A244" s="631" t="n"/>
      <c r="B244" s="631" t="n"/>
      <c r="C244" s="714" t="inlineStr">
        <is>
          <t>2021//9//30</t>
        </is>
      </c>
      <c r="D244" s="591">
        <f>E244*10000</f>
        <v/>
      </c>
      <c r="E244" s="591" t="n">
        <v>78.75</v>
      </c>
      <c r="F244" s="523" t="n"/>
      <c r="G244" s="592" t="n"/>
      <c r="H244" s="592" t="n"/>
      <c r="I244" s="526" t="n"/>
      <c r="J244" s="526" t="n"/>
      <c r="K244" s="522">
        <f>C244</f>
        <v/>
      </c>
      <c r="L244" s="591">
        <f>M244*10000</f>
        <v/>
      </c>
      <c r="M244" s="591" t="n">
        <v>46.43</v>
      </c>
      <c r="N244" s="523" t="n"/>
      <c r="O244" s="594" t="n"/>
      <c r="P244" s="592" t="n"/>
      <c r="Q244" s="526" t="n"/>
      <c r="R244" s="523" t="n"/>
      <c r="S244" s="522">
        <f>C244</f>
        <v/>
      </c>
      <c r="T244" s="591">
        <f>U244*10000</f>
        <v/>
      </c>
      <c r="U244" s="591" t="n">
        <v>163.43</v>
      </c>
      <c r="V244" s="523" t="n"/>
      <c r="W244" s="592" t="n"/>
      <c r="X244" s="592" t="n"/>
      <c r="Y244" s="526" t="n"/>
      <c r="Z244" s="523" t="n"/>
      <c r="AA244" s="522">
        <f>S244</f>
        <v/>
      </c>
      <c r="AB244" s="591">
        <f>AC244*10000</f>
        <v/>
      </c>
      <c r="AC244" s="591" t="n">
        <v>65.98</v>
      </c>
      <c r="AD244" s="523" t="n"/>
      <c r="AE244" s="594" t="n"/>
      <c r="AF244" s="592" t="n"/>
      <c r="AG244" s="526" t="n"/>
      <c r="AH244" s="523" t="n"/>
      <c r="AI244" s="522">
        <f>C244</f>
        <v/>
      </c>
      <c r="AJ244" s="591">
        <f>AK244*10000</f>
        <v/>
      </c>
      <c r="AK244" s="522" t="n">
        <v>17.88</v>
      </c>
      <c r="AL244" s="523" t="n"/>
      <c r="AM244" s="594" t="n"/>
      <c r="AN244" s="592" t="n"/>
      <c r="AO244" s="526" t="n"/>
      <c r="AP244" s="551" t="n"/>
      <c r="AQ244" s="522">
        <f>C244</f>
        <v/>
      </c>
      <c r="AR244" s="634">
        <f>AS244*10000</f>
        <v/>
      </c>
      <c r="AS244" s="591" t="n">
        <v>41.36</v>
      </c>
      <c r="AT244" s="592" t="n"/>
      <c r="AU244" s="523" t="n"/>
      <c r="AV244" s="526" t="n"/>
      <c r="AW244" s="526" t="n"/>
      <c r="AX244" s="523" t="n"/>
      <c r="AY244" s="523" t="n"/>
      <c r="AZ244" s="523">
        <f>C244</f>
        <v/>
      </c>
      <c r="BA244" s="523" t="n"/>
      <c r="BB244" s="523" t="n"/>
      <c r="BC244" s="523" t="n"/>
      <c r="BD244" s="526" t="n"/>
      <c r="BE244" s="526" t="n"/>
      <c r="BF244" s="526" t="n"/>
      <c r="BG244" s="631" t="n"/>
      <c r="BH244" s="5">
        <f>C244</f>
        <v/>
      </c>
      <c r="BL244" s="19" t="n"/>
      <c r="BM244" s="19" t="n"/>
      <c r="BN244" s="19" t="n"/>
      <c r="BP244" s="5">
        <f>C244</f>
        <v/>
      </c>
      <c r="BQ244" s="633" t="n"/>
      <c r="BT244" s="19" t="n"/>
      <c r="BU244" s="19" t="n"/>
      <c r="BV244" s="19" t="n"/>
      <c r="BX244" s="5">
        <f>C244</f>
        <v/>
      </c>
      <c r="CB244" s="19" t="n"/>
      <c r="CC244" s="19" t="n"/>
      <c r="CD244" s="19" t="n"/>
      <c r="CF244" s="5">
        <f>C244</f>
        <v/>
      </c>
      <c r="CJ244" s="19" t="n"/>
      <c r="CK244" s="19" t="n"/>
      <c r="CL244" s="19" t="n"/>
      <c r="CN244" s="5">
        <f>C244</f>
        <v/>
      </c>
      <c r="CR244" s="19" t="n"/>
      <c r="CS244" s="19" t="n"/>
      <c r="CT244" s="19" t="n"/>
      <c r="CV244" s="5">
        <f>C244</f>
        <v/>
      </c>
      <c r="CZ244" s="19" t="n"/>
      <c r="DA244" s="19" t="n"/>
      <c r="DB244" s="19" t="n"/>
      <c r="DC244" s="23" t="n"/>
      <c r="DD244" s="5">
        <f>C244</f>
        <v/>
      </c>
      <c r="DH244" s="19" t="n"/>
      <c r="DI244" s="19" t="n"/>
      <c r="DJ244" s="19" t="n"/>
      <c r="DL244" s="5">
        <f>C244</f>
        <v/>
      </c>
      <c r="DP244" s="19" t="n"/>
      <c r="DQ244" s="19" t="n"/>
      <c r="DR244" s="19" t="n"/>
      <c r="DT244" s="5">
        <f>C244</f>
        <v/>
      </c>
      <c r="DX244" s="19" t="n"/>
      <c r="DY244" s="19" t="n"/>
      <c r="DZ244" s="19" t="n"/>
      <c r="EB244" s="5">
        <f>C244</f>
        <v/>
      </c>
      <c r="EF244" s="19" t="n"/>
      <c r="EG244" s="19" t="n"/>
      <c r="EH244" s="19" t="n"/>
      <c r="EJ244" s="5">
        <f>C244</f>
        <v/>
      </c>
      <c r="EN244" s="19" t="n"/>
      <c r="EO244" s="19" t="n"/>
      <c r="EP244" s="19" t="n"/>
      <c r="EQ244" s="19" t="n"/>
      <c r="ER244" s="5">
        <f>C244</f>
        <v/>
      </c>
      <c r="ES244" s="19" t="n"/>
      <c r="ET244" s="19" t="n"/>
      <c r="EU244" s="19" t="n"/>
      <c r="EV244" s="19" t="n"/>
      <c r="EW244" s="19" t="n"/>
      <c r="EX244" s="19" t="n"/>
      <c r="EZ244" s="5">
        <f>C244</f>
        <v/>
      </c>
      <c r="FD244" s="19" t="n"/>
      <c r="FE244" s="19" t="n"/>
      <c r="FF244" s="19" t="n"/>
      <c r="FG244" s="19" t="n"/>
      <c r="FH244" s="5">
        <f>C244</f>
        <v/>
      </c>
      <c r="FI244" s="633" t="n"/>
      <c r="FL244" s="19" t="n"/>
      <c r="FM244" s="19" t="n"/>
      <c r="FN244" s="19" t="n"/>
      <c r="FP244" s="5">
        <f>C244</f>
        <v/>
      </c>
      <c r="FT244" s="19" t="n"/>
      <c r="FU244" s="19" t="n"/>
      <c r="FV244" s="19" t="n"/>
      <c r="FX244" s="5">
        <f>C244</f>
        <v/>
      </c>
      <c r="GB244" s="19" t="n"/>
      <c r="GC244" s="19" t="n"/>
      <c r="GD244" s="19" t="n"/>
      <c r="GF244" s="5">
        <f>C244</f>
        <v/>
      </c>
      <c r="GJ244" s="19" t="n"/>
      <c r="GK244" s="19" t="n"/>
      <c r="GL244" s="19" t="n"/>
      <c r="GN244" s="5">
        <f>C244</f>
        <v/>
      </c>
      <c r="GR244" s="19" t="n"/>
      <c r="GS244" s="19" t="n"/>
      <c r="GT244" s="19" t="n"/>
      <c r="GV244" s="5">
        <f>C244</f>
        <v/>
      </c>
      <c r="GZ244" s="19" t="n"/>
      <c r="HA244" s="19" t="n"/>
      <c r="HB244" s="19" t="n"/>
      <c r="HD244" s="5">
        <f>C244</f>
        <v/>
      </c>
      <c r="HH244" s="19" t="n"/>
      <c r="HI244" s="19" t="n"/>
      <c r="HJ244" s="19" t="n"/>
      <c r="HL244" s="5">
        <f>C244</f>
        <v/>
      </c>
      <c r="HP244" s="19" t="n"/>
      <c r="HQ244" s="19" t="n"/>
      <c r="HR244" s="19" t="n"/>
      <c r="HT244" s="5">
        <f>C244</f>
        <v/>
      </c>
      <c r="HX244" s="19" t="n"/>
      <c r="HY244" s="19" t="n"/>
      <c r="HZ244" s="19" t="n"/>
      <c r="IB244" s="5">
        <f>C244</f>
        <v/>
      </c>
      <c r="IG244" s="19" t="n"/>
      <c r="IH244" s="19" t="n"/>
      <c r="IJ244" s="5">
        <f>C244</f>
        <v/>
      </c>
      <c r="IN244" s="19" t="n"/>
      <c r="IO244" s="19" t="n"/>
      <c r="IP244" s="19" t="n"/>
      <c r="IR244" s="5">
        <f>C244</f>
        <v/>
      </c>
      <c r="IV244" s="19" t="n"/>
      <c r="IW244" s="19" t="n"/>
      <c r="IX244" s="19" t="n"/>
      <c r="IZ244" s="5">
        <f>C244</f>
        <v/>
      </c>
      <c r="JD244" s="19" t="n"/>
      <c r="JE244" s="19" t="n"/>
      <c r="JF244" s="19" t="n"/>
      <c r="JH244" s="5">
        <f>C244</f>
        <v/>
      </c>
      <c r="JL244" s="19" t="n"/>
      <c r="JM244" s="19" t="n"/>
      <c r="JN244" s="19" t="n"/>
      <c r="JO244" s="19" t="n"/>
      <c r="JP244" s="5">
        <f>C244</f>
        <v/>
      </c>
      <c r="JT244" s="19" t="n"/>
      <c r="JU244" s="19" t="n"/>
      <c r="JV244" s="19" t="n"/>
      <c r="JW244" s="19" t="n"/>
      <c r="JX244" s="5">
        <f>C244</f>
        <v/>
      </c>
      <c r="KB244" s="19" t="n"/>
      <c r="KC244" s="19" t="n"/>
      <c r="KD244" s="19" t="n"/>
      <c r="KE244" s="19" t="n"/>
      <c r="KF244" s="5">
        <f>C244</f>
        <v/>
      </c>
      <c r="KG244" s="19" t="n"/>
      <c r="KH244" s="19" t="n"/>
      <c r="KJ244" s="19" t="n"/>
      <c r="KK244" s="19" t="n"/>
      <c r="KL244" s="19" t="n"/>
      <c r="KM244" s="19" t="n"/>
      <c r="KN244" s="5">
        <f>C244</f>
        <v/>
      </c>
      <c r="KR244" s="19" t="n"/>
      <c r="KS244" s="19" t="n"/>
      <c r="KT244" s="19" t="n"/>
      <c r="KV244" s="5">
        <f>C244</f>
        <v/>
      </c>
      <c r="KZ244" s="19" t="n"/>
      <c r="LA244" s="19" t="n"/>
      <c r="LB244" s="19" t="n"/>
      <c r="LD244" s="5">
        <f>C244</f>
        <v/>
      </c>
      <c r="LH244" s="19" t="n"/>
      <c r="LI244" s="19" t="n"/>
      <c r="LJ244" s="19" t="n"/>
      <c r="LL244" s="5">
        <f>C244</f>
        <v/>
      </c>
      <c r="LM244" s="633" t="n"/>
      <c r="LP244" s="19" t="n"/>
      <c r="LQ244" s="19" t="n"/>
      <c r="LR244" s="19" t="n"/>
      <c r="LT244" s="5">
        <f>C244</f>
        <v/>
      </c>
      <c r="LX244" s="19" t="n"/>
      <c r="LY244" s="19" t="n"/>
      <c r="LZ244" s="19" t="n"/>
      <c r="MB244" s="5">
        <f>C244</f>
        <v/>
      </c>
      <c r="MF244" s="19" t="n"/>
      <c r="MG244" s="19" t="n"/>
      <c r="MH244" s="19" t="n"/>
      <c r="MK244" s="5">
        <f>C244</f>
        <v/>
      </c>
      <c r="MM244" s="24" t="n"/>
      <c r="MO244" s="19" t="n"/>
      <c r="MP244" s="19" t="n"/>
      <c r="MQ244" s="19" t="n"/>
      <c r="MR244" s="19" t="n"/>
      <c r="MS244" s="19" t="n"/>
      <c r="MT244" s="25">
        <f>C244</f>
        <v/>
      </c>
      <c r="MX244" s="19" t="n"/>
      <c r="MY244" s="19" t="n"/>
      <c r="MZ244" s="19" t="n"/>
      <c r="NA244" s="19" t="n"/>
      <c r="NB244" s="19" t="n"/>
      <c r="NC244" s="5">
        <f>C244</f>
        <v/>
      </c>
      <c r="NG244" s="19" t="n"/>
      <c r="NH244" s="19" t="n"/>
      <c r="NI244" s="19" t="n"/>
      <c r="NJ244" s="19" t="n"/>
      <c r="NK244" s="19" t="n"/>
      <c r="NM244" s="5">
        <f>C244</f>
        <v/>
      </c>
      <c r="NQ244" s="19" t="n"/>
      <c r="NR244" s="19" t="n"/>
      <c r="NU244" s="5">
        <f>C244</f>
        <v/>
      </c>
      <c r="NY244" s="19" t="n"/>
      <c r="NZ244" s="19" t="n"/>
      <c r="OC244" s="5">
        <f>C244</f>
        <v/>
      </c>
      <c r="OG244" s="19" t="n"/>
      <c r="OH244" s="19" t="n"/>
      <c r="OI244" s="19" t="n"/>
      <c r="OK244" s="5">
        <f>C244</f>
        <v/>
      </c>
      <c r="OO244" s="19" t="n"/>
      <c r="OP244" s="19" t="n"/>
      <c r="OQ244" s="19" t="n"/>
      <c r="OT244" s="25">
        <f>OK244</f>
        <v/>
      </c>
      <c r="OX244" s="19" t="n"/>
    </row>
    <row r="245" ht="21" customFormat="1" customHeight="1" s="5">
      <c r="A245" s="631" t="n"/>
      <c r="B245" s="631" t="n"/>
      <c r="C245" s="714" t="inlineStr">
        <is>
          <t>2021//6//30</t>
        </is>
      </c>
      <c r="D245" s="591">
        <f>E245*10000</f>
        <v/>
      </c>
      <c r="E245" s="591" t="n">
        <v>91.87</v>
      </c>
      <c r="F245" s="523" t="n"/>
      <c r="G245" s="592" t="n"/>
      <c r="H245" s="592" t="n"/>
      <c r="I245" s="526" t="n"/>
      <c r="J245" s="526" t="n"/>
      <c r="K245" s="522">
        <f>C245</f>
        <v/>
      </c>
      <c r="L245" s="591">
        <f>M245*10000</f>
        <v/>
      </c>
      <c r="M245" s="591" t="n">
        <v>40.04</v>
      </c>
      <c r="N245" s="523" t="n"/>
      <c r="O245" s="594" t="n"/>
      <c r="P245" s="592" t="n"/>
      <c r="Q245" s="526" t="n"/>
      <c r="R245" s="523" t="n"/>
      <c r="S245" s="522">
        <f>C245</f>
        <v/>
      </c>
      <c r="T245" s="591">
        <f>U245*10000</f>
        <v/>
      </c>
      <c r="U245" s="591" t="n">
        <v>154.74</v>
      </c>
      <c r="V245" s="523" t="n"/>
      <c r="W245" s="592" t="n"/>
      <c r="X245" s="592" t="n"/>
      <c r="Y245" s="526" t="n"/>
      <c r="Z245" s="523" t="n"/>
      <c r="AA245" s="522">
        <f>S245</f>
        <v/>
      </c>
      <c r="AB245" s="591">
        <f>AC245*10000</f>
        <v/>
      </c>
      <c r="AC245" s="591" t="n">
        <v>59.55</v>
      </c>
      <c r="AD245" s="523" t="n"/>
      <c r="AE245" s="594" t="n"/>
      <c r="AF245" s="592" t="n"/>
      <c r="AG245" s="526" t="n"/>
      <c r="AH245" s="523" t="n"/>
      <c r="AI245" s="522">
        <f>C245</f>
        <v/>
      </c>
      <c r="AJ245" s="591">
        <f>AK245*10000</f>
        <v/>
      </c>
      <c r="AK245" s="522" t="n">
        <v>13.41</v>
      </c>
      <c r="AL245" s="523" t="n"/>
      <c r="AM245" s="594" t="n"/>
      <c r="AN245" s="592" t="n"/>
      <c r="AO245" s="526" t="n"/>
      <c r="AP245" s="551" t="n"/>
      <c r="AQ245" s="522">
        <f>C245</f>
        <v/>
      </c>
      <c r="AR245" s="634">
        <f>AS245*10000</f>
        <v/>
      </c>
      <c r="AS245" s="591" t="n">
        <v>44.3</v>
      </c>
      <c r="AT245" s="592" t="n"/>
      <c r="AU245" s="523" t="n"/>
      <c r="AV245" s="526" t="n"/>
      <c r="AW245" s="526" t="n"/>
      <c r="AX245" s="523" t="n"/>
      <c r="AY245" s="523" t="n"/>
      <c r="AZ245" s="523">
        <f>C245</f>
        <v/>
      </c>
      <c r="BA245" s="523" t="n"/>
      <c r="BB245" s="523" t="n"/>
      <c r="BC245" s="523" t="n"/>
      <c r="BD245" s="526" t="n"/>
      <c r="BE245" s="526" t="n"/>
      <c r="BF245" s="526" t="n"/>
      <c r="BG245" s="631" t="n"/>
      <c r="BH245" s="5">
        <f>C245</f>
        <v/>
      </c>
      <c r="BL245" s="19" t="n"/>
      <c r="BM245" s="19" t="n"/>
      <c r="BN245" s="19" t="n"/>
      <c r="BP245" s="5">
        <f>C245</f>
        <v/>
      </c>
      <c r="BQ245" s="633" t="n"/>
      <c r="BT245" s="19" t="n"/>
      <c r="BU245" s="19" t="n"/>
      <c r="BV245" s="19" t="n"/>
      <c r="BX245" s="5">
        <f>C245</f>
        <v/>
      </c>
      <c r="CB245" s="19" t="n"/>
      <c r="CC245" s="19" t="n"/>
      <c r="CD245" s="19" t="n"/>
      <c r="CF245" s="5">
        <f>C245</f>
        <v/>
      </c>
      <c r="CJ245" s="19" t="n"/>
      <c r="CK245" s="19" t="n"/>
      <c r="CL245" s="19" t="n"/>
      <c r="CN245" s="5">
        <f>C245</f>
        <v/>
      </c>
      <c r="CR245" s="19" t="n"/>
      <c r="CS245" s="19" t="n"/>
      <c r="CT245" s="19" t="n"/>
      <c r="CV245" s="5">
        <f>C245</f>
        <v/>
      </c>
      <c r="CZ245" s="19" t="n"/>
      <c r="DA245" s="19" t="n"/>
      <c r="DB245" s="19" t="n"/>
      <c r="DC245" s="23" t="n"/>
      <c r="DD245" s="5">
        <f>C245</f>
        <v/>
      </c>
      <c r="DH245" s="19" t="n"/>
      <c r="DI245" s="19" t="n"/>
      <c r="DJ245" s="19" t="n"/>
      <c r="DL245" s="5">
        <f>C245</f>
        <v/>
      </c>
      <c r="DP245" s="19" t="n"/>
      <c r="DQ245" s="19" t="n"/>
      <c r="DR245" s="19" t="n"/>
      <c r="DT245" s="5">
        <f>C245</f>
        <v/>
      </c>
      <c r="DX245" s="19" t="n"/>
      <c r="DY245" s="19" t="n"/>
      <c r="DZ245" s="19" t="n"/>
      <c r="EB245" s="5">
        <f>C245</f>
        <v/>
      </c>
      <c r="EF245" s="19" t="n"/>
      <c r="EG245" s="19" t="n"/>
      <c r="EH245" s="19" t="n"/>
      <c r="EJ245" s="5">
        <f>C245</f>
        <v/>
      </c>
      <c r="EN245" s="19" t="n"/>
      <c r="EO245" s="19" t="n"/>
      <c r="EP245" s="19" t="n"/>
      <c r="EQ245" s="19" t="n"/>
      <c r="ER245" s="5">
        <f>C245</f>
        <v/>
      </c>
      <c r="ES245" s="19" t="n"/>
      <c r="ET245" s="19" t="n"/>
      <c r="EU245" s="19" t="n"/>
      <c r="EV245" s="19" t="n"/>
      <c r="EW245" s="19" t="n"/>
      <c r="EX245" s="19" t="n"/>
      <c r="EZ245" s="5">
        <f>C245</f>
        <v/>
      </c>
      <c r="FD245" s="19" t="n"/>
      <c r="FE245" s="19" t="n"/>
      <c r="FF245" s="19" t="n"/>
      <c r="FG245" s="19" t="n"/>
      <c r="FH245" s="5">
        <f>C245</f>
        <v/>
      </c>
      <c r="FI245" s="633" t="n"/>
      <c r="FL245" s="19" t="n"/>
      <c r="FM245" s="19" t="n"/>
      <c r="FN245" s="19" t="n"/>
      <c r="FP245" s="5">
        <f>C245</f>
        <v/>
      </c>
      <c r="FT245" s="19" t="n"/>
      <c r="FU245" s="19" t="n"/>
      <c r="FV245" s="19" t="n"/>
      <c r="FX245" s="5">
        <f>C245</f>
        <v/>
      </c>
      <c r="GB245" s="19" t="n"/>
      <c r="GC245" s="19" t="n"/>
      <c r="GD245" s="19" t="n"/>
      <c r="GF245" s="5">
        <f>C245</f>
        <v/>
      </c>
      <c r="GJ245" s="19" t="n"/>
      <c r="GK245" s="19" t="n"/>
      <c r="GL245" s="19" t="n"/>
      <c r="GN245" s="5">
        <f>C245</f>
        <v/>
      </c>
      <c r="GR245" s="19" t="n"/>
      <c r="GS245" s="19" t="n"/>
      <c r="GT245" s="19" t="n"/>
      <c r="GV245" s="5">
        <f>C245</f>
        <v/>
      </c>
      <c r="GZ245" s="19" t="n"/>
      <c r="HA245" s="19" t="n"/>
      <c r="HB245" s="19" t="n"/>
      <c r="HD245" s="5">
        <f>C245</f>
        <v/>
      </c>
      <c r="HH245" s="19" t="n"/>
      <c r="HI245" s="19" t="n"/>
      <c r="HJ245" s="19" t="n"/>
      <c r="HL245" s="5">
        <f>C245</f>
        <v/>
      </c>
      <c r="HP245" s="19" t="n"/>
      <c r="HQ245" s="19" t="n"/>
      <c r="HR245" s="19" t="n"/>
      <c r="HT245" s="5">
        <f>C245</f>
        <v/>
      </c>
      <c r="HX245" s="19" t="n"/>
      <c r="HY245" s="19" t="n"/>
      <c r="HZ245" s="19" t="n"/>
      <c r="IB245" s="5">
        <f>C245</f>
        <v/>
      </c>
      <c r="IG245" s="19" t="n"/>
      <c r="IH245" s="19" t="n"/>
      <c r="IJ245" s="5">
        <f>C245</f>
        <v/>
      </c>
      <c r="IN245" s="19" t="n"/>
      <c r="IO245" s="19" t="n"/>
      <c r="IP245" s="19" t="n"/>
      <c r="IR245" s="5">
        <f>C245</f>
        <v/>
      </c>
      <c r="IV245" s="19" t="n"/>
      <c r="IW245" s="19" t="n"/>
      <c r="IX245" s="19" t="n"/>
      <c r="IZ245" s="5">
        <f>C245</f>
        <v/>
      </c>
      <c r="JD245" s="19" t="n"/>
      <c r="JE245" s="19" t="n"/>
      <c r="JF245" s="19" t="n"/>
      <c r="JH245" s="5">
        <f>C245</f>
        <v/>
      </c>
      <c r="JL245" s="19" t="n"/>
      <c r="JM245" s="19" t="n"/>
      <c r="JN245" s="19" t="n"/>
      <c r="JO245" s="19" t="n"/>
      <c r="JP245" s="5">
        <f>C245</f>
        <v/>
      </c>
      <c r="JT245" s="19" t="n"/>
      <c r="JU245" s="19" t="n"/>
      <c r="JV245" s="19" t="n"/>
      <c r="JW245" s="19" t="n"/>
      <c r="JX245" s="5">
        <f>C245</f>
        <v/>
      </c>
      <c r="KB245" s="19" t="n"/>
      <c r="KC245" s="19" t="n"/>
      <c r="KD245" s="19" t="n"/>
      <c r="KE245" s="19" t="n"/>
      <c r="KF245" s="5">
        <f>C245</f>
        <v/>
      </c>
      <c r="KG245" s="19" t="n"/>
      <c r="KH245" s="19" t="n"/>
      <c r="KJ245" s="19" t="n"/>
      <c r="KK245" s="19" t="n"/>
      <c r="KL245" s="19" t="n"/>
      <c r="KM245" s="19" t="n"/>
      <c r="KN245" s="5">
        <f>C245</f>
        <v/>
      </c>
      <c r="KR245" s="19" t="n"/>
      <c r="KS245" s="19" t="n"/>
      <c r="KT245" s="19" t="n"/>
      <c r="KV245" s="5">
        <f>C245</f>
        <v/>
      </c>
      <c r="KZ245" s="19" t="n"/>
      <c r="LA245" s="19" t="n"/>
      <c r="LB245" s="19" t="n"/>
      <c r="LD245" s="5">
        <f>C245</f>
        <v/>
      </c>
      <c r="LH245" s="19" t="n"/>
      <c r="LI245" s="19" t="n"/>
      <c r="LJ245" s="19" t="n"/>
      <c r="LL245" s="5">
        <f>C245</f>
        <v/>
      </c>
      <c r="LM245" s="633" t="n"/>
      <c r="LP245" s="19" t="n"/>
      <c r="LQ245" s="19" t="n"/>
      <c r="LR245" s="19" t="n"/>
      <c r="LT245" s="5">
        <f>C245</f>
        <v/>
      </c>
      <c r="LX245" s="19" t="n"/>
      <c r="LY245" s="19" t="n"/>
      <c r="LZ245" s="19" t="n"/>
      <c r="MB245" s="5">
        <f>C245</f>
        <v/>
      </c>
      <c r="MF245" s="19" t="n"/>
      <c r="MG245" s="19" t="n"/>
      <c r="MH245" s="19" t="n"/>
      <c r="MK245" s="5">
        <f>C245</f>
        <v/>
      </c>
      <c r="MM245" s="24" t="n"/>
      <c r="MO245" s="19" t="n"/>
      <c r="MP245" s="19" t="n"/>
      <c r="MQ245" s="19" t="n"/>
      <c r="MR245" s="19" t="n"/>
      <c r="MS245" s="19" t="n"/>
      <c r="MT245" s="25">
        <f>C245</f>
        <v/>
      </c>
      <c r="MX245" s="19" t="n"/>
      <c r="MY245" s="19" t="n"/>
      <c r="MZ245" s="19" t="n"/>
      <c r="NA245" s="19" t="n"/>
      <c r="NB245" s="19" t="n"/>
      <c r="NC245" s="5">
        <f>C245</f>
        <v/>
      </c>
      <c r="NG245" s="19" t="n"/>
      <c r="NH245" s="19" t="n"/>
      <c r="NI245" s="19" t="n"/>
      <c r="NJ245" s="19" t="n"/>
      <c r="NK245" s="19" t="n"/>
      <c r="NM245" s="5">
        <f>C245</f>
        <v/>
      </c>
      <c r="NQ245" s="19" t="n"/>
      <c r="NR245" s="19" t="n"/>
      <c r="NU245" s="5">
        <f>C245</f>
        <v/>
      </c>
      <c r="NY245" s="19" t="n"/>
      <c r="NZ245" s="19" t="n"/>
      <c r="OC245" s="5">
        <f>C245</f>
        <v/>
      </c>
      <c r="OG245" s="19" t="n"/>
      <c r="OH245" s="19" t="n"/>
      <c r="OI245" s="19" t="n"/>
      <c r="OK245" s="5">
        <f>C245</f>
        <v/>
      </c>
      <c r="OO245" s="19" t="n"/>
      <c r="OP245" s="19" t="n"/>
      <c r="OQ245" s="19" t="n"/>
      <c r="OT245" s="25">
        <f>OK245</f>
        <v/>
      </c>
      <c r="OX245" s="19" t="n"/>
    </row>
    <row r="246" ht="21" customFormat="1" customHeight="1" s="5">
      <c r="A246" s="631" t="n"/>
      <c r="B246" s="631" t="n"/>
      <c r="C246" s="714" t="inlineStr">
        <is>
          <t>2021//3//31</t>
        </is>
      </c>
      <c r="D246" s="591">
        <f>E246*10000</f>
        <v/>
      </c>
      <c r="E246" s="591" t="n">
        <v>81.3</v>
      </c>
      <c r="F246" s="523" t="n"/>
      <c r="G246" s="592" t="n"/>
      <c r="H246" s="592" t="n"/>
      <c r="I246" s="526" t="n"/>
      <c r="J246" s="526" t="n"/>
      <c r="K246" s="522">
        <f>C246</f>
        <v/>
      </c>
      <c r="L246" s="591">
        <f>M246*10000</f>
        <v/>
      </c>
      <c r="M246" s="591" t="n">
        <v>41.96</v>
      </c>
      <c r="N246" s="523" t="n"/>
      <c r="O246" s="594" t="n"/>
      <c r="P246" s="592" t="n"/>
      <c r="Q246" s="526" t="n"/>
      <c r="R246" s="523" t="n"/>
      <c r="S246" s="522">
        <f>C246</f>
        <v/>
      </c>
      <c r="T246" s="591">
        <f>U246*10000</f>
        <v/>
      </c>
      <c r="U246" s="591" t="n">
        <v>125.84</v>
      </c>
      <c r="V246" s="523" t="n"/>
      <c r="W246" s="592" t="n"/>
      <c r="X246" s="592" t="n"/>
      <c r="Y246" s="526" t="n"/>
      <c r="Z246" s="523" t="n"/>
      <c r="AA246" s="522">
        <f>S246</f>
        <v/>
      </c>
      <c r="AB246" s="591">
        <f>AC246*10000</f>
        <v/>
      </c>
      <c r="AC246" s="591" t="n">
        <v>51.48</v>
      </c>
      <c r="AD246" s="523" t="n"/>
      <c r="AE246" s="594" t="n"/>
      <c r="AF246" s="592" t="n"/>
      <c r="AG246" s="526" t="n"/>
      <c r="AH246" s="523" t="n"/>
      <c r="AI246" s="522">
        <f>C246</f>
        <v/>
      </c>
      <c r="AJ246" s="591">
        <f>AK246*10000</f>
        <v/>
      </c>
      <c r="AK246" s="522" t="n">
        <v>8.76</v>
      </c>
      <c r="AL246" s="523" t="n"/>
      <c r="AM246" s="594" t="n"/>
      <c r="AN246" s="592" t="n"/>
      <c r="AO246" s="526" t="n"/>
      <c r="AP246" s="551" t="n"/>
      <c r="AQ246" s="522">
        <f>C246</f>
        <v/>
      </c>
      <c r="AR246" s="634">
        <f>AS246*10000</f>
        <v/>
      </c>
      <c r="AS246" s="591" t="n">
        <v>64.3</v>
      </c>
      <c r="AT246" s="592" t="n"/>
      <c r="AU246" s="523" t="n"/>
      <c r="AV246" s="526" t="n"/>
      <c r="AW246" s="526" t="n"/>
      <c r="AX246" s="523" t="n"/>
      <c r="AY246" s="523" t="n"/>
      <c r="AZ246" s="523">
        <f>C246</f>
        <v/>
      </c>
      <c r="BA246" s="523" t="n"/>
      <c r="BB246" s="523" t="n"/>
      <c r="BC246" s="523" t="n"/>
      <c r="BD246" s="526" t="n"/>
      <c r="BE246" s="526" t="n"/>
      <c r="BF246" s="526" t="n"/>
      <c r="BG246" s="631" t="n"/>
      <c r="BH246" s="5">
        <f>C246</f>
        <v/>
      </c>
      <c r="BL246" s="19" t="n"/>
      <c r="BM246" s="19" t="n"/>
      <c r="BN246" s="19" t="n"/>
      <c r="BP246" s="5">
        <f>C246</f>
        <v/>
      </c>
      <c r="BQ246" s="633" t="n"/>
      <c r="BT246" s="19" t="n"/>
      <c r="BU246" s="19" t="n"/>
      <c r="BV246" s="19" t="n"/>
      <c r="BX246" s="5">
        <f>C246</f>
        <v/>
      </c>
      <c r="CB246" s="19" t="n"/>
      <c r="CC246" s="19" t="n"/>
      <c r="CD246" s="19" t="n"/>
      <c r="CF246" s="5">
        <f>C246</f>
        <v/>
      </c>
      <c r="CJ246" s="19" t="n"/>
      <c r="CK246" s="19" t="n"/>
      <c r="CL246" s="19" t="n"/>
      <c r="CN246" s="5">
        <f>C246</f>
        <v/>
      </c>
      <c r="CR246" s="19" t="n"/>
      <c r="CS246" s="19" t="n"/>
      <c r="CT246" s="19" t="n"/>
      <c r="CV246" s="5">
        <f>C246</f>
        <v/>
      </c>
      <c r="CZ246" s="19" t="n"/>
      <c r="DA246" s="19" t="n"/>
      <c r="DB246" s="19" t="n"/>
      <c r="DC246" s="23" t="n"/>
      <c r="DD246" s="5">
        <f>C246</f>
        <v/>
      </c>
      <c r="DH246" s="19" t="n"/>
      <c r="DI246" s="19" t="n"/>
      <c r="DJ246" s="19" t="n"/>
      <c r="DL246" s="5">
        <f>C246</f>
        <v/>
      </c>
      <c r="DP246" s="19" t="n"/>
      <c r="DQ246" s="19" t="n"/>
      <c r="DR246" s="19" t="n"/>
      <c r="DT246" s="5">
        <f>C246</f>
        <v/>
      </c>
      <c r="DX246" s="19" t="n"/>
      <c r="DY246" s="19" t="n"/>
      <c r="DZ246" s="19" t="n"/>
      <c r="EB246" s="5">
        <f>C246</f>
        <v/>
      </c>
      <c r="EF246" s="19" t="n"/>
      <c r="EG246" s="19" t="n"/>
      <c r="EH246" s="19" t="n"/>
      <c r="EJ246" s="5">
        <f>C246</f>
        <v/>
      </c>
      <c r="EN246" s="19" t="n"/>
      <c r="EO246" s="19" t="n"/>
      <c r="EP246" s="19" t="n"/>
      <c r="EQ246" s="19" t="n"/>
      <c r="ER246" s="5">
        <f>C246</f>
        <v/>
      </c>
      <c r="ES246" s="19" t="n"/>
      <c r="ET246" s="19" t="n"/>
      <c r="EU246" s="19" t="n"/>
      <c r="EV246" s="19" t="n"/>
      <c r="EW246" s="19" t="n"/>
      <c r="EX246" s="19" t="n"/>
      <c r="EZ246" s="5">
        <f>C246</f>
        <v/>
      </c>
      <c r="FD246" s="19" t="n"/>
      <c r="FE246" s="19" t="n"/>
      <c r="FF246" s="19" t="n"/>
      <c r="FG246" s="19" t="n"/>
      <c r="FH246" s="5">
        <f>C246</f>
        <v/>
      </c>
      <c r="FI246" s="633" t="n"/>
      <c r="FL246" s="19" t="n"/>
      <c r="FM246" s="19" t="n"/>
      <c r="FN246" s="19" t="n"/>
      <c r="FP246" s="5">
        <f>C246</f>
        <v/>
      </c>
      <c r="FT246" s="19" t="n"/>
      <c r="FU246" s="19" t="n"/>
      <c r="FV246" s="19" t="n"/>
      <c r="FX246" s="5">
        <f>C246</f>
        <v/>
      </c>
      <c r="GB246" s="19" t="n"/>
      <c r="GC246" s="19" t="n"/>
      <c r="GD246" s="19" t="n"/>
      <c r="GF246" s="5">
        <f>C246</f>
        <v/>
      </c>
      <c r="GJ246" s="19" t="n"/>
      <c r="GK246" s="19" t="n"/>
      <c r="GL246" s="19" t="n"/>
      <c r="GN246" s="5">
        <f>C246</f>
        <v/>
      </c>
      <c r="GR246" s="19" t="n"/>
      <c r="GS246" s="19" t="n"/>
      <c r="GT246" s="19" t="n"/>
      <c r="GV246" s="5">
        <f>C246</f>
        <v/>
      </c>
      <c r="GZ246" s="19" t="n"/>
      <c r="HA246" s="19" t="n"/>
      <c r="HB246" s="19" t="n"/>
      <c r="HD246" s="5">
        <f>C246</f>
        <v/>
      </c>
      <c r="HH246" s="19" t="n"/>
      <c r="HI246" s="19" t="n"/>
      <c r="HJ246" s="19" t="n"/>
      <c r="HL246" s="5">
        <f>C246</f>
        <v/>
      </c>
      <c r="HP246" s="19" t="n"/>
      <c r="HQ246" s="19" t="n"/>
      <c r="HR246" s="19" t="n"/>
      <c r="HT246" s="5">
        <f>C246</f>
        <v/>
      </c>
      <c r="HX246" s="19" t="n"/>
      <c r="HY246" s="19" t="n"/>
      <c r="HZ246" s="19" t="n"/>
      <c r="IB246" s="5">
        <f>C246</f>
        <v/>
      </c>
      <c r="IG246" s="19" t="n"/>
      <c r="IH246" s="19" t="n"/>
      <c r="IJ246" s="5">
        <f>C246</f>
        <v/>
      </c>
      <c r="IN246" s="19" t="n"/>
      <c r="IO246" s="19" t="n"/>
      <c r="IP246" s="19" t="n"/>
      <c r="IR246" s="5">
        <f>C246</f>
        <v/>
      </c>
      <c r="IV246" s="19" t="n"/>
      <c r="IW246" s="19" t="n"/>
      <c r="IX246" s="19" t="n"/>
      <c r="IZ246" s="5">
        <f>C246</f>
        <v/>
      </c>
      <c r="JD246" s="19" t="n"/>
      <c r="JE246" s="19" t="n"/>
      <c r="JF246" s="19" t="n"/>
      <c r="JH246" s="5">
        <f>C246</f>
        <v/>
      </c>
      <c r="JL246" s="19" t="n"/>
      <c r="JM246" s="19" t="n"/>
      <c r="JN246" s="19" t="n"/>
      <c r="JO246" s="19" t="n"/>
      <c r="JP246" s="5">
        <f>C246</f>
        <v/>
      </c>
      <c r="JT246" s="19" t="n"/>
      <c r="JU246" s="19" t="n"/>
      <c r="JV246" s="19" t="n"/>
      <c r="JW246" s="19" t="n"/>
      <c r="JX246" s="5">
        <f>C246</f>
        <v/>
      </c>
      <c r="KB246" s="19" t="n"/>
      <c r="KC246" s="19" t="n"/>
      <c r="KD246" s="19" t="n"/>
      <c r="KE246" s="19" t="n"/>
      <c r="KF246" s="5">
        <f>C246</f>
        <v/>
      </c>
      <c r="KG246" s="19" t="n"/>
      <c r="KH246" s="19" t="n"/>
      <c r="KJ246" s="19" t="n"/>
      <c r="KK246" s="19" t="n"/>
      <c r="KL246" s="19" t="n"/>
      <c r="KM246" s="19" t="n"/>
      <c r="KN246" s="5">
        <f>C246</f>
        <v/>
      </c>
      <c r="KR246" s="19" t="n"/>
      <c r="KS246" s="19" t="n"/>
      <c r="KT246" s="19" t="n"/>
      <c r="KV246" s="5">
        <f>C246</f>
        <v/>
      </c>
      <c r="KZ246" s="19" t="n"/>
      <c r="LA246" s="19" t="n"/>
      <c r="LB246" s="19" t="n"/>
      <c r="LD246" s="5">
        <f>C246</f>
        <v/>
      </c>
      <c r="LH246" s="19" t="n"/>
      <c r="LI246" s="19" t="n"/>
      <c r="LJ246" s="19" t="n"/>
      <c r="LL246" s="5">
        <f>C246</f>
        <v/>
      </c>
      <c r="LM246" s="633" t="n"/>
      <c r="LP246" s="19" t="n"/>
      <c r="LQ246" s="19" t="n"/>
      <c r="LR246" s="19" t="n"/>
      <c r="LT246" s="5">
        <f>C246</f>
        <v/>
      </c>
      <c r="LX246" s="19" t="n"/>
      <c r="LY246" s="19" t="n"/>
      <c r="LZ246" s="19" t="n"/>
      <c r="MB246" s="5">
        <f>C246</f>
        <v/>
      </c>
      <c r="MF246" s="19" t="n"/>
      <c r="MG246" s="19" t="n"/>
      <c r="MH246" s="19" t="n"/>
      <c r="MK246" s="5">
        <f>C246</f>
        <v/>
      </c>
      <c r="MM246" s="24" t="n"/>
      <c r="MO246" s="19" t="n"/>
      <c r="MP246" s="19" t="n"/>
      <c r="MQ246" s="19" t="n"/>
      <c r="MR246" s="19" t="n"/>
      <c r="MS246" s="19" t="n"/>
      <c r="MT246" s="25">
        <f>C246</f>
        <v/>
      </c>
      <c r="MX246" s="19" t="n"/>
      <c r="MY246" s="19" t="n"/>
      <c r="MZ246" s="19" t="n"/>
      <c r="NA246" s="19" t="n"/>
      <c r="NB246" s="19" t="n"/>
      <c r="NC246" s="5">
        <f>C246</f>
        <v/>
      </c>
      <c r="NG246" s="19" t="n"/>
      <c r="NH246" s="19" t="n"/>
      <c r="NI246" s="19" t="n"/>
      <c r="NJ246" s="19" t="n"/>
      <c r="NK246" s="19" t="n"/>
      <c r="NM246" s="5">
        <f>C246</f>
        <v/>
      </c>
      <c r="NQ246" s="19" t="n"/>
      <c r="NR246" s="19" t="n"/>
      <c r="NU246" s="5">
        <f>C246</f>
        <v/>
      </c>
      <c r="NY246" s="19" t="n"/>
      <c r="NZ246" s="19" t="n"/>
      <c r="OC246" s="5">
        <f>C246</f>
        <v/>
      </c>
      <c r="OG246" s="19" t="n"/>
      <c r="OH246" s="19" t="n"/>
      <c r="OI246" s="19" t="n"/>
      <c r="OK246" s="5">
        <f>C246</f>
        <v/>
      </c>
      <c r="OO246" s="19" t="n"/>
      <c r="OP246" s="19" t="n"/>
      <c r="OQ246" s="19" t="n"/>
      <c r="OT246" s="25">
        <f>OK246</f>
        <v/>
      </c>
      <c r="OX246" s="19" t="n"/>
    </row>
    <row r="247" ht="21" customFormat="1" customHeight="1" s="5">
      <c r="A247" s="631" t="n"/>
      <c r="B247" s="631" t="n"/>
      <c r="C247" s="714" t="inlineStr">
        <is>
          <t>2020//12//31</t>
        </is>
      </c>
      <c r="D247" s="591">
        <f>E247*10000</f>
        <v/>
      </c>
      <c r="E247" s="591" t="n">
        <v>86.58</v>
      </c>
      <c r="F247" s="523" t="n"/>
      <c r="G247" s="592" t="n"/>
      <c r="H247" s="592" t="n"/>
      <c r="I247" s="526" t="n"/>
      <c r="J247" s="526" t="n"/>
      <c r="K247" s="522">
        <f>C247</f>
        <v/>
      </c>
      <c r="L247" s="591">
        <f>M247*10000</f>
        <v/>
      </c>
      <c r="M247" s="591" t="n">
        <v>39.42</v>
      </c>
      <c r="N247" s="523" t="n"/>
      <c r="O247" s="594" t="n"/>
      <c r="P247" s="592" t="n"/>
      <c r="Q247" s="526" t="n"/>
      <c r="R247" s="523" t="n"/>
      <c r="S247" s="522">
        <f>C247</f>
        <v/>
      </c>
      <c r="T247" s="591">
        <f>U247*10000</f>
        <v/>
      </c>
      <c r="U247" s="591" t="n">
        <v>155.64</v>
      </c>
      <c r="V247" s="523" t="n"/>
      <c r="W247" s="592" t="n"/>
      <c r="X247" s="592" t="n"/>
      <c r="Y247" s="526" t="n"/>
      <c r="Z247" s="523" t="n"/>
      <c r="AA247" s="522">
        <f>S247</f>
        <v/>
      </c>
      <c r="AB247" s="591">
        <f>AC247*10000</f>
        <v/>
      </c>
      <c r="AC247" s="591" t="n">
        <v>54.45</v>
      </c>
      <c r="AD247" s="523" t="n"/>
      <c r="AE247" s="594" t="n"/>
      <c r="AF247" s="592" t="n"/>
      <c r="AG247" s="526" t="n"/>
      <c r="AH247" s="523" t="n"/>
      <c r="AI247" s="522">
        <f>C247</f>
        <v/>
      </c>
      <c r="AJ247" s="591">
        <f>AK247*10000</f>
        <v/>
      </c>
      <c r="AK247" s="522" t="n">
        <v>7.5</v>
      </c>
      <c r="AL247" s="523" t="n"/>
      <c r="AM247" s="594" t="n"/>
      <c r="AN247" s="592" t="n"/>
      <c r="AO247" s="526" t="n"/>
      <c r="AP247" s="551" t="n"/>
      <c r="AQ247" s="522">
        <f>C247</f>
        <v/>
      </c>
      <c r="AR247" s="634">
        <f>AS247*10000</f>
        <v/>
      </c>
      <c r="AS247" s="591" t="n">
        <v>54.4</v>
      </c>
      <c r="AT247" s="592" t="n"/>
      <c r="AU247" s="523" t="n"/>
      <c r="AV247" s="526" t="n"/>
      <c r="AW247" s="526" t="n"/>
      <c r="AX247" s="523" t="n"/>
      <c r="AY247" s="523" t="n"/>
      <c r="AZ247" s="523">
        <f>C247</f>
        <v/>
      </c>
      <c r="BA247" s="523" t="n"/>
      <c r="BB247" s="523" t="n"/>
      <c r="BC247" s="523" t="n"/>
      <c r="BD247" s="526" t="n"/>
      <c r="BE247" s="526" t="n"/>
      <c r="BF247" s="526" t="n"/>
      <c r="BG247" s="631" t="n"/>
      <c r="BH247" s="5">
        <f>C247</f>
        <v/>
      </c>
      <c r="BL247" s="19" t="n"/>
      <c r="BM247" s="19" t="n"/>
      <c r="BN247" s="19" t="n"/>
      <c r="BP247" s="5">
        <f>C247</f>
        <v/>
      </c>
      <c r="BQ247" s="633" t="n"/>
      <c r="BT247" s="19" t="n"/>
      <c r="BU247" s="19" t="n"/>
      <c r="BV247" s="19" t="n"/>
      <c r="BX247" s="5">
        <f>C247</f>
        <v/>
      </c>
      <c r="CB247" s="19" t="n"/>
      <c r="CC247" s="19" t="n"/>
      <c r="CD247" s="19" t="n"/>
      <c r="CF247" s="5">
        <f>C247</f>
        <v/>
      </c>
      <c r="CJ247" s="19" t="n"/>
      <c r="CK247" s="19" t="n"/>
      <c r="CL247" s="19" t="n"/>
      <c r="CN247" s="5">
        <f>C247</f>
        <v/>
      </c>
      <c r="CR247" s="19" t="n"/>
      <c r="CS247" s="19" t="n"/>
      <c r="CT247" s="19" t="n"/>
      <c r="CV247" s="5">
        <f>C247</f>
        <v/>
      </c>
      <c r="CZ247" s="19" t="n"/>
      <c r="DA247" s="19" t="n"/>
      <c r="DB247" s="19" t="n"/>
      <c r="DC247" s="23" t="n"/>
      <c r="DD247" s="5">
        <f>C247</f>
        <v/>
      </c>
      <c r="DH247" s="19" t="n"/>
      <c r="DI247" s="19" t="n"/>
      <c r="DJ247" s="19" t="n"/>
      <c r="DL247" s="5">
        <f>C247</f>
        <v/>
      </c>
      <c r="DP247" s="19" t="n"/>
      <c r="DQ247" s="19" t="n"/>
      <c r="DR247" s="19" t="n"/>
      <c r="DT247" s="5">
        <f>C247</f>
        <v/>
      </c>
      <c r="DX247" s="19" t="n"/>
      <c r="DY247" s="19" t="n"/>
      <c r="DZ247" s="19" t="n"/>
      <c r="EB247" s="5">
        <f>C247</f>
        <v/>
      </c>
      <c r="EF247" s="19" t="n"/>
      <c r="EG247" s="19" t="n"/>
      <c r="EH247" s="19" t="n"/>
      <c r="EJ247" s="5">
        <f>C247</f>
        <v/>
      </c>
      <c r="EN247" s="19" t="n"/>
      <c r="EO247" s="19" t="n"/>
      <c r="EP247" s="19" t="n"/>
      <c r="EQ247" s="19" t="n"/>
      <c r="ER247" s="5">
        <f>C247</f>
        <v/>
      </c>
      <c r="ES247" s="19" t="n"/>
      <c r="ET247" s="19" t="n"/>
      <c r="EU247" s="19" t="n"/>
      <c r="EV247" s="19" t="n"/>
      <c r="EW247" s="19" t="n"/>
      <c r="EX247" s="19" t="n"/>
      <c r="EZ247" s="5">
        <f>C247</f>
        <v/>
      </c>
      <c r="FD247" s="19" t="n"/>
      <c r="FE247" s="19" t="n"/>
      <c r="FF247" s="19" t="n"/>
      <c r="FG247" s="19" t="n"/>
      <c r="FH247" s="5">
        <f>C247</f>
        <v/>
      </c>
      <c r="FI247" s="633" t="n"/>
      <c r="FL247" s="19" t="n"/>
      <c r="FM247" s="19" t="n"/>
      <c r="FN247" s="19" t="n"/>
      <c r="FP247" s="5">
        <f>C247</f>
        <v/>
      </c>
      <c r="FT247" s="19" t="n"/>
      <c r="FU247" s="19" t="n"/>
      <c r="FV247" s="19" t="n"/>
      <c r="FX247" s="5">
        <f>C247</f>
        <v/>
      </c>
      <c r="GB247" s="19" t="n"/>
      <c r="GC247" s="19" t="n"/>
      <c r="GD247" s="19" t="n"/>
      <c r="GF247" s="5">
        <f>C247</f>
        <v/>
      </c>
      <c r="GJ247" s="19" t="n"/>
      <c r="GK247" s="19" t="n"/>
      <c r="GL247" s="19" t="n"/>
      <c r="GN247" s="5">
        <f>C247</f>
        <v/>
      </c>
      <c r="GR247" s="19" t="n"/>
      <c r="GS247" s="19" t="n"/>
      <c r="GT247" s="19" t="n"/>
      <c r="GV247" s="5">
        <f>C247</f>
        <v/>
      </c>
      <c r="GZ247" s="19" t="n"/>
      <c r="HA247" s="19" t="n"/>
      <c r="HB247" s="19" t="n"/>
      <c r="HD247" s="5">
        <f>C247</f>
        <v/>
      </c>
      <c r="HH247" s="19" t="n"/>
      <c r="HI247" s="19" t="n"/>
      <c r="HJ247" s="19" t="n"/>
      <c r="HL247" s="5">
        <f>C247</f>
        <v/>
      </c>
      <c r="HP247" s="19" t="n"/>
      <c r="HQ247" s="19" t="n"/>
      <c r="HR247" s="19" t="n"/>
      <c r="HT247" s="5">
        <f>C247</f>
        <v/>
      </c>
      <c r="HX247" s="19" t="n"/>
      <c r="HY247" s="19" t="n"/>
      <c r="HZ247" s="19" t="n"/>
      <c r="IB247" s="5">
        <f>C247</f>
        <v/>
      </c>
      <c r="IG247" s="19" t="n"/>
      <c r="IH247" s="19" t="n"/>
      <c r="IJ247" s="5">
        <f>C247</f>
        <v/>
      </c>
      <c r="IN247" s="19" t="n"/>
      <c r="IO247" s="19" t="n"/>
      <c r="IP247" s="19" t="n"/>
      <c r="IR247" s="5">
        <f>C247</f>
        <v/>
      </c>
      <c r="IV247" s="19" t="n"/>
      <c r="IW247" s="19" t="n"/>
      <c r="IX247" s="19" t="n"/>
      <c r="IZ247" s="5">
        <f>C247</f>
        <v/>
      </c>
      <c r="JD247" s="19" t="n"/>
      <c r="JE247" s="19" t="n"/>
      <c r="JF247" s="19" t="n"/>
      <c r="JH247" s="5">
        <f>C247</f>
        <v/>
      </c>
      <c r="JL247" s="19" t="n"/>
      <c r="JM247" s="19" t="n"/>
      <c r="JN247" s="19" t="n"/>
      <c r="JO247" s="19" t="n"/>
      <c r="JP247" s="5">
        <f>C247</f>
        <v/>
      </c>
      <c r="JT247" s="19" t="n"/>
      <c r="JU247" s="19" t="n"/>
      <c r="JV247" s="19" t="n"/>
      <c r="JW247" s="19" t="n"/>
      <c r="JX247" s="5">
        <f>C247</f>
        <v/>
      </c>
      <c r="KB247" s="19" t="n"/>
      <c r="KC247" s="19" t="n"/>
      <c r="KD247" s="19" t="n"/>
      <c r="KE247" s="19" t="n"/>
      <c r="KF247" s="5">
        <f>C247</f>
        <v/>
      </c>
      <c r="KG247" s="19" t="n"/>
      <c r="KH247" s="19" t="n"/>
      <c r="KJ247" s="19" t="n"/>
      <c r="KK247" s="19" t="n"/>
      <c r="KL247" s="19" t="n"/>
      <c r="KM247" s="19" t="n"/>
      <c r="KN247" s="5">
        <f>C247</f>
        <v/>
      </c>
      <c r="KR247" s="19" t="n"/>
      <c r="KS247" s="19" t="n"/>
      <c r="KT247" s="19" t="n"/>
      <c r="KV247" s="5">
        <f>C247</f>
        <v/>
      </c>
      <c r="KZ247" s="19" t="n"/>
      <c r="LA247" s="19" t="n"/>
      <c r="LB247" s="19" t="n"/>
      <c r="LD247" s="5">
        <f>C247</f>
        <v/>
      </c>
      <c r="LH247" s="19" t="n"/>
      <c r="LI247" s="19" t="n"/>
      <c r="LJ247" s="19" t="n"/>
      <c r="LL247" s="5">
        <f>C247</f>
        <v/>
      </c>
      <c r="LM247" s="633" t="n"/>
      <c r="LP247" s="19" t="n"/>
      <c r="LQ247" s="19" t="n"/>
      <c r="LR247" s="19" t="n"/>
      <c r="LT247" s="5">
        <f>C247</f>
        <v/>
      </c>
      <c r="LX247" s="19" t="n"/>
      <c r="LY247" s="19" t="n"/>
      <c r="LZ247" s="19" t="n"/>
      <c r="MB247" s="5">
        <f>C247</f>
        <v/>
      </c>
      <c r="MF247" s="19" t="n"/>
      <c r="MG247" s="19" t="n"/>
      <c r="MH247" s="19" t="n"/>
      <c r="MK247" s="5">
        <f>C247</f>
        <v/>
      </c>
      <c r="MM247" s="24" t="n"/>
      <c r="MO247" s="19" t="n"/>
      <c r="MP247" s="19" t="n"/>
      <c r="MQ247" s="19" t="n"/>
      <c r="MR247" s="19" t="n"/>
      <c r="MS247" s="19" t="n"/>
      <c r="MT247" s="25">
        <f>C247</f>
        <v/>
      </c>
      <c r="MX247" s="19" t="n"/>
      <c r="MY247" s="19" t="n"/>
      <c r="MZ247" s="19" t="n"/>
      <c r="NA247" s="19" t="n"/>
      <c r="NB247" s="19" t="n"/>
      <c r="NC247" s="5">
        <f>C247</f>
        <v/>
      </c>
      <c r="NG247" s="19" t="n"/>
      <c r="NH247" s="19" t="n"/>
      <c r="NI247" s="19" t="n"/>
      <c r="NJ247" s="19" t="n"/>
      <c r="NK247" s="19" t="n"/>
      <c r="NM247" s="5">
        <f>C247</f>
        <v/>
      </c>
      <c r="NQ247" s="19" t="n"/>
      <c r="NR247" s="19" t="n"/>
      <c r="NU247" s="5">
        <f>C247</f>
        <v/>
      </c>
      <c r="NY247" s="19" t="n"/>
      <c r="NZ247" s="19" t="n"/>
      <c r="OC247" s="5">
        <f>C247</f>
        <v/>
      </c>
      <c r="OG247" s="19" t="n"/>
      <c r="OH247" s="19" t="n"/>
      <c r="OI247" s="19" t="n"/>
      <c r="OK247" s="5">
        <f>C247</f>
        <v/>
      </c>
      <c r="OO247" s="19" t="n"/>
      <c r="OP247" s="19" t="n"/>
      <c r="OQ247" s="19" t="n"/>
      <c r="OT247" s="25">
        <f>OK247</f>
        <v/>
      </c>
      <c r="OX247" s="19" t="n"/>
    </row>
    <row r="248" ht="21" customFormat="1" customHeight="1" s="5">
      <c r="A248" s="631" t="n"/>
      <c r="B248" s="631" t="n"/>
      <c r="C248" s="714" t="inlineStr">
        <is>
          <t>2020//9//30</t>
        </is>
      </c>
      <c r="D248" s="591">
        <f>E248*10000</f>
        <v/>
      </c>
      <c r="E248" s="591" t="n">
        <v>82.03</v>
      </c>
      <c r="F248" s="523" t="n"/>
      <c r="G248" s="592" t="n"/>
      <c r="H248" s="592" t="n"/>
      <c r="I248" s="526" t="n"/>
      <c r="J248" s="526" t="n"/>
      <c r="K248" s="522">
        <f>C248</f>
        <v/>
      </c>
      <c r="L248" s="591">
        <f>M248*10000</f>
        <v/>
      </c>
      <c r="M248" s="591" t="n">
        <v>39.71</v>
      </c>
      <c r="N248" s="523" t="n"/>
      <c r="O248" s="594" t="n"/>
      <c r="P248" s="592" t="n"/>
      <c r="Q248" s="526" t="n"/>
      <c r="R248" s="523" t="n"/>
      <c r="S248" s="522">
        <f>C248</f>
        <v/>
      </c>
      <c r="T248" s="591">
        <f>U248*10000</f>
        <v/>
      </c>
      <c r="U248" s="591" t="n">
        <v>140.56</v>
      </c>
      <c r="V248" s="523" t="n"/>
      <c r="W248" s="592" t="n"/>
      <c r="X248" s="592" t="n"/>
      <c r="Y248" s="526" t="n"/>
      <c r="Z248" s="523" t="n"/>
      <c r="AA248" s="522">
        <f>S248</f>
        <v/>
      </c>
      <c r="AB248" s="591">
        <f>AC248*10000</f>
        <v/>
      </c>
      <c r="AC248" s="591" t="n">
        <v>54.2</v>
      </c>
      <c r="AD248" s="523" t="n"/>
      <c r="AE248" s="594" t="n"/>
      <c r="AF248" s="592" t="n"/>
      <c r="AG248" s="526" t="n"/>
      <c r="AH248" s="523" t="n"/>
      <c r="AI248" s="522">
        <f>C248</f>
        <v/>
      </c>
      <c r="AJ248" s="591">
        <f>AK248*10000</f>
        <v/>
      </c>
      <c r="AK248" s="522" t="n">
        <v>5.76</v>
      </c>
      <c r="AL248" s="523" t="n"/>
      <c r="AM248" s="594" t="n"/>
      <c r="AN248" s="592" t="n"/>
      <c r="AO248" s="526" t="n"/>
      <c r="AP248" s="551" t="n"/>
      <c r="AQ248" s="522">
        <f>C248</f>
        <v/>
      </c>
      <c r="AR248" s="634">
        <f>AS248*10000</f>
        <v/>
      </c>
      <c r="AS248" s="591" t="n">
        <v>65.3</v>
      </c>
      <c r="AT248" s="592" t="n"/>
      <c r="AU248" s="523" t="n"/>
      <c r="AV248" s="526" t="n"/>
      <c r="AW248" s="526" t="n"/>
      <c r="AX248" s="523" t="n"/>
      <c r="AY248" s="523" t="n"/>
      <c r="AZ248" s="523">
        <f>C248</f>
        <v/>
      </c>
      <c r="BA248" s="523" t="n"/>
      <c r="BB248" s="523" t="n"/>
      <c r="BC248" s="523" t="n"/>
      <c r="BD248" s="526" t="n"/>
      <c r="BE248" s="526" t="n"/>
      <c r="BF248" s="526" t="n"/>
      <c r="BG248" s="631" t="n"/>
      <c r="BH248" s="5">
        <f>C248</f>
        <v/>
      </c>
      <c r="BL248" s="19" t="n"/>
      <c r="BM248" s="19" t="n"/>
      <c r="BN248" s="19" t="n"/>
      <c r="BP248" s="5">
        <f>C248</f>
        <v/>
      </c>
      <c r="BQ248" s="633" t="n"/>
      <c r="BT248" s="19" t="n"/>
      <c r="BU248" s="19" t="n"/>
      <c r="BV248" s="19" t="n"/>
      <c r="BX248" s="5">
        <f>C248</f>
        <v/>
      </c>
      <c r="CB248" s="19" t="n"/>
      <c r="CC248" s="19" t="n"/>
      <c r="CD248" s="19" t="n"/>
      <c r="CF248" s="5">
        <f>C248</f>
        <v/>
      </c>
      <c r="CJ248" s="19" t="n"/>
      <c r="CK248" s="19" t="n"/>
      <c r="CL248" s="19" t="n"/>
      <c r="CN248" s="5">
        <f>C248</f>
        <v/>
      </c>
      <c r="CR248" s="19" t="n"/>
      <c r="CS248" s="19" t="n"/>
      <c r="CT248" s="19" t="n"/>
      <c r="CV248" s="5">
        <f>C248</f>
        <v/>
      </c>
      <c r="CZ248" s="19" t="n"/>
      <c r="DA248" s="19" t="n"/>
      <c r="DB248" s="19" t="n"/>
      <c r="DC248" s="23" t="n"/>
      <c r="DD248" s="5">
        <f>C248</f>
        <v/>
      </c>
      <c r="DH248" s="19" t="n"/>
      <c r="DI248" s="19" t="n"/>
      <c r="DJ248" s="19" t="n"/>
      <c r="DL248" s="5">
        <f>C248</f>
        <v/>
      </c>
      <c r="DP248" s="19" t="n"/>
      <c r="DQ248" s="19" t="n"/>
      <c r="DR248" s="19" t="n"/>
      <c r="DT248" s="5">
        <f>C248</f>
        <v/>
      </c>
      <c r="DX248" s="19" t="n"/>
      <c r="DY248" s="19" t="n"/>
      <c r="DZ248" s="19" t="n"/>
      <c r="EB248" s="5">
        <f>C248</f>
        <v/>
      </c>
      <c r="EF248" s="19" t="n"/>
      <c r="EG248" s="19" t="n"/>
      <c r="EH248" s="19" t="n"/>
      <c r="EJ248" s="5">
        <f>C248</f>
        <v/>
      </c>
      <c r="EN248" s="19" t="n"/>
      <c r="EO248" s="19" t="n"/>
      <c r="EP248" s="19" t="n"/>
      <c r="EQ248" s="19" t="n"/>
      <c r="ER248" s="5">
        <f>C248</f>
        <v/>
      </c>
      <c r="ES248" s="19" t="n"/>
      <c r="ET248" s="19" t="n"/>
      <c r="EU248" s="19" t="n"/>
      <c r="EV248" s="19" t="n"/>
      <c r="EW248" s="19" t="n"/>
      <c r="EX248" s="19" t="n"/>
      <c r="EZ248" s="5">
        <f>C248</f>
        <v/>
      </c>
      <c r="FD248" s="19" t="n"/>
      <c r="FE248" s="19" t="n"/>
      <c r="FF248" s="19" t="n"/>
      <c r="FG248" s="19" t="n"/>
      <c r="FH248" s="5">
        <f>C248</f>
        <v/>
      </c>
      <c r="FI248" s="633" t="n"/>
      <c r="FL248" s="19" t="n"/>
      <c r="FM248" s="19" t="n"/>
      <c r="FN248" s="19" t="n"/>
      <c r="FP248" s="5">
        <f>C248</f>
        <v/>
      </c>
      <c r="FT248" s="19" t="n"/>
      <c r="FU248" s="19" t="n"/>
      <c r="FV248" s="19" t="n"/>
      <c r="FX248" s="5">
        <f>C248</f>
        <v/>
      </c>
      <c r="GB248" s="19" t="n"/>
      <c r="GC248" s="19" t="n"/>
      <c r="GD248" s="19" t="n"/>
      <c r="GF248" s="5">
        <f>C248</f>
        <v/>
      </c>
      <c r="GJ248" s="19" t="n"/>
      <c r="GK248" s="19" t="n"/>
      <c r="GL248" s="19" t="n"/>
      <c r="GN248" s="5">
        <f>C248</f>
        <v/>
      </c>
      <c r="GR248" s="19" t="n"/>
      <c r="GS248" s="19" t="n"/>
      <c r="GT248" s="19" t="n"/>
      <c r="GV248" s="5">
        <f>C248</f>
        <v/>
      </c>
      <c r="GZ248" s="19" t="n"/>
      <c r="HA248" s="19" t="n"/>
      <c r="HB248" s="19" t="n"/>
      <c r="HD248" s="5">
        <f>C248</f>
        <v/>
      </c>
      <c r="HH248" s="19" t="n"/>
      <c r="HI248" s="19" t="n"/>
      <c r="HJ248" s="19" t="n"/>
      <c r="HL248" s="5">
        <f>C248</f>
        <v/>
      </c>
      <c r="HP248" s="19" t="n"/>
      <c r="HQ248" s="19" t="n"/>
      <c r="HR248" s="19" t="n"/>
      <c r="HT248" s="5">
        <f>C248</f>
        <v/>
      </c>
      <c r="HX248" s="19" t="n"/>
      <c r="HY248" s="19" t="n"/>
      <c r="HZ248" s="19" t="n"/>
      <c r="IB248" s="5">
        <f>C248</f>
        <v/>
      </c>
      <c r="IG248" s="19" t="n"/>
      <c r="IH248" s="19" t="n"/>
      <c r="IJ248" s="5">
        <f>C248</f>
        <v/>
      </c>
      <c r="IN248" s="19" t="n"/>
      <c r="IO248" s="19" t="n"/>
      <c r="IP248" s="19" t="n"/>
      <c r="IR248" s="5">
        <f>C248</f>
        <v/>
      </c>
      <c r="IV248" s="19" t="n"/>
      <c r="IW248" s="19" t="n"/>
      <c r="IX248" s="19" t="n"/>
      <c r="IZ248" s="5">
        <f>C248</f>
        <v/>
      </c>
      <c r="JD248" s="19" t="n"/>
      <c r="JE248" s="19" t="n"/>
      <c r="JF248" s="19" t="n"/>
      <c r="JH248" s="5">
        <f>C248</f>
        <v/>
      </c>
      <c r="JL248" s="19" t="n"/>
      <c r="JM248" s="19" t="n"/>
      <c r="JN248" s="19" t="n"/>
      <c r="JO248" s="19" t="n"/>
      <c r="JP248" s="5">
        <f>C248</f>
        <v/>
      </c>
      <c r="JT248" s="19" t="n"/>
      <c r="JU248" s="19" t="n"/>
      <c r="JV248" s="19" t="n"/>
      <c r="JW248" s="19" t="n"/>
      <c r="JX248" s="5">
        <f>C248</f>
        <v/>
      </c>
      <c r="KB248" s="19" t="n"/>
      <c r="KC248" s="19" t="n"/>
      <c r="KD248" s="19" t="n"/>
      <c r="KE248" s="19" t="n"/>
      <c r="KF248" s="5">
        <f>C248</f>
        <v/>
      </c>
      <c r="KG248" s="19" t="n"/>
      <c r="KH248" s="19" t="n"/>
      <c r="KJ248" s="19" t="n"/>
      <c r="KK248" s="19" t="n"/>
      <c r="KL248" s="19" t="n"/>
      <c r="KM248" s="19" t="n"/>
      <c r="KN248" s="5">
        <f>C248</f>
        <v/>
      </c>
      <c r="KR248" s="19" t="n"/>
      <c r="KS248" s="19" t="n"/>
      <c r="KT248" s="19" t="n"/>
      <c r="KV248" s="5">
        <f>C248</f>
        <v/>
      </c>
      <c r="KZ248" s="19" t="n"/>
      <c r="LA248" s="19" t="n"/>
      <c r="LB248" s="19" t="n"/>
      <c r="LD248" s="5">
        <f>C248</f>
        <v/>
      </c>
      <c r="LH248" s="19" t="n"/>
      <c r="LI248" s="19" t="n"/>
      <c r="LJ248" s="19" t="n"/>
      <c r="LL248" s="5">
        <f>C248</f>
        <v/>
      </c>
      <c r="LM248" s="633" t="n"/>
      <c r="LP248" s="19" t="n"/>
      <c r="LQ248" s="19" t="n"/>
      <c r="LR248" s="19" t="n"/>
      <c r="LT248" s="5">
        <f>C248</f>
        <v/>
      </c>
      <c r="LX248" s="19" t="n"/>
      <c r="LY248" s="19" t="n"/>
      <c r="LZ248" s="19" t="n"/>
      <c r="MB248" s="5">
        <f>C248</f>
        <v/>
      </c>
      <c r="MF248" s="19" t="n"/>
      <c r="MG248" s="19" t="n"/>
      <c r="MH248" s="19" t="n"/>
      <c r="MK248" s="5">
        <f>C248</f>
        <v/>
      </c>
      <c r="MM248" s="24" t="n"/>
      <c r="MO248" s="19" t="n"/>
      <c r="MP248" s="19" t="n"/>
      <c r="MQ248" s="19" t="n"/>
      <c r="MR248" s="19" t="n"/>
      <c r="MS248" s="19" t="n"/>
      <c r="MT248" s="25">
        <f>C248</f>
        <v/>
      </c>
      <c r="MX248" s="19" t="n"/>
      <c r="MY248" s="19" t="n"/>
      <c r="MZ248" s="19" t="n"/>
      <c r="NA248" s="19" t="n"/>
      <c r="NB248" s="19" t="n"/>
      <c r="NC248" s="5">
        <f>C248</f>
        <v/>
      </c>
      <c r="NG248" s="19" t="n"/>
      <c r="NH248" s="19" t="n"/>
      <c r="NI248" s="19" t="n"/>
      <c r="NJ248" s="19" t="n"/>
      <c r="NK248" s="19" t="n"/>
      <c r="NM248" s="5">
        <f>C248</f>
        <v/>
      </c>
      <c r="NQ248" s="19" t="n"/>
      <c r="NR248" s="19" t="n"/>
      <c r="NU248" s="5">
        <f>C248</f>
        <v/>
      </c>
      <c r="NY248" s="19" t="n"/>
      <c r="NZ248" s="19" t="n"/>
      <c r="OC248" s="5">
        <f>C248</f>
        <v/>
      </c>
      <c r="OG248" s="19" t="n"/>
      <c r="OH248" s="19" t="n"/>
      <c r="OI248" s="19" t="n"/>
      <c r="OK248" s="5">
        <f>C248</f>
        <v/>
      </c>
      <c r="OO248" s="19" t="n"/>
      <c r="OP248" s="19" t="n"/>
      <c r="OQ248" s="19" t="n"/>
      <c r="OT248" s="25">
        <f>OK248</f>
        <v/>
      </c>
      <c r="OX248" s="19" t="n"/>
    </row>
    <row r="249" ht="21" customFormat="1" customHeight="1" s="5">
      <c r="A249" s="631" t="n"/>
      <c r="B249" s="631" t="n"/>
      <c r="C249" s="714" t="inlineStr">
        <is>
          <t>2020//6//30</t>
        </is>
      </c>
      <c r="D249" s="591">
        <f>E249*10000</f>
        <v/>
      </c>
      <c r="E249" s="591" t="n">
        <v>81.7</v>
      </c>
      <c r="F249" s="523" t="n"/>
      <c r="G249" s="592" t="n"/>
      <c r="H249" s="592" t="n"/>
      <c r="I249" s="526" t="n"/>
      <c r="J249" s="526" t="n"/>
      <c r="K249" s="522">
        <f>C249</f>
        <v/>
      </c>
      <c r="L249" s="591">
        <f>M249*10000</f>
        <v/>
      </c>
      <c r="M249" s="591" t="n">
        <v>39.2</v>
      </c>
      <c r="N249" s="523" t="n"/>
      <c r="O249" s="594" t="n"/>
      <c r="P249" s="592" t="n"/>
      <c r="Q249" s="526" t="n"/>
      <c r="R249" s="523" t="n"/>
      <c r="S249" s="522">
        <f>C249</f>
        <v/>
      </c>
      <c r="T249" s="591">
        <f>U249*10000</f>
        <v/>
      </c>
      <c r="U249" s="591" t="n">
        <v>133.44</v>
      </c>
      <c r="V249" s="523" t="n"/>
      <c r="W249" s="592" t="n"/>
      <c r="X249" s="592" t="n"/>
      <c r="Y249" s="526" t="n"/>
      <c r="Z249" s="523" t="n"/>
      <c r="AA249" s="522">
        <f>S249</f>
        <v/>
      </c>
      <c r="AB249" s="591">
        <f>AC249*10000</f>
        <v/>
      </c>
      <c r="AC249" s="591" t="n">
        <v>53.63</v>
      </c>
      <c r="AD249" s="523" t="n"/>
      <c r="AE249" s="594" t="n"/>
      <c r="AF249" s="592" t="n"/>
      <c r="AG249" s="526" t="n"/>
      <c r="AH249" s="523" t="n"/>
      <c r="AI249" s="522">
        <f>C249</f>
        <v/>
      </c>
      <c r="AJ249" s="591">
        <f>AK249*10000</f>
        <v/>
      </c>
      <c r="AK249" s="522" t="n">
        <v>4.17</v>
      </c>
      <c r="AL249" s="523" t="n"/>
      <c r="AM249" s="594" t="n"/>
      <c r="AN249" s="592" t="n"/>
      <c r="AO249" s="526" t="n"/>
      <c r="AP249" s="551" t="n"/>
      <c r="AQ249" s="522">
        <f>C249</f>
        <v/>
      </c>
      <c r="AR249" s="634">
        <f>AS249*10000</f>
        <v/>
      </c>
      <c r="AS249" s="591" t="n">
        <v>73.23999999999999</v>
      </c>
      <c r="AT249" s="592" t="n"/>
      <c r="AU249" s="523" t="n"/>
      <c r="AV249" s="526" t="n"/>
      <c r="AW249" s="526" t="n"/>
      <c r="AX249" s="523" t="n"/>
      <c r="AY249" s="523" t="n"/>
      <c r="AZ249" s="523">
        <f>C249</f>
        <v/>
      </c>
      <c r="BA249" s="523" t="n"/>
      <c r="BB249" s="523" t="n"/>
      <c r="BC249" s="523" t="n"/>
      <c r="BD249" s="526" t="n"/>
      <c r="BE249" s="526" t="n"/>
      <c r="BF249" s="526" t="n"/>
      <c r="BG249" s="631" t="n"/>
      <c r="BH249" s="5">
        <f>C249</f>
        <v/>
      </c>
      <c r="BL249" s="19" t="n"/>
      <c r="BM249" s="19" t="n"/>
      <c r="BN249" s="19" t="n"/>
      <c r="BP249" s="5">
        <f>C249</f>
        <v/>
      </c>
      <c r="BQ249" s="633" t="n"/>
      <c r="BT249" s="19" t="n"/>
      <c r="BU249" s="19" t="n"/>
      <c r="BV249" s="19" t="n"/>
      <c r="BX249" s="5">
        <f>C249</f>
        <v/>
      </c>
      <c r="CB249" s="19" t="n"/>
      <c r="CC249" s="19" t="n"/>
      <c r="CD249" s="19" t="n"/>
      <c r="CF249" s="5">
        <f>C249</f>
        <v/>
      </c>
      <c r="CJ249" s="19" t="n"/>
      <c r="CK249" s="19" t="n"/>
      <c r="CL249" s="19" t="n"/>
      <c r="CN249" s="5">
        <f>C249</f>
        <v/>
      </c>
      <c r="CR249" s="19" t="n"/>
      <c r="CS249" s="19" t="n"/>
      <c r="CT249" s="19" t="n"/>
      <c r="CV249" s="5">
        <f>C249</f>
        <v/>
      </c>
      <c r="CZ249" s="19" t="n"/>
      <c r="DA249" s="19" t="n"/>
      <c r="DB249" s="19" t="n"/>
      <c r="DC249" s="23" t="n"/>
      <c r="DD249" s="5">
        <f>C249</f>
        <v/>
      </c>
      <c r="DH249" s="19" t="n"/>
      <c r="DI249" s="19" t="n"/>
      <c r="DJ249" s="19" t="n"/>
      <c r="DL249" s="5">
        <f>C249</f>
        <v/>
      </c>
      <c r="DP249" s="19" t="n"/>
      <c r="DQ249" s="19" t="n"/>
      <c r="DR249" s="19" t="n"/>
      <c r="DT249" s="5">
        <f>C249</f>
        <v/>
      </c>
      <c r="DX249" s="19" t="n"/>
      <c r="DY249" s="19" t="n"/>
      <c r="DZ249" s="19" t="n"/>
      <c r="EB249" s="5">
        <f>C249</f>
        <v/>
      </c>
      <c r="EF249" s="19" t="n"/>
      <c r="EG249" s="19" t="n"/>
      <c r="EH249" s="19" t="n"/>
      <c r="EJ249" s="5">
        <f>C249</f>
        <v/>
      </c>
      <c r="EN249" s="19" t="n"/>
      <c r="EO249" s="19" t="n"/>
      <c r="EP249" s="19" t="n"/>
      <c r="EQ249" s="19" t="n"/>
      <c r="ER249" s="5">
        <f>C249</f>
        <v/>
      </c>
      <c r="ES249" s="19" t="n"/>
      <c r="ET249" s="19" t="n"/>
      <c r="EU249" s="19" t="n"/>
      <c r="EV249" s="19" t="n"/>
      <c r="EW249" s="19" t="n"/>
      <c r="EX249" s="19" t="n"/>
      <c r="EZ249" s="5">
        <f>C249</f>
        <v/>
      </c>
      <c r="FD249" s="19" t="n"/>
      <c r="FE249" s="19" t="n"/>
      <c r="FF249" s="19" t="n"/>
      <c r="FG249" s="19" t="n"/>
      <c r="FH249" s="5">
        <f>C249</f>
        <v/>
      </c>
      <c r="FI249" s="633" t="n"/>
      <c r="FL249" s="19" t="n"/>
      <c r="FM249" s="19" t="n"/>
      <c r="FN249" s="19" t="n"/>
      <c r="FP249" s="5">
        <f>C249</f>
        <v/>
      </c>
      <c r="FT249" s="19" t="n"/>
      <c r="FU249" s="19" t="n"/>
      <c r="FV249" s="19" t="n"/>
      <c r="FX249" s="5">
        <f>C249</f>
        <v/>
      </c>
      <c r="GB249" s="19" t="n"/>
      <c r="GC249" s="19" t="n"/>
      <c r="GD249" s="19" t="n"/>
      <c r="GF249" s="5">
        <f>C249</f>
        <v/>
      </c>
      <c r="GJ249" s="19" t="n"/>
      <c r="GK249" s="19" t="n"/>
      <c r="GL249" s="19" t="n"/>
      <c r="GN249" s="5">
        <f>C249</f>
        <v/>
      </c>
      <c r="GR249" s="19" t="n"/>
      <c r="GS249" s="19" t="n"/>
      <c r="GT249" s="19" t="n"/>
      <c r="GV249" s="5">
        <f>C249</f>
        <v/>
      </c>
      <c r="GZ249" s="19" t="n"/>
      <c r="HA249" s="19" t="n"/>
      <c r="HB249" s="19" t="n"/>
      <c r="HD249" s="5">
        <f>C249</f>
        <v/>
      </c>
      <c r="HH249" s="19" t="n"/>
      <c r="HI249" s="19" t="n"/>
      <c r="HJ249" s="19" t="n"/>
      <c r="HL249" s="5">
        <f>C249</f>
        <v/>
      </c>
      <c r="HP249" s="19" t="n"/>
      <c r="HQ249" s="19" t="n"/>
      <c r="HR249" s="19" t="n"/>
      <c r="HT249" s="5">
        <f>C249</f>
        <v/>
      </c>
      <c r="HX249" s="19" t="n"/>
      <c r="HY249" s="19" t="n"/>
      <c r="HZ249" s="19" t="n"/>
      <c r="IB249" s="5">
        <f>C249</f>
        <v/>
      </c>
      <c r="IG249" s="19" t="n"/>
      <c r="IH249" s="19" t="n"/>
      <c r="IJ249" s="5">
        <f>C249</f>
        <v/>
      </c>
      <c r="IN249" s="19" t="n"/>
      <c r="IO249" s="19" t="n"/>
      <c r="IP249" s="19" t="n"/>
      <c r="IR249" s="5">
        <f>C249</f>
        <v/>
      </c>
      <c r="IV249" s="19" t="n"/>
      <c r="IW249" s="19" t="n"/>
      <c r="IX249" s="19" t="n"/>
      <c r="IZ249" s="5">
        <f>C249</f>
        <v/>
      </c>
      <c r="JD249" s="19" t="n"/>
      <c r="JE249" s="19" t="n"/>
      <c r="JF249" s="19" t="n"/>
      <c r="JH249" s="5">
        <f>C249</f>
        <v/>
      </c>
      <c r="JL249" s="19" t="n"/>
      <c r="JM249" s="19" t="n"/>
      <c r="JN249" s="19" t="n"/>
      <c r="JO249" s="19" t="n"/>
      <c r="JP249" s="5">
        <f>C249</f>
        <v/>
      </c>
      <c r="JT249" s="19" t="n"/>
      <c r="JU249" s="19" t="n"/>
      <c r="JV249" s="19" t="n"/>
      <c r="JW249" s="19" t="n"/>
      <c r="JX249" s="5">
        <f>C249</f>
        <v/>
      </c>
      <c r="KB249" s="19" t="n"/>
      <c r="KC249" s="19" t="n"/>
      <c r="KD249" s="19" t="n"/>
      <c r="KE249" s="19" t="n"/>
      <c r="KF249" s="5">
        <f>C249</f>
        <v/>
      </c>
      <c r="KG249" s="19" t="n"/>
      <c r="KH249" s="19" t="n"/>
      <c r="KJ249" s="19" t="n"/>
      <c r="KK249" s="19" t="n"/>
      <c r="KL249" s="19" t="n"/>
      <c r="KM249" s="19" t="n"/>
      <c r="KN249" s="5">
        <f>C249</f>
        <v/>
      </c>
      <c r="KR249" s="19" t="n"/>
      <c r="KS249" s="19" t="n"/>
      <c r="KT249" s="19" t="n"/>
      <c r="KV249" s="5">
        <f>C249</f>
        <v/>
      </c>
      <c r="KZ249" s="19" t="n"/>
      <c r="LA249" s="19" t="n"/>
      <c r="LB249" s="19" t="n"/>
      <c r="LD249" s="5">
        <f>C249</f>
        <v/>
      </c>
      <c r="LH249" s="19" t="n"/>
      <c r="LI249" s="19" t="n"/>
      <c r="LJ249" s="19" t="n"/>
      <c r="LL249" s="5">
        <f>C249</f>
        <v/>
      </c>
      <c r="LM249" s="633" t="n"/>
      <c r="LP249" s="19" t="n"/>
      <c r="LQ249" s="19" t="n"/>
      <c r="LR249" s="19" t="n"/>
      <c r="LT249" s="5">
        <f>C249</f>
        <v/>
      </c>
      <c r="LX249" s="19" t="n"/>
      <c r="LY249" s="19" t="n"/>
      <c r="LZ249" s="19" t="n"/>
      <c r="MB249" s="5">
        <f>C249</f>
        <v/>
      </c>
      <c r="MF249" s="19" t="n"/>
      <c r="MG249" s="19" t="n"/>
      <c r="MH249" s="19" t="n"/>
      <c r="MK249" s="5">
        <f>C249</f>
        <v/>
      </c>
      <c r="MM249" s="24" t="n"/>
      <c r="MO249" s="19" t="n"/>
      <c r="MP249" s="19" t="n"/>
      <c r="MQ249" s="19" t="n"/>
      <c r="MR249" s="19" t="n"/>
      <c r="MS249" s="19" t="n"/>
      <c r="MT249" s="25">
        <f>C249</f>
        <v/>
      </c>
      <c r="MX249" s="19" t="n"/>
      <c r="MY249" s="19" t="n"/>
      <c r="MZ249" s="19" t="n"/>
      <c r="NA249" s="19" t="n"/>
      <c r="NB249" s="19" t="n"/>
      <c r="NC249" s="5">
        <f>C249</f>
        <v/>
      </c>
      <c r="NG249" s="19" t="n"/>
      <c r="NH249" s="19" t="n"/>
      <c r="NI249" s="19" t="n"/>
      <c r="NJ249" s="19" t="n"/>
      <c r="NK249" s="19" t="n"/>
      <c r="NM249" s="5">
        <f>C249</f>
        <v/>
      </c>
      <c r="NQ249" s="19" t="n"/>
      <c r="NR249" s="19" t="n"/>
      <c r="NU249" s="5">
        <f>C249</f>
        <v/>
      </c>
      <c r="NY249" s="19" t="n"/>
      <c r="NZ249" s="19" t="n"/>
      <c r="OC249" s="5">
        <f>C249</f>
        <v/>
      </c>
      <c r="OG249" s="19" t="n"/>
      <c r="OH249" s="19" t="n"/>
      <c r="OI249" s="19" t="n"/>
      <c r="OK249" s="5">
        <f>C249</f>
        <v/>
      </c>
      <c r="OO249" s="19" t="n"/>
      <c r="OP249" s="19" t="n"/>
      <c r="OQ249" s="19" t="n"/>
      <c r="OT249" s="25">
        <f>OK249</f>
        <v/>
      </c>
      <c r="OX249" s="19" t="n"/>
    </row>
    <row r="250" ht="21" customFormat="1" customHeight="1" s="5">
      <c r="A250" s="631" t="n"/>
      <c r="B250" s="631" t="n"/>
      <c r="C250" s="714" t="inlineStr">
        <is>
          <t>2020//3//31</t>
        </is>
      </c>
      <c r="D250" s="591">
        <f>E250*10000</f>
        <v/>
      </c>
      <c r="E250" s="591" t="n">
        <v>111.09</v>
      </c>
      <c r="F250" s="523" t="n"/>
      <c r="G250" s="592" t="n"/>
      <c r="H250" s="592" t="n"/>
      <c r="I250" s="526" t="n"/>
      <c r="J250" s="526" t="n"/>
      <c r="K250" s="522">
        <f>C250</f>
        <v/>
      </c>
      <c r="L250" s="591">
        <f>M250*10000</f>
        <v/>
      </c>
      <c r="M250" s="591" t="n">
        <v>42.02</v>
      </c>
      <c r="N250" s="523" t="n"/>
      <c r="O250" s="594" t="n"/>
      <c r="P250" s="592" t="n"/>
      <c r="Q250" s="526" t="n"/>
      <c r="R250" s="523" t="n"/>
      <c r="S250" s="522">
        <f>C250</f>
        <v/>
      </c>
      <c r="T250" s="591">
        <f>U250*10000</f>
        <v/>
      </c>
      <c r="U250" s="591" t="n">
        <v>159.07</v>
      </c>
      <c r="V250" s="523" t="n"/>
      <c r="W250" s="592" t="n"/>
      <c r="X250" s="592" t="n"/>
      <c r="Y250" s="526" t="n"/>
      <c r="Z250" s="523" t="n"/>
      <c r="AA250" s="522">
        <f>S250</f>
        <v/>
      </c>
      <c r="AB250" s="591">
        <f>AC250*10000</f>
        <v/>
      </c>
      <c r="AC250" s="591" t="n">
        <v>59.99</v>
      </c>
      <c r="AD250" s="523" t="n"/>
      <c r="AE250" s="594" t="n"/>
      <c r="AF250" s="592" t="n"/>
      <c r="AG250" s="526" t="n"/>
      <c r="AH250" s="523" t="n"/>
      <c r="AI250" s="522">
        <f>C250</f>
        <v/>
      </c>
      <c r="AJ250" s="591">
        <f>AK250*10000</f>
        <v/>
      </c>
      <c r="AK250" s="522" t="n">
        <v>2.19</v>
      </c>
      <c r="AL250" s="523" t="n"/>
      <c r="AM250" s="594" t="n"/>
      <c r="AN250" s="592" t="n"/>
      <c r="AO250" s="526" t="n"/>
      <c r="AP250" s="551" t="n"/>
      <c r="AQ250" s="522">
        <f>C250</f>
        <v/>
      </c>
      <c r="AR250" s="634">
        <f>AS250*10000</f>
        <v/>
      </c>
      <c r="AS250" s="591" t="n">
        <v>100.08</v>
      </c>
      <c r="AT250" s="592" t="n"/>
      <c r="AU250" s="523" t="n"/>
      <c r="AV250" s="526" t="n"/>
      <c r="AW250" s="526" t="n"/>
      <c r="AX250" s="523" t="n"/>
      <c r="AY250" s="523" t="n"/>
      <c r="AZ250" s="523">
        <f>C250</f>
        <v/>
      </c>
      <c r="BA250" s="523" t="n"/>
      <c r="BB250" s="523" t="n"/>
      <c r="BC250" s="523" t="n"/>
      <c r="BD250" s="526" t="n"/>
      <c r="BE250" s="526" t="n"/>
      <c r="BF250" s="526" t="n"/>
      <c r="BG250" s="631" t="n"/>
      <c r="BH250" s="5">
        <f>C250</f>
        <v/>
      </c>
      <c r="BL250" s="19" t="n"/>
      <c r="BM250" s="19" t="n"/>
      <c r="BN250" s="19" t="n"/>
      <c r="BP250" s="5">
        <f>C250</f>
        <v/>
      </c>
      <c r="BQ250" s="633" t="n"/>
      <c r="BT250" s="19" t="n"/>
      <c r="BU250" s="19" t="n"/>
      <c r="BV250" s="19" t="n"/>
      <c r="BX250" s="5">
        <f>C250</f>
        <v/>
      </c>
      <c r="CB250" s="19" t="n"/>
      <c r="CC250" s="19" t="n"/>
      <c r="CD250" s="19" t="n"/>
      <c r="CF250" s="5">
        <f>C250</f>
        <v/>
      </c>
      <c r="CJ250" s="19" t="n"/>
      <c r="CK250" s="19" t="n"/>
      <c r="CL250" s="19" t="n"/>
      <c r="CN250" s="5">
        <f>C250</f>
        <v/>
      </c>
      <c r="CR250" s="19" t="n"/>
      <c r="CS250" s="19" t="n"/>
      <c r="CT250" s="19" t="n"/>
      <c r="CV250" s="5">
        <f>C250</f>
        <v/>
      </c>
      <c r="CZ250" s="19" t="n"/>
      <c r="DA250" s="19" t="n"/>
      <c r="DB250" s="19" t="n"/>
      <c r="DC250" s="23" t="n"/>
      <c r="DD250" s="5">
        <f>C250</f>
        <v/>
      </c>
      <c r="DH250" s="19" t="n"/>
      <c r="DI250" s="19" t="n"/>
      <c r="DJ250" s="19" t="n"/>
      <c r="DL250" s="5">
        <f>C250</f>
        <v/>
      </c>
      <c r="DP250" s="19" t="n"/>
      <c r="DQ250" s="19" t="n"/>
      <c r="DR250" s="19" t="n"/>
      <c r="DT250" s="5">
        <f>C250</f>
        <v/>
      </c>
      <c r="DX250" s="19" t="n"/>
      <c r="DY250" s="19" t="n"/>
      <c r="DZ250" s="19" t="n"/>
      <c r="EB250" s="5">
        <f>C250</f>
        <v/>
      </c>
      <c r="EF250" s="19" t="n"/>
      <c r="EG250" s="19" t="n"/>
      <c r="EH250" s="19" t="n"/>
      <c r="EJ250" s="5">
        <f>C250</f>
        <v/>
      </c>
      <c r="EN250" s="19" t="n"/>
      <c r="EO250" s="19" t="n"/>
      <c r="EP250" s="19" t="n"/>
      <c r="EQ250" s="19" t="n"/>
      <c r="ER250" s="5">
        <f>C250</f>
        <v/>
      </c>
      <c r="ES250" s="19" t="n"/>
      <c r="ET250" s="19" t="n"/>
      <c r="EU250" s="19" t="n"/>
      <c r="EV250" s="19" t="n"/>
      <c r="EW250" s="19" t="n"/>
      <c r="EX250" s="19" t="n"/>
      <c r="EZ250" s="5">
        <f>C250</f>
        <v/>
      </c>
      <c r="FD250" s="19" t="n"/>
      <c r="FE250" s="19" t="n"/>
      <c r="FF250" s="19" t="n"/>
      <c r="FG250" s="19" t="n"/>
      <c r="FH250" s="5">
        <f>C250</f>
        <v/>
      </c>
      <c r="FI250" s="633" t="n"/>
      <c r="FL250" s="19" t="n"/>
      <c r="FM250" s="19" t="n"/>
      <c r="FN250" s="19" t="n"/>
      <c r="FP250" s="5">
        <f>C250</f>
        <v/>
      </c>
      <c r="FT250" s="19" t="n"/>
      <c r="FU250" s="19" t="n"/>
      <c r="FV250" s="19" t="n"/>
      <c r="FX250" s="5">
        <f>C250</f>
        <v/>
      </c>
      <c r="GB250" s="19" t="n"/>
      <c r="GC250" s="19" t="n"/>
      <c r="GD250" s="19" t="n"/>
      <c r="GF250" s="5">
        <f>C250</f>
        <v/>
      </c>
      <c r="GJ250" s="19" t="n"/>
      <c r="GK250" s="19" t="n"/>
      <c r="GL250" s="19" t="n"/>
      <c r="GN250" s="5">
        <f>C250</f>
        <v/>
      </c>
      <c r="GR250" s="19" t="n"/>
      <c r="GS250" s="19" t="n"/>
      <c r="GT250" s="19" t="n"/>
      <c r="GV250" s="5">
        <f>C250</f>
        <v/>
      </c>
      <c r="GZ250" s="19" t="n"/>
      <c r="HA250" s="19" t="n"/>
      <c r="HB250" s="19" t="n"/>
      <c r="HD250" s="5">
        <f>C250</f>
        <v/>
      </c>
      <c r="HH250" s="19" t="n"/>
      <c r="HI250" s="19" t="n"/>
      <c r="HJ250" s="19" t="n"/>
      <c r="HL250" s="5">
        <f>C250</f>
        <v/>
      </c>
      <c r="HP250" s="19" t="n"/>
      <c r="HQ250" s="19" t="n"/>
      <c r="HR250" s="19" t="n"/>
      <c r="HT250" s="5">
        <f>C250</f>
        <v/>
      </c>
      <c r="HX250" s="19" t="n"/>
      <c r="HY250" s="19" t="n"/>
      <c r="HZ250" s="19" t="n"/>
      <c r="IB250" s="5">
        <f>C250</f>
        <v/>
      </c>
      <c r="IG250" s="19" t="n"/>
      <c r="IH250" s="19" t="n"/>
      <c r="IJ250" s="5">
        <f>C250</f>
        <v/>
      </c>
      <c r="IN250" s="19" t="n"/>
      <c r="IO250" s="19" t="n"/>
      <c r="IP250" s="19" t="n"/>
      <c r="IR250" s="5">
        <f>C250</f>
        <v/>
      </c>
      <c r="IV250" s="19" t="n"/>
      <c r="IW250" s="19" t="n"/>
      <c r="IX250" s="19" t="n"/>
      <c r="IZ250" s="5">
        <f>C250</f>
        <v/>
      </c>
      <c r="JD250" s="19" t="n"/>
      <c r="JE250" s="19" t="n"/>
      <c r="JF250" s="19" t="n"/>
      <c r="JH250" s="5">
        <f>C250</f>
        <v/>
      </c>
      <c r="JL250" s="19" t="n"/>
      <c r="JM250" s="19" t="n"/>
      <c r="JN250" s="19" t="n"/>
      <c r="JO250" s="19" t="n"/>
      <c r="JP250" s="5">
        <f>C250</f>
        <v/>
      </c>
      <c r="JT250" s="19" t="n"/>
      <c r="JU250" s="19" t="n"/>
      <c r="JV250" s="19" t="n"/>
      <c r="JW250" s="19" t="n"/>
      <c r="JX250" s="5">
        <f>C250</f>
        <v/>
      </c>
      <c r="KB250" s="19" t="n"/>
      <c r="KC250" s="19" t="n"/>
      <c r="KD250" s="19" t="n"/>
      <c r="KE250" s="19" t="n"/>
      <c r="KF250" s="5">
        <f>C250</f>
        <v/>
      </c>
      <c r="KG250" s="19" t="n"/>
      <c r="KH250" s="19" t="n"/>
      <c r="KJ250" s="19" t="n"/>
      <c r="KK250" s="19" t="n"/>
      <c r="KL250" s="19" t="n"/>
      <c r="KM250" s="19" t="n"/>
      <c r="KN250" s="5">
        <f>C250</f>
        <v/>
      </c>
      <c r="KR250" s="19" t="n"/>
      <c r="KS250" s="19" t="n"/>
      <c r="KT250" s="19" t="n"/>
      <c r="KV250" s="5">
        <f>C250</f>
        <v/>
      </c>
      <c r="KZ250" s="19" t="n"/>
      <c r="LA250" s="19" t="n"/>
      <c r="LB250" s="19" t="n"/>
      <c r="LD250" s="5">
        <f>C250</f>
        <v/>
      </c>
      <c r="LH250" s="19" t="n"/>
      <c r="LI250" s="19" t="n"/>
      <c r="LJ250" s="19" t="n"/>
      <c r="LL250" s="5">
        <f>C250</f>
        <v/>
      </c>
      <c r="LM250" s="633" t="n"/>
      <c r="LP250" s="19" t="n"/>
      <c r="LQ250" s="19" t="n"/>
      <c r="LR250" s="19" t="n"/>
      <c r="LT250" s="5">
        <f>C250</f>
        <v/>
      </c>
      <c r="LX250" s="19" t="n"/>
      <c r="LY250" s="19" t="n"/>
      <c r="LZ250" s="19" t="n"/>
      <c r="MB250" s="5">
        <f>C250</f>
        <v/>
      </c>
      <c r="MF250" s="19" t="n"/>
      <c r="MG250" s="19" t="n"/>
      <c r="MH250" s="19" t="n"/>
      <c r="MK250" s="5">
        <f>C250</f>
        <v/>
      </c>
      <c r="MM250" s="24" t="n"/>
      <c r="MO250" s="19" t="n"/>
      <c r="MP250" s="19" t="n"/>
      <c r="MQ250" s="19" t="n"/>
      <c r="MR250" s="19" t="n"/>
      <c r="MS250" s="19" t="n"/>
      <c r="MT250" s="25">
        <f>C250</f>
        <v/>
      </c>
      <c r="MX250" s="19" t="n"/>
      <c r="MY250" s="19" t="n"/>
      <c r="MZ250" s="19" t="n"/>
      <c r="NA250" s="19" t="n"/>
      <c r="NB250" s="19" t="n"/>
      <c r="NC250" s="5">
        <f>C250</f>
        <v/>
      </c>
      <c r="NG250" s="19" t="n"/>
      <c r="NH250" s="19" t="n"/>
      <c r="NI250" s="19" t="n"/>
      <c r="NJ250" s="19" t="n"/>
      <c r="NK250" s="19" t="n"/>
      <c r="NM250" s="5">
        <f>C250</f>
        <v/>
      </c>
      <c r="NQ250" s="19" t="n"/>
      <c r="NR250" s="19" t="n"/>
      <c r="NU250" s="5">
        <f>C250</f>
        <v/>
      </c>
      <c r="NY250" s="19" t="n"/>
      <c r="NZ250" s="19" t="n"/>
      <c r="OC250" s="5">
        <f>C250</f>
        <v/>
      </c>
      <c r="OG250" s="19" t="n"/>
      <c r="OH250" s="19" t="n"/>
      <c r="OI250" s="19" t="n"/>
      <c r="OK250" s="5">
        <f>C250</f>
        <v/>
      </c>
      <c r="OO250" s="19" t="n"/>
      <c r="OP250" s="19" t="n"/>
      <c r="OQ250" s="19" t="n"/>
      <c r="OT250" s="25">
        <f>OK250</f>
        <v/>
      </c>
      <c r="OX250" s="19" t="n"/>
    </row>
    <row r="251" ht="21" customFormat="1" customHeight="1" s="5">
      <c r="A251" s="631" t="n"/>
      <c r="B251" s="631" t="n"/>
      <c r="C251" s="714" t="inlineStr">
        <is>
          <t>2019//12//31</t>
        </is>
      </c>
      <c r="D251" s="591">
        <f>E251*10000</f>
        <v/>
      </c>
      <c r="E251" s="591" t="n">
        <v>98.5</v>
      </c>
      <c r="F251" s="523" t="n"/>
      <c r="G251" s="592" t="n"/>
      <c r="H251" s="592" t="n"/>
      <c r="I251" s="526" t="n"/>
      <c r="J251" s="526" t="n"/>
      <c r="K251" s="522">
        <f>C251</f>
        <v/>
      </c>
      <c r="L251" s="591">
        <f>M251*10000</f>
        <v/>
      </c>
      <c r="M251" s="591" t="n">
        <v>51.22</v>
      </c>
      <c r="N251" s="523" t="n"/>
      <c r="O251" s="594" t="n"/>
      <c r="P251" s="592" t="n"/>
      <c r="Q251" s="526" t="n"/>
      <c r="R251" s="523" t="n"/>
      <c r="S251" s="522">
        <f>C251</f>
        <v/>
      </c>
      <c r="T251" s="591">
        <f>U251*10000</f>
        <v/>
      </c>
      <c r="U251" s="591" t="n">
        <v>151.1</v>
      </c>
      <c r="V251" s="523" t="n"/>
      <c r="W251" s="592" t="n"/>
      <c r="X251" s="592" t="n"/>
      <c r="Y251" s="526" t="n"/>
      <c r="Z251" s="523" t="n"/>
      <c r="AA251" s="522">
        <f>S251</f>
        <v/>
      </c>
      <c r="AB251" s="591">
        <f>AC251*10000</f>
        <v/>
      </c>
      <c r="AC251" s="591" t="n">
        <v>72.31999999999999</v>
      </c>
      <c r="AD251" s="523" t="n"/>
      <c r="AE251" s="594" t="n"/>
      <c r="AF251" s="592" t="n"/>
      <c r="AG251" s="526" t="n"/>
      <c r="AH251" s="523" t="n"/>
      <c r="AI251" s="522">
        <f>C251</f>
        <v/>
      </c>
      <c r="AJ251" s="591">
        <f>AK251*10000</f>
        <v/>
      </c>
      <c r="AK251" s="522" t="n">
        <v>2.79</v>
      </c>
      <c r="AL251" s="523" t="n"/>
      <c r="AM251" s="594" t="n"/>
      <c r="AN251" s="592" t="n"/>
      <c r="AO251" s="526" t="n"/>
      <c r="AP251" s="551" t="n"/>
      <c r="AQ251" s="522">
        <f>C251</f>
        <v/>
      </c>
      <c r="AR251" s="634">
        <f>AS251*10000</f>
        <v/>
      </c>
      <c r="AS251" s="591" t="n">
        <v>96.69</v>
      </c>
      <c r="AT251" s="592" t="n"/>
      <c r="AU251" s="523" t="n"/>
      <c r="AV251" s="526" t="n"/>
      <c r="AW251" s="526" t="n"/>
      <c r="AX251" s="523" t="n"/>
      <c r="AY251" s="523" t="n"/>
      <c r="AZ251" s="523">
        <f>C251</f>
        <v/>
      </c>
      <c r="BA251" s="523" t="n"/>
      <c r="BB251" s="523" t="n"/>
      <c r="BC251" s="523" t="n"/>
      <c r="BD251" s="526" t="n"/>
      <c r="BE251" s="526" t="n"/>
      <c r="BF251" s="526" t="n"/>
      <c r="BG251" s="631" t="n"/>
      <c r="BH251" s="5">
        <f>C251</f>
        <v/>
      </c>
      <c r="BL251" s="19" t="n"/>
      <c r="BM251" s="19" t="n"/>
      <c r="BN251" s="19" t="n"/>
      <c r="BP251" s="5">
        <f>C251</f>
        <v/>
      </c>
      <c r="BQ251" s="633" t="n"/>
      <c r="BT251" s="19" t="n"/>
      <c r="BU251" s="19" t="n"/>
      <c r="BV251" s="19" t="n"/>
      <c r="BX251" s="5">
        <f>C251</f>
        <v/>
      </c>
      <c r="CB251" s="19" t="n"/>
      <c r="CC251" s="19" t="n"/>
      <c r="CD251" s="19" t="n"/>
      <c r="CF251" s="5">
        <f>C251</f>
        <v/>
      </c>
      <c r="CJ251" s="19" t="n"/>
      <c r="CK251" s="19" t="n"/>
      <c r="CL251" s="19" t="n"/>
      <c r="CN251" s="5">
        <f>C251</f>
        <v/>
      </c>
      <c r="CR251" s="19" t="n"/>
      <c r="CS251" s="19" t="n"/>
      <c r="CT251" s="19" t="n"/>
      <c r="CV251" s="5">
        <f>C251</f>
        <v/>
      </c>
      <c r="CZ251" s="19" t="n"/>
      <c r="DA251" s="19" t="n"/>
      <c r="DB251" s="19" t="n"/>
      <c r="DC251" s="23" t="n"/>
      <c r="DD251" s="5">
        <f>C251</f>
        <v/>
      </c>
      <c r="DH251" s="19" t="n"/>
      <c r="DI251" s="19" t="n"/>
      <c r="DJ251" s="19" t="n"/>
      <c r="DL251" s="5">
        <f>C251</f>
        <v/>
      </c>
      <c r="DP251" s="19" t="n"/>
      <c r="DQ251" s="19" t="n"/>
      <c r="DR251" s="19" t="n"/>
      <c r="DT251" s="5">
        <f>C251</f>
        <v/>
      </c>
      <c r="DX251" s="19" t="n"/>
      <c r="DY251" s="19" t="n"/>
      <c r="DZ251" s="19" t="n"/>
      <c r="EB251" s="5">
        <f>C251</f>
        <v/>
      </c>
      <c r="EF251" s="19" t="n"/>
      <c r="EG251" s="19" t="n"/>
      <c r="EH251" s="19" t="n"/>
      <c r="EJ251" s="5">
        <f>C251</f>
        <v/>
      </c>
      <c r="EN251" s="19" t="n"/>
      <c r="EO251" s="19" t="n"/>
      <c r="EP251" s="19" t="n"/>
      <c r="EQ251" s="19" t="n"/>
      <c r="ER251" s="5">
        <f>C251</f>
        <v/>
      </c>
      <c r="ES251" s="19" t="n"/>
      <c r="ET251" s="19" t="n"/>
      <c r="EU251" s="19" t="n"/>
      <c r="EV251" s="19" t="n"/>
      <c r="EW251" s="19" t="n"/>
      <c r="EX251" s="19" t="n"/>
      <c r="EZ251" s="5">
        <f>C251</f>
        <v/>
      </c>
      <c r="FD251" s="19" t="n"/>
      <c r="FE251" s="19" t="n"/>
      <c r="FF251" s="19" t="n"/>
      <c r="FG251" s="19" t="n"/>
      <c r="FH251" s="5">
        <f>C251</f>
        <v/>
      </c>
      <c r="FI251" s="633" t="n"/>
      <c r="FL251" s="19" t="n"/>
      <c r="FM251" s="19" t="n"/>
      <c r="FN251" s="19" t="n"/>
      <c r="FP251" s="5">
        <f>C251</f>
        <v/>
      </c>
      <c r="FT251" s="19" t="n"/>
      <c r="FU251" s="19" t="n"/>
      <c r="FV251" s="19" t="n"/>
      <c r="FX251" s="5">
        <f>C251</f>
        <v/>
      </c>
      <c r="GB251" s="19" t="n"/>
      <c r="GC251" s="19" t="n"/>
      <c r="GD251" s="19" t="n"/>
      <c r="GF251" s="5">
        <f>C251</f>
        <v/>
      </c>
      <c r="GJ251" s="19" t="n"/>
      <c r="GK251" s="19" t="n"/>
      <c r="GL251" s="19" t="n"/>
      <c r="GN251" s="5">
        <f>C251</f>
        <v/>
      </c>
      <c r="GR251" s="19" t="n"/>
      <c r="GS251" s="19" t="n"/>
      <c r="GT251" s="19" t="n"/>
      <c r="GV251" s="5">
        <f>C251</f>
        <v/>
      </c>
      <c r="GZ251" s="19" t="n"/>
      <c r="HA251" s="19" t="n"/>
      <c r="HB251" s="19" t="n"/>
      <c r="HD251" s="5">
        <f>C251</f>
        <v/>
      </c>
      <c r="HH251" s="19" t="n"/>
      <c r="HI251" s="19" t="n"/>
      <c r="HJ251" s="19" t="n"/>
      <c r="HL251" s="5">
        <f>C251</f>
        <v/>
      </c>
      <c r="HP251" s="19" t="n"/>
      <c r="HQ251" s="19" t="n"/>
      <c r="HR251" s="19" t="n"/>
      <c r="HT251" s="5">
        <f>C251</f>
        <v/>
      </c>
      <c r="HX251" s="19" t="n"/>
      <c r="HY251" s="19" t="n"/>
      <c r="HZ251" s="19" t="n"/>
      <c r="IB251" s="5">
        <f>C251</f>
        <v/>
      </c>
      <c r="IG251" s="19" t="n"/>
      <c r="IH251" s="19" t="n"/>
      <c r="IJ251" s="5">
        <f>C251</f>
        <v/>
      </c>
      <c r="IN251" s="19" t="n"/>
      <c r="IO251" s="19" t="n"/>
      <c r="IP251" s="19" t="n"/>
      <c r="IR251" s="5">
        <f>C251</f>
        <v/>
      </c>
      <c r="IV251" s="19" t="n"/>
      <c r="IW251" s="19" t="n"/>
      <c r="IX251" s="19" t="n"/>
      <c r="IZ251" s="5">
        <f>C251</f>
        <v/>
      </c>
      <c r="JD251" s="19" t="n"/>
      <c r="JE251" s="19" t="n"/>
      <c r="JF251" s="19" t="n"/>
      <c r="JH251" s="5">
        <f>C251</f>
        <v/>
      </c>
      <c r="JL251" s="19" t="n"/>
      <c r="JM251" s="19" t="n"/>
      <c r="JN251" s="19" t="n"/>
      <c r="JO251" s="19" t="n"/>
      <c r="JP251" s="5">
        <f>C251</f>
        <v/>
      </c>
      <c r="JT251" s="19" t="n"/>
      <c r="JU251" s="19" t="n"/>
      <c r="JV251" s="19" t="n"/>
      <c r="JW251" s="19" t="n"/>
      <c r="JX251" s="5">
        <f>C251</f>
        <v/>
      </c>
      <c r="KB251" s="19" t="n"/>
      <c r="KC251" s="19" t="n"/>
      <c r="KD251" s="19" t="n"/>
      <c r="KE251" s="19" t="n"/>
      <c r="KF251" s="5">
        <f>C251</f>
        <v/>
      </c>
      <c r="KG251" s="19" t="n"/>
      <c r="KH251" s="19" t="n"/>
      <c r="KJ251" s="19" t="n"/>
      <c r="KK251" s="19" t="n"/>
      <c r="KL251" s="19" t="n"/>
      <c r="KM251" s="19" t="n"/>
      <c r="KN251" s="5">
        <f>C251</f>
        <v/>
      </c>
      <c r="KR251" s="19" t="n"/>
      <c r="KS251" s="19" t="n"/>
      <c r="KT251" s="19" t="n"/>
      <c r="KV251" s="5">
        <f>C251</f>
        <v/>
      </c>
      <c r="KZ251" s="19" t="n"/>
      <c r="LA251" s="19" t="n"/>
      <c r="LB251" s="19" t="n"/>
      <c r="LD251" s="5">
        <f>C251</f>
        <v/>
      </c>
      <c r="LH251" s="19" t="n"/>
      <c r="LI251" s="19" t="n"/>
      <c r="LJ251" s="19" t="n"/>
      <c r="LL251" s="5">
        <f>C251</f>
        <v/>
      </c>
      <c r="LM251" s="633" t="n"/>
      <c r="LP251" s="19" t="n"/>
      <c r="LQ251" s="19" t="n"/>
      <c r="LR251" s="19" t="n"/>
      <c r="LT251" s="5">
        <f>C251</f>
        <v/>
      </c>
      <c r="LX251" s="19" t="n"/>
      <c r="LY251" s="19" t="n"/>
      <c r="LZ251" s="19" t="n"/>
      <c r="MB251" s="5">
        <f>C251</f>
        <v/>
      </c>
      <c r="MF251" s="19" t="n"/>
      <c r="MG251" s="19" t="n"/>
      <c r="MH251" s="19" t="n"/>
      <c r="MK251" s="5">
        <f>C251</f>
        <v/>
      </c>
      <c r="MM251" s="24" t="n"/>
      <c r="MO251" s="19" t="n"/>
      <c r="MP251" s="19" t="n"/>
      <c r="MQ251" s="19" t="n"/>
      <c r="MR251" s="19" t="n"/>
      <c r="MS251" s="19" t="n"/>
      <c r="MT251" s="25">
        <f>C251</f>
        <v/>
      </c>
      <c r="MX251" s="19" t="n"/>
      <c r="MY251" s="19" t="n"/>
      <c r="MZ251" s="19" t="n"/>
      <c r="NA251" s="19" t="n"/>
      <c r="NB251" s="19" t="n"/>
      <c r="NC251" s="5">
        <f>C251</f>
        <v/>
      </c>
      <c r="NG251" s="19" t="n"/>
      <c r="NH251" s="19" t="n"/>
      <c r="NI251" s="19" t="n"/>
      <c r="NJ251" s="19" t="n"/>
      <c r="NK251" s="19" t="n"/>
      <c r="NM251" s="5">
        <f>C251</f>
        <v/>
      </c>
      <c r="NQ251" s="19" t="n"/>
      <c r="NR251" s="19" t="n"/>
      <c r="NU251" s="5">
        <f>C251</f>
        <v/>
      </c>
      <c r="NY251" s="19" t="n"/>
      <c r="NZ251" s="19" t="n"/>
      <c r="OC251" s="5">
        <f>C251</f>
        <v/>
      </c>
      <c r="OG251" s="19" t="n"/>
      <c r="OH251" s="19" t="n"/>
      <c r="OI251" s="19" t="n"/>
      <c r="OK251" s="5">
        <f>C251</f>
        <v/>
      </c>
      <c r="OO251" s="19" t="n"/>
      <c r="OP251" s="19" t="n"/>
      <c r="OQ251" s="19" t="n"/>
      <c r="OT251" s="25">
        <f>OK251</f>
        <v/>
      </c>
      <c r="OX251" s="19" t="n"/>
    </row>
    <row r="252" ht="21" customFormat="1" customHeight="1" s="5">
      <c r="A252" s="631" t="n"/>
      <c r="B252" s="631" t="n"/>
      <c r="C252" s="714" t="inlineStr">
        <is>
          <t>2019//9//30</t>
        </is>
      </c>
      <c r="D252" s="591">
        <f>E252*10000</f>
        <v/>
      </c>
      <c r="E252" s="591" t="n">
        <v>88.95</v>
      </c>
      <c r="F252" s="523" t="n"/>
      <c r="G252" s="592" t="n"/>
      <c r="H252" s="592" t="n"/>
      <c r="I252" s="526" t="n"/>
      <c r="J252" s="526" t="n"/>
      <c r="K252" s="522">
        <f>C252</f>
        <v/>
      </c>
      <c r="L252" s="591">
        <f>M252*10000</f>
        <v/>
      </c>
      <c r="M252" s="591" t="n">
        <v>51.07</v>
      </c>
      <c r="N252" s="523" t="n"/>
      <c r="O252" s="594" t="n"/>
      <c r="P252" s="592" t="n"/>
      <c r="Q252" s="526" t="n"/>
      <c r="R252" s="523" t="n"/>
      <c r="S252" s="522">
        <f>C252</f>
        <v/>
      </c>
      <c r="T252" s="591">
        <f>U252*10000</f>
        <v/>
      </c>
      <c r="U252" s="591" t="n">
        <v>141.34</v>
      </c>
      <c r="V252" s="523" t="n"/>
      <c r="W252" s="592" t="n"/>
      <c r="X252" s="592" t="n"/>
      <c r="Y252" s="526" t="n"/>
      <c r="Z252" s="523" t="n"/>
      <c r="AA252" s="522">
        <f>S252</f>
        <v/>
      </c>
      <c r="AB252" s="591">
        <f>AC252*10000</f>
        <v/>
      </c>
      <c r="AC252" s="591" t="n">
        <v>78.03</v>
      </c>
      <c r="AD252" s="523" t="n"/>
      <c r="AE252" s="594" t="n"/>
      <c r="AF252" s="592" t="n"/>
      <c r="AG252" s="526" t="n"/>
      <c r="AH252" s="523" t="n"/>
      <c r="AI252" s="522">
        <f>C252</f>
        <v/>
      </c>
      <c r="AJ252" s="591">
        <f>AK252*10000</f>
        <v/>
      </c>
      <c r="AK252" s="522" t="n">
        <v>2.79</v>
      </c>
      <c r="AL252" s="523" t="n"/>
      <c r="AM252" s="594" t="n"/>
      <c r="AN252" s="592" t="n"/>
      <c r="AO252" s="526" t="n"/>
      <c r="AP252" s="551" t="n"/>
      <c r="AQ252" s="522">
        <f>C252</f>
        <v/>
      </c>
      <c r="AR252" s="634">
        <f>AS252*10000</f>
        <v/>
      </c>
      <c r="AS252" s="591" t="n">
        <v>123.18</v>
      </c>
      <c r="AT252" s="592" t="n"/>
      <c r="AU252" s="523" t="n"/>
      <c r="AV252" s="526" t="n"/>
      <c r="AW252" s="526" t="n"/>
      <c r="AX252" s="523" t="n"/>
      <c r="AY252" s="523" t="n"/>
      <c r="AZ252" s="523">
        <f>C252</f>
        <v/>
      </c>
      <c r="BA252" s="523" t="n"/>
      <c r="BB252" s="523" t="n"/>
      <c r="BC252" s="523" t="n"/>
      <c r="BD252" s="526" t="n"/>
      <c r="BE252" s="526" t="n"/>
      <c r="BF252" s="526" t="n"/>
      <c r="BG252" s="631" t="n"/>
      <c r="BH252" s="5">
        <f>C252</f>
        <v/>
      </c>
      <c r="BL252" s="19" t="n"/>
      <c r="BM252" s="19" t="n"/>
      <c r="BN252" s="19" t="n"/>
      <c r="BP252" s="5">
        <f>C252</f>
        <v/>
      </c>
      <c r="BQ252" s="633" t="n"/>
      <c r="BT252" s="19" t="n"/>
      <c r="BU252" s="19" t="n"/>
      <c r="BV252" s="19" t="n"/>
      <c r="BX252" s="5">
        <f>C252</f>
        <v/>
      </c>
      <c r="CB252" s="19" t="n"/>
      <c r="CC252" s="19" t="n"/>
      <c r="CD252" s="19" t="n"/>
      <c r="CF252" s="5">
        <f>C252</f>
        <v/>
      </c>
      <c r="CJ252" s="19" t="n"/>
      <c r="CK252" s="19" t="n"/>
      <c r="CL252" s="19" t="n"/>
      <c r="CN252" s="5">
        <f>C252</f>
        <v/>
      </c>
      <c r="CR252" s="19" t="n"/>
      <c r="CS252" s="19" t="n"/>
      <c r="CT252" s="19" t="n"/>
      <c r="CV252" s="5">
        <f>C252</f>
        <v/>
      </c>
      <c r="CZ252" s="19" t="n"/>
      <c r="DA252" s="19" t="n"/>
      <c r="DB252" s="19" t="n"/>
      <c r="DC252" s="23" t="n"/>
      <c r="DD252" s="5">
        <f>C252</f>
        <v/>
      </c>
      <c r="DH252" s="19" t="n"/>
      <c r="DI252" s="19" t="n"/>
      <c r="DJ252" s="19" t="n"/>
      <c r="DL252" s="5">
        <f>C252</f>
        <v/>
      </c>
      <c r="DP252" s="19" t="n"/>
      <c r="DQ252" s="19" t="n"/>
      <c r="DR252" s="19" t="n"/>
      <c r="DT252" s="5">
        <f>C252</f>
        <v/>
      </c>
      <c r="DX252" s="19" t="n"/>
      <c r="DY252" s="19" t="n"/>
      <c r="DZ252" s="19" t="n"/>
      <c r="EB252" s="5">
        <f>C252</f>
        <v/>
      </c>
      <c r="EF252" s="19" t="n"/>
      <c r="EG252" s="19" t="n"/>
      <c r="EH252" s="19" t="n"/>
      <c r="EJ252" s="5">
        <f>C252</f>
        <v/>
      </c>
      <c r="EN252" s="19" t="n"/>
      <c r="EO252" s="19" t="n"/>
      <c r="EP252" s="19" t="n"/>
      <c r="EQ252" s="19" t="n"/>
      <c r="ER252" s="5">
        <f>C252</f>
        <v/>
      </c>
      <c r="ES252" s="19" t="n"/>
      <c r="ET252" s="19" t="n"/>
      <c r="EU252" s="19" t="n"/>
      <c r="EV252" s="19" t="n"/>
      <c r="EW252" s="19" t="n"/>
      <c r="EX252" s="19" t="n"/>
      <c r="EZ252" s="5">
        <f>C252</f>
        <v/>
      </c>
      <c r="FD252" s="19" t="n"/>
      <c r="FE252" s="19" t="n"/>
      <c r="FF252" s="19" t="n"/>
      <c r="FG252" s="19" t="n"/>
      <c r="FH252" s="5">
        <f>C252</f>
        <v/>
      </c>
      <c r="FI252" s="633" t="n"/>
      <c r="FL252" s="19" t="n"/>
      <c r="FM252" s="19" t="n"/>
      <c r="FN252" s="19" t="n"/>
      <c r="FP252" s="5">
        <f>C252</f>
        <v/>
      </c>
      <c r="FT252" s="19" t="n"/>
      <c r="FU252" s="19" t="n"/>
      <c r="FV252" s="19" t="n"/>
      <c r="FX252" s="5">
        <f>C252</f>
        <v/>
      </c>
      <c r="GB252" s="19" t="n"/>
      <c r="GC252" s="19" t="n"/>
      <c r="GD252" s="19" t="n"/>
      <c r="GF252" s="5">
        <f>C252</f>
        <v/>
      </c>
      <c r="GJ252" s="19" t="n"/>
      <c r="GK252" s="19" t="n"/>
      <c r="GL252" s="19" t="n"/>
      <c r="GN252" s="5">
        <f>C252</f>
        <v/>
      </c>
      <c r="GR252" s="19" t="n"/>
      <c r="GS252" s="19" t="n"/>
      <c r="GT252" s="19" t="n"/>
      <c r="GV252" s="5">
        <f>C252</f>
        <v/>
      </c>
      <c r="GZ252" s="19" t="n"/>
      <c r="HA252" s="19" t="n"/>
      <c r="HB252" s="19" t="n"/>
      <c r="HD252" s="5">
        <f>C252</f>
        <v/>
      </c>
      <c r="HH252" s="19" t="n"/>
      <c r="HI252" s="19" t="n"/>
      <c r="HJ252" s="19" t="n"/>
      <c r="HL252" s="5">
        <f>C252</f>
        <v/>
      </c>
      <c r="HP252" s="19" t="n"/>
      <c r="HQ252" s="19" t="n"/>
      <c r="HR252" s="19" t="n"/>
      <c r="HT252" s="5">
        <f>C252</f>
        <v/>
      </c>
      <c r="HX252" s="19" t="n"/>
      <c r="HY252" s="19" t="n"/>
      <c r="HZ252" s="19" t="n"/>
      <c r="IB252" s="5">
        <f>C252</f>
        <v/>
      </c>
      <c r="IG252" s="19" t="n"/>
      <c r="IH252" s="19" t="n"/>
      <c r="IJ252" s="5">
        <f>C252</f>
        <v/>
      </c>
      <c r="IN252" s="19" t="n"/>
      <c r="IO252" s="19" t="n"/>
      <c r="IP252" s="19" t="n"/>
      <c r="IR252" s="5">
        <f>C252</f>
        <v/>
      </c>
      <c r="IV252" s="19" t="n"/>
      <c r="IW252" s="19" t="n"/>
      <c r="IX252" s="19" t="n"/>
      <c r="IZ252" s="5">
        <f>C252</f>
        <v/>
      </c>
      <c r="JD252" s="19" t="n"/>
      <c r="JE252" s="19" t="n"/>
      <c r="JF252" s="19" t="n"/>
      <c r="JH252" s="5">
        <f>C252</f>
        <v/>
      </c>
      <c r="JL252" s="19" t="n"/>
      <c r="JM252" s="19" t="n"/>
      <c r="JN252" s="19" t="n"/>
      <c r="JO252" s="19" t="n"/>
      <c r="JP252" s="5">
        <f>C252</f>
        <v/>
      </c>
      <c r="JT252" s="19" t="n"/>
      <c r="JU252" s="19" t="n"/>
      <c r="JV252" s="19" t="n"/>
      <c r="JW252" s="19" t="n"/>
      <c r="JX252" s="5">
        <f>C252</f>
        <v/>
      </c>
      <c r="KB252" s="19" t="n"/>
      <c r="KC252" s="19" t="n"/>
      <c r="KD252" s="19" t="n"/>
      <c r="KE252" s="19" t="n"/>
      <c r="KF252" s="5">
        <f>C252</f>
        <v/>
      </c>
      <c r="KG252" s="19" t="n"/>
      <c r="KH252" s="19" t="n"/>
      <c r="KJ252" s="19" t="n"/>
      <c r="KK252" s="19" t="n"/>
      <c r="KL252" s="19" t="n"/>
      <c r="KM252" s="19" t="n"/>
      <c r="KN252" s="5">
        <f>C252</f>
        <v/>
      </c>
      <c r="KR252" s="19" t="n"/>
      <c r="KS252" s="19" t="n"/>
      <c r="KT252" s="19" t="n"/>
      <c r="KV252" s="5">
        <f>C252</f>
        <v/>
      </c>
      <c r="KZ252" s="19" t="n"/>
      <c r="LA252" s="19" t="n"/>
      <c r="LB252" s="19" t="n"/>
      <c r="LD252" s="5">
        <f>C252</f>
        <v/>
      </c>
      <c r="LH252" s="19" t="n"/>
      <c r="LI252" s="19" t="n"/>
      <c r="LJ252" s="19" t="n"/>
      <c r="LL252" s="5">
        <f>C252</f>
        <v/>
      </c>
      <c r="LM252" s="633" t="n"/>
      <c r="LP252" s="19" t="n"/>
      <c r="LQ252" s="19" t="n"/>
      <c r="LR252" s="19" t="n"/>
      <c r="LT252" s="5">
        <f>C252</f>
        <v/>
      </c>
      <c r="LX252" s="19" t="n"/>
      <c r="LY252" s="19" t="n"/>
      <c r="LZ252" s="19" t="n"/>
      <c r="MB252" s="5">
        <f>C252</f>
        <v/>
      </c>
      <c r="MF252" s="19" t="n"/>
      <c r="MG252" s="19" t="n"/>
      <c r="MH252" s="19" t="n"/>
      <c r="MK252" s="5">
        <f>C252</f>
        <v/>
      </c>
      <c r="MM252" s="24" t="n"/>
      <c r="MO252" s="19" t="n"/>
      <c r="MP252" s="19" t="n"/>
      <c r="MQ252" s="19" t="n"/>
      <c r="MR252" s="19" t="n"/>
      <c r="MS252" s="19" t="n"/>
      <c r="MT252" s="25">
        <f>C252</f>
        <v/>
      </c>
      <c r="MX252" s="19" t="n"/>
      <c r="MY252" s="19" t="n"/>
      <c r="MZ252" s="19" t="n"/>
      <c r="NA252" s="19" t="n"/>
      <c r="NB252" s="19" t="n"/>
      <c r="NC252" s="5">
        <f>C252</f>
        <v/>
      </c>
      <c r="NG252" s="19" t="n"/>
      <c r="NH252" s="19" t="n"/>
      <c r="NI252" s="19" t="n"/>
      <c r="NJ252" s="19" t="n"/>
      <c r="NK252" s="19" t="n"/>
      <c r="NM252" s="5">
        <f>C252</f>
        <v/>
      </c>
      <c r="NQ252" s="19" t="n"/>
      <c r="NR252" s="19" t="n"/>
      <c r="NU252" s="5">
        <f>C252</f>
        <v/>
      </c>
      <c r="NY252" s="19" t="n"/>
      <c r="NZ252" s="19" t="n"/>
      <c r="OC252" s="5">
        <f>C252</f>
        <v/>
      </c>
      <c r="OG252" s="19" t="n"/>
      <c r="OH252" s="19" t="n"/>
      <c r="OI252" s="19" t="n"/>
      <c r="OK252" s="5">
        <f>C252</f>
        <v/>
      </c>
      <c r="OO252" s="19" t="n"/>
      <c r="OP252" s="19" t="n"/>
      <c r="OQ252" s="19" t="n"/>
      <c r="OT252" s="25">
        <f>OK252</f>
        <v/>
      </c>
      <c r="OX252" s="19" t="n"/>
    </row>
    <row r="253" ht="21" customFormat="1" customHeight="1" s="5">
      <c r="A253" s="631" t="n"/>
      <c r="B253" s="631" t="n"/>
      <c r="C253" s="714" t="inlineStr">
        <is>
          <t>2019//6//30</t>
        </is>
      </c>
      <c r="D253" s="591">
        <f>E253*10000</f>
        <v/>
      </c>
      <c r="E253" s="591" t="n">
        <v>94.62</v>
      </c>
      <c r="F253" s="523" t="n"/>
      <c r="G253" s="592" t="n"/>
      <c r="H253" s="592" t="n"/>
      <c r="I253" s="526" t="n"/>
      <c r="J253" s="526" t="n"/>
      <c r="K253" s="522">
        <f>C253</f>
        <v/>
      </c>
      <c r="L253" s="591">
        <f>M253*10000</f>
        <v/>
      </c>
      <c r="M253" s="591" t="n">
        <v>49.79</v>
      </c>
      <c r="N253" s="523" t="n"/>
      <c r="O253" s="594" t="n"/>
      <c r="P253" s="592" t="n"/>
      <c r="Q253" s="526" t="n"/>
      <c r="R253" s="523" t="n"/>
      <c r="S253" s="522">
        <f>C253</f>
        <v/>
      </c>
      <c r="T253" s="591">
        <f>U253*10000</f>
        <v/>
      </c>
      <c r="U253" s="591" t="n">
        <v>166.99</v>
      </c>
      <c r="V253" s="523" t="n"/>
      <c r="W253" s="592" t="n"/>
      <c r="X253" s="592" t="n"/>
      <c r="Y253" s="526" t="n"/>
      <c r="Z253" s="523" t="n"/>
      <c r="AA253" s="522">
        <f>S253</f>
        <v/>
      </c>
      <c r="AB253" s="591">
        <f>AC253*10000</f>
        <v/>
      </c>
      <c r="AC253" s="591" t="n">
        <v>81.45</v>
      </c>
      <c r="AD253" s="523" t="n"/>
      <c r="AE253" s="594" t="n"/>
      <c r="AF253" s="592" t="n"/>
      <c r="AG253" s="526" t="n"/>
      <c r="AH253" s="523" t="n"/>
      <c r="AI253" s="522">
        <f>C253</f>
        <v/>
      </c>
      <c r="AJ253" s="591">
        <f>AK253*10000</f>
        <v/>
      </c>
      <c r="AK253" s="522" t="n">
        <v>2.91</v>
      </c>
      <c r="AL253" s="523" t="n"/>
      <c r="AM253" s="594" t="n"/>
      <c r="AN253" s="592" t="n"/>
      <c r="AO253" s="526" t="n"/>
      <c r="AP253" s="551" t="n"/>
      <c r="AQ253" s="522">
        <f>C253</f>
        <v/>
      </c>
      <c r="AR253" s="634">
        <f>AS253*10000</f>
        <v/>
      </c>
      <c r="AS253" s="591" t="n">
        <v>157.93</v>
      </c>
      <c r="AT253" s="592" t="n"/>
      <c r="AU253" s="523" t="n"/>
      <c r="AV253" s="526" t="n"/>
      <c r="AW253" s="526" t="n"/>
      <c r="AX253" s="523" t="n"/>
      <c r="AY253" s="523" t="n"/>
      <c r="AZ253" s="523">
        <f>C253</f>
        <v/>
      </c>
      <c r="BA253" s="523" t="n"/>
      <c r="BB253" s="523" t="n"/>
      <c r="BC253" s="523" t="n"/>
      <c r="BD253" s="526" t="n"/>
      <c r="BE253" s="526" t="n"/>
      <c r="BF253" s="526" t="n"/>
      <c r="BG253" s="631" t="n"/>
      <c r="BH253" s="5">
        <f>C253</f>
        <v/>
      </c>
      <c r="BL253" s="19" t="n"/>
      <c r="BM253" s="19" t="n"/>
      <c r="BN253" s="19" t="n"/>
      <c r="BP253" s="5">
        <f>C253</f>
        <v/>
      </c>
      <c r="BQ253" s="633" t="n"/>
      <c r="BT253" s="19" t="n"/>
      <c r="BU253" s="19" t="n"/>
      <c r="BV253" s="19" t="n"/>
      <c r="BX253" s="5">
        <f>C253</f>
        <v/>
      </c>
      <c r="CB253" s="19" t="n"/>
      <c r="CC253" s="19" t="n"/>
      <c r="CD253" s="19" t="n"/>
      <c r="CF253" s="5">
        <f>C253</f>
        <v/>
      </c>
      <c r="CJ253" s="19" t="n"/>
      <c r="CK253" s="19" t="n"/>
      <c r="CL253" s="19" t="n"/>
      <c r="CN253" s="5">
        <f>C253</f>
        <v/>
      </c>
      <c r="CR253" s="19" t="n"/>
      <c r="CS253" s="19" t="n"/>
      <c r="CT253" s="19" t="n"/>
      <c r="CV253" s="5">
        <f>C253</f>
        <v/>
      </c>
      <c r="CZ253" s="19" t="n"/>
      <c r="DA253" s="19" t="n"/>
      <c r="DB253" s="19" t="n"/>
      <c r="DC253" s="23" t="n"/>
      <c r="DD253" s="5">
        <f>C253</f>
        <v/>
      </c>
      <c r="DH253" s="19" t="n"/>
      <c r="DI253" s="19" t="n"/>
      <c r="DJ253" s="19" t="n"/>
      <c r="DL253" s="5">
        <f>C253</f>
        <v/>
      </c>
      <c r="DP253" s="19" t="n"/>
      <c r="DQ253" s="19" t="n"/>
      <c r="DR253" s="19" t="n"/>
      <c r="DT253" s="5">
        <f>C253</f>
        <v/>
      </c>
      <c r="DX253" s="19" t="n"/>
      <c r="DY253" s="19" t="n"/>
      <c r="DZ253" s="19" t="n"/>
      <c r="EB253" s="5">
        <f>C253</f>
        <v/>
      </c>
      <c r="EF253" s="19" t="n"/>
      <c r="EG253" s="19" t="n"/>
      <c r="EH253" s="19" t="n"/>
      <c r="EJ253" s="5">
        <f>C253</f>
        <v/>
      </c>
      <c r="EN253" s="19" t="n"/>
      <c r="EO253" s="19" t="n"/>
      <c r="EP253" s="19" t="n"/>
      <c r="EQ253" s="19" t="n"/>
      <c r="ER253" s="5">
        <f>C253</f>
        <v/>
      </c>
      <c r="ES253" s="19" t="n"/>
      <c r="ET253" s="19" t="n"/>
      <c r="EU253" s="19" t="n"/>
      <c r="EV253" s="19" t="n"/>
      <c r="EW253" s="19" t="n"/>
      <c r="EX253" s="19" t="n"/>
      <c r="EZ253" s="5">
        <f>C253</f>
        <v/>
      </c>
      <c r="FD253" s="19" t="n"/>
      <c r="FE253" s="19" t="n"/>
      <c r="FF253" s="19" t="n"/>
      <c r="FG253" s="19" t="n"/>
      <c r="FH253" s="5">
        <f>C253</f>
        <v/>
      </c>
      <c r="FI253" s="633" t="n"/>
      <c r="FL253" s="19" t="n"/>
      <c r="FM253" s="19" t="n"/>
      <c r="FN253" s="19" t="n"/>
      <c r="FP253" s="5">
        <f>C253</f>
        <v/>
      </c>
      <c r="FT253" s="19" t="n"/>
      <c r="FU253" s="19" t="n"/>
      <c r="FV253" s="19" t="n"/>
      <c r="FX253" s="5">
        <f>C253</f>
        <v/>
      </c>
      <c r="GB253" s="19" t="n"/>
      <c r="GC253" s="19" t="n"/>
      <c r="GD253" s="19" t="n"/>
      <c r="GF253" s="5">
        <f>C253</f>
        <v/>
      </c>
      <c r="GJ253" s="19" t="n"/>
      <c r="GK253" s="19" t="n"/>
      <c r="GL253" s="19" t="n"/>
      <c r="GN253" s="5">
        <f>C253</f>
        <v/>
      </c>
      <c r="GR253" s="19" t="n"/>
      <c r="GS253" s="19" t="n"/>
      <c r="GT253" s="19" t="n"/>
      <c r="GV253" s="5">
        <f>C253</f>
        <v/>
      </c>
      <c r="GZ253" s="19" t="n"/>
      <c r="HA253" s="19" t="n"/>
      <c r="HB253" s="19" t="n"/>
      <c r="HD253" s="5">
        <f>C253</f>
        <v/>
      </c>
      <c r="HH253" s="19" t="n"/>
      <c r="HI253" s="19" t="n"/>
      <c r="HJ253" s="19" t="n"/>
      <c r="HL253" s="5">
        <f>C253</f>
        <v/>
      </c>
      <c r="HP253" s="19" t="n"/>
      <c r="HQ253" s="19" t="n"/>
      <c r="HR253" s="19" t="n"/>
      <c r="HT253" s="5">
        <f>C253</f>
        <v/>
      </c>
      <c r="HX253" s="19" t="n"/>
      <c r="HY253" s="19" t="n"/>
      <c r="HZ253" s="19" t="n"/>
      <c r="IB253" s="5">
        <f>C253</f>
        <v/>
      </c>
      <c r="IG253" s="19" t="n"/>
      <c r="IH253" s="19" t="n"/>
      <c r="IJ253" s="5">
        <f>C253</f>
        <v/>
      </c>
      <c r="IN253" s="19" t="n"/>
      <c r="IO253" s="19" t="n"/>
      <c r="IP253" s="19" t="n"/>
      <c r="IR253" s="5">
        <f>C253</f>
        <v/>
      </c>
      <c r="IV253" s="19" t="n"/>
      <c r="IW253" s="19" t="n"/>
      <c r="IX253" s="19" t="n"/>
      <c r="IZ253" s="5">
        <f>C253</f>
        <v/>
      </c>
      <c r="JD253" s="19" t="n"/>
      <c r="JE253" s="19" t="n"/>
      <c r="JF253" s="19" t="n"/>
      <c r="JH253" s="5">
        <f>C253</f>
        <v/>
      </c>
      <c r="JL253" s="19" t="n"/>
      <c r="JM253" s="19" t="n"/>
      <c r="JN253" s="19" t="n"/>
      <c r="JO253" s="19" t="n"/>
      <c r="JP253" s="5">
        <f>C253</f>
        <v/>
      </c>
      <c r="JT253" s="19" t="n"/>
      <c r="JU253" s="19" t="n"/>
      <c r="JV253" s="19" t="n"/>
      <c r="JW253" s="19" t="n"/>
      <c r="JX253" s="5">
        <f>C253</f>
        <v/>
      </c>
      <c r="KB253" s="19" t="n"/>
      <c r="KC253" s="19" t="n"/>
      <c r="KD253" s="19" t="n"/>
      <c r="KE253" s="19" t="n"/>
      <c r="KF253" s="5">
        <f>C253</f>
        <v/>
      </c>
      <c r="KG253" s="19" t="n"/>
      <c r="KH253" s="19" t="n"/>
      <c r="KJ253" s="19" t="n"/>
      <c r="KK253" s="19" t="n"/>
      <c r="KL253" s="19" t="n"/>
      <c r="KM253" s="19" t="n"/>
      <c r="KN253" s="5">
        <f>C253</f>
        <v/>
      </c>
      <c r="KR253" s="19" t="n"/>
      <c r="KS253" s="19" t="n"/>
      <c r="KT253" s="19" t="n"/>
      <c r="KV253" s="5">
        <f>C253</f>
        <v/>
      </c>
      <c r="KZ253" s="19" t="n"/>
      <c r="LA253" s="19" t="n"/>
      <c r="LB253" s="19" t="n"/>
      <c r="LD253" s="5">
        <f>C253</f>
        <v/>
      </c>
      <c r="LH253" s="19" t="n"/>
      <c r="LI253" s="19" t="n"/>
      <c r="LJ253" s="19" t="n"/>
      <c r="LL253" s="5">
        <f>C253</f>
        <v/>
      </c>
      <c r="LM253" s="633" t="n"/>
      <c r="LP253" s="19" t="n"/>
      <c r="LQ253" s="19" t="n"/>
      <c r="LR253" s="19" t="n"/>
      <c r="LT253" s="5">
        <f>C253</f>
        <v/>
      </c>
      <c r="LX253" s="19" t="n"/>
      <c r="LY253" s="19" t="n"/>
      <c r="LZ253" s="19" t="n"/>
      <c r="MB253" s="5">
        <f>C253</f>
        <v/>
      </c>
      <c r="MF253" s="19" t="n"/>
      <c r="MG253" s="19" t="n"/>
      <c r="MH253" s="19" t="n"/>
      <c r="MK253" s="5">
        <f>C253</f>
        <v/>
      </c>
      <c r="MM253" s="24" t="n"/>
      <c r="MO253" s="19" t="n"/>
      <c r="MP253" s="19" t="n"/>
      <c r="MQ253" s="19" t="n"/>
      <c r="MR253" s="19" t="n"/>
      <c r="MS253" s="19" t="n"/>
      <c r="MT253" s="25">
        <f>C253</f>
        <v/>
      </c>
      <c r="MX253" s="19" t="n"/>
      <c r="MY253" s="19" t="n"/>
      <c r="MZ253" s="19" t="n"/>
      <c r="NA253" s="19" t="n"/>
      <c r="NB253" s="19" t="n"/>
      <c r="NC253" s="5">
        <f>C253</f>
        <v/>
      </c>
      <c r="NG253" s="19" t="n"/>
      <c r="NH253" s="19" t="n"/>
      <c r="NI253" s="19" t="n"/>
      <c r="NJ253" s="19" t="n"/>
      <c r="NK253" s="19" t="n"/>
      <c r="NM253" s="5">
        <f>C253</f>
        <v/>
      </c>
      <c r="NQ253" s="19" t="n"/>
      <c r="NR253" s="19" t="n"/>
      <c r="NU253" s="5">
        <f>C253</f>
        <v/>
      </c>
      <c r="NY253" s="19" t="n"/>
      <c r="NZ253" s="19" t="n"/>
      <c r="OC253" s="5">
        <f>C253</f>
        <v/>
      </c>
      <c r="OG253" s="19" t="n"/>
      <c r="OH253" s="19" t="n"/>
      <c r="OI253" s="19" t="n"/>
      <c r="OK253" s="5">
        <f>C253</f>
        <v/>
      </c>
      <c r="OO253" s="19" t="n"/>
      <c r="OP253" s="19" t="n"/>
      <c r="OQ253" s="19" t="n"/>
      <c r="OT253" s="25">
        <f>OK253</f>
        <v/>
      </c>
      <c r="OX253" s="19" t="n"/>
    </row>
    <row r="254" ht="21" customFormat="1" customHeight="1" s="5">
      <c r="A254" s="631" t="n"/>
      <c r="B254" s="631" t="n"/>
      <c r="C254" s="714" t="inlineStr">
        <is>
          <t>2019//3//31</t>
        </is>
      </c>
      <c r="D254" s="591">
        <f>E254*10000</f>
        <v/>
      </c>
      <c r="E254" s="591" t="n">
        <v>84.79000000000001</v>
      </c>
      <c r="F254" s="523" t="n"/>
      <c r="G254" s="592" t="n"/>
      <c r="H254" s="592" t="n"/>
      <c r="I254" s="526" t="n"/>
      <c r="J254" s="526" t="n"/>
      <c r="K254" s="522">
        <f>C254</f>
        <v/>
      </c>
      <c r="L254" s="591">
        <f>M254*10000</f>
        <v/>
      </c>
      <c r="M254" s="591" t="n">
        <v>53.39</v>
      </c>
      <c r="N254" s="523" t="n"/>
      <c r="O254" s="594" t="n"/>
      <c r="P254" s="592" t="n"/>
      <c r="Q254" s="526" t="n"/>
      <c r="R254" s="523" t="n"/>
      <c r="S254" s="522">
        <f>C254</f>
        <v/>
      </c>
      <c r="T254" s="591">
        <f>U254*10000</f>
        <v/>
      </c>
      <c r="U254" s="591" t="n">
        <v>157.34</v>
      </c>
      <c r="V254" s="523" t="n"/>
      <c r="W254" s="592" t="n"/>
      <c r="X254" s="592" t="n"/>
      <c r="Y254" s="526" t="n"/>
      <c r="Z254" s="523" t="n"/>
      <c r="AA254" s="522">
        <f>S254</f>
        <v/>
      </c>
      <c r="AB254" s="591">
        <f>AC254*10000</f>
        <v/>
      </c>
      <c r="AC254" s="591" t="n">
        <v>90.34999999999999</v>
      </c>
      <c r="AD254" s="523" t="n"/>
      <c r="AE254" s="594" t="n"/>
      <c r="AF254" s="592" t="n"/>
      <c r="AG254" s="526" t="n"/>
      <c r="AH254" s="523" t="n"/>
      <c r="AI254" s="522">
        <f>C254</f>
        <v/>
      </c>
      <c r="AJ254" s="591">
        <f>AK254*10000</f>
        <v/>
      </c>
      <c r="AK254" s="522" t="n">
        <v>3.21</v>
      </c>
      <c r="AL254" s="523" t="n"/>
      <c r="AM254" s="594" t="n"/>
      <c r="AN254" s="592" t="n"/>
      <c r="AO254" s="526" t="n"/>
      <c r="AP254" s="523" t="n"/>
      <c r="AQ254" s="523">
        <f>C254</f>
        <v/>
      </c>
      <c r="AR254" s="634" t="n"/>
      <c r="AS254" s="591" t="n"/>
      <c r="AT254" s="592" t="n"/>
      <c r="AU254" s="526" t="n"/>
      <c r="AV254" s="526" t="n"/>
      <c r="AW254" s="526" t="n"/>
      <c r="AX254" s="523" t="n"/>
      <c r="AY254" s="523" t="n"/>
      <c r="AZ254" s="523">
        <f>C254</f>
        <v/>
      </c>
      <c r="BA254" s="523" t="n"/>
      <c r="BB254" s="523" t="n"/>
      <c r="BC254" s="523" t="n"/>
      <c r="BD254" s="526" t="n"/>
      <c r="BE254" s="526" t="n"/>
      <c r="BF254" s="526" t="n"/>
      <c r="BG254" s="631" t="n"/>
      <c r="BH254" s="5">
        <f>C254</f>
        <v/>
      </c>
      <c r="BL254" s="19" t="n"/>
      <c r="BM254" s="19" t="n"/>
      <c r="BN254" s="19" t="n"/>
      <c r="BP254" s="5">
        <f>C254</f>
        <v/>
      </c>
      <c r="BQ254" s="633" t="n"/>
      <c r="BT254" s="19" t="n"/>
      <c r="BU254" s="19" t="n"/>
      <c r="BV254" s="19" t="n"/>
      <c r="BX254" s="5">
        <f>C254</f>
        <v/>
      </c>
      <c r="CB254" s="19" t="n"/>
      <c r="CC254" s="19" t="n"/>
      <c r="CD254" s="19" t="n"/>
      <c r="CF254" s="5">
        <f>C254</f>
        <v/>
      </c>
      <c r="CJ254" s="19" t="n"/>
      <c r="CK254" s="19" t="n"/>
      <c r="CL254" s="19" t="n"/>
      <c r="CN254" s="5">
        <f>C254</f>
        <v/>
      </c>
      <c r="CR254" s="19" t="n"/>
      <c r="CS254" s="19" t="n"/>
      <c r="CT254" s="19" t="n"/>
      <c r="CV254" s="5">
        <f>C254</f>
        <v/>
      </c>
      <c r="CZ254" s="19" t="n"/>
      <c r="DA254" s="19" t="n"/>
      <c r="DB254" s="19" t="n"/>
      <c r="DC254" s="23" t="n"/>
      <c r="DD254" s="5">
        <f>C254</f>
        <v/>
      </c>
      <c r="DH254" s="19" t="n"/>
      <c r="DI254" s="19" t="n"/>
      <c r="DJ254" s="19" t="n"/>
      <c r="DL254" s="5">
        <f>C254</f>
        <v/>
      </c>
      <c r="DP254" s="19" t="n"/>
      <c r="DQ254" s="19" t="n"/>
      <c r="DR254" s="19" t="n"/>
      <c r="DT254" s="5">
        <f>C254</f>
        <v/>
      </c>
      <c r="DX254" s="19" t="n"/>
      <c r="DY254" s="19" t="n"/>
      <c r="DZ254" s="19" t="n"/>
      <c r="EB254" s="5">
        <f>C254</f>
        <v/>
      </c>
      <c r="EF254" s="19" t="n"/>
      <c r="EG254" s="19" t="n"/>
      <c r="EH254" s="19" t="n"/>
      <c r="EJ254" s="5">
        <f>C254</f>
        <v/>
      </c>
      <c r="EN254" s="19" t="n"/>
      <c r="EO254" s="19" t="n"/>
      <c r="EP254" s="19" t="n"/>
      <c r="EQ254" s="19" t="n"/>
      <c r="ER254" s="5">
        <f>C254</f>
        <v/>
      </c>
      <c r="ES254" s="19" t="n"/>
      <c r="ET254" s="19" t="n"/>
      <c r="EU254" s="19" t="n"/>
      <c r="EV254" s="19" t="n"/>
      <c r="EW254" s="19" t="n"/>
      <c r="EX254" s="19" t="n"/>
      <c r="EZ254" s="5">
        <f>C254</f>
        <v/>
      </c>
      <c r="FD254" s="19" t="n"/>
      <c r="FE254" s="19" t="n"/>
      <c r="FF254" s="19" t="n"/>
      <c r="FG254" s="19" t="n"/>
      <c r="FH254" s="5">
        <f>C254</f>
        <v/>
      </c>
      <c r="FI254" s="633" t="n"/>
      <c r="FL254" s="19" t="n"/>
      <c r="FM254" s="19" t="n"/>
      <c r="FN254" s="19" t="n"/>
      <c r="FP254" s="5">
        <f>C254</f>
        <v/>
      </c>
      <c r="FT254" s="19" t="n"/>
      <c r="FU254" s="19" t="n"/>
      <c r="FV254" s="19" t="n"/>
      <c r="FX254" s="5">
        <f>C254</f>
        <v/>
      </c>
      <c r="GB254" s="19" t="n"/>
      <c r="GC254" s="19" t="n"/>
      <c r="GD254" s="19" t="n"/>
      <c r="GF254" s="5">
        <f>C254</f>
        <v/>
      </c>
      <c r="GJ254" s="19" t="n"/>
      <c r="GK254" s="19" t="n"/>
      <c r="GL254" s="19" t="n"/>
      <c r="GN254" s="5">
        <f>C254</f>
        <v/>
      </c>
      <c r="GR254" s="19" t="n"/>
      <c r="GS254" s="19" t="n"/>
      <c r="GT254" s="19" t="n"/>
      <c r="GV254" s="5">
        <f>C254</f>
        <v/>
      </c>
      <c r="GZ254" s="19" t="n"/>
      <c r="HA254" s="19" t="n"/>
      <c r="HB254" s="19" t="n"/>
      <c r="HD254" s="5">
        <f>C254</f>
        <v/>
      </c>
      <c r="HH254" s="19" t="n"/>
      <c r="HI254" s="19" t="n"/>
      <c r="HJ254" s="19" t="n"/>
      <c r="HL254" s="5">
        <f>C254</f>
        <v/>
      </c>
      <c r="HP254" s="19" t="n"/>
      <c r="HQ254" s="19" t="n"/>
      <c r="HR254" s="19" t="n"/>
      <c r="HT254" s="5">
        <f>C254</f>
        <v/>
      </c>
      <c r="HX254" s="19" t="n"/>
      <c r="HY254" s="19" t="n"/>
      <c r="HZ254" s="19" t="n"/>
      <c r="IB254" s="5">
        <f>C254</f>
        <v/>
      </c>
      <c r="IG254" s="19" t="n"/>
      <c r="IH254" s="19" t="n"/>
      <c r="IJ254" s="5">
        <f>C254</f>
        <v/>
      </c>
      <c r="IN254" s="19" t="n"/>
      <c r="IO254" s="19" t="n"/>
      <c r="IP254" s="19" t="n"/>
      <c r="IR254" s="5">
        <f>C254</f>
        <v/>
      </c>
      <c r="IV254" s="19" t="n"/>
      <c r="IW254" s="19" t="n"/>
      <c r="IX254" s="19" t="n"/>
      <c r="IZ254" s="5">
        <f>C254</f>
        <v/>
      </c>
      <c r="JD254" s="19" t="n"/>
      <c r="JE254" s="19" t="n"/>
      <c r="JF254" s="19" t="n"/>
      <c r="JH254" s="5">
        <f>C254</f>
        <v/>
      </c>
      <c r="JL254" s="19" t="n"/>
      <c r="JM254" s="19" t="n"/>
      <c r="JN254" s="19" t="n"/>
      <c r="JO254" s="19" t="n"/>
      <c r="JP254" s="5">
        <f>C254</f>
        <v/>
      </c>
      <c r="JT254" s="19" t="n"/>
      <c r="JU254" s="19" t="n"/>
      <c r="JV254" s="19" t="n"/>
      <c r="JW254" s="19" t="n"/>
      <c r="JX254" s="5">
        <f>C254</f>
        <v/>
      </c>
      <c r="KB254" s="19" t="n"/>
      <c r="KC254" s="19" t="n"/>
      <c r="KD254" s="19" t="n"/>
      <c r="KE254" s="19" t="n"/>
      <c r="KF254" s="5">
        <f>C254</f>
        <v/>
      </c>
      <c r="KG254" s="19" t="n"/>
      <c r="KH254" s="19" t="n"/>
      <c r="KJ254" s="19" t="n"/>
      <c r="KK254" s="19" t="n"/>
      <c r="KL254" s="19" t="n"/>
      <c r="KM254" s="19" t="n"/>
      <c r="KN254" s="5">
        <f>C254</f>
        <v/>
      </c>
      <c r="KR254" s="19" t="n"/>
      <c r="KS254" s="19" t="n"/>
      <c r="KT254" s="19" t="n"/>
      <c r="KV254" s="5">
        <f>C254</f>
        <v/>
      </c>
      <c r="KZ254" s="19" t="n"/>
      <c r="LA254" s="19" t="n"/>
      <c r="LB254" s="19" t="n"/>
      <c r="LD254" s="5">
        <f>C254</f>
        <v/>
      </c>
      <c r="LH254" s="19" t="n"/>
      <c r="LI254" s="19" t="n"/>
      <c r="LJ254" s="19" t="n"/>
      <c r="LL254" s="5">
        <f>C254</f>
        <v/>
      </c>
      <c r="LM254" s="633" t="n"/>
      <c r="LP254" s="19" t="n"/>
      <c r="LQ254" s="19" t="n"/>
      <c r="LR254" s="19" t="n"/>
      <c r="LT254" s="5">
        <f>C254</f>
        <v/>
      </c>
      <c r="LX254" s="19" t="n"/>
      <c r="LY254" s="19" t="n"/>
      <c r="LZ254" s="19" t="n"/>
      <c r="MB254" s="5">
        <f>C254</f>
        <v/>
      </c>
      <c r="MF254" s="19" t="n"/>
      <c r="MG254" s="19" t="n"/>
      <c r="MH254" s="19" t="n"/>
      <c r="MK254" s="5">
        <f>C254</f>
        <v/>
      </c>
      <c r="MM254" s="24" t="n"/>
      <c r="MO254" s="19" t="n"/>
      <c r="MP254" s="19" t="n"/>
      <c r="MQ254" s="19" t="n"/>
      <c r="MR254" s="19" t="n"/>
      <c r="MS254" s="19" t="n"/>
      <c r="MT254" s="25">
        <f>C254</f>
        <v/>
      </c>
      <c r="MX254" s="19" t="n"/>
      <c r="MY254" s="19" t="n"/>
      <c r="MZ254" s="19" t="n"/>
      <c r="NA254" s="19" t="n"/>
      <c r="NB254" s="19" t="n"/>
      <c r="NC254" s="5">
        <f>C254</f>
        <v/>
      </c>
      <c r="NG254" s="19" t="n"/>
      <c r="NH254" s="19" t="n"/>
      <c r="NI254" s="19" t="n"/>
      <c r="NJ254" s="19" t="n"/>
      <c r="NK254" s="19" t="n"/>
      <c r="NM254" s="5">
        <f>C254</f>
        <v/>
      </c>
      <c r="NQ254" s="19" t="n"/>
      <c r="NR254" s="19" t="n"/>
      <c r="NU254" s="5">
        <f>C254</f>
        <v/>
      </c>
      <c r="NY254" s="19" t="n"/>
      <c r="NZ254" s="19" t="n"/>
      <c r="OC254" s="5">
        <f>C254</f>
        <v/>
      </c>
      <c r="OG254" s="19" t="n"/>
      <c r="OH254" s="19" t="n"/>
      <c r="OI254" s="19" t="n"/>
      <c r="OK254" s="5">
        <f>C254</f>
        <v/>
      </c>
      <c r="OO254" s="19" t="n"/>
      <c r="OP254" s="19" t="n"/>
      <c r="OQ254" s="19" t="n"/>
      <c r="OT254" s="25">
        <f>OK254</f>
        <v/>
      </c>
      <c r="OX254" s="19" t="n"/>
    </row>
    <row r="255" ht="21" customFormat="1" customHeight="1" s="5">
      <c r="A255" s="631" t="n"/>
      <c r="B255" s="631" t="n"/>
      <c r="C255" s="714" t="inlineStr">
        <is>
          <t>2018//12//31</t>
        </is>
      </c>
      <c r="D255" s="591">
        <f>E255*10000</f>
        <v/>
      </c>
      <c r="E255" s="591" t="n">
        <v>108.47</v>
      </c>
      <c r="F255" s="523" t="n"/>
      <c r="G255" s="592" t="n"/>
      <c r="H255" s="592" t="n"/>
      <c r="I255" s="526" t="n"/>
      <c r="J255" s="526" t="n"/>
      <c r="K255" s="522">
        <f>C255</f>
        <v/>
      </c>
      <c r="L255" s="591">
        <f>M255*10000</f>
        <v/>
      </c>
      <c r="M255" s="591" t="inlineStr">
        <is>
          <t>---</t>
        </is>
      </c>
      <c r="N255" s="523" t="n"/>
      <c r="O255" s="594" t="n"/>
      <c r="P255" s="592" t="n"/>
      <c r="Q255" s="526" t="n"/>
      <c r="R255" s="523" t="n"/>
      <c r="S255" s="522">
        <f>C255</f>
        <v/>
      </c>
      <c r="T255" s="591">
        <f>U255*10000</f>
        <v/>
      </c>
      <c r="U255" s="591" t="n">
        <v>200.03</v>
      </c>
      <c r="V255" s="523" t="n"/>
      <c r="W255" s="592" t="n"/>
      <c r="X255" s="592" t="n"/>
      <c r="Y255" s="526" t="n"/>
      <c r="Z255" s="523" t="n"/>
      <c r="AA255" s="522">
        <f>S255</f>
        <v/>
      </c>
      <c r="AB255" s="591">
        <f>AC255*10000</f>
        <v/>
      </c>
      <c r="AC255" s="591" t="inlineStr">
        <is>
          <t>---</t>
        </is>
      </c>
      <c r="AD255" s="523" t="n"/>
      <c r="AE255" s="594" t="n"/>
      <c r="AF255" s="592" t="n"/>
      <c r="AG255" s="526" t="n"/>
      <c r="AH255" s="523" t="n"/>
      <c r="AI255" s="522">
        <f>C255</f>
        <v/>
      </c>
      <c r="AJ255" s="591">
        <f>AK255*10000</f>
        <v/>
      </c>
      <c r="AK255" s="522" t="inlineStr">
        <is>
          <t>---</t>
        </is>
      </c>
      <c r="AL255" s="523" t="n"/>
      <c r="AM255" s="594" t="n"/>
      <c r="AN255" s="592" t="n"/>
      <c r="AO255" s="526" t="n"/>
      <c r="AP255" s="523" t="n"/>
      <c r="AQ255" s="523">
        <f>C255</f>
        <v/>
      </c>
      <c r="AR255" s="634" t="n"/>
      <c r="AS255" s="523" t="n"/>
      <c r="AT255" s="523" t="n"/>
      <c r="AU255" s="526" t="n"/>
      <c r="AV255" s="526" t="n"/>
      <c r="AW255" s="526" t="n"/>
      <c r="AX255" s="523" t="n"/>
      <c r="AY255" s="523" t="n"/>
      <c r="AZ255" s="523">
        <f>C255</f>
        <v/>
      </c>
      <c r="BA255" s="523" t="n"/>
      <c r="BB255" s="523" t="n"/>
      <c r="BC255" s="523" t="n"/>
      <c r="BD255" s="526" t="n"/>
      <c r="BE255" s="526" t="n"/>
      <c r="BF255" s="526" t="n"/>
      <c r="BG255" s="631" t="n"/>
      <c r="BH255" s="5">
        <f>C255</f>
        <v/>
      </c>
      <c r="BL255" s="19" t="n"/>
      <c r="BM255" s="19" t="n"/>
      <c r="BN255" s="19" t="n"/>
      <c r="BP255" s="5">
        <f>C255</f>
        <v/>
      </c>
      <c r="BQ255" s="633" t="n"/>
      <c r="BT255" s="19" t="n"/>
      <c r="BU255" s="19" t="n"/>
      <c r="BV255" s="19" t="n"/>
      <c r="BX255" s="5">
        <f>C255</f>
        <v/>
      </c>
      <c r="CB255" s="19" t="n"/>
      <c r="CC255" s="19" t="n"/>
      <c r="CD255" s="19" t="n"/>
      <c r="CF255" s="5">
        <f>C255</f>
        <v/>
      </c>
      <c r="CJ255" s="19" t="n"/>
      <c r="CK255" s="19" t="n"/>
      <c r="CL255" s="19" t="n"/>
      <c r="CN255" s="5">
        <f>C255</f>
        <v/>
      </c>
      <c r="CR255" s="19" t="n"/>
      <c r="CS255" s="19" t="n"/>
      <c r="CT255" s="19" t="n"/>
      <c r="CV255" s="5">
        <f>C255</f>
        <v/>
      </c>
      <c r="CZ255" s="19" t="n"/>
      <c r="DA255" s="19" t="n"/>
      <c r="DB255" s="19" t="n"/>
      <c r="DC255" s="23" t="n"/>
      <c r="DD255" s="5">
        <f>C255</f>
        <v/>
      </c>
      <c r="DH255" s="19" t="n"/>
      <c r="DI255" s="19" t="n"/>
      <c r="DJ255" s="19" t="n"/>
      <c r="DL255" s="5">
        <f>C255</f>
        <v/>
      </c>
      <c r="DP255" s="19" t="n"/>
      <c r="DQ255" s="19" t="n"/>
      <c r="DR255" s="19" t="n"/>
      <c r="DT255" s="5">
        <f>C255</f>
        <v/>
      </c>
      <c r="DX255" s="19" t="n"/>
      <c r="DY255" s="19" t="n"/>
      <c r="DZ255" s="19" t="n"/>
      <c r="EB255" s="5">
        <f>C255</f>
        <v/>
      </c>
      <c r="EF255" s="19" t="n"/>
      <c r="EG255" s="19" t="n"/>
      <c r="EH255" s="19" t="n"/>
      <c r="EJ255" s="5">
        <f>C255</f>
        <v/>
      </c>
      <c r="EN255" s="19" t="n"/>
      <c r="EO255" s="19" t="n"/>
      <c r="EP255" s="19" t="n"/>
      <c r="EQ255" s="19" t="n"/>
      <c r="ER255" s="5">
        <f>C255</f>
        <v/>
      </c>
      <c r="ES255" s="19" t="n"/>
      <c r="ET255" s="19" t="n"/>
      <c r="EU255" s="19" t="n"/>
      <c r="EV255" s="19" t="n"/>
      <c r="EW255" s="19" t="n"/>
      <c r="EX255" s="19" t="n"/>
      <c r="EZ255" s="5">
        <f>C255</f>
        <v/>
      </c>
      <c r="FD255" s="19" t="n"/>
      <c r="FE255" s="19" t="n"/>
      <c r="FF255" s="19" t="n"/>
      <c r="FG255" s="19" t="n"/>
      <c r="FH255" s="5">
        <f>C255</f>
        <v/>
      </c>
      <c r="FI255" s="633" t="n"/>
      <c r="FL255" s="19" t="n"/>
      <c r="FM255" s="19" t="n"/>
      <c r="FN255" s="19" t="n"/>
      <c r="FP255" s="5">
        <f>C255</f>
        <v/>
      </c>
      <c r="FT255" s="19" t="n"/>
      <c r="FU255" s="19" t="n"/>
      <c r="FV255" s="19" t="n"/>
      <c r="FX255" s="5">
        <f>C255</f>
        <v/>
      </c>
      <c r="GB255" s="19" t="n"/>
      <c r="GC255" s="19" t="n"/>
      <c r="GD255" s="19" t="n"/>
      <c r="GF255" s="5">
        <f>C255</f>
        <v/>
      </c>
      <c r="GJ255" s="19" t="n"/>
      <c r="GK255" s="19" t="n"/>
      <c r="GL255" s="19" t="n"/>
      <c r="GN255" s="5">
        <f>C255</f>
        <v/>
      </c>
      <c r="GR255" s="19" t="n"/>
      <c r="GS255" s="19" t="n"/>
      <c r="GT255" s="19" t="n"/>
      <c r="GV255" s="5">
        <f>C255</f>
        <v/>
      </c>
      <c r="GZ255" s="19" t="n"/>
      <c r="HA255" s="19" t="n"/>
      <c r="HB255" s="19" t="n"/>
      <c r="HD255" s="5">
        <f>C255</f>
        <v/>
      </c>
      <c r="HH255" s="19" t="n"/>
      <c r="HI255" s="19" t="n"/>
      <c r="HJ255" s="19" t="n"/>
      <c r="HL255" s="5">
        <f>C255</f>
        <v/>
      </c>
      <c r="HP255" s="19" t="n"/>
      <c r="HQ255" s="19" t="n"/>
      <c r="HR255" s="19" t="n"/>
      <c r="HT255" s="5">
        <f>C255</f>
        <v/>
      </c>
      <c r="HX255" s="19" t="n"/>
      <c r="HY255" s="19" t="n"/>
      <c r="HZ255" s="19" t="n"/>
      <c r="IB255" s="5">
        <f>C255</f>
        <v/>
      </c>
      <c r="IG255" s="19" t="n"/>
      <c r="IH255" s="19" t="n"/>
      <c r="IJ255" s="5">
        <f>C255</f>
        <v/>
      </c>
      <c r="IN255" s="19" t="n"/>
      <c r="IO255" s="19" t="n"/>
      <c r="IP255" s="19" t="n"/>
      <c r="IR255" s="5">
        <f>C255</f>
        <v/>
      </c>
      <c r="IV255" s="19" t="n"/>
      <c r="IW255" s="19" t="n"/>
      <c r="IX255" s="19" t="n"/>
      <c r="IZ255" s="5">
        <f>C255</f>
        <v/>
      </c>
      <c r="JD255" s="19" t="n"/>
      <c r="JE255" s="19" t="n"/>
      <c r="JF255" s="19" t="n"/>
      <c r="JH255" s="5">
        <f>C255</f>
        <v/>
      </c>
      <c r="JL255" s="19" t="n"/>
      <c r="JM255" s="19" t="n"/>
      <c r="JN255" s="19" t="n"/>
      <c r="JO255" s="19" t="n"/>
      <c r="JP255" s="5">
        <f>C255</f>
        <v/>
      </c>
      <c r="JT255" s="19" t="n"/>
      <c r="JU255" s="19" t="n"/>
      <c r="JV255" s="19" t="n"/>
      <c r="JW255" s="19" t="n"/>
      <c r="JX255" s="5">
        <f>C255</f>
        <v/>
      </c>
      <c r="KB255" s="19" t="n"/>
      <c r="KC255" s="19" t="n"/>
      <c r="KD255" s="19" t="n"/>
      <c r="KE255" s="19" t="n"/>
      <c r="KF255" s="5">
        <f>C255</f>
        <v/>
      </c>
      <c r="KG255" s="19" t="n"/>
      <c r="KH255" s="19" t="n"/>
      <c r="KJ255" s="19" t="n"/>
      <c r="KK255" s="19" t="n"/>
      <c r="KL255" s="19" t="n"/>
      <c r="KM255" s="19" t="n"/>
      <c r="KN255" s="5">
        <f>C255</f>
        <v/>
      </c>
      <c r="KR255" s="19" t="n"/>
      <c r="KS255" s="19" t="n"/>
      <c r="KT255" s="19" t="n"/>
      <c r="KV255" s="5">
        <f>C255</f>
        <v/>
      </c>
      <c r="KZ255" s="19" t="n"/>
      <c r="LA255" s="19" t="n"/>
      <c r="LB255" s="19" t="n"/>
      <c r="LD255" s="5">
        <f>C255</f>
        <v/>
      </c>
      <c r="LH255" s="19" t="n"/>
      <c r="LI255" s="19" t="n"/>
      <c r="LJ255" s="19" t="n"/>
      <c r="LL255" s="5">
        <f>C255</f>
        <v/>
      </c>
      <c r="LM255" s="633" t="n"/>
      <c r="LP255" s="19" t="n"/>
      <c r="LQ255" s="19" t="n"/>
      <c r="LR255" s="19" t="n"/>
      <c r="LT255" s="5">
        <f>C255</f>
        <v/>
      </c>
      <c r="LX255" s="19" t="n"/>
      <c r="LY255" s="19" t="n"/>
      <c r="LZ255" s="19" t="n"/>
      <c r="MB255" s="5">
        <f>C255</f>
        <v/>
      </c>
      <c r="MF255" s="19" t="n"/>
      <c r="MG255" s="19" t="n"/>
      <c r="MH255" s="19" t="n"/>
      <c r="MK255" s="5">
        <f>C255</f>
        <v/>
      </c>
      <c r="MM255" s="24" t="n"/>
      <c r="MO255" s="19" t="n"/>
      <c r="MP255" s="19" t="n"/>
      <c r="MQ255" s="19" t="n"/>
      <c r="MR255" s="19" t="n"/>
      <c r="MS255" s="19" t="n"/>
      <c r="MT255" s="25">
        <f>C255</f>
        <v/>
      </c>
      <c r="MX255" s="19" t="n"/>
      <c r="MY255" s="19" t="n"/>
      <c r="MZ255" s="19" t="n"/>
      <c r="NA255" s="19" t="n"/>
      <c r="NB255" s="19" t="n"/>
      <c r="NC255" s="5">
        <f>C255</f>
        <v/>
      </c>
      <c r="NG255" s="19" t="n"/>
      <c r="NH255" s="19" t="n"/>
      <c r="NI255" s="19" t="n"/>
      <c r="NJ255" s="19" t="n"/>
      <c r="NK255" s="19" t="n"/>
      <c r="NM255" s="5">
        <f>C255</f>
        <v/>
      </c>
      <c r="NQ255" s="19" t="n"/>
      <c r="NR255" s="19" t="n"/>
      <c r="NU255" s="5">
        <f>C255</f>
        <v/>
      </c>
      <c r="NY255" s="19" t="n"/>
      <c r="NZ255" s="19" t="n"/>
      <c r="OC255" s="5">
        <f>C255</f>
        <v/>
      </c>
      <c r="OG255" s="19" t="n"/>
      <c r="OH255" s="19" t="n"/>
      <c r="OI255" s="19" t="n"/>
      <c r="OK255" s="5">
        <f>C255</f>
        <v/>
      </c>
      <c r="OO255" s="19" t="n"/>
      <c r="OP255" s="19" t="n"/>
      <c r="OQ255" s="19" t="n"/>
      <c r="OT255" s="25">
        <f>OK255</f>
        <v/>
      </c>
      <c r="OX255" s="19" t="n"/>
    </row>
    <row r="256" ht="21" customFormat="1" customHeight="1" s="5">
      <c r="A256" s="631" t="n"/>
      <c r="B256" s="631" t="n"/>
      <c r="C256" s="714" t="inlineStr">
        <is>
          <t>2018//9//30</t>
        </is>
      </c>
      <c r="D256" s="591">
        <f>E256*10000</f>
        <v/>
      </c>
      <c r="E256" s="591" t="n">
        <v>79.12</v>
      </c>
      <c r="F256" s="523" t="n"/>
      <c r="G256" s="592" t="n"/>
      <c r="H256" s="592" t="n"/>
      <c r="I256" s="526" t="n"/>
      <c r="J256" s="526" t="n"/>
      <c r="K256" s="522">
        <f>C256</f>
        <v/>
      </c>
      <c r="L256" s="591">
        <f>M256*10000</f>
        <v/>
      </c>
      <c r="M256" s="591" t="n">
        <v>34.64</v>
      </c>
      <c r="N256" s="523" t="n"/>
      <c r="O256" s="594" t="n"/>
      <c r="P256" s="592" t="n"/>
      <c r="Q256" s="526" t="n"/>
      <c r="R256" s="523" t="n"/>
      <c r="S256" s="522">
        <f>C256</f>
        <v/>
      </c>
      <c r="T256" s="591">
        <f>U256*10000</f>
        <v/>
      </c>
      <c r="U256" s="591" t="n">
        <v>155.18</v>
      </c>
      <c r="V256" s="523" t="n"/>
      <c r="W256" s="592" t="n"/>
      <c r="X256" s="592" t="n"/>
      <c r="Y256" s="526" t="n"/>
      <c r="Z256" s="523" t="n"/>
      <c r="AA256" s="522">
        <f>S256</f>
        <v/>
      </c>
      <c r="AB256" s="591">
        <f>AC256*10000</f>
        <v/>
      </c>
      <c r="AC256" s="591" t="n">
        <v>72.55</v>
      </c>
      <c r="AD256" s="523" t="n"/>
      <c r="AE256" s="594" t="n"/>
      <c r="AF256" s="592" t="n"/>
      <c r="AG256" s="526" t="n"/>
      <c r="AH256" s="523" t="n"/>
      <c r="AI256" s="522">
        <f>C256</f>
        <v/>
      </c>
      <c r="AJ256" s="591">
        <f>AK256*10000</f>
        <v/>
      </c>
      <c r="AK256" s="522" t="n">
        <v>3.09</v>
      </c>
      <c r="AL256" s="523" t="n"/>
      <c r="AM256" s="594" t="n"/>
      <c r="AN256" s="592" t="n"/>
      <c r="AO256" s="526" t="n"/>
      <c r="AP256" s="523" t="n"/>
      <c r="AQ256" s="523">
        <f>C256</f>
        <v/>
      </c>
      <c r="AR256" s="634" t="n"/>
      <c r="AS256" s="523" t="n"/>
      <c r="AT256" s="523" t="n"/>
      <c r="AU256" s="526" t="n"/>
      <c r="AV256" s="526" t="n"/>
      <c r="AW256" s="526" t="n"/>
      <c r="AX256" s="523" t="n"/>
      <c r="AY256" s="523" t="n"/>
      <c r="AZ256" s="523">
        <f>C256</f>
        <v/>
      </c>
      <c r="BA256" s="523" t="n"/>
      <c r="BB256" s="523" t="n"/>
      <c r="BC256" s="523" t="n"/>
      <c r="BD256" s="526" t="n"/>
      <c r="BE256" s="526" t="n"/>
      <c r="BF256" s="526" t="n"/>
      <c r="BG256" s="631" t="n"/>
      <c r="BH256" s="5">
        <f>C256</f>
        <v/>
      </c>
      <c r="BL256" s="19" t="n"/>
      <c r="BM256" s="19" t="n"/>
      <c r="BN256" s="19" t="n"/>
      <c r="BP256" s="5">
        <f>C256</f>
        <v/>
      </c>
      <c r="BQ256" s="633" t="n"/>
      <c r="BT256" s="19" t="n"/>
      <c r="BU256" s="19" t="n"/>
      <c r="BV256" s="19" t="n"/>
      <c r="BX256" s="5">
        <f>C256</f>
        <v/>
      </c>
      <c r="CB256" s="19" t="n"/>
      <c r="CC256" s="19" t="n"/>
      <c r="CD256" s="19" t="n"/>
      <c r="CF256" s="5">
        <f>C256</f>
        <v/>
      </c>
      <c r="CJ256" s="19" t="n"/>
      <c r="CK256" s="19" t="n"/>
      <c r="CL256" s="19" t="n"/>
      <c r="CN256" s="5">
        <f>C256</f>
        <v/>
      </c>
      <c r="CR256" s="19" t="n"/>
      <c r="CS256" s="19" t="n"/>
      <c r="CT256" s="19" t="n"/>
      <c r="CV256" s="5">
        <f>C256</f>
        <v/>
      </c>
      <c r="CZ256" s="19" t="n"/>
      <c r="DA256" s="19" t="n"/>
      <c r="DB256" s="19" t="n"/>
      <c r="DC256" s="23" t="n"/>
      <c r="DD256" s="5">
        <f>C256</f>
        <v/>
      </c>
      <c r="DH256" s="19" t="n"/>
      <c r="DI256" s="19" t="n"/>
      <c r="DJ256" s="19" t="n"/>
      <c r="DL256" s="5">
        <f>C256</f>
        <v/>
      </c>
      <c r="DP256" s="19" t="n"/>
      <c r="DQ256" s="19" t="n"/>
      <c r="DR256" s="19" t="n"/>
      <c r="DT256" s="5">
        <f>C256</f>
        <v/>
      </c>
      <c r="DX256" s="19" t="n"/>
      <c r="DY256" s="19" t="n"/>
      <c r="DZ256" s="19" t="n"/>
      <c r="EB256" s="5">
        <f>C256</f>
        <v/>
      </c>
      <c r="EF256" s="19" t="n"/>
      <c r="EG256" s="19" t="n"/>
      <c r="EH256" s="19" t="n"/>
      <c r="EJ256" s="5">
        <f>C256</f>
        <v/>
      </c>
      <c r="EN256" s="19" t="n"/>
      <c r="EO256" s="19" t="n"/>
      <c r="EP256" s="19" t="n"/>
      <c r="EQ256" s="19" t="n"/>
      <c r="ER256" s="5">
        <f>C256</f>
        <v/>
      </c>
      <c r="ES256" s="19" t="n"/>
      <c r="ET256" s="19" t="n"/>
      <c r="EU256" s="19" t="n"/>
      <c r="EV256" s="19" t="n"/>
      <c r="EW256" s="19" t="n"/>
      <c r="EX256" s="19" t="n"/>
      <c r="EZ256" s="5">
        <f>C256</f>
        <v/>
      </c>
      <c r="FD256" s="19" t="n"/>
      <c r="FE256" s="19" t="n"/>
      <c r="FF256" s="19" t="n"/>
      <c r="FG256" s="19" t="n"/>
      <c r="FH256" s="5">
        <f>C256</f>
        <v/>
      </c>
      <c r="FI256" s="633" t="n"/>
      <c r="FL256" s="19" t="n"/>
      <c r="FM256" s="19" t="n"/>
      <c r="FN256" s="19" t="n"/>
      <c r="FP256" s="5">
        <f>C256</f>
        <v/>
      </c>
      <c r="FT256" s="19" t="n"/>
      <c r="FU256" s="19" t="n"/>
      <c r="FV256" s="19" t="n"/>
      <c r="FX256" s="5">
        <f>C256</f>
        <v/>
      </c>
      <c r="GB256" s="19" t="n"/>
      <c r="GC256" s="19" t="n"/>
      <c r="GD256" s="19" t="n"/>
      <c r="GF256" s="5">
        <f>C256</f>
        <v/>
      </c>
      <c r="GJ256" s="19" t="n"/>
      <c r="GK256" s="19" t="n"/>
      <c r="GL256" s="19" t="n"/>
      <c r="GN256" s="5">
        <f>C256</f>
        <v/>
      </c>
      <c r="GR256" s="19" t="n"/>
      <c r="GS256" s="19" t="n"/>
      <c r="GT256" s="19" t="n"/>
      <c r="GV256" s="5">
        <f>C256</f>
        <v/>
      </c>
      <c r="GZ256" s="19" t="n"/>
      <c r="HA256" s="19" t="n"/>
      <c r="HB256" s="19" t="n"/>
      <c r="HD256" s="5">
        <f>C256</f>
        <v/>
      </c>
      <c r="HH256" s="19" t="n"/>
      <c r="HI256" s="19" t="n"/>
      <c r="HJ256" s="19" t="n"/>
      <c r="HL256" s="5">
        <f>C256</f>
        <v/>
      </c>
      <c r="HP256" s="19" t="n"/>
      <c r="HQ256" s="19" t="n"/>
      <c r="HR256" s="19" t="n"/>
      <c r="HT256" s="5">
        <f>C256</f>
        <v/>
      </c>
      <c r="HX256" s="19" t="n"/>
      <c r="HY256" s="19" t="n"/>
      <c r="HZ256" s="19" t="n"/>
      <c r="IB256" s="5">
        <f>C256</f>
        <v/>
      </c>
      <c r="IG256" s="19" t="n"/>
      <c r="IH256" s="19" t="n"/>
      <c r="IJ256" s="5">
        <f>C256</f>
        <v/>
      </c>
      <c r="IN256" s="19" t="n"/>
      <c r="IO256" s="19" t="n"/>
      <c r="IP256" s="19" t="n"/>
      <c r="IR256" s="5">
        <f>C256</f>
        <v/>
      </c>
      <c r="IV256" s="19" t="n"/>
      <c r="IW256" s="19" t="n"/>
      <c r="IX256" s="19" t="n"/>
      <c r="IZ256" s="5">
        <f>C256</f>
        <v/>
      </c>
      <c r="JD256" s="19" t="n"/>
      <c r="JE256" s="19" t="n"/>
      <c r="JF256" s="19" t="n"/>
      <c r="JH256" s="5">
        <f>C256</f>
        <v/>
      </c>
      <c r="JL256" s="19" t="n"/>
      <c r="JM256" s="19" t="n"/>
      <c r="JN256" s="19" t="n"/>
      <c r="JO256" s="19" t="n"/>
      <c r="JP256" s="5">
        <f>C256</f>
        <v/>
      </c>
      <c r="JT256" s="19" t="n"/>
      <c r="JU256" s="19" t="n"/>
      <c r="JV256" s="19" t="n"/>
      <c r="JW256" s="19" t="n"/>
      <c r="JX256" s="5">
        <f>C256</f>
        <v/>
      </c>
      <c r="KB256" s="19" t="n"/>
      <c r="KC256" s="19" t="n"/>
      <c r="KD256" s="19" t="n"/>
      <c r="KE256" s="19" t="n"/>
      <c r="KF256" s="5">
        <f>C256</f>
        <v/>
      </c>
      <c r="KG256" s="19" t="n"/>
      <c r="KH256" s="19" t="n"/>
      <c r="KJ256" s="19" t="n"/>
      <c r="KK256" s="19" t="n"/>
      <c r="KL256" s="19" t="n"/>
      <c r="KM256" s="19" t="n"/>
      <c r="KN256" s="5">
        <f>C256</f>
        <v/>
      </c>
      <c r="KR256" s="19" t="n"/>
      <c r="KS256" s="19" t="n"/>
      <c r="KT256" s="19" t="n"/>
      <c r="KV256" s="5">
        <f>C256</f>
        <v/>
      </c>
      <c r="KZ256" s="19" t="n"/>
      <c r="LA256" s="19" t="n"/>
      <c r="LB256" s="19" t="n"/>
      <c r="LD256" s="5">
        <f>C256</f>
        <v/>
      </c>
      <c r="LH256" s="19" t="n"/>
      <c r="LI256" s="19" t="n"/>
      <c r="LJ256" s="19" t="n"/>
      <c r="LL256" s="5">
        <f>C256</f>
        <v/>
      </c>
      <c r="LM256" s="633" t="n"/>
      <c r="LP256" s="19" t="n"/>
      <c r="LQ256" s="19" t="n"/>
      <c r="LR256" s="19" t="n"/>
      <c r="LT256" s="5">
        <f>C256</f>
        <v/>
      </c>
      <c r="LX256" s="19" t="n"/>
      <c r="LY256" s="19" t="n"/>
      <c r="LZ256" s="19" t="n"/>
      <c r="MB256" s="5">
        <f>C256</f>
        <v/>
      </c>
      <c r="MF256" s="19" t="n"/>
      <c r="MG256" s="19" t="n"/>
      <c r="MH256" s="19" t="n"/>
      <c r="MK256" s="5">
        <f>C256</f>
        <v/>
      </c>
      <c r="MM256" s="24" t="n"/>
      <c r="MO256" s="19" t="n"/>
      <c r="MP256" s="19" t="n"/>
      <c r="MQ256" s="19" t="n"/>
      <c r="MR256" s="19" t="n"/>
      <c r="MS256" s="19" t="n"/>
      <c r="MT256" s="25">
        <f>C256</f>
        <v/>
      </c>
      <c r="MX256" s="19" t="n"/>
      <c r="MY256" s="19" t="n"/>
      <c r="MZ256" s="19" t="n"/>
      <c r="NA256" s="19" t="n"/>
      <c r="NB256" s="19" t="n"/>
      <c r="NC256" s="5">
        <f>C256</f>
        <v/>
      </c>
      <c r="NG256" s="19" t="n"/>
      <c r="NH256" s="19" t="n"/>
      <c r="NI256" s="19" t="n"/>
      <c r="NJ256" s="19" t="n"/>
      <c r="NK256" s="19" t="n"/>
      <c r="NM256" s="5">
        <f>C256</f>
        <v/>
      </c>
      <c r="NQ256" s="19" t="n"/>
      <c r="NR256" s="19" t="n"/>
      <c r="NU256" s="5">
        <f>C256</f>
        <v/>
      </c>
      <c r="NY256" s="19" t="n"/>
      <c r="NZ256" s="19" t="n"/>
      <c r="OC256" s="5">
        <f>C256</f>
        <v/>
      </c>
      <c r="OG256" s="19" t="n"/>
      <c r="OH256" s="19" t="n"/>
      <c r="OI256" s="19" t="n"/>
      <c r="OK256" s="5">
        <f>C256</f>
        <v/>
      </c>
      <c r="OO256" s="19" t="n"/>
      <c r="OP256" s="19" t="n"/>
      <c r="OQ256" s="19" t="n"/>
      <c r="OT256" s="25">
        <f>OK256</f>
        <v/>
      </c>
      <c r="OX256" s="19" t="n"/>
    </row>
    <row r="257" ht="21" customFormat="1" customHeight="1" s="5">
      <c r="A257" s="631" t="n"/>
      <c r="B257" s="631" t="n"/>
      <c r="C257" s="714" t="inlineStr">
        <is>
          <t>2018//6//30</t>
        </is>
      </c>
      <c r="D257" s="591">
        <f>E257*10000</f>
        <v/>
      </c>
      <c r="E257" s="591" t="n">
        <v>63.25</v>
      </c>
      <c r="F257" s="523" t="n"/>
      <c r="G257" s="592" t="n"/>
      <c r="H257" s="592" t="n"/>
      <c r="I257" s="526" t="n"/>
      <c r="J257" s="526" t="n"/>
      <c r="K257" s="522">
        <f>C257</f>
        <v/>
      </c>
      <c r="L257" s="591">
        <f>M257*10000</f>
        <v/>
      </c>
      <c r="M257" s="591" t="n">
        <v>37.88</v>
      </c>
      <c r="N257" s="523" t="n"/>
      <c r="O257" s="594" t="n"/>
      <c r="P257" s="592" t="n"/>
      <c r="Q257" s="526" t="n"/>
      <c r="R257" s="523" t="n"/>
      <c r="S257" s="522">
        <f>C257</f>
        <v/>
      </c>
      <c r="T257" s="591">
        <f>U257*10000</f>
        <v/>
      </c>
      <c r="U257" s="591" t="n">
        <v>136.19</v>
      </c>
      <c r="V257" s="523" t="n"/>
      <c r="W257" s="592" t="n"/>
      <c r="X257" s="592" t="n"/>
      <c r="Y257" s="526" t="n"/>
      <c r="Z257" s="523" t="n"/>
      <c r="AA257" s="522">
        <f>S257</f>
        <v/>
      </c>
      <c r="AB257" s="591">
        <f>AC257*10000</f>
        <v/>
      </c>
      <c r="AC257" s="591" t="n">
        <v>75</v>
      </c>
      <c r="AD257" s="523" t="n"/>
      <c r="AE257" s="594" t="n"/>
      <c r="AF257" s="592" t="n"/>
      <c r="AG257" s="526" t="n"/>
      <c r="AH257" s="523" t="n"/>
      <c r="AI257" s="522">
        <f>C257</f>
        <v/>
      </c>
      <c r="AJ257" s="591">
        <f>AK257*10000</f>
        <v/>
      </c>
      <c r="AK257" s="522" t="n">
        <v>2.28</v>
      </c>
      <c r="AL257" s="523" t="n"/>
      <c r="AM257" s="594" t="n"/>
      <c r="AN257" s="592" t="n"/>
      <c r="AO257" s="526" t="n"/>
      <c r="AP257" s="523" t="n"/>
      <c r="AQ257" s="523">
        <f>C257</f>
        <v/>
      </c>
      <c r="AR257" s="634" t="n"/>
      <c r="AS257" s="523" t="n"/>
      <c r="AT257" s="523" t="n"/>
      <c r="AU257" s="526" t="n"/>
      <c r="AV257" s="526" t="n"/>
      <c r="AW257" s="526" t="n"/>
      <c r="AX257" s="523" t="n"/>
      <c r="AY257" s="523" t="n"/>
      <c r="AZ257" s="523">
        <f>C257</f>
        <v/>
      </c>
      <c r="BA257" s="523" t="n"/>
      <c r="BB257" s="523" t="n"/>
      <c r="BC257" s="523" t="n"/>
      <c r="BD257" s="526" t="n"/>
      <c r="BE257" s="526" t="n"/>
      <c r="BF257" s="526" t="n"/>
      <c r="BG257" s="631" t="n"/>
      <c r="BH257" s="5">
        <f>C257</f>
        <v/>
      </c>
      <c r="BL257" s="19" t="n"/>
      <c r="BM257" s="19" t="n"/>
      <c r="BN257" s="19" t="n"/>
      <c r="BP257" s="5">
        <f>C257</f>
        <v/>
      </c>
      <c r="BQ257" s="633" t="n"/>
      <c r="BT257" s="19" t="n"/>
      <c r="BU257" s="19" t="n"/>
      <c r="BV257" s="19" t="n"/>
      <c r="BX257" s="5">
        <f>C257</f>
        <v/>
      </c>
      <c r="CB257" s="19" t="n"/>
      <c r="CC257" s="19" t="n"/>
      <c r="CD257" s="19" t="n"/>
      <c r="CF257" s="5">
        <f>C257</f>
        <v/>
      </c>
      <c r="CJ257" s="19" t="n"/>
      <c r="CK257" s="19" t="n"/>
      <c r="CL257" s="19" t="n"/>
      <c r="CN257" s="5">
        <f>C257</f>
        <v/>
      </c>
      <c r="CR257" s="19" t="n"/>
      <c r="CS257" s="19" t="n"/>
      <c r="CT257" s="19" t="n"/>
      <c r="CV257" s="5">
        <f>C257</f>
        <v/>
      </c>
      <c r="CZ257" s="19" t="n"/>
      <c r="DA257" s="19" t="n"/>
      <c r="DB257" s="19" t="n"/>
      <c r="DC257" s="23" t="n"/>
      <c r="DD257" s="5">
        <f>C257</f>
        <v/>
      </c>
      <c r="DH257" s="19" t="n"/>
      <c r="DI257" s="19" t="n"/>
      <c r="DJ257" s="19" t="n"/>
      <c r="DL257" s="5">
        <f>C257</f>
        <v/>
      </c>
      <c r="DP257" s="19" t="n"/>
      <c r="DQ257" s="19" t="n"/>
      <c r="DR257" s="19" t="n"/>
      <c r="DT257" s="5">
        <f>C257</f>
        <v/>
      </c>
      <c r="DX257" s="19" t="n"/>
      <c r="DY257" s="19" t="n"/>
      <c r="DZ257" s="19" t="n"/>
      <c r="EB257" s="5">
        <f>C257</f>
        <v/>
      </c>
      <c r="EF257" s="19" t="n"/>
      <c r="EG257" s="19" t="n"/>
      <c r="EH257" s="19" t="n"/>
      <c r="EJ257" s="5">
        <f>C257</f>
        <v/>
      </c>
      <c r="EN257" s="19" t="n"/>
      <c r="EO257" s="19" t="n"/>
      <c r="EP257" s="19" t="n"/>
      <c r="EQ257" s="19" t="n"/>
      <c r="ER257" s="5">
        <f>C257</f>
        <v/>
      </c>
      <c r="ES257" s="19" t="n"/>
      <c r="ET257" s="19" t="n"/>
      <c r="EU257" s="19" t="n"/>
      <c r="EV257" s="19" t="n"/>
      <c r="EW257" s="19" t="n"/>
      <c r="EX257" s="19" t="n"/>
      <c r="EZ257" s="5">
        <f>C257</f>
        <v/>
      </c>
      <c r="FD257" s="19" t="n"/>
      <c r="FE257" s="19" t="n"/>
      <c r="FF257" s="19" t="n"/>
      <c r="FG257" s="19" t="n"/>
      <c r="FH257" s="5">
        <f>C257</f>
        <v/>
      </c>
      <c r="FI257" s="633" t="n"/>
      <c r="FL257" s="19" t="n"/>
      <c r="FM257" s="19" t="n"/>
      <c r="FN257" s="19" t="n"/>
      <c r="FP257" s="5">
        <f>C257</f>
        <v/>
      </c>
      <c r="FT257" s="19" t="n"/>
      <c r="FU257" s="19" t="n"/>
      <c r="FV257" s="19" t="n"/>
      <c r="FX257" s="5">
        <f>C257</f>
        <v/>
      </c>
      <c r="GB257" s="19" t="n"/>
      <c r="GC257" s="19" t="n"/>
      <c r="GD257" s="19" t="n"/>
      <c r="GF257" s="5">
        <f>C257</f>
        <v/>
      </c>
      <c r="GJ257" s="19" t="n"/>
      <c r="GK257" s="19" t="n"/>
      <c r="GL257" s="19" t="n"/>
      <c r="GN257" s="5">
        <f>C257</f>
        <v/>
      </c>
      <c r="GR257" s="19" t="n"/>
      <c r="GS257" s="19" t="n"/>
      <c r="GT257" s="19" t="n"/>
      <c r="GV257" s="5">
        <f>C257</f>
        <v/>
      </c>
      <c r="GZ257" s="19" t="n"/>
      <c r="HA257" s="19" t="n"/>
      <c r="HB257" s="19" t="n"/>
      <c r="HD257" s="5">
        <f>C257</f>
        <v/>
      </c>
      <c r="HH257" s="19" t="n"/>
      <c r="HI257" s="19" t="n"/>
      <c r="HJ257" s="19" t="n"/>
      <c r="HL257" s="5">
        <f>C257</f>
        <v/>
      </c>
      <c r="HP257" s="19" t="n"/>
      <c r="HQ257" s="19" t="n"/>
      <c r="HR257" s="19" t="n"/>
      <c r="HT257" s="5">
        <f>C257</f>
        <v/>
      </c>
      <c r="HX257" s="19" t="n"/>
      <c r="HY257" s="19" t="n"/>
      <c r="HZ257" s="19" t="n"/>
      <c r="IB257" s="5">
        <f>C257</f>
        <v/>
      </c>
      <c r="IG257" s="19" t="n"/>
      <c r="IH257" s="19" t="n"/>
      <c r="IJ257" s="5">
        <f>C257</f>
        <v/>
      </c>
      <c r="IN257" s="19" t="n"/>
      <c r="IO257" s="19" t="n"/>
      <c r="IP257" s="19" t="n"/>
      <c r="IR257" s="5">
        <f>C257</f>
        <v/>
      </c>
      <c r="IV257" s="19" t="n"/>
      <c r="IW257" s="19" t="n"/>
      <c r="IX257" s="19" t="n"/>
      <c r="IZ257" s="5">
        <f>C257</f>
        <v/>
      </c>
      <c r="JD257" s="19" t="n"/>
      <c r="JE257" s="19" t="n"/>
      <c r="JF257" s="19" t="n"/>
      <c r="JH257" s="5">
        <f>C257</f>
        <v/>
      </c>
      <c r="JL257" s="19" t="n"/>
      <c r="JM257" s="19" t="n"/>
      <c r="JN257" s="19" t="n"/>
      <c r="JO257" s="19" t="n"/>
      <c r="JP257" s="5">
        <f>C257</f>
        <v/>
      </c>
      <c r="JT257" s="19" t="n"/>
      <c r="JU257" s="19" t="n"/>
      <c r="JV257" s="19" t="n"/>
      <c r="JW257" s="19" t="n"/>
      <c r="JX257" s="5">
        <f>C257</f>
        <v/>
      </c>
      <c r="KB257" s="19" t="n"/>
      <c r="KC257" s="19" t="n"/>
      <c r="KD257" s="19" t="n"/>
      <c r="KE257" s="19" t="n"/>
      <c r="KF257" s="5">
        <f>C257</f>
        <v/>
      </c>
      <c r="KG257" s="19" t="n"/>
      <c r="KH257" s="19" t="n"/>
      <c r="KJ257" s="19" t="n"/>
      <c r="KK257" s="19" t="n"/>
      <c r="KL257" s="19" t="n"/>
      <c r="KM257" s="19" t="n"/>
      <c r="KN257" s="5">
        <f>C257</f>
        <v/>
      </c>
      <c r="KR257" s="19" t="n"/>
      <c r="KS257" s="19" t="n"/>
      <c r="KT257" s="19" t="n"/>
      <c r="KV257" s="5">
        <f>C257</f>
        <v/>
      </c>
      <c r="KZ257" s="19" t="n"/>
      <c r="LA257" s="19" t="n"/>
      <c r="LB257" s="19" t="n"/>
      <c r="LD257" s="5">
        <f>C257</f>
        <v/>
      </c>
      <c r="LH257" s="19" t="n"/>
      <c r="LI257" s="19" t="n"/>
      <c r="LJ257" s="19" t="n"/>
      <c r="LL257" s="5">
        <f>C257</f>
        <v/>
      </c>
      <c r="LM257" s="633" t="n"/>
      <c r="LP257" s="19" t="n"/>
      <c r="LQ257" s="19" t="n"/>
      <c r="LR257" s="19" t="n"/>
      <c r="LT257" s="5">
        <f>C257</f>
        <v/>
      </c>
      <c r="LX257" s="19" t="n"/>
      <c r="LY257" s="19" t="n"/>
      <c r="LZ257" s="19" t="n"/>
      <c r="MB257" s="5">
        <f>C257</f>
        <v/>
      </c>
      <c r="MF257" s="19" t="n"/>
      <c r="MG257" s="19" t="n"/>
      <c r="MH257" s="19" t="n"/>
      <c r="MK257" s="5">
        <f>C257</f>
        <v/>
      </c>
      <c r="MM257" s="24" t="n"/>
      <c r="MO257" s="19" t="n"/>
      <c r="MP257" s="19" t="n"/>
      <c r="MQ257" s="19" t="n"/>
      <c r="MR257" s="19" t="n"/>
      <c r="MS257" s="19" t="n"/>
      <c r="MT257" s="25">
        <f>C257</f>
        <v/>
      </c>
      <c r="MX257" s="19" t="n"/>
      <c r="MY257" s="19" t="n"/>
      <c r="MZ257" s="19" t="n"/>
      <c r="NA257" s="19" t="n"/>
      <c r="NB257" s="19" t="n"/>
      <c r="NC257" s="5">
        <f>C257</f>
        <v/>
      </c>
      <c r="NG257" s="19" t="n"/>
      <c r="NH257" s="19" t="n"/>
      <c r="NI257" s="19" t="n"/>
      <c r="NJ257" s="19" t="n"/>
      <c r="NK257" s="19" t="n"/>
      <c r="NM257" s="5">
        <f>C257</f>
        <v/>
      </c>
      <c r="NQ257" s="19" t="n"/>
      <c r="NR257" s="19" t="n"/>
      <c r="NU257" s="5">
        <f>C257</f>
        <v/>
      </c>
      <c r="NY257" s="19" t="n"/>
      <c r="NZ257" s="19" t="n"/>
      <c r="OC257" s="5">
        <f>C257</f>
        <v/>
      </c>
      <c r="OG257" s="19" t="n"/>
      <c r="OH257" s="19" t="n"/>
      <c r="OI257" s="19" t="n"/>
      <c r="OK257" s="5">
        <f>C257</f>
        <v/>
      </c>
      <c r="OO257" s="19" t="n"/>
      <c r="OP257" s="19" t="n"/>
      <c r="OQ257" s="19" t="n"/>
      <c r="OT257" s="25">
        <f>OK257</f>
        <v/>
      </c>
      <c r="OX257" s="19" t="n"/>
    </row>
    <row r="258" ht="21" customFormat="1" customHeight="1" s="5">
      <c r="A258" s="631" t="n"/>
      <c r="B258" s="631" t="n"/>
      <c r="C258" s="714" t="inlineStr">
        <is>
          <t>2018//3//31</t>
        </is>
      </c>
      <c r="D258" s="591">
        <f>E258*10000</f>
        <v/>
      </c>
      <c r="E258" s="591" t="n">
        <v>56.87</v>
      </c>
      <c r="F258" s="523" t="n"/>
      <c r="G258" s="592" t="n"/>
      <c r="H258" s="592" t="n"/>
      <c r="I258" s="526" t="n"/>
      <c r="J258" s="526" t="n"/>
      <c r="K258" s="522">
        <f>C258</f>
        <v/>
      </c>
      <c r="L258" s="591">
        <f>M258*10000</f>
        <v/>
      </c>
      <c r="M258" s="591" t="n">
        <v>29.44</v>
      </c>
      <c r="N258" s="523" t="n"/>
      <c r="O258" s="594" t="n"/>
      <c r="P258" s="592" t="n"/>
      <c r="Q258" s="526" t="n"/>
      <c r="R258" s="523" t="n"/>
      <c r="S258" s="522">
        <f>C258</f>
        <v/>
      </c>
      <c r="T258" s="591">
        <f>U258*10000</f>
        <v/>
      </c>
      <c r="U258" s="591" t="n">
        <v>123.77</v>
      </c>
      <c r="V258" s="523" t="n"/>
      <c r="W258" s="592" t="n"/>
      <c r="X258" s="592" t="n"/>
      <c r="Y258" s="526" t="n"/>
      <c r="Z258" s="523" t="n"/>
      <c r="AA258" s="522">
        <f>S258</f>
        <v/>
      </c>
      <c r="AB258" s="591">
        <f>AC258*10000</f>
        <v/>
      </c>
      <c r="AC258" s="591" t="n">
        <v>58.31</v>
      </c>
      <c r="AD258" s="523" t="n"/>
      <c r="AE258" s="594" t="n"/>
      <c r="AF258" s="592" t="n"/>
      <c r="AG258" s="526" t="n"/>
      <c r="AH258" s="523" t="n"/>
      <c r="AI258" s="522">
        <f>C258</f>
        <v/>
      </c>
      <c r="AJ258" s="591">
        <f>AK258*10000</f>
        <v/>
      </c>
      <c r="AK258" s="522" t="n">
        <v>1.53</v>
      </c>
      <c r="AL258" s="523" t="n"/>
      <c r="AM258" s="594" t="n"/>
      <c r="AN258" s="592" t="n"/>
      <c r="AO258" s="526" t="n"/>
      <c r="AP258" s="523" t="n"/>
      <c r="AQ258" s="523">
        <f>C258</f>
        <v/>
      </c>
      <c r="AR258" s="634" t="n"/>
      <c r="AS258" s="523" t="n"/>
      <c r="AT258" s="523" t="n"/>
      <c r="AU258" s="526" t="n"/>
      <c r="AV258" s="526" t="n"/>
      <c r="AW258" s="526" t="n"/>
      <c r="AX258" s="523" t="n"/>
      <c r="AY258" s="523" t="n"/>
      <c r="AZ258" s="523">
        <f>C258</f>
        <v/>
      </c>
      <c r="BA258" s="523" t="n"/>
      <c r="BB258" s="523" t="n"/>
      <c r="BC258" s="523" t="n"/>
      <c r="BD258" s="526" t="n"/>
      <c r="BE258" s="526" t="n"/>
      <c r="BF258" s="526" t="n"/>
      <c r="BG258" s="631" t="n"/>
      <c r="BH258" s="5">
        <f>C258</f>
        <v/>
      </c>
      <c r="BL258" s="19" t="n"/>
      <c r="BM258" s="19" t="n"/>
      <c r="BN258" s="19" t="n"/>
      <c r="BP258" s="5">
        <f>C258</f>
        <v/>
      </c>
      <c r="BQ258" s="633" t="n"/>
      <c r="BT258" s="19" t="n"/>
      <c r="BU258" s="19" t="n"/>
      <c r="BV258" s="19" t="n"/>
      <c r="BX258" s="5">
        <f>C258</f>
        <v/>
      </c>
      <c r="CB258" s="19" t="n"/>
      <c r="CC258" s="19" t="n"/>
      <c r="CD258" s="19" t="n"/>
      <c r="CF258" s="5">
        <f>C258</f>
        <v/>
      </c>
      <c r="CJ258" s="19" t="n"/>
      <c r="CK258" s="19" t="n"/>
      <c r="CL258" s="19" t="n"/>
      <c r="CN258" s="5">
        <f>C258</f>
        <v/>
      </c>
      <c r="CR258" s="19" t="n"/>
      <c r="CS258" s="19" t="n"/>
      <c r="CT258" s="19" t="n"/>
      <c r="CV258" s="5">
        <f>C258</f>
        <v/>
      </c>
      <c r="CZ258" s="19" t="n"/>
      <c r="DA258" s="19" t="n"/>
      <c r="DB258" s="19" t="n"/>
      <c r="DC258" s="23" t="n"/>
      <c r="DD258" s="5">
        <f>C258</f>
        <v/>
      </c>
      <c r="DH258" s="19" t="n"/>
      <c r="DI258" s="19" t="n"/>
      <c r="DJ258" s="19" t="n"/>
      <c r="DL258" s="5">
        <f>C258</f>
        <v/>
      </c>
      <c r="DP258" s="19" t="n"/>
      <c r="DQ258" s="19" t="n"/>
      <c r="DR258" s="19" t="n"/>
      <c r="DT258" s="5">
        <f>C258</f>
        <v/>
      </c>
      <c r="DX258" s="19" t="n"/>
      <c r="DY258" s="19" t="n"/>
      <c r="DZ258" s="19" t="n"/>
      <c r="EB258" s="5">
        <f>C258</f>
        <v/>
      </c>
      <c r="EF258" s="19" t="n"/>
      <c r="EG258" s="19" t="n"/>
      <c r="EH258" s="19" t="n"/>
      <c r="EJ258" s="5">
        <f>C258</f>
        <v/>
      </c>
      <c r="EN258" s="19" t="n"/>
      <c r="EO258" s="19" t="n"/>
      <c r="EP258" s="19" t="n"/>
      <c r="EQ258" s="19" t="n"/>
      <c r="ER258" s="5">
        <f>C258</f>
        <v/>
      </c>
      <c r="ES258" s="19" t="n"/>
      <c r="ET258" s="19" t="n"/>
      <c r="EU258" s="19" t="n"/>
      <c r="EV258" s="19" t="n"/>
      <c r="EW258" s="19" t="n"/>
      <c r="EX258" s="19" t="n"/>
      <c r="EZ258" s="5">
        <f>C258</f>
        <v/>
      </c>
      <c r="FD258" s="19" t="n"/>
      <c r="FE258" s="19" t="n"/>
      <c r="FF258" s="19" t="n"/>
      <c r="FG258" s="19" t="n"/>
      <c r="FH258" s="5">
        <f>C258</f>
        <v/>
      </c>
      <c r="FI258" s="633" t="n"/>
      <c r="FL258" s="19" t="n"/>
      <c r="FM258" s="19" t="n"/>
      <c r="FN258" s="19" t="n"/>
      <c r="FP258" s="5">
        <f>C258</f>
        <v/>
      </c>
      <c r="FT258" s="19" t="n"/>
      <c r="FU258" s="19" t="n"/>
      <c r="FV258" s="19" t="n"/>
      <c r="FX258" s="5">
        <f>C258</f>
        <v/>
      </c>
      <c r="GB258" s="19" t="n"/>
      <c r="GC258" s="19" t="n"/>
      <c r="GD258" s="19" t="n"/>
      <c r="GF258" s="5">
        <f>C258</f>
        <v/>
      </c>
      <c r="GJ258" s="19" t="n"/>
      <c r="GK258" s="19" t="n"/>
      <c r="GL258" s="19" t="n"/>
      <c r="GN258" s="5">
        <f>C258</f>
        <v/>
      </c>
      <c r="GR258" s="19" t="n"/>
      <c r="GS258" s="19" t="n"/>
      <c r="GT258" s="19" t="n"/>
      <c r="GV258" s="5">
        <f>C258</f>
        <v/>
      </c>
      <c r="GZ258" s="19" t="n"/>
      <c r="HA258" s="19" t="n"/>
      <c r="HB258" s="19" t="n"/>
      <c r="HD258" s="5">
        <f>C258</f>
        <v/>
      </c>
      <c r="HH258" s="19" t="n"/>
      <c r="HI258" s="19" t="n"/>
      <c r="HJ258" s="19" t="n"/>
      <c r="HL258" s="5">
        <f>C258</f>
        <v/>
      </c>
      <c r="HP258" s="19" t="n"/>
      <c r="HQ258" s="19" t="n"/>
      <c r="HR258" s="19" t="n"/>
      <c r="HT258" s="5">
        <f>C258</f>
        <v/>
      </c>
      <c r="HX258" s="19" t="n"/>
      <c r="HY258" s="19" t="n"/>
      <c r="HZ258" s="19" t="n"/>
      <c r="IB258" s="5">
        <f>C258</f>
        <v/>
      </c>
      <c r="IG258" s="19" t="n"/>
      <c r="IH258" s="19" t="n"/>
      <c r="IJ258" s="5">
        <f>C258</f>
        <v/>
      </c>
      <c r="IN258" s="19" t="n"/>
      <c r="IO258" s="19" t="n"/>
      <c r="IP258" s="19" t="n"/>
      <c r="IR258" s="5">
        <f>C258</f>
        <v/>
      </c>
      <c r="IV258" s="19" t="n"/>
      <c r="IW258" s="19" t="n"/>
      <c r="IX258" s="19" t="n"/>
      <c r="IZ258" s="5">
        <f>C258</f>
        <v/>
      </c>
      <c r="JD258" s="19" t="n"/>
      <c r="JE258" s="19" t="n"/>
      <c r="JF258" s="19" t="n"/>
      <c r="JH258" s="5">
        <f>C258</f>
        <v/>
      </c>
      <c r="JL258" s="19" t="n"/>
      <c r="JM258" s="19" t="n"/>
      <c r="JN258" s="19" t="n"/>
      <c r="JO258" s="19" t="n"/>
      <c r="JP258" s="5">
        <f>C258</f>
        <v/>
      </c>
      <c r="JT258" s="19" t="n"/>
      <c r="JU258" s="19" t="n"/>
      <c r="JV258" s="19" t="n"/>
      <c r="JW258" s="19" t="n"/>
      <c r="JX258" s="5">
        <f>C258</f>
        <v/>
      </c>
      <c r="KB258" s="19" t="n"/>
      <c r="KC258" s="19" t="n"/>
      <c r="KD258" s="19" t="n"/>
      <c r="KE258" s="19" t="n"/>
      <c r="KF258" s="5">
        <f>C258</f>
        <v/>
      </c>
      <c r="KG258" s="19" t="n"/>
      <c r="KH258" s="19" t="n"/>
      <c r="KJ258" s="19" t="n"/>
      <c r="KK258" s="19" t="n"/>
      <c r="KL258" s="19" t="n"/>
      <c r="KM258" s="19" t="n"/>
      <c r="KN258" s="5">
        <f>C258</f>
        <v/>
      </c>
      <c r="KR258" s="19" t="n"/>
      <c r="KS258" s="19" t="n"/>
      <c r="KT258" s="19" t="n"/>
      <c r="KV258" s="5">
        <f>C258</f>
        <v/>
      </c>
      <c r="KZ258" s="19" t="n"/>
      <c r="LA258" s="19" t="n"/>
      <c r="LB258" s="19" t="n"/>
      <c r="LD258" s="5">
        <f>C258</f>
        <v/>
      </c>
      <c r="LH258" s="19" t="n"/>
      <c r="LI258" s="19" t="n"/>
      <c r="LJ258" s="19" t="n"/>
      <c r="LL258" s="5">
        <f>C258</f>
        <v/>
      </c>
      <c r="LM258" s="633" t="n"/>
      <c r="LP258" s="19" t="n"/>
      <c r="LQ258" s="19" t="n"/>
      <c r="LR258" s="19" t="n"/>
      <c r="LT258" s="5">
        <f>C258</f>
        <v/>
      </c>
      <c r="LX258" s="19" t="n"/>
      <c r="LY258" s="19" t="n"/>
      <c r="LZ258" s="19" t="n"/>
      <c r="MB258" s="5">
        <f>C258</f>
        <v/>
      </c>
      <c r="MF258" s="19" t="n"/>
      <c r="MG258" s="19" t="n"/>
      <c r="MH258" s="19" t="n"/>
      <c r="MK258" s="5">
        <f>C258</f>
        <v/>
      </c>
      <c r="MM258" s="24" t="n"/>
      <c r="MO258" s="19" t="n"/>
      <c r="MP258" s="19" t="n"/>
      <c r="MQ258" s="19" t="n"/>
      <c r="MR258" s="19" t="n"/>
      <c r="MS258" s="19" t="n"/>
      <c r="MT258" s="25">
        <f>C258</f>
        <v/>
      </c>
      <c r="MX258" s="19" t="n"/>
      <c r="MY258" s="19" t="n"/>
      <c r="MZ258" s="19" t="n"/>
      <c r="NA258" s="19" t="n"/>
      <c r="NB258" s="19" t="n"/>
      <c r="NC258" s="5">
        <f>C258</f>
        <v/>
      </c>
      <c r="NG258" s="19" t="n"/>
      <c r="NH258" s="19" t="n"/>
      <c r="NI258" s="19" t="n"/>
      <c r="NJ258" s="19" t="n"/>
      <c r="NK258" s="19" t="n"/>
      <c r="NM258" s="5">
        <f>C258</f>
        <v/>
      </c>
      <c r="NQ258" s="19" t="n"/>
      <c r="NR258" s="19" t="n"/>
      <c r="NU258" s="5">
        <f>C258</f>
        <v/>
      </c>
      <c r="NY258" s="19" t="n"/>
      <c r="NZ258" s="19" t="n"/>
      <c r="OC258" s="5">
        <f>C258</f>
        <v/>
      </c>
      <c r="OG258" s="19" t="n"/>
      <c r="OH258" s="19" t="n"/>
      <c r="OI258" s="19" t="n"/>
      <c r="OK258" s="5">
        <f>C258</f>
        <v/>
      </c>
      <c r="OO258" s="19" t="n"/>
      <c r="OP258" s="19" t="n"/>
      <c r="OQ258" s="19" t="n"/>
      <c r="OT258" s="25">
        <f>OK258</f>
        <v/>
      </c>
      <c r="OX258" s="19" t="n"/>
    </row>
    <row r="259" ht="21" customFormat="1" customHeight="1" s="5">
      <c r="A259" s="631" t="n"/>
      <c r="B259" s="631" t="n"/>
      <c r="C259" s="714" t="inlineStr">
        <is>
          <t>2017//12//31</t>
        </is>
      </c>
      <c r="D259" s="591">
        <f>E259*10000</f>
        <v/>
      </c>
      <c r="E259" s="591" t="n">
        <v>49.84</v>
      </c>
      <c r="F259" s="523" t="n"/>
      <c r="G259" s="592" t="n"/>
      <c r="H259" s="592" t="n"/>
      <c r="I259" s="526" t="n"/>
      <c r="J259" s="526" t="n"/>
      <c r="K259" s="522">
        <f>C259</f>
        <v/>
      </c>
      <c r="L259" s="591">
        <f>M259*10000</f>
        <v/>
      </c>
      <c r="M259" s="591" t="n">
        <v>25.66</v>
      </c>
      <c r="N259" s="523" t="n"/>
      <c r="O259" s="594" t="n"/>
      <c r="P259" s="592" t="n"/>
      <c r="Q259" s="526" t="n"/>
      <c r="R259" s="523" t="n"/>
      <c r="S259" s="522">
        <f>C259</f>
        <v/>
      </c>
      <c r="T259" s="591">
        <f>U259*10000</f>
        <v/>
      </c>
      <c r="U259" s="591" t="n">
        <v>133.21</v>
      </c>
      <c r="V259" s="523" t="n"/>
      <c r="W259" s="592" t="n"/>
      <c r="X259" s="592" t="n"/>
      <c r="Y259" s="526" t="n"/>
      <c r="Z259" s="523" t="n"/>
      <c r="AA259" s="522">
        <f>S259</f>
        <v/>
      </c>
      <c r="AB259" s="591">
        <f>AC259*10000</f>
        <v/>
      </c>
      <c r="AC259" s="591" t="n">
        <v>43.81</v>
      </c>
      <c r="AD259" s="523" t="n"/>
      <c r="AE259" s="594" t="n"/>
      <c r="AF259" s="592" t="n"/>
      <c r="AG259" s="526" t="n"/>
      <c r="AH259" s="523" t="n"/>
      <c r="AI259" s="522">
        <f>C259</f>
        <v/>
      </c>
      <c r="AJ259" s="591">
        <f>AK259*10000</f>
        <v/>
      </c>
      <c r="AK259" s="522" t="n">
        <v>1.5</v>
      </c>
      <c r="AL259" s="523" t="n"/>
      <c r="AM259" s="594" t="n"/>
      <c r="AN259" s="592" t="n"/>
      <c r="AO259" s="526" t="n"/>
      <c r="AP259" s="523" t="n"/>
      <c r="AQ259" s="523">
        <f>C259</f>
        <v/>
      </c>
      <c r="AR259" s="634" t="n"/>
      <c r="AS259" s="523" t="n"/>
      <c r="AT259" s="523" t="n"/>
      <c r="AU259" s="526" t="n"/>
      <c r="AV259" s="526" t="n"/>
      <c r="AW259" s="526" t="n"/>
      <c r="AX259" s="523" t="n"/>
      <c r="AY259" s="523" t="n"/>
      <c r="AZ259" s="523">
        <f>C259</f>
        <v/>
      </c>
      <c r="BA259" s="523" t="n"/>
      <c r="BB259" s="523" t="n"/>
      <c r="BC259" s="523" t="n"/>
      <c r="BD259" s="526" t="n"/>
      <c r="BE259" s="526" t="n"/>
      <c r="BF259" s="526" t="n"/>
      <c r="BG259" s="631" t="n"/>
      <c r="BH259" s="5">
        <f>C259</f>
        <v/>
      </c>
      <c r="BL259" s="19" t="n"/>
      <c r="BM259" s="19" t="n"/>
      <c r="BN259" s="19" t="n"/>
      <c r="BP259" s="5">
        <f>C259</f>
        <v/>
      </c>
      <c r="BQ259" s="633" t="n"/>
      <c r="BT259" s="19" t="n"/>
      <c r="BU259" s="19" t="n"/>
      <c r="BV259" s="19" t="n"/>
      <c r="BX259" s="5">
        <f>C259</f>
        <v/>
      </c>
      <c r="CB259" s="19" t="n"/>
      <c r="CC259" s="19" t="n"/>
      <c r="CD259" s="19" t="n"/>
      <c r="CF259" s="5">
        <f>C259</f>
        <v/>
      </c>
      <c r="CJ259" s="19" t="n"/>
      <c r="CK259" s="19" t="n"/>
      <c r="CL259" s="19" t="n"/>
      <c r="CN259" s="5">
        <f>C259</f>
        <v/>
      </c>
      <c r="CR259" s="19" t="n"/>
      <c r="CS259" s="19" t="n"/>
      <c r="CT259" s="19" t="n"/>
      <c r="CV259" s="5">
        <f>C259</f>
        <v/>
      </c>
      <c r="CZ259" s="19" t="n"/>
      <c r="DA259" s="19" t="n"/>
      <c r="DB259" s="19" t="n"/>
      <c r="DC259" s="23" t="n"/>
      <c r="DD259" s="5">
        <f>C259</f>
        <v/>
      </c>
      <c r="DH259" s="19" t="n"/>
      <c r="DI259" s="19" t="n"/>
      <c r="DJ259" s="19" t="n"/>
      <c r="DL259" s="5">
        <f>C259</f>
        <v/>
      </c>
      <c r="DP259" s="19" t="n"/>
      <c r="DQ259" s="19" t="n"/>
      <c r="DR259" s="19" t="n"/>
      <c r="DT259" s="5">
        <f>C259</f>
        <v/>
      </c>
      <c r="DX259" s="19" t="n"/>
      <c r="DY259" s="19" t="n"/>
      <c r="DZ259" s="19" t="n"/>
      <c r="EB259" s="5">
        <f>C259</f>
        <v/>
      </c>
      <c r="EF259" s="19" t="n"/>
      <c r="EG259" s="19" t="n"/>
      <c r="EH259" s="19" t="n"/>
      <c r="EJ259" s="5">
        <f>C259</f>
        <v/>
      </c>
      <c r="EN259" s="19" t="n"/>
      <c r="EO259" s="19" t="n"/>
      <c r="EP259" s="19" t="n"/>
      <c r="EQ259" s="19" t="n"/>
      <c r="ER259" s="5">
        <f>C259</f>
        <v/>
      </c>
      <c r="ES259" s="19" t="n"/>
      <c r="ET259" s="19" t="n"/>
      <c r="EU259" s="19" t="n"/>
      <c r="EV259" s="19" t="n"/>
      <c r="EW259" s="19" t="n"/>
      <c r="EX259" s="19" t="n"/>
      <c r="EZ259" s="5">
        <f>C259</f>
        <v/>
      </c>
      <c r="FD259" s="19" t="n"/>
      <c r="FE259" s="19" t="n"/>
      <c r="FF259" s="19" t="n"/>
      <c r="FG259" s="19" t="n"/>
      <c r="FH259" s="5">
        <f>C259</f>
        <v/>
      </c>
      <c r="FI259" s="633" t="n"/>
      <c r="FL259" s="19" t="n"/>
      <c r="FM259" s="19" t="n"/>
      <c r="FN259" s="19" t="n"/>
      <c r="FP259" s="5">
        <f>C259</f>
        <v/>
      </c>
      <c r="FT259" s="19" t="n"/>
      <c r="FU259" s="19" t="n"/>
      <c r="FV259" s="19" t="n"/>
      <c r="FX259" s="5">
        <f>C259</f>
        <v/>
      </c>
      <c r="GB259" s="19" t="n"/>
      <c r="GC259" s="19" t="n"/>
      <c r="GD259" s="19" t="n"/>
      <c r="GF259" s="5">
        <f>C259</f>
        <v/>
      </c>
      <c r="GJ259" s="19" t="n"/>
      <c r="GK259" s="19" t="n"/>
      <c r="GL259" s="19" t="n"/>
      <c r="GN259" s="5">
        <f>C259</f>
        <v/>
      </c>
      <c r="GR259" s="19" t="n"/>
      <c r="GS259" s="19" t="n"/>
      <c r="GT259" s="19" t="n"/>
      <c r="GV259" s="5">
        <f>C259</f>
        <v/>
      </c>
      <c r="GZ259" s="19" t="n"/>
      <c r="HA259" s="19" t="n"/>
      <c r="HB259" s="19" t="n"/>
      <c r="HD259" s="5">
        <f>C259</f>
        <v/>
      </c>
      <c r="HH259" s="19" t="n"/>
      <c r="HI259" s="19" t="n"/>
      <c r="HJ259" s="19" t="n"/>
      <c r="HL259" s="5">
        <f>C259</f>
        <v/>
      </c>
      <c r="HP259" s="19" t="n"/>
      <c r="HQ259" s="19" t="n"/>
      <c r="HR259" s="19" t="n"/>
      <c r="HT259" s="5">
        <f>C259</f>
        <v/>
      </c>
      <c r="HX259" s="19" t="n"/>
      <c r="HY259" s="19" t="n"/>
      <c r="HZ259" s="19" t="n"/>
      <c r="IB259" s="5">
        <f>C259</f>
        <v/>
      </c>
      <c r="IG259" s="19" t="n"/>
      <c r="IH259" s="19" t="n"/>
      <c r="IJ259" s="5">
        <f>C259</f>
        <v/>
      </c>
      <c r="IN259" s="19" t="n"/>
      <c r="IO259" s="19" t="n"/>
      <c r="IP259" s="19" t="n"/>
      <c r="IR259" s="5">
        <f>C259</f>
        <v/>
      </c>
      <c r="IV259" s="19" t="n"/>
      <c r="IW259" s="19" t="n"/>
      <c r="IX259" s="19" t="n"/>
      <c r="IZ259" s="5">
        <f>C259</f>
        <v/>
      </c>
      <c r="JD259" s="19" t="n"/>
      <c r="JE259" s="19" t="n"/>
      <c r="JF259" s="19" t="n"/>
      <c r="JH259" s="5">
        <f>C259</f>
        <v/>
      </c>
      <c r="JL259" s="19" t="n"/>
      <c r="JM259" s="19" t="n"/>
      <c r="JN259" s="19" t="n"/>
      <c r="JO259" s="19" t="n"/>
      <c r="JP259" s="5">
        <f>C259</f>
        <v/>
      </c>
      <c r="JT259" s="19" t="n"/>
      <c r="JU259" s="19" t="n"/>
      <c r="JV259" s="19" t="n"/>
      <c r="JW259" s="19" t="n"/>
      <c r="JX259" s="5">
        <f>C259</f>
        <v/>
      </c>
      <c r="KB259" s="19" t="n"/>
      <c r="KC259" s="19" t="n"/>
      <c r="KD259" s="19" t="n"/>
      <c r="KE259" s="19" t="n"/>
      <c r="KF259" s="5">
        <f>C259</f>
        <v/>
      </c>
      <c r="KG259" s="19" t="n"/>
      <c r="KH259" s="19" t="n"/>
      <c r="KJ259" s="19" t="n"/>
      <c r="KK259" s="19" t="n"/>
      <c r="KL259" s="19" t="n"/>
      <c r="KM259" s="19" t="n"/>
      <c r="KN259" s="5">
        <f>C259</f>
        <v/>
      </c>
      <c r="KR259" s="19" t="n"/>
      <c r="KS259" s="19" t="n"/>
      <c r="KT259" s="19" t="n"/>
      <c r="KV259" s="5">
        <f>C259</f>
        <v/>
      </c>
      <c r="KZ259" s="19" t="n"/>
      <c r="LA259" s="19" t="n"/>
      <c r="LB259" s="19" t="n"/>
      <c r="LD259" s="5">
        <f>C259</f>
        <v/>
      </c>
      <c r="LH259" s="19" t="n"/>
      <c r="LI259" s="19" t="n"/>
      <c r="LJ259" s="19" t="n"/>
      <c r="LL259" s="5">
        <f>C259</f>
        <v/>
      </c>
      <c r="LM259" s="633" t="n"/>
      <c r="LP259" s="19" t="n"/>
      <c r="LQ259" s="19" t="n"/>
      <c r="LR259" s="19" t="n"/>
      <c r="LT259" s="5">
        <f>C259</f>
        <v/>
      </c>
      <c r="LX259" s="19" t="n"/>
      <c r="LY259" s="19" t="n"/>
      <c r="LZ259" s="19" t="n"/>
      <c r="MB259" s="5">
        <f>C259</f>
        <v/>
      </c>
      <c r="MF259" s="19" t="n"/>
      <c r="MG259" s="19" t="n"/>
      <c r="MH259" s="19" t="n"/>
      <c r="MK259" s="5">
        <f>C259</f>
        <v/>
      </c>
      <c r="MM259" s="24" t="n"/>
      <c r="MO259" s="19" t="n"/>
      <c r="MP259" s="19" t="n"/>
      <c r="MQ259" s="19" t="n"/>
      <c r="MR259" s="19" t="n"/>
      <c r="MS259" s="19" t="n"/>
      <c r="MT259" s="25">
        <f>C259</f>
        <v/>
      </c>
      <c r="MX259" s="19" t="n"/>
      <c r="MY259" s="19" t="n"/>
      <c r="MZ259" s="19" t="n"/>
      <c r="NA259" s="19" t="n"/>
      <c r="NB259" s="19" t="n"/>
      <c r="NC259" s="5">
        <f>C259</f>
        <v/>
      </c>
      <c r="NG259" s="19" t="n"/>
      <c r="NH259" s="19" t="n"/>
      <c r="NI259" s="19" t="n"/>
      <c r="NJ259" s="19" t="n"/>
      <c r="NK259" s="19" t="n"/>
      <c r="NM259" s="5">
        <f>C259</f>
        <v/>
      </c>
      <c r="NQ259" s="19" t="n"/>
      <c r="NR259" s="19" t="n"/>
      <c r="NU259" s="5">
        <f>C259</f>
        <v/>
      </c>
      <c r="NY259" s="19" t="n"/>
      <c r="NZ259" s="19" t="n"/>
      <c r="OC259" s="5">
        <f>C259</f>
        <v/>
      </c>
      <c r="OG259" s="19" t="n"/>
      <c r="OH259" s="19" t="n"/>
      <c r="OI259" s="19" t="n"/>
      <c r="OK259" s="5">
        <f>C259</f>
        <v/>
      </c>
      <c r="OO259" s="19" t="n"/>
      <c r="OP259" s="19" t="n"/>
      <c r="OQ259" s="19" t="n"/>
      <c r="OT259" s="25">
        <f>OK259</f>
        <v/>
      </c>
      <c r="OX259" s="19" t="n"/>
    </row>
    <row r="260" ht="21" customFormat="1" customHeight="1" s="5">
      <c r="A260" s="631" t="n"/>
      <c r="B260" s="631" t="n"/>
      <c r="C260" s="714" t="inlineStr">
        <is>
          <t>2017//9//30</t>
        </is>
      </c>
      <c r="D260" s="591">
        <f>E260*10000</f>
        <v/>
      </c>
      <c r="E260" s="591" t="n">
        <v>45.54</v>
      </c>
      <c r="F260" s="523" t="n"/>
      <c r="G260" s="592" t="n"/>
      <c r="H260" s="592" t="n"/>
      <c r="I260" s="526" t="n"/>
      <c r="J260" s="526" t="n"/>
      <c r="K260" s="522">
        <f>C260</f>
        <v/>
      </c>
      <c r="L260" s="591">
        <f>M260*10000</f>
        <v/>
      </c>
      <c r="M260" s="591" t="inlineStr">
        <is>
          <t>---</t>
        </is>
      </c>
      <c r="N260" s="523" t="n"/>
      <c r="O260" s="594" t="n"/>
      <c r="P260" s="592" t="n"/>
      <c r="Q260" s="526" t="n"/>
      <c r="R260" s="523" t="n"/>
      <c r="S260" s="522">
        <f>C260</f>
        <v/>
      </c>
      <c r="T260" s="591">
        <f>U260*10000</f>
        <v/>
      </c>
      <c r="U260" s="591" t="n">
        <v>133</v>
      </c>
      <c r="V260" s="523" t="n"/>
      <c r="W260" s="592" t="n"/>
      <c r="X260" s="592" t="n"/>
      <c r="Y260" s="526" t="n"/>
      <c r="Z260" s="523" t="n"/>
      <c r="AA260" s="522">
        <f>S260</f>
        <v/>
      </c>
      <c r="AB260" s="591">
        <f>AC260*10000</f>
        <v/>
      </c>
      <c r="AC260" s="591" t="n">
        <v>34.78</v>
      </c>
      <c r="AD260" s="523" t="n"/>
      <c r="AE260" s="594" t="n"/>
      <c r="AF260" s="592" t="n"/>
      <c r="AG260" s="526" t="n"/>
      <c r="AH260" s="523" t="n"/>
      <c r="AI260" s="522">
        <f>C260</f>
        <v/>
      </c>
      <c r="AJ260" s="591">
        <f>AK260*10000</f>
        <v/>
      </c>
      <c r="AK260" s="522" t="n">
        <v>1.29</v>
      </c>
      <c r="AL260" s="523" t="n"/>
      <c r="AM260" s="594" t="n"/>
      <c r="AN260" s="592" t="n"/>
      <c r="AO260" s="526" t="n"/>
      <c r="AP260" s="523" t="n"/>
      <c r="AQ260" s="523">
        <f>C260</f>
        <v/>
      </c>
      <c r="AR260" s="634" t="n"/>
      <c r="AS260" s="523" t="n"/>
      <c r="AT260" s="523" t="n"/>
      <c r="AU260" s="526" t="n"/>
      <c r="AV260" s="526" t="n"/>
      <c r="AW260" s="526" t="n"/>
      <c r="AX260" s="523" t="n"/>
      <c r="AY260" s="523" t="n"/>
      <c r="AZ260" s="523">
        <f>C260</f>
        <v/>
      </c>
      <c r="BA260" s="523" t="n"/>
      <c r="BB260" s="523" t="n"/>
      <c r="BC260" s="523" t="n"/>
      <c r="BD260" s="526" t="n"/>
      <c r="BE260" s="526" t="n"/>
      <c r="BF260" s="526" t="n"/>
      <c r="BG260" s="631" t="n"/>
      <c r="BH260" s="5">
        <f>C260</f>
        <v/>
      </c>
      <c r="BL260" s="19" t="n"/>
      <c r="BM260" s="19" t="n"/>
      <c r="BN260" s="19" t="n"/>
      <c r="BP260" s="5">
        <f>C260</f>
        <v/>
      </c>
      <c r="BQ260" s="633" t="n"/>
      <c r="BT260" s="19" t="n"/>
      <c r="BU260" s="19" t="n"/>
      <c r="BV260" s="19" t="n"/>
      <c r="BX260" s="5">
        <f>C260</f>
        <v/>
      </c>
      <c r="CB260" s="19" t="n"/>
      <c r="CC260" s="19" t="n"/>
      <c r="CD260" s="19" t="n"/>
      <c r="CF260" s="5">
        <f>C260</f>
        <v/>
      </c>
      <c r="CJ260" s="19" t="n"/>
      <c r="CK260" s="19" t="n"/>
      <c r="CL260" s="19" t="n"/>
      <c r="CN260" s="5">
        <f>C260</f>
        <v/>
      </c>
      <c r="CR260" s="19" t="n"/>
      <c r="CS260" s="19" t="n"/>
      <c r="CT260" s="19" t="n"/>
      <c r="CV260" s="5">
        <f>C260</f>
        <v/>
      </c>
      <c r="CZ260" s="19" t="n"/>
      <c r="DA260" s="19" t="n"/>
      <c r="DB260" s="19" t="n"/>
      <c r="DC260" s="23" t="n"/>
      <c r="DD260" s="5">
        <f>C260</f>
        <v/>
      </c>
      <c r="DH260" s="19" t="n"/>
      <c r="DI260" s="19" t="n"/>
      <c r="DJ260" s="19" t="n"/>
      <c r="DL260" s="5">
        <f>C260</f>
        <v/>
      </c>
      <c r="DP260" s="19" t="n"/>
      <c r="DQ260" s="19" t="n"/>
      <c r="DR260" s="19" t="n"/>
      <c r="DT260" s="5">
        <f>C260</f>
        <v/>
      </c>
      <c r="DX260" s="19" t="n"/>
      <c r="DY260" s="19" t="n"/>
      <c r="DZ260" s="19" t="n"/>
      <c r="EB260" s="5">
        <f>C260</f>
        <v/>
      </c>
      <c r="EF260" s="19" t="n"/>
      <c r="EG260" s="19" t="n"/>
      <c r="EH260" s="19" t="n"/>
      <c r="EJ260" s="5">
        <f>C260</f>
        <v/>
      </c>
      <c r="EN260" s="19" t="n"/>
      <c r="EO260" s="19" t="n"/>
      <c r="EP260" s="19" t="n"/>
      <c r="EQ260" s="19" t="n"/>
      <c r="ER260" s="5">
        <f>C260</f>
        <v/>
      </c>
      <c r="ES260" s="19" t="n"/>
      <c r="ET260" s="19" t="n"/>
      <c r="EU260" s="19" t="n"/>
      <c r="EV260" s="19" t="n"/>
      <c r="EW260" s="19" t="n"/>
      <c r="EX260" s="19" t="n"/>
      <c r="EZ260" s="5">
        <f>C260</f>
        <v/>
      </c>
      <c r="FD260" s="19" t="n"/>
      <c r="FE260" s="19" t="n"/>
      <c r="FF260" s="19" t="n"/>
      <c r="FG260" s="19" t="n"/>
      <c r="FH260" s="5">
        <f>C260</f>
        <v/>
      </c>
      <c r="FI260" s="633" t="n"/>
      <c r="FL260" s="19" t="n"/>
      <c r="FM260" s="19" t="n"/>
      <c r="FN260" s="19" t="n"/>
      <c r="FP260" s="5">
        <f>C260</f>
        <v/>
      </c>
      <c r="FT260" s="19" t="n"/>
      <c r="FU260" s="19" t="n"/>
      <c r="FV260" s="19" t="n"/>
      <c r="FX260" s="5">
        <f>C260</f>
        <v/>
      </c>
      <c r="GB260" s="19" t="n"/>
      <c r="GC260" s="19" t="n"/>
      <c r="GD260" s="19" t="n"/>
      <c r="GF260" s="5">
        <f>C260</f>
        <v/>
      </c>
      <c r="GJ260" s="19" t="n"/>
      <c r="GK260" s="19" t="n"/>
      <c r="GL260" s="19" t="n"/>
      <c r="GN260" s="5">
        <f>C260</f>
        <v/>
      </c>
      <c r="GR260" s="19" t="n"/>
      <c r="GS260" s="19" t="n"/>
      <c r="GT260" s="19" t="n"/>
      <c r="GV260" s="5">
        <f>C260</f>
        <v/>
      </c>
      <c r="GZ260" s="19" t="n"/>
      <c r="HA260" s="19" t="n"/>
      <c r="HB260" s="19" t="n"/>
      <c r="HD260" s="5">
        <f>C260</f>
        <v/>
      </c>
      <c r="HH260" s="19" t="n"/>
      <c r="HI260" s="19" t="n"/>
      <c r="HJ260" s="19" t="n"/>
      <c r="HL260" s="5">
        <f>C260</f>
        <v/>
      </c>
      <c r="HP260" s="19" t="n"/>
      <c r="HQ260" s="19" t="n"/>
      <c r="HR260" s="19" t="n"/>
      <c r="HT260" s="5">
        <f>C260</f>
        <v/>
      </c>
      <c r="HX260" s="19" t="n"/>
      <c r="HY260" s="19" t="n"/>
      <c r="HZ260" s="19" t="n"/>
      <c r="IB260" s="5">
        <f>C260</f>
        <v/>
      </c>
      <c r="IG260" s="19" t="n"/>
      <c r="IH260" s="19" t="n"/>
      <c r="IJ260" s="5">
        <f>C260</f>
        <v/>
      </c>
      <c r="IN260" s="19" t="n"/>
      <c r="IO260" s="19" t="n"/>
      <c r="IP260" s="19" t="n"/>
      <c r="IR260" s="5">
        <f>C260</f>
        <v/>
      </c>
      <c r="IV260" s="19" t="n"/>
      <c r="IW260" s="19" t="n"/>
      <c r="IX260" s="19" t="n"/>
      <c r="IZ260" s="5">
        <f>C260</f>
        <v/>
      </c>
      <c r="JD260" s="19" t="n"/>
      <c r="JE260" s="19" t="n"/>
      <c r="JF260" s="19" t="n"/>
      <c r="JH260" s="5">
        <f>C260</f>
        <v/>
      </c>
      <c r="JL260" s="19" t="n"/>
      <c r="JM260" s="19" t="n"/>
      <c r="JN260" s="19" t="n"/>
      <c r="JO260" s="19" t="n"/>
      <c r="JP260" s="5">
        <f>C260</f>
        <v/>
      </c>
      <c r="JT260" s="19" t="n"/>
      <c r="JU260" s="19" t="n"/>
      <c r="JV260" s="19" t="n"/>
      <c r="JW260" s="19" t="n"/>
      <c r="JX260" s="5">
        <f>C260</f>
        <v/>
      </c>
      <c r="KB260" s="19" t="n"/>
      <c r="KC260" s="19" t="n"/>
      <c r="KD260" s="19" t="n"/>
      <c r="KE260" s="19" t="n"/>
      <c r="KF260" s="5">
        <f>C260</f>
        <v/>
      </c>
      <c r="KG260" s="19" t="n"/>
      <c r="KH260" s="19" t="n"/>
      <c r="KJ260" s="19" t="n"/>
      <c r="KK260" s="19" t="n"/>
      <c r="KL260" s="19" t="n"/>
      <c r="KM260" s="19" t="n"/>
      <c r="KN260" s="5">
        <f>C260</f>
        <v/>
      </c>
      <c r="KR260" s="19" t="n"/>
      <c r="KS260" s="19" t="n"/>
      <c r="KT260" s="19" t="n"/>
      <c r="KV260" s="5">
        <f>C260</f>
        <v/>
      </c>
      <c r="KZ260" s="19" t="n"/>
      <c r="LA260" s="19" t="n"/>
      <c r="LB260" s="19" t="n"/>
      <c r="LD260" s="5">
        <f>C260</f>
        <v/>
      </c>
      <c r="LH260" s="19" t="n"/>
      <c r="LI260" s="19" t="n"/>
      <c r="LJ260" s="19" t="n"/>
      <c r="LL260" s="5">
        <f>C260</f>
        <v/>
      </c>
      <c r="LM260" s="633" t="n"/>
      <c r="LP260" s="19" t="n"/>
      <c r="LQ260" s="19" t="n"/>
      <c r="LR260" s="19" t="n"/>
      <c r="LT260" s="5">
        <f>C260</f>
        <v/>
      </c>
      <c r="LX260" s="19" t="n"/>
      <c r="LY260" s="19" t="n"/>
      <c r="LZ260" s="19" t="n"/>
      <c r="MB260" s="5">
        <f>C260</f>
        <v/>
      </c>
      <c r="MF260" s="19" t="n"/>
      <c r="MG260" s="19" t="n"/>
      <c r="MH260" s="19" t="n"/>
      <c r="MK260" s="5">
        <f>C260</f>
        <v/>
      </c>
      <c r="MM260" s="24" t="n"/>
      <c r="MO260" s="19" t="n"/>
      <c r="MP260" s="19" t="n"/>
      <c r="MQ260" s="19" t="n"/>
      <c r="MR260" s="19" t="n"/>
      <c r="MS260" s="19" t="n"/>
      <c r="MT260" s="25">
        <f>C260</f>
        <v/>
      </c>
      <c r="MX260" s="19" t="n"/>
      <c r="MY260" s="19" t="n"/>
      <c r="MZ260" s="19" t="n"/>
      <c r="NA260" s="19" t="n"/>
      <c r="NB260" s="19" t="n"/>
      <c r="NC260" s="5">
        <f>C260</f>
        <v/>
      </c>
      <c r="NG260" s="19" t="n"/>
      <c r="NH260" s="19" t="n"/>
      <c r="NI260" s="19" t="n"/>
      <c r="NJ260" s="19" t="n"/>
      <c r="NK260" s="19" t="n"/>
      <c r="NM260" s="5">
        <f>C260</f>
        <v/>
      </c>
      <c r="NQ260" s="19" t="n"/>
      <c r="NR260" s="19" t="n"/>
      <c r="NU260" s="5">
        <f>C260</f>
        <v/>
      </c>
      <c r="NY260" s="19" t="n"/>
      <c r="NZ260" s="19" t="n"/>
      <c r="OC260" s="5">
        <f>C260</f>
        <v/>
      </c>
      <c r="OG260" s="19" t="n"/>
      <c r="OH260" s="19" t="n"/>
      <c r="OI260" s="19" t="n"/>
      <c r="OK260" s="5">
        <f>C260</f>
        <v/>
      </c>
      <c r="OO260" s="19" t="n"/>
      <c r="OP260" s="19" t="n"/>
      <c r="OQ260" s="19" t="n"/>
      <c r="OT260" s="25">
        <f>OK260</f>
        <v/>
      </c>
      <c r="OX260" s="19" t="n"/>
    </row>
    <row r="261" ht="21" customFormat="1" customHeight="1" s="5">
      <c r="A261" s="631" t="n"/>
      <c r="B261" s="631" t="n"/>
      <c r="C261" s="714" t="inlineStr">
        <is>
          <t>2017//6//30</t>
        </is>
      </c>
      <c r="D261" s="591">
        <f>E261*10000</f>
        <v/>
      </c>
      <c r="E261" s="591" t="n">
        <v>52.08</v>
      </c>
      <c r="F261" s="523" t="n"/>
      <c r="G261" s="592" t="n"/>
      <c r="H261" s="592" t="n"/>
      <c r="I261" s="526" t="n"/>
      <c r="J261" s="526" t="n"/>
      <c r="K261" s="522">
        <f>C261</f>
        <v/>
      </c>
      <c r="L261" s="591">
        <f>M261*10000</f>
        <v/>
      </c>
      <c r="M261" s="591" t="n">
        <v>24.9</v>
      </c>
      <c r="N261" s="523" t="n"/>
      <c r="O261" s="594" t="n"/>
      <c r="P261" s="592" t="n"/>
      <c r="Q261" s="526" t="n"/>
      <c r="R261" s="523" t="n"/>
      <c r="S261" s="522">
        <f>C261</f>
        <v/>
      </c>
      <c r="T261" s="591">
        <f>U261*10000</f>
        <v/>
      </c>
      <c r="U261" s="591" t="n">
        <v>117.02</v>
      </c>
      <c r="V261" s="523" t="n"/>
      <c r="W261" s="592" t="n"/>
      <c r="X261" s="592" t="n"/>
      <c r="Y261" s="526" t="n"/>
      <c r="Z261" s="523" t="n"/>
      <c r="AA261" s="522">
        <f>S261</f>
        <v/>
      </c>
      <c r="AB261" s="591">
        <f>AC261*10000</f>
        <v/>
      </c>
      <c r="AC261" s="591" t="n">
        <v>28.11</v>
      </c>
      <c r="AD261" s="523" t="n"/>
      <c r="AE261" s="594" t="n"/>
      <c r="AF261" s="592" t="n"/>
      <c r="AG261" s="526" t="n"/>
      <c r="AH261" s="523" t="n"/>
      <c r="AI261" s="522">
        <f>C261</f>
        <v/>
      </c>
      <c r="AJ261" s="591">
        <f>AK261*10000</f>
        <v/>
      </c>
      <c r="AK261" s="522" t="n">
        <v>1.23</v>
      </c>
      <c r="AL261" s="523" t="n"/>
      <c r="AM261" s="594" t="n"/>
      <c r="AN261" s="592" t="n"/>
      <c r="AO261" s="526" t="n"/>
      <c r="AP261" s="523" t="n"/>
      <c r="AQ261" s="523">
        <f>C261</f>
        <v/>
      </c>
      <c r="AR261" s="634" t="n"/>
      <c r="AS261" s="523" t="n"/>
      <c r="AT261" s="523" t="n"/>
      <c r="AU261" s="526" t="n"/>
      <c r="AV261" s="526" t="n"/>
      <c r="AW261" s="526" t="n"/>
      <c r="AX261" s="523" t="n"/>
      <c r="AY261" s="523" t="n"/>
      <c r="AZ261" s="523">
        <f>C261</f>
        <v/>
      </c>
      <c r="BA261" s="523" t="n"/>
      <c r="BB261" s="523" t="n"/>
      <c r="BC261" s="523" t="n"/>
      <c r="BD261" s="526" t="n"/>
      <c r="BE261" s="526" t="n"/>
      <c r="BF261" s="526" t="n"/>
      <c r="BG261" s="631" t="n"/>
      <c r="BH261" s="5">
        <f>C261</f>
        <v/>
      </c>
      <c r="BL261" s="19" t="n"/>
      <c r="BM261" s="19" t="n"/>
      <c r="BN261" s="19" t="n"/>
      <c r="BP261" s="5">
        <f>C261</f>
        <v/>
      </c>
      <c r="BQ261" s="633" t="n"/>
      <c r="BT261" s="19" t="n"/>
      <c r="BU261" s="19" t="n"/>
      <c r="BV261" s="19" t="n"/>
      <c r="BX261" s="5">
        <f>C261</f>
        <v/>
      </c>
      <c r="CB261" s="19" t="n"/>
      <c r="CC261" s="19" t="n"/>
      <c r="CD261" s="19" t="n"/>
      <c r="CF261" s="5">
        <f>C261</f>
        <v/>
      </c>
      <c r="CJ261" s="19" t="n"/>
      <c r="CK261" s="19" t="n"/>
      <c r="CL261" s="19" t="n"/>
      <c r="CN261" s="5">
        <f>C261</f>
        <v/>
      </c>
      <c r="CR261" s="19" t="n"/>
      <c r="CS261" s="19" t="n"/>
      <c r="CT261" s="19" t="n"/>
      <c r="CV261" s="5">
        <f>C261</f>
        <v/>
      </c>
      <c r="CZ261" s="19" t="n"/>
      <c r="DA261" s="19" t="n"/>
      <c r="DB261" s="19" t="n"/>
      <c r="DC261" s="23" t="n"/>
      <c r="DD261" s="5">
        <f>C261</f>
        <v/>
      </c>
      <c r="DH261" s="19" t="n"/>
      <c r="DI261" s="19" t="n"/>
      <c r="DJ261" s="19" t="n"/>
      <c r="DL261" s="5">
        <f>C261</f>
        <v/>
      </c>
      <c r="DP261" s="19" t="n"/>
      <c r="DQ261" s="19" t="n"/>
      <c r="DR261" s="19" t="n"/>
      <c r="DT261" s="5">
        <f>C261</f>
        <v/>
      </c>
      <c r="DX261" s="19" t="n"/>
      <c r="DY261" s="19" t="n"/>
      <c r="DZ261" s="19" t="n"/>
      <c r="EB261" s="5">
        <f>C261</f>
        <v/>
      </c>
      <c r="EF261" s="19" t="n"/>
      <c r="EG261" s="19" t="n"/>
      <c r="EH261" s="19" t="n"/>
      <c r="EJ261" s="5">
        <f>C261</f>
        <v/>
      </c>
      <c r="EN261" s="19" t="n"/>
      <c r="EO261" s="19" t="n"/>
      <c r="EP261" s="19" t="n"/>
      <c r="EQ261" s="19" t="n"/>
      <c r="ER261" s="5">
        <f>C261</f>
        <v/>
      </c>
      <c r="ES261" s="19" t="n"/>
      <c r="ET261" s="19" t="n"/>
      <c r="EU261" s="19" t="n"/>
      <c r="EV261" s="19" t="n"/>
      <c r="EW261" s="19" t="n"/>
      <c r="EX261" s="19" t="n"/>
      <c r="EZ261" s="5">
        <f>C261</f>
        <v/>
      </c>
      <c r="FD261" s="19" t="n"/>
      <c r="FE261" s="19" t="n"/>
      <c r="FF261" s="19" t="n"/>
      <c r="FG261" s="19" t="n"/>
      <c r="FH261" s="5">
        <f>C261</f>
        <v/>
      </c>
      <c r="FI261" s="633" t="n"/>
      <c r="FL261" s="19" t="n"/>
      <c r="FM261" s="19" t="n"/>
      <c r="FN261" s="19" t="n"/>
      <c r="FP261" s="5">
        <f>C261</f>
        <v/>
      </c>
      <c r="FT261" s="19" t="n"/>
      <c r="FU261" s="19" t="n"/>
      <c r="FV261" s="19" t="n"/>
      <c r="FX261" s="5">
        <f>C261</f>
        <v/>
      </c>
      <c r="GB261" s="19" t="n"/>
      <c r="GC261" s="19" t="n"/>
      <c r="GD261" s="19" t="n"/>
      <c r="GF261" s="5">
        <f>C261</f>
        <v/>
      </c>
      <c r="GJ261" s="19" t="n"/>
      <c r="GK261" s="19" t="n"/>
      <c r="GL261" s="19" t="n"/>
      <c r="GN261" s="5">
        <f>C261</f>
        <v/>
      </c>
      <c r="GR261" s="19" t="n"/>
      <c r="GS261" s="19" t="n"/>
      <c r="GT261" s="19" t="n"/>
      <c r="GV261" s="5">
        <f>C261</f>
        <v/>
      </c>
      <c r="GZ261" s="19" t="n"/>
      <c r="HA261" s="19" t="n"/>
      <c r="HB261" s="19" t="n"/>
      <c r="HD261" s="5">
        <f>C261</f>
        <v/>
      </c>
      <c r="HH261" s="19" t="n"/>
      <c r="HI261" s="19" t="n"/>
      <c r="HJ261" s="19" t="n"/>
      <c r="HL261" s="5">
        <f>C261</f>
        <v/>
      </c>
      <c r="HP261" s="19" t="n"/>
      <c r="HQ261" s="19" t="n"/>
      <c r="HR261" s="19" t="n"/>
      <c r="HT261" s="5">
        <f>C261</f>
        <v/>
      </c>
      <c r="HX261" s="19" t="n"/>
      <c r="HY261" s="19" t="n"/>
      <c r="HZ261" s="19" t="n"/>
      <c r="IB261" s="5">
        <f>C261</f>
        <v/>
      </c>
      <c r="IG261" s="19" t="n"/>
      <c r="IH261" s="19" t="n"/>
      <c r="IJ261" s="5">
        <f>C261</f>
        <v/>
      </c>
      <c r="IN261" s="19" t="n"/>
      <c r="IO261" s="19" t="n"/>
      <c r="IP261" s="19" t="n"/>
      <c r="IR261" s="5">
        <f>C261</f>
        <v/>
      </c>
      <c r="IV261" s="19" t="n"/>
      <c r="IW261" s="19" t="n"/>
      <c r="IX261" s="19" t="n"/>
      <c r="IZ261" s="5">
        <f>C261</f>
        <v/>
      </c>
      <c r="JD261" s="19" t="n"/>
      <c r="JE261" s="19" t="n"/>
      <c r="JF261" s="19" t="n"/>
      <c r="JH261" s="5">
        <f>C261</f>
        <v/>
      </c>
      <c r="JL261" s="19" t="n"/>
      <c r="JM261" s="19" t="n"/>
      <c r="JN261" s="19" t="n"/>
      <c r="JO261" s="19" t="n"/>
      <c r="JP261" s="5">
        <f>C261</f>
        <v/>
      </c>
      <c r="JT261" s="19" t="n"/>
      <c r="JU261" s="19" t="n"/>
      <c r="JV261" s="19" t="n"/>
      <c r="JW261" s="19" t="n"/>
      <c r="JX261" s="5">
        <f>C261</f>
        <v/>
      </c>
      <c r="KB261" s="19" t="n"/>
      <c r="KC261" s="19" t="n"/>
      <c r="KD261" s="19" t="n"/>
      <c r="KE261" s="19" t="n"/>
      <c r="KF261" s="5">
        <f>C261</f>
        <v/>
      </c>
      <c r="KG261" s="19" t="n"/>
      <c r="KH261" s="19" t="n"/>
      <c r="KJ261" s="19" t="n"/>
      <c r="KK261" s="19" t="n"/>
      <c r="KL261" s="19" t="n"/>
      <c r="KM261" s="19" t="n"/>
      <c r="KN261" s="5">
        <f>C261</f>
        <v/>
      </c>
      <c r="KR261" s="19" t="n"/>
      <c r="KS261" s="19" t="n"/>
      <c r="KT261" s="19" t="n"/>
      <c r="KV261" s="5">
        <f>C261</f>
        <v/>
      </c>
      <c r="KZ261" s="19" t="n"/>
      <c r="LA261" s="19" t="n"/>
      <c r="LB261" s="19" t="n"/>
      <c r="LD261" s="5">
        <f>C261</f>
        <v/>
      </c>
      <c r="LH261" s="19" t="n"/>
      <c r="LI261" s="19" t="n"/>
      <c r="LJ261" s="19" t="n"/>
      <c r="LL261" s="5">
        <f>C261</f>
        <v/>
      </c>
      <c r="LM261" s="633" t="n"/>
      <c r="LP261" s="19" t="n"/>
      <c r="LQ261" s="19" t="n"/>
      <c r="LR261" s="19" t="n"/>
      <c r="LT261" s="5">
        <f>C261</f>
        <v/>
      </c>
      <c r="LX261" s="19" t="n"/>
      <c r="LY261" s="19" t="n"/>
      <c r="LZ261" s="19" t="n"/>
      <c r="MB261" s="5">
        <f>C261</f>
        <v/>
      </c>
      <c r="MF261" s="19" t="n"/>
      <c r="MG261" s="19" t="n"/>
      <c r="MH261" s="19" t="n"/>
      <c r="MK261" s="5">
        <f>C261</f>
        <v/>
      </c>
      <c r="MM261" s="24" t="n"/>
      <c r="MO261" s="19" t="n"/>
      <c r="MP261" s="19" t="n"/>
      <c r="MQ261" s="19" t="n"/>
      <c r="MR261" s="19" t="n"/>
      <c r="MS261" s="19" t="n"/>
      <c r="MT261" s="25">
        <f>C261</f>
        <v/>
      </c>
      <c r="MX261" s="19" t="n"/>
      <c r="MY261" s="19" t="n"/>
      <c r="MZ261" s="19" t="n"/>
      <c r="NA261" s="19" t="n"/>
      <c r="NB261" s="19" t="n"/>
      <c r="NC261" s="5">
        <f>C261</f>
        <v/>
      </c>
      <c r="NG261" s="19" t="n"/>
      <c r="NH261" s="19" t="n"/>
      <c r="NI261" s="19" t="n"/>
      <c r="NJ261" s="19" t="n"/>
      <c r="NK261" s="19" t="n"/>
      <c r="NM261" s="5">
        <f>C261</f>
        <v/>
      </c>
      <c r="NQ261" s="19" t="n"/>
      <c r="NR261" s="19" t="n"/>
      <c r="NU261" s="5">
        <f>C261</f>
        <v/>
      </c>
      <c r="NY261" s="19" t="n"/>
      <c r="NZ261" s="19" t="n"/>
      <c r="OC261" s="5">
        <f>C261</f>
        <v/>
      </c>
      <c r="OG261" s="19" t="n"/>
      <c r="OH261" s="19" t="n"/>
      <c r="OI261" s="19" t="n"/>
      <c r="OK261" s="5">
        <f>C261</f>
        <v/>
      </c>
      <c r="OO261" s="19" t="n"/>
      <c r="OP261" s="19" t="n"/>
      <c r="OQ261" s="19" t="n"/>
      <c r="OT261" s="25">
        <f>OK261</f>
        <v/>
      </c>
      <c r="OX261" s="19" t="n"/>
    </row>
    <row r="262" ht="21" customFormat="1" customHeight="1" s="5">
      <c r="A262" s="631" t="n"/>
      <c r="B262" s="631" t="n"/>
      <c r="C262" s="714" t="inlineStr">
        <is>
          <t>2017//3//31</t>
        </is>
      </c>
      <c r="D262" s="591">
        <f>E262*10000</f>
        <v/>
      </c>
      <c r="E262" s="591" t="n">
        <v>52.01</v>
      </c>
      <c r="F262" s="523" t="n"/>
      <c r="G262" s="592" t="n"/>
      <c r="H262" s="592" t="n"/>
      <c r="I262" s="526" t="n"/>
      <c r="J262" s="526" t="n"/>
      <c r="K262" s="522">
        <f>C262</f>
        <v/>
      </c>
      <c r="L262" s="591">
        <f>M262*10000</f>
        <v/>
      </c>
      <c r="M262" s="591" t="n">
        <v>23.8</v>
      </c>
      <c r="N262" s="523" t="n"/>
      <c r="O262" s="594" t="n"/>
      <c r="P262" s="592" t="n"/>
      <c r="Q262" s="526" t="n"/>
      <c r="R262" s="523" t="n"/>
      <c r="S262" s="522">
        <f>C262</f>
        <v/>
      </c>
      <c r="T262" s="591">
        <f>U262*10000</f>
        <v/>
      </c>
      <c r="U262" s="591" t="n">
        <v>123.24</v>
      </c>
      <c r="V262" s="523" t="n"/>
      <c r="W262" s="592" t="n"/>
      <c r="X262" s="592" t="n"/>
      <c r="Y262" s="526" t="n"/>
      <c r="Z262" s="523" t="n"/>
      <c r="AA262" s="522">
        <f>S262</f>
        <v/>
      </c>
      <c r="AB262" s="591">
        <f>AC262*10000</f>
        <v/>
      </c>
      <c r="AC262" s="591" t="n">
        <v>27.59</v>
      </c>
      <c r="AD262" s="523" t="n"/>
      <c r="AE262" s="594" t="n"/>
      <c r="AF262" s="592" t="n"/>
      <c r="AG262" s="526" t="n"/>
      <c r="AH262" s="523" t="n"/>
      <c r="AI262" s="522">
        <f>C262</f>
        <v/>
      </c>
      <c r="AJ262" s="591">
        <f>AK262*10000</f>
        <v/>
      </c>
      <c r="AK262" s="522" t="n">
        <v>1.11</v>
      </c>
      <c r="AL262" s="523" t="n"/>
      <c r="AM262" s="594" t="n"/>
      <c r="AN262" s="592" t="n"/>
      <c r="AO262" s="526" t="n"/>
      <c r="AP262" s="523" t="n"/>
      <c r="AQ262" s="523">
        <f>C262</f>
        <v/>
      </c>
      <c r="AR262" s="634" t="n"/>
      <c r="AS262" s="523" t="n"/>
      <c r="AT262" s="523" t="n"/>
      <c r="AU262" s="526" t="n"/>
      <c r="AV262" s="526" t="n"/>
      <c r="AW262" s="526" t="n"/>
      <c r="AX262" s="523" t="n"/>
      <c r="AY262" s="523" t="n"/>
      <c r="AZ262" s="523">
        <f>C262</f>
        <v/>
      </c>
      <c r="BA262" s="523" t="n"/>
      <c r="BB262" s="523" t="n"/>
      <c r="BC262" s="523" t="n"/>
      <c r="BD262" s="526" t="n"/>
      <c r="BE262" s="526" t="n"/>
      <c r="BF262" s="526" t="n"/>
      <c r="BG262" s="631" t="n"/>
      <c r="BH262" s="5">
        <f>C262</f>
        <v/>
      </c>
      <c r="BL262" s="19" t="n"/>
      <c r="BM262" s="19" t="n"/>
      <c r="BN262" s="19" t="n"/>
      <c r="BP262" s="5">
        <f>C262</f>
        <v/>
      </c>
      <c r="BQ262" s="633" t="n"/>
      <c r="BT262" s="19" t="n"/>
      <c r="BU262" s="19" t="n"/>
      <c r="BV262" s="19" t="n"/>
      <c r="BX262" s="5">
        <f>C262</f>
        <v/>
      </c>
      <c r="CB262" s="19" t="n"/>
      <c r="CC262" s="19" t="n"/>
      <c r="CD262" s="19" t="n"/>
      <c r="CF262" s="5">
        <f>C262</f>
        <v/>
      </c>
      <c r="CJ262" s="19" t="n"/>
      <c r="CK262" s="19" t="n"/>
      <c r="CL262" s="19" t="n"/>
      <c r="CN262" s="5">
        <f>C262</f>
        <v/>
      </c>
      <c r="CR262" s="19" t="n"/>
      <c r="CS262" s="19" t="n"/>
      <c r="CT262" s="19" t="n"/>
      <c r="CV262" s="5">
        <f>C262</f>
        <v/>
      </c>
      <c r="CZ262" s="19" t="n"/>
      <c r="DA262" s="19" t="n"/>
      <c r="DB262" s="19" t="n"/>
      <c r="DC262" s="23" t="n"/>
      <c r="DD262" s="5">
        <f>C262</f>
        <v/>
      </c>
      <c r="DH262" s="19" t="n"/>
      <c r="DI262" s="19" t="n"/>
      <c r="DJ262" s="19" t="n"/>
      <c r="DL262" s="5">
        <f>C262</f>
        <v/>
      </c>
      <c r="DP262" s="19" t="n"/>
      <c r="DQ262" s="19" t="n"/>
      <c r="DR262" s="19" t="n"/>
      <c r="DT262" s="5">
        <f>C262</f>
        <v/>
      </c>
      <c r="DX262" s="19" t="n"/>
      <c r="DY262" s="19" t="n"/>
      <c r="DZ262" s="19" t="n"/>
      <c r="EB262" s="5">
        <f>C262</f>
        <v/>
      </c>
      <c r="EF262" s="19" t="n"/>
      <c r="EG262" s="19" t="n"/>
      <c r="EH262" s="19" t="n"/>
      <c r="EJ262" s="5">
        <f>C262</f>
        <v/>
      </c>
      <c r="EN262" s="19" t="n"/>
      <c r="EO262" s="19" t="n"/>
      <c r="EP262" s="19" t="n"/>
      <c r="EQ262" s="19" t="n"/>
      <c r="ER262" s="5">
        <f>C262</f>
        <v/>
      </c>
      <c r="ES262" s="19" t="n"/>
      <c r="ET262" s="19" t="n"/>
      <c r="EU262" s="19" t="n"/>
      <c r="EV262" s="19" t="n"/>
      <c r="EW262" s="19" t="n"/>
      <c r="EX262" s="19" t="n"/>
      <c r="EZ262" s="5">
        <f>C262</f>
        <v/>
      </c>
      <c r="FD262" s="19" t="n"/>
      <c r="FE262" s="19" t="n"/>
      <c r="FF262" s="19" t="n"/>
      <c r="FG262" s="19" t="n"/>
      <c r="FH262" s="5">
        <f>C262</f>
        <v/>
      </c>
      <c r="FI262" s="633" t="n"/>
      <c r="FL262" s="19" t="n"/>
      <c r="FM262" s="19" t="n"/>
      <c r="FN262" s="19" t="n"/>
      <c r="FP262" s="5">
        <f>C262</f>
        <v/>
      </c>
      <c r="FT262" s="19" t="n"/>
      <c r="FU262" s="19" t="n"/>
      <c r="FV262" s="19" t="n"/>
      <c r="FX262" s="5">
        <f>C262</f>
        <v/>
      </c>
      <c r="GB262" s="19" t="n"/>
      <c r="GC262" s="19" t="n"/>
      <c r="GD262" s="19" t="n"/>
      <c r="GF262" s="5">
        <f>C262</f>
        <v/>
      </c>
      <c r="GJ262" s="19" t="n"/>
      <c r="GK262" s="19" t="n"/>
      <c r="GL262" s="19" t="n"/>
      <c r="GN262" s="5">
        <f>C262</f>
        <v/>
      </c>
      <c r="GR262" s="19" t="n"/>
      <c r="GS262" s="19" t="n"/>
      <c r="GT262" s="19" t="n"/>
      <c r="GV262" s="5">
        <f>C262</f>
        <v/>
      </c>
      <c r="GZ262" s="19" t="n"/>
      <c r="HA262" s="19" t="n"/>
      <c r="HB262" s="19" t="n"/>
      <c r="HD262" s="5">
        <f>C262</f>
        <v/>
      </c>
      <c r="HH262" s="19" t="n"/>
      <c r="HI262" s="19" t="n"/>
      <c r="HJ262" s="19" t="n"/>
      <c r="HL262" s="5">
        <f>C262</f>
        <v/>
      </c>
      <c r="HP262" s="19" t="n"/>
      <c r="HQ262" s="19" t="n"/>
      <c r="HR262" s="19" t="n"/>
      <c r="HT262" s="5">
        <f>C262</f>
        <v/>
      </c>
      <c r="HX262" s="19" t="n"/>
      <c r="HY262" s="19" t="n"/>
      <c r="HZ262" s="19" t="n"/>
      <c r="IB262" s="5">
        <f>C262</f>
        <v/>
      </c>
      <c r="IG262" s="19" t="n"/>
      <c r="IH262" s="19" t="n"/>
      <c r="IJ262" s="5">
        <f>C262</f>
        <v/>
      </c>
      <c r="IN262" s="19" t="n"/>
      <c r="IO262" s="19" t="n"/>
      <c r="IP262" s="19" t="n"/>
      <c r="IR262" s="5">
        <f>C262</f>
        <v/>
      </c>
      <c r="IV262" s="19" t="n"/>
      <c r="IW262" s="19" t="n"/>
      <c r="IX262" s="19" t="n"/>
      <c r="IZ262" s="5">
        <f>C262</f>
        <v/>
      </c>
      <c r="JD262" s="19" t="n"/>
      <c r="JE262" s="19" t="n"/>
      <c r="JF262" s="19" t="n"/>
      <c r="JH262" s="5">
        <f>C262</f>
        <v/>
      </c>
      <c r="JL262" s="19" t="n"/>
      <c r="JM262" s="19" t="n"/>
      <c r="JN262" s="19" t="n"/>
      <c r="JO262" s="19" t="n"/>
      <c r="JP262" s="5">
        <f>C262</f>
        <v/>
      </c>
      <c r="JT262" s="19" t="n"/>
      <c r="JU262" s="19" t="n"/>
      <c r="JV262" s="19" t="n"/>
      <c r="JW262" s="19" t="n"/>
      <c r="JX262" s="5">
        <f>C262</f>
        <v/>
      </c>
      <c r="KB262" s="19" t="n"/>
      <c r="KC262" s="19" t="n"/>
      <c r="KD262" s="19" t="n"/>
      <c r="KE262" s="19" t="n"/>
      <c r="KF262" s="5">
        <f>C262</f>
        <v/>
      </c>
      <c r="KG262" s="19" t="n"/>
      <c r="KH262" s="19" t="n"/>
      <c r="KJ262" s="19" t="n"/>
      <c r="KK262" s="19" t="n"/>
      <c r="KL262" s="19" t="n"/>
      <c r="KM262" s="19" t="n"/>
      <c r="KN262" s="5">
        <f>C262</f>
        <v/>
      </c>
      <c r="KR262" s="19" t="n"/>
      <c r="KS262" s="19" t="n"/>
      <c r="KT262" s="19" t="n"/>
      <c r="KV262" s="5">
        <f>C262</f>
        <v/>
      </c>
      <c r="KZ262" s="19" t="n"/>
      <c r="LA262" s="19" t="n"/>
      <c r="LB262" s="19" t="n"/>
      <c r="LD262" s="5">
        <f>C262</f>
        <v/>
      </c>
      <c r="LH262" s="19" t="n"/>
      <c r="LI262" s="19" t="n"/>
      <c r="LJ262" s="19" t="n"/>
      <c r="LL262" s="5">
        <f>C262</f>
        <v/>
      </c>
      <c r="LM262" s="633" t="n"/>
      <c r="LP262" s="19" t="n"/>
      <c r="LQ262" s="19" t="n"/>
      <c r="LR262" s="19" t="n"/>
      <c r="LT262" s="5">
        <f>C262</f>
        <v/>
      </c>
      <c r="LX262" s="19" t="n"/>
      <c r="LY262" s="19" t="n"/>
      <c r="LZ262" s="19" t="n"/>
      <c r="MB262" s="5">
        <f>C262</f>
        <v/>
      </c>
      <c r="MF262" s="19" t="n"/>
      <c r="MG262" s="19" t="n"/>
      <c r="MH262" s="19" t="n"/>
      <c r="MK262" s="5">
        <f>C262</f>
        <v/>
      </c>
      <c r="MM262" s="24" t="n"/>
      <c r="MO262" s="19" t="n"/>
      <c r="MP262" s="19" t="n"/>
      <c r="MQ262" s="19" t="n"/>
      <c r="MR262" s="19" t="n"/>
      <c r="MS262" s="19" t="n"/>
      <c r="MT262" s="25">
        <f>C262</f>
        <v/>
      </c>
      <c r="MX262" s="19" t="n"/>
      <c r="MY262" s="19" t="n"/>
      <c r="MZ262" s="19" t="n"/>
      <c r="NA262" s="19" t="n"/>
      <c r="NB262" s="19" t="n"/>
      <c r="NC262" s="5">
        <f>C262</f>
        <v/>
      </c>
      <c r="NG262" s="19" t="n"/>
      <c r="NH262" s="19" t="n"/>
      <c r="NI262" s="19" t="n"/>
      <c r="NJ262" s="19" t="n"/>
      <c r="NK262" s="19" t="n"/>
      <c r="NM262" s="5">
        <f>C262</f>
        <v/>
      </c>
      <c r="NQ262" s="19" t="n"/>
      <c r="NR262" s="19" t="n"/>
      <c r="NU262" s="5">
        <f>C262</f>
        <v/>
      </c>
      <c r="NY262" s="19" t="n"/>
      <c r="NZ262" s="19" t="n"/>
      <c r="OC262" s="5">
        <f>C262</f>
        <v/>
      </c>
      <c r="OG262" s="19" t="n"/>
      <c r="OH262" s="19" t="n"/>
      <c r="OI262" s="19" t="n"/>
      <c r="OK262" s="5">
        <f>C262</f>
        <v/>
      </c>
      <c r="OO262" s="19" t="n"/>
      <c r="OP262" s="19" t="n"/>
      <c r="OQ262" s="19" t="n"/>
      <c r="OT262" s="25">
        <f>OK262</f>
        <v/>
      </c>
      <c r="OX262" s="19" t="n"/>
    </row>
    <row r="263" ht="21" customFormat="1" customHeight="1" s="5">
      <c r="A263" s="631" t="n"/>
      <c r="B263" s="631" t="n"/>
      <c r="C263" s="714" t="inlineStr">
        <is>
          <t>2016//12//31</t>
        </is>
      </c>
      <c r="D263" s="591">
        <f>E263*10000</f>
        <v/>
      </c>
      <c r="E263" s="591" t="n">
        <v>53.16</v>
      </c>
      <c r="F263" s="523" t="n"/>
      <c r="G263" s="592" t="n"/>
      <c r="H263" s="592" t="n"/>
      <c r="I263" s="426" t="n"/>
      <c r="J263" s="426" t="n"/>
      <c r="K263" s="522">
        <f>C263</f>
        <v/>
      </c>
      <c r="L263" s="591">
        <f>M263*10000</f>
        <v/>
      </c>
      <c r="M263" s="591" t="n">
        <v>23.94</v>
      </c>
      <c r="N263" s="523" t="n"/>
      <c r="O263" s="594" t="n"/>
      <c r="P263" s="592" t="n"/>
      <c r="Q263" s="426" t="n"/>
      <c r="R263" s="427" t="n"/>
      <c r="S263" s="522">
        <f>C263</f>
        <v/>
      </c>
      <c r="T263" s="591">
        <f>U263*10000</f>
        <v/>
      </c>
      <c r="U263" s="591" t="n">
        <v>127.99</v>
      </c>
      <c r="V263" s="523" t="n"/>
      <c r="W263" s="592" t="n"/>
      <c r="X263" s="592" t="n"/>
      <c r="Y263" s="426" t="n"/>
      <c r="Z263" s="427" t="n"/>
      <c r="AA263" s="522">
        <f>S263</f>
        <v/>
      </c>
      <c r="AB263" s="591">
        <f>AC263*10000</f>
        <v/>
      </c>
      <c r="AC263" s="591" t="n">
        <v>28.69</v>
      </c>
      <c r="AD263" s="523" t="n"/>
      <c r="AE263" s="594" t="n"/>
      <c r="AF263" s="592" t="n"/>
      <c r="AG263" s="426" t="n"/>
      <c r="AH263" s="427" t="n"/>
      <c r="AI263" s="522">
        <f>C263</f>
        <v/>
      </c>
      <c r="AJ263" s="591">
        <f>AK263*10000</f>
        <v/>
      </c>
      <c r="AK263" s="522" t="n">
        <v>1.29</v>
      </c>
      <c r="AL263" s="523" t="n"/>
      <c r="AM263" s="594" t="n"/>
      <c r="AN263" s="592" t="n"/>
      <c r="AO263" s="526" t="n"/>
      <c r="AP263" s="523" t="n"/>
      <c r="AQ263" s="523">
        <f>C263</f>
        <v/>
      </c>
      <c r="AR263" s="634" t="n"/>
      <c r="AS263" s="523" t="n"/>
      <c r="AT263" s="523" t="n"/>
      <c r="AU263" s="526" t="n"/>
      <c r="AV263" s="526" t="n"/>
      <c r="AW263" s="526" t="n"/>
      <c r="AX263" s="523" t="n"/>
      <c r="AY263" s="523" t="n"/>
      <c r="AZ263" s="523">
        <f>C263</f>
        <v/>
      </c>
      <c r="BA263" s="523" t="n"/>
      <c r="BB263" s="523" t="n"/>
      <c r="BC263" s="523" t="n"/>
      <c r="BD263" s="526" t="n"/>
      <c r="BE263" s="526" t="n"/>
      <c r="BF263" s="526" t="n"/>
      <c r="BG263" s="631" t="n"/>
      <c r="BH263" s="5">
        <f>C263</f>
        <v/>
      </c>
      <c r="BL263" s="19" t="n"/>
      <c r="BM263" s="19" t="n"/>
      <c r="BN263" s="19" t="n"/>
      <c r="BP263" s="5">
        <f>C263</f>
        <v/>
      </c>
      <c r="BQ263" s="633" t="n"/>
      <c r="BT263" s="19" t="n"/>
      <c r="BU263" s="19" t="n"/>
      <c r="BV263" s="19" t="n"/>
      <c r="BX263" s="5">
        <f>C263</f>
        <v/>
      </c>
      <c r="CB263" s="19" t="n"/>
      <c r="CC263" s="19" t="n"/>
      <c r="CD263" s="19" t="n"/>
      <c r="CF263" s="5">
        <f>C263</f>
        <v/>
      </c>
      <c r="CJ263" s="19" t="n"/>
      <c r="CK263" s="19" t="n"/>
      <c r="CL263" s="19" t="n"/>
      <c r="CN263" s="5">
        <f>C263</f>
        <v/>
      </c>
      <c r="CR263" s="19" t="n"/>
      <c r="CS263" s="19" t="n"/>
      <c r="CT263" s="19" t="n"/>
      <c r="CV263" s="5">
        <f>C263</f>
        <v/>
      </c>
      <c r="CZ263" s="19" t="n"/>
      <c r="DA263" s="19" t="n"/>
      <c r="DB263" s="19" t="n"/>
      <c r="DC263" s="23" t="n"/>
      <c r="DD263" s="5">
        <f>C263</f>
        <v/>
      </c>
      <c r="DH263" s="19" t="n"/>
      <c r="DI263" s="19" t="n"/>
      <c r="DJ263" s="19" t="n"/>
      <c r="DL263" s="5">
        <f>C263</f>
        <v/>
      </c>
      <c r="DP263" s="19" t="n"/>
      <c r="DQ263" s="19" t="n"/>
      <c r="DR263" s="19" t="n"/>
      <c r="DT263" s="5">
        <f>C263</f>
        <v/>
      </c>
      <c r="DX263" s="19" t="n"/>
      <c r="DY263" s="19" t="n"/>
      <c r="DZ263" s="19" t="n"/>
      <c r="EB263" s="5">
        <f>C263</f>
        <v/>
      </c>
      <c r="EF263" s="19" t="n"/>
      <c r="EG263" s="19" t="n"/>
      <c r="EH263" s="19" t="n"/>
      <c r="EJ263" s="5">
        <f>C263</f>
        <v/>
      </c>
      <c r="EN263" s="19" t="n"/>
      <c r="EO263" s="19" t="n"/>
      <c r="EP263" s="19" t="n"/>
      <c r="EQ263" s="19" t="n"/>
      <c r="ER263" s="5">
        <f>C263</f>
        <v/>
      </c>
      <c r="ES263" s="19" t="n"/>
      <c r="ET263" s="19" t="n"/>
      <c r="EU263" s="19" t="n"/>
      <c r="EV263" s="19" t="n"/>
      <c r="EW263" s="19" t="n"/>
      <c r="EX263" s="19" t="n"/>
      <c r="EZ263" s="5">
        <f>C263</f>
        <v/>
      </c>
      <c r="FD263" s="19" t="n"/>
      <c r="FE263" s="19" t="n"/>
      <c r="FF263" s="19" t="n"/>
      <c r="FG263" s="19" t="n"/>
      <c r="FH263" s="5">
        <f>C263</f>
        <v/>
      </c>
      <c r="FI263" s="633" t="n"/>
      <c r="FL263" s="19" t="n"/>
      <c r="FM263" s="19" t="n"/>
      <c r="FN263" s="19" t="n"/>
      <c r="FP263" s="5">
        <f>C263</f>
        <v/>
      </c>
      <c r="FT263" s="19" t="n"/>
      <c r="FU263" s="19" t="n"/>
      <c r="FV263" s="19" t="n"/>
      <c r="FX263" s="5">
        <f>C263</f>
        <v/>
      </c>
      <c r="GB263" s="19" t="n"/>
      <c r="GC263" s="19" t="n"/>
      <c r="GD263" s="19" t="n"/>
      <c r="GF263" s="5">
        <f>C263</f>
        <v/>
      </c>
      <c r="GJ263" s="19" t="n"/>
      <c r="GK263" s="19" t="n"/>
      <c r="GL263" s="19" t="n"/>
      <c r="GN263" s="5">
        <f>C263</f>
        <v/>
      </c>
      <c r="GR263" s="19" t="n"/>
      <c r="GS263" s="19" t="n"/>
      <c r="GT263" s="19" t="n"/>
      <c r="GV263" s="5">
        <f>C263</f>
        <v/>
      </c>
      <c r="GZ263" s="19" t="n"/>
      <c r="HA263" s="19" t="n"/>
      <c r="HB263" s="19" t="n"/>
      <c r="HD263" s="5">
        <f>C263</f>
        <v/>
      </c>
      <c r="HH263" s="19" t="n"/>
      <c r="HI263" s="19" t="n"/>
      <c r="HJ263" s="19" t="n"/>
      <c r="HL263" s="5">
        <f>C263</f>
        <v/>
      </c>
      <c r="HP263" s="19" t="n"/>
      <c r="HQ263" s="19" t="n"/>
      <c r="HR263" s="19" t="n"/>
      <c r="HT263" s="5">
        <f>C263</f>
        <v/>
      </c>
      <c r="HX263" s="19" t="n"/>
      <c r="HY263" s="19" t="n"/>
      <c r="HZ263" s="19" t="n"/>
      <c r="IB263" s="5">
        <f>C263</f>
        <v/>
      </c>
      <c r="IG263" s="19" t="n"/>
      <c r="IH263" s="19" t="n"/>
      <c r="IJ263" s="5">
        <f>C263</f>
        <v/>
      </c>
      <c r="IN263" s="19" t="n"/>
      <c r="IO263" s="19" t="n"/>
      <c r="IP263" s="19" t="n"/>
      <c r="IR263" s="5">
        <f>C263</f>
        <v/>
      </c>
      <c r="IV263" s="19" t="n"/>
      <c r="IW263" s="19" t="n"/>
      <c r="IX263" s="19" t="n"/>
      <c r="IZ263" s="5">
        <f>C263</f>
        <v/>
      </c>
      <c r="JD263" s="19" t="n"/>
      <c r="JE263" s="19" t="n"/>
      <c r="JF263" s="19" t="n"/>
      <c r="JH263" s="5">
        <f>C263</f>
        <v/>
      </c>
      <c r="JL263" s="19" t="n"/>
      <c r="JM263" s="19" t="n"/>
      <c r="JN263" s="19" t="n"/>
      <c r="JO263" s="19" t="n"/>
      <c r="JP263" s="5">
        <f>C263</f>
        <v/>
      </c>
      <c r="JT263" s="19" t="n"/>
      <c r="JU263" s="19" t="n"/>
      <c r="JV263" s="19" t="n"/>
      <c r="JW263" s="19" t="n"/>
      <c r="JX263" s="5">
        <f>C263</f>
        <v/>
      </c>
      <c r="KB263" s="19" t="n"/>
      <c r="KC263" s="19" t="n"/>
      <c r="KD263" s="19" t="n"/>
      <c r="KE263" s="19" t="n"/>
      <c r="KF263" s="5">
        <f>C263</f>
        <v/>
      </c>
      <c r="KG263" s="19" t="n"/>
      <c r="KH263" s="19" t="n"/>
      <c r="KJ263" s="19" t="n"/>
      <c r="KK263" s="19" t="n"/>
      <c r="KL263" s="19" t="n"/>
      <c r="KM263" s="19" t="n"/>
      <c r="KN263" s="5">
        <f>C263</f>
        <v/>
      </c>
      <c r="KR263" s="19" t="n"/>
      <c r="KS263" s="19" t="n"/>
      <c r="KT263" s="19" t="n"/>
      <c r="KV263" s="5">
        <f>C263</f>
        <v/>
      </c>
      <c r="KZ263" s="19" t="n"/>
      <c r="LA263" s="19" t="n"/>
      <c r="LB263" s="19" t="n"/>
      <c r="LD263" s="5">
        <f>C263</f>
        <v/>
      </c>
      <c r="LH263" s="19" t="n"/>
      <c r="LI263" s="19" t="n"/>
      <c r="LJ263" s="19" t="n"/>
      <c r="LL263" s="5">
        <f>C263</f>
        <v/>
      </c>
      <c r="LM263" s="633" t="n"/>
      <c r="LP263" s="19" t="n"/>
      <c r="LQ263" s="19" t="n"/>
      <c r="LR263" s="19" t="n"/>
      <c r="LT263" s="5">
        <f>C263</f>
        <v/>
      </c>
      <c r="LX263" s="19" t="n"/>
      <c r="LY263" s="19" t="n"/>
      <c r="LZ263" s="19" t="n"/>
      <c r="MB263" s="5">
        <f>C263</f>
        <v/>
      </c>
      <c r="MF263" s="19" t="n"/>
      <c r="MG263" s="19" t="n"/>
      <c r="MH263" s="19" t="n"/>
      <c r="MK263" s="5">
        <f>C263</f>
        <v/>
      </c>
      <c r="MM263" s="24" t="n"/>
      <c r="MO263" s="19" t="n"/>
      <c r="MP263" s="19" t="n"/>
      <c r="MQ263" s="19" t="n"/>
      <c r="MR263" s="19" t="n"/>
      <c r="MS263" s="19" t="n"/>
      <c r="MT263" s="25">
        <f>C263</f>
        <v/>
      </c>
      <c r="MX263" s="19" t="n"/>
      <c r="MY263" s="19" t="n"/>
      <c r="MZ263" s="19" t="n"/>
      <c r="NA263" s="19" t="n"/>
      <c r="NB263" s="19" t="n"/>
      <c r="NC263" s="5">
        <f>C263</f>
        <v/>
      </c>
      <c r="NG263" s="19" t="n"/>
      <c r="NH263" s="19" t="n"/>
      <c r="NI263" s="19" t="n"/>
      <c r="NJ263" s="19" t="n"/>
      <c r="NK263" s="19" t="n"/>
      <c r="NM263" s="5">
        <f>C263</f>
        <v/>
      </c>
      <c r="NQ263" s="19" t="n"/>
      <c r="NR263" s="19" t="n"/>
      <c r="NU263" s="5">
        <f>C263</f>
        <v/>
      </c>
      <c r="NY263" s="19" t="n"/>
      <c r="NZ263" s="19" t="n"/>
      <c r="OC263" s="5">
        <f>C263</f>
        <v/>
      </c>
      <c r="OG263" s="19" t="n"/>
      <c r="OH263" s="19" t="n"/>
      <c r="OI263" s="19" t="n"/>
      <c r="OK263" s="5">
        <f>C263</f>
        <v/>
      </c>
      <c r="OO263" s="19" t="n"/>
      <c r="OP263" s="19" t="n"/>
      <c r="OQ263" s="19" t="n"/>
      <c r="OT263" s="25">
        <f>OK263</f>
        <v/>
      </c>
      <c r="OX263" s="19" t="n"/>
    </row>
    <row r="264" ht="21" customFormat="1" customHeight="1" s="5">
      <c r="A264" s="631" t="n"/>
      <c r="B264" s="631" t="n"/>
      <c r="C264" s="714" t="inlineStr">
        <is>
          <t>2016//9//30</t>
        </is>
      </c>
      <c r="D264" s="591">
        <f>E264*10000</f>
        <v/>
      </c>
      <c r="E264" s="591" t="n">
        <v>58.01</v>
      </c>
      <c r="F264" s="523" t="n"/>
      <c r="G264" s="592" t="n"/>
      <c r="H264" s="592" t="n"/>
      <c r="I264" s="426" t="n"/>
      <c r="J264" s="426" t="n"/>
      <c r="K264" s="522">
        <f>C264</f>
        <v/>
      </c>
      <c r="L264" s="591">
        <f>M264*10000</f>
        <v/>
      </c>
      <c r="M264" s="591" t="n">
        <v>24.36</v>
      </c>
      <c r="N264" s="523" t="n"/>
      <c r="O264" s="594" t="n"/>
      <c r="P264" s="592" t="n"/>
      <c r="Q264" s="426" t="n"/>
      <c r="R264" s="427" t="n"/>
      <c r="S264" s="522">
        <f>C264</f>
        <v/>
      </c>
      <c r="T264" s="591">
        <f>U264*10000</f>
        <v/>
      </c>
      <c r="U264" s="591" t="n">
        <v>123.57</v>
      </c>
      <c r="V264" s="523" t="n"/>
      <c r="W264" s="592" t="n"/>
      <c r="X264" s="592" t="n"/>
      <c r="Y264" s="426" t="n"/>
      <c r="Z264" s="427" t="n"/>
      <c r="AA264" s="522">
        <f>S264</f>
        <v/>
      </c>
      <c r="AB264" s="591">
        <f>AC264*10000</f>
        <v/>
      </c>
      <c r="AC264" s="591" t="n">
        <v>25.44</v>
      </c>
      <c r="AD264" s="523" t="n"/>
      <c r="AE264" s="594" t="n"/>
      <c r="AF264" s="592" t="n"/>
      <c r="AG264" s="426" t="n"/>
      <c r="AH264" s="427" t="n"/>
      <c r="AI264" s="522">
        <f>C264</f>
        <v/>
      </c>
      <c r="AJ264" s="591">
        <f>AK264*10000</f>
        <v/>
      </c>
      <c r="AK264" s="522" t="n">
        <v>1.32</v>
      </c>
      <c r="AL264" s="523" t="n"/>
      <c r="AM264" s="594" t="n"/>
      <c r="AN264" s="592" t="n"/>
      <c r="AO264" s="526" t="n"/>
      <c r="AP264" s="523" t="n"/>
      <c r="AQ264" s="523">
        <f>C264</f>
        <v/>
      </c>
      <c r="AR264" s="634" t="n"/>
      <c r="AS264" s="523" t="n"/>
      <c r="AT264" s="523" t="n"/>
      <c r="AU264" s="526" t="n"/>
      <c r="AV264" s="526" t="n"/>
      <c r="AW264" s="526" t="n"/>
      <c r="AX264" s="523" t="n"/>
      <c r="AY264" s="523" t="n"/>
      <c r="AZ264" s="523">
        <f>C264</f>
        <v/>
      </c>
      <c r="BA264" s="523" t="n"/>
      <c r="BB264" s="523" t="n"/>
      <c r="BC264" s="523" t="n"/>
      <c r="BD264" s="526" t="n"/>
      <c r="BE264" s="526" t="n"/>
      <c r="BF264" s="526" t="n"/>
      <c r="BG264" s="631" t="n"/>
      <c r="BH264" s="5">
        <f>C264</f>
        <v/>
      </c>
      <c r="BL264" s="19" t="n"/>
      <c r="BM264" s="19" t="n"/>
      <c r="BN264" s="19" t="n"/>
      <c r="BP264" s="5">
        <f>C264</f>
        <v/>
      </c>
      <c r="BQ264" s="633" t="n"/>
      <c r="BT264" s="19" t="n"/>
      <c r="BU264" s="19" t="n"/>
      <c r="BV264" s="19" t="n"/>
      <c r="BX264" s="5">
        <f>C264</f>
        <v/>
      </c>
      <c r="CB264" s="19" t="n"/>
      <c r="CC264" s="19" t="n"/>
      <c r="CD264" s="19" t="n"/>
      <c r="CF264" s="5">
        <f>C264</f>
        <v/>
      </c>
      <c r="CJ264" s="19" t="n"/>
      <c r="CK264" s="19" t="n"/>
      <c r="CL264" s="19" t="n"/>
      <c r="CN264" s="5">
        <f>C264</f>
        <v/>
      </c>
      <c r="CR264" s="19" t="n"/>
      <c r="CS264" s="19" t="n"/>
      <c r="CT264" s="19" t="n"/>
      <c r="CV264" s="5">
        <f>C264</f>
        <v/>
      </c>
      <c r="CZ264" s="19" t="n"/>
      <c r="DA264" s="19" t="n"/>
      <c r="DB264" s="19" t="n"/>
      <c r="DC264" s="23" t="n"/>
      <c r="DD264" s="5">
        <f>C264</f>
        <v/>
      </c>
      <c r="DH264" s="19" t="n"/>
      <c r="DI264" s="19" t="n"/>
      <c r="DJ264" s="19" t="n"/>
      <c r="DL264" s="5">
        <f>C264</f>
        <v/>
      </c>
      <c r="DP264" s="19" t="n"/>
      <c r="DQ264" s="19" t="n"/>
      <c r="DR264" s="19" t="n"/>
      <c r="DT264" s="5">
        <f>C264</f>
        <v/>
      </c>
      <c r="DX264" s="19" t="n"/>
      <c r="DY264" s="19" t="n"/>
      <c r="DZ264" s="19" t="n"/>
      <c r="EB264" s="5">
        <f>C264</f>
        <v/>
      </c>
      <c r="EF264" s="19" t="n"/>
      <c r="EG264" s="19" t="n"/>
      <c r="EH264" s="19" t="n"/>
      <c r="EJ264" s="5">
        <f>C264</f>
        <v/>
      </c>
      <c r="EN264" s="19" t="n"/>
      <c r="EO264" s="19" t="n"/>
      <c r="EP264" s="19" t="n"/>
      <c r="EQ264" s="19" t="n"/>
      <c r="ER264" s="5">
        <f>C264</f>
        <v/>
      </c>
      <c r="ES264" s="19" t="n"/>
      <c r="ET264" s="19" t="n"/>
      <c r="EU264" s="19" t="n"/>
      <c r="EV264" s="19" t="n"/>
      <c r="EW264" s="19" t="n"/>
      <c r="EX264" s="19" t="n"/>
      <c r="EZ264" s="5">
        <f>C264</f>
        <v/>
      </c>
      <c r="FD264" s="19" t="n"/>
      <c r="FE264" s="19" t="n"/>
      <c r="FF264" s="19" t="n"/>
      <c r="FG264" s="19" t="n"/>
      <c r="FH264" s="5">
        <f>C264</f>
        <v/>
      </c>
      <c r="FI264" s="633" t="n"/>
      <c r="FL264" s="19" t="n"/>
      <c r="FM264" s="19" t="n"/>
      <c r="FN264" s="19" t="n"/>
      <c r="FP264" s="5">
        <f>C264</f>
        <v/>
      </c>
      <c r="FT264" s="19" t="n"/>
      <c r="FU264" s="19" t="n"/>
      <c r="FV264" s="19" t="n"/>
      <c r="FX264" s="5">
        <f>C264</f>
        <v/>
      </c>
      <c r="GB264" s="19" t="n"/>
      <c r="GC264" s="19" t="n"/>
      <c r="GD264" s="19" t="n"/>
      <c r="GF264" s="5">
        <f>C264</f>
        <v/>
      </c>
      <c r="GJ264" s="19" t="n"/>
      <c r="GK264" s="19" t="n"/>
      <c r="GL264" s="19" t="n"/>
      <c r="GN264" s="5">
        <f>C264</f>
        <v/>
      </c>
      <c r="GR264" s="19" t="n"/>
      <c r="GS264" s="19" t="n"/>
      <c r="GT264" s="19" t="n"/>
      <c r="GV264" s="5">
        <f>C264</f>
        <v/>
      </c>
      <c r="GZ264" s="19" t="n"/>
      <c r="HA264" s="19" t="n"/>
      <c r="HB264" s="19" t="n"/>
      <c r="HD264" s="5">
        <f>C264</f>
        <v/>
      </c>
      <c r="HH264" s="19" t="n"/>
      <c r="HI264" s="19" t="n"/>
      <c r="HJ264" s="19" t="n"/>
      <c r="HL264" s="5">
        <f>C264</f>
        <v/>
      </c>
      <c r="HP264" s="19" t="n"/>
      <c r="HQ264" s="19" t="n"/>
      <c r="HR264" s="19" t="n"/>
      <c r="HT264" s="5">
        <f>C264</f>
        <v/>
      </c>
      <c r="HX264" s="19" t="n"/>
      <c r="HY264" s="19" t="n"/>
      <c r="HZ264" s="19" t="n"/>
      <c r="IB264" s="5">
        <f>C264</f>
        <v/>
      </c>
      <c r="IG264" s="19" t="n"/>
      <c r="IH264" s="19" t="n"/>
      <c r="IJ264" s="5">
        <f>C264</f>
        <v/>
      </c>
      <c r="IN264" s="19" t="n"/>
      <c r="IO264" s="19" t="n"/>
      <c r="IP264" s="19" t="n"/>
      <c r="IR264" s="5">
        <f>C264</f>
        <v/>
      </c>
      <c r="IV264" s="19" t="n"/>
      <c r="IW264" s="19" t="n"/>
      <c r="IX264" s="19" t="n"/>
      <c r="IZ264" s="5">
        <f>C264</f>
        <v/>
      </c>
      <c r="JD264" s="19" t="n"/>
      <c r="JE264" s="19" t="n"/>
      <c r="JF264" s="19" t="n"/>
      <c r="JH264" s="5">
        <f>C264</f>
        <v/>
      </c>
      <c r="JL264" s="19" t="n"/>
      <c r="JM264" s="19" t="n"/>
      <c r="JN264" s="19" t="n"/>
      <c r="JO264" s="19" t="n"/>
      <c r="JP264" s="5">
        <f>C264</f>
        <v/>
      </c>
      <c r="JT264" s="19" t="n"/>
      <c r="JU264" s="19" t="n"/>
      <c r="JV264" s="19" t="n"/>
      <c r="JW264" s="19" t="n"/>
      <c r="JX264" s="5">
        <f>C264</f>
        <v/>
      </c>
      <c r="KB264" s="19" t="n"/>
      <c r="KC264" s="19" t="n"/>
      <c r="KD264" s="19" t="n"/>
      <c r="KE264" s="19" t="n"/>
      <c r="KF264" s="5">
        <f>C264</f>
        <v/>
      </c>
      <c r="KG264" s="19" t="n"/>
      <c r="KH264" s="19" t="n"/>
      <c r="KJ264" s="19" t="n"/>
      <c r="KK264" s="19" t="n"/>
      <c r="KL264" s="19" t="n"/>
      <c r="KM264" s="19" t="n"/>
      <c r="KN264" s="5">
        <f>C264</f>
        <v/>
      </c>
      <c r="KR264" s="19" t="n"/>
      <c r="KS264" s="19" t="n"/>
      <c r="KT264" s="19" t="n"/>
      <c r="KV264" s="5">
        <f>C264</f>
        <v/>
      </c>
      <c r="KZ264" s="19" t="n"/>
      <c r="LA264" s="19" t="n"/>
      <c r="LB264" s="19" t="n"/>
      <c r="LD264" s="5">
        <f>C264</f>
        <v/>
      </c>
      <c r="LH264" s="19" t="n"/>
      <c r="LI264" s="19" t="n"/>
      <c r="LJ264" s="19" t="n"/>
      <c r="LL264" s="5">
        <f>C264</f>
        <v/>
      </c>
      <c r="LM264" s="633" t="n"/>
      <c r="LP264" s="19" t="n"/>
      <c r="LQ264" s="19" t="n"/>
      <c r="LR264" s="19" t="n"/>
      <c r="LT264" s="5">
        <f>C264</f>
        <v/>
      </c>
      <c r="LX264" s="19" t="n"/>
      <c r="LY264" s="19" t="n"/>
      <c r="LZ264" s="19" t="n"/>
      <c r="MB264" s="5">
        <f>C264</f>
        <v/>
      </c>
      <c r="MF264" s="19" t="n"/>
      <c r="MG264" s="19" t="n"/>
      <c r="MH264" s="19" t="n"/>
      <c r="MK264" s="5">
        <f>C264</f>
        <v/>
      </c>
      <c r="MM264" s="24" t="n"/>
      <c r="MO264" s="19" t="n"/>
      <c r="MP264" s="19" t="n"/>
      <c r="MQ264" s="19" t="n"/>
      <c r="MR264" s="19" t="n"/>
      <c r="MS264" s="19" t="n"/>
      <c r="MT264" s="25">
        <f>C264</f>
        <v/>
      </c>
      <c r="MX264" s="19" t="n"/>
      <c r="MY264" s="19" t="n"/>
      <c r="MZ264" s="19" t="n"/>
      <c r="NA264" s="19" t="n"/>
      <c r="NB264" s="19" t="n"/>
      <c r="NC264" s="5">
        <f>C264</f>
        <v/>
      </c>
      <c r="NG264" s="19" t="n"/>
      <c r="NH264" s="19" t="n"/>
      <c r="NI264" s="19" t="n"/>
      <c r="NJ264" s="19" t="n"/>
      <c r="NK264" s="19" t="n"/>
      <c r="NM264" s="5">
        <f>C264</f>
        <v/>
      </c>
      <c r="NQ264" s="19" t="n"/>
      <c r="NR264" s="19" t="n"/>
      <c r="NU264" s="5">
        <f>C264</f>
        <v/>
      </c>
      <c r="NY264" s="19" t="n"/>
      <c r="NZ264" s="19" t="n"/>
      <c r="OC264" s="5">
        <f>C264</f>
        <v/>
      </c>
      <c r="OG264" s="19" t="n"/>
      <c r="OH264" s="19" t="n"/>
      <c r="OI264" s="19" t="n"/>
      <c r="OK264" s="5">
        <f>C264</f>
        <v/>
      </c>
      <c r="OO264" s="19" t="n"/>
      <c r="OP264" s="19" t="n"/>
      <c r="OQ264" s="19" t="n"/>
      <c r="OT264" s="25">
        <f>OK264</f>
        <v/>
      </c>
      <c r="OX264" s="19" t="n"/>
    </row>
    <row r="265" ht="21" customFormat="1" customHeight="1" s="5">
      <c r="A265" s="631" t="n"/>
      <c r="B265" s="631" t="n"/>
      <c r="C265" s="714" t="inlineStr">
        <is>
          <t>2016//6//30</t>
        </is>
      </c>
      <c r="D265" s="591">
        <f>E265*10000</f>
        <v/>
      </c>
      <c r="E265" s="591" t="n">
        <v>66.06</v>
      </c>
      <c r="F265" s="523" t="n"/>
      <c r="G265" s="592" t="n"/>
      <c r="H265" s="592" t="n"/>
      <c r="I265" s="426" t="n"/>
      <c r="J265" s="426" t="n"/>
      <c r="K265" s="522">
        <f>C265</f>
        <v/>
      </c>
      <c r="L265" s="591">
        <f>M265*10000</f>
        <v/>
      </c>
      <c r="M265" s="591" t="n">
        <v>24.88</v>
      </c>
      <c r="N265" s="523" t="n"/>
      <c r="O265" s="594" t="n"/>
      <c r="P265" s="592" t="n"/>
      <c r="Q265" s="426" t="n"/>
      <c r="R265" s="427" t="n"/>
      <c r="S265" s="522">
        <f>C265</f>
        <v/>
      </c>
      <c r="T265" s="591">
        <f>U265*10000</f>
        <v/>
      </c>
      <c r="U265" s="591" t="n">
        <v>125.54</v>
      </c>
      <c r="V265" s="523" t="n"/>
      <c r="W265" s="592" t="n"/>
      <c r="X265" s="592" t="n"/>
      <c r="Y265" s="426" t="n"/>
      <c r="Z265" s="427" t="n"/>
      <c r="AA265" s="522">
        <f>S265</f>
        <v/>
      </c>
      <c r="AB265" s="591">
        <f>AC265*10000</f>
        <v/>
      </c>
      <c r="AC265" s="591" t="n">
        <v>25.52</v>
      </c>
      <c r="AD265" s="523" t="n"/>
      <c r="AE265" s="594" t="n"/>
      <c r="AF265" s="592" t="n"/>
      <c r="AG265" s="426" t="n"/>
      <c r="AH265" s="427" t="n"/>
      <c r="AI265" s="522">
        <f>C265</f>
        <v/>
      </c>
      <c r="AJ265" s="591">
        <f>AK265*10000</f>
        <v/>
      </c>
      <c r="AK265" s="522" t="n">
        <v>1.68</v>
      </c>
      <c r="AL265" s="523" t="n"/>
      <c r="AM265" s="594" t="n"/>
      <c r="AN265" s="592" t="n"/>
      <c r="AO265" s="526" t="n"/>
      <c r="AP265" s="523" t="n"/>
      <c r="AQ265" s="523">
        <f>C265</f>
        <v/>
      </c>
      <c r="AR265" s="634" t="n"/>
      <c r="AS265" s="523" t="n"/>
      <c r="AT265" s="523" t="n"/>
      <c r="AU265" s="526" t="n"/>
      <c r="AV265" s="526" t="n"/>
      <c r="AW265" s="526" t="n"/>
      <c r="AX265" s="523" t="n"/>
      <c r="AY265" s="523" t="n"/>
      <c r="AZ265" s="523">
        <f>C265</f>
        <v/>
      </c>
      <c r="BA265" s="523" t="n"/>
      <c r="BB265" s="523" t="n"/>
      <c r="BC265" s="523" t="n"/>
      <c r="BD265" s="526" t="n"/>
      <c r="BE265" s="526" t="n"/>
      <c r="BF265" s="526" t="n"/>
      <c r="BG265" s="631" t="n"/>
      <c r="BH265" s="5">
        <f>C265</f>
        <v/>
      </c>
      <c r="BL265" s="19" t="n"/>
      <c r="BM265" s="19" t="n"/>
      <c r="BN265" s="19" t="n"/>
      <c r="BP265" s="5">
        <f>C265</f>
        <v/>
      </c>
      <c r="BQ265" s="633" t="n"/>
      <c r="BT265" s="19" t="n"/>
      <c r="BU265" s="19" t="n"/>
      <c r="BV265" s="19" t="n"/>
      <c r="BX265" s="5">
        <f>C265</f>
        <v/>
      </c>
      <c r="CB265" s="19" t="n"/>
      <c r="CC265" s="19" t="n"/>
      <c r="CD265" s="19" t="n"/>
      <c r="CF265" s="5">
        <f>C265</f>
        <v/>
      </c>
      <c r="CJ265" s="19" t="n"/>
      <c r="CK265" s="19" t="n"/>
      <c r="CL265" s="19" t="n"/>
      <c r="CN265" s="5">
        <f>C265</f>
        <v/>
      </c>
      <c r="CR265" s="19" t="n"/>
      <c r="CS265" s="19" t="n"/>
      <c r="CT265" s="19" t="n"/>
      <c r="CV265" s="5">
        <f>C265</f>
        <v/>
      </c>
      <c r="CZ265" s="19" t="n"/>
      <c r="DA265" s="19" t="n"/>
      <c r="DB265" s="19" t="n"/>
      <c r="DC265" s="23" t="n"/>
      <c r="DD265" s="5">
        <f>C265</f>
        <v/>
      </c>
      <c r="DH265" s="19" t="n"/>
      <c r="DI265" s="19" t="n"/>
      <c r="DJ265" s="19" t="n"/>
      <c r="DL265" s="5">
        <f>C265</f>
        <v/>
      </c>
      <c r="DP265" s="19" t="n"/>
      <c r="DQ265" s="19" t="n"/>
      <c r="DR265" s="19" t="n"/>
      <c r="DT265" s="5">
        <f>C265</f>
        <v/>
      </c>
      <c r="DX265" s="19" t="n"/>
      <c r="DY265" s="19" t="n"/>
      <c r="DZ265" s="19" t="n"/>
      <c r="EB265" s="5">
        <f>C265</f>
        <v/>
      </c>
      <c r="EF265" s="19" t="n"/>
      <c r="EG265" s="19" t="n"/>
      <c r="EH265" s="19" t="n"/>
      <c r="EJ265" s="5">
        <f>C265</f>
        <v/>
      </c>
      <c r="EN265" s="19" t="n"/>
      <c r="EO265" s="19" t="n"/>
      <c r="EP265" s="19" t="n"/>
      <c r="EQ265" s="19" t="n"/>
      <c r="ER265" s="5">
        <f>C265</f>
        <v/>
      </c>
      <c r="ES265" s="19" t="n"/>
      <c r="ET265" s="19" t="n"/>
      <c r="EU265" s="19" t="n"/>
      <c r="EV265" s="19" t="n"/>
      <c r="EW265" s="19" t="n"/>
      <c r="EX265" s="19" t="n"/>
      <c r="EZ265" s="5">
        <f>C265</f>
        <v/>
      </c>
      <c r="FD265" s="19" t="n"/>
      <c r="FE265" s="19" t="n"/>
      <c r="FF265" s="19" t="n"/>
      <c r="FG265" s="19" t="n"/>
      <c r="FH265" s="5">
        <f>C265</f>
        <v/>
      </c>
      <c r="FI265" s="633" t="n"/>
      <c r="FL265" s="19" t="n"/>
      <c r="FM265" s="19" t="n"/>
      <c r="FN265" s="19" t="n"/>
      <c r="FP265" s="5">
        <f>C265</f>
        <v/>
      </c>
      <c r="FT265" s="19" t="n"/>
      <c r="FU265" s="19" t="n"/>
      <c r="FV265" s="19" t="n"/>
      <c r="FX265" s="5">
        <f>C265</f>
        <v/>
      </c>
      <c r="GB265" s="19" t="n"/>
      <c r="GC265" s="19" t="n"/>
      <c r="GD265" s="19" t="n"/>
      <c r="GF265" s="5">
        <f>C265</f>
        <v/>
      </c>
      <c r="GJ265" s="19" t="n"/>
      <c r="GK265" s="19" t="n"/>
      <c r="GL265" s="19" t="n"/>
      <c r="GN265" s="5">
        <f>C265</f>
        <v/>
      </c>
      <c r="GR265" s="19" t="n"/>
      <c r="GS265" s="19" t="n"/>
      <c r="GT265" s="19" t="n"/>
      <c r="GV265" s="5">
        <f>C265</f>
        <v/>
      </c>
      <c r="GZ265" s="19" t="n"/>
      <c r="HA265" s="19" t="n"/>
      <c r="HB265" s="19" t="n"/>
      <c r="HD265" s="5">
        <f>C265</f>
        <v/>
      </c>
      <c r="HH265" s="19" t="n"/>
      <c r="HI265" s="19" t="n"/>
      <c r="HJ265" s="19" t="n"/>
      <c r="HL265" s="5">
        <f>C265</f>
        <v/>
      </c>
      <c r="HP265" s="19" t="n"/>
      <c r="HQ265" s="19" t="n"/>
      <c r="HR265" s="19" t="n"/>
      <c r="HT265" s="5">
        <f>C265</f>
        <v/>
      </c>
      <c r="HX265" s="19" t="n"/>
      <c r="HY265" s="19" t="n"/>
      <c r="HZ265" s="19" t="n"/>
      <c r="IB265" s="5">
        <f>C265</f>
        <v/>
      </c>
      <c r="IG265" s="19" t="n"/>
      <c r="IH265" s="19" t="n"/>
      <c r="IJ265" s="5">
        <f>C265</f>
        <v/>
      </c>
      <c r="IN265" s="19" t="n"/>
      <c r="IO265" s="19" t="n"/>
      <c r="IP265" s="19" t="n"/>
      <c r="IR265" s="5">
        <f>C265</f>
        <v/>
      </c>
      <c r="IV265" s="19" t="n"/>
      <c r="IW265" s="19" t="n"/>
      <c r="IX265" s="19" t="n"/>
      <c r="IZ265" s="5">
        <f>C265</f>
        <v/>
      </c>
      <c r="JD265" s="19" t="n"/>
      <c r="JE265" s="19" t="n"/>
      <c r="JF265" s="19" t="n"/>
      <c r="JH265" s="5">
        <f>C265</f>
        <v/>
      </c>
      <c r="JL265" s="19" t="n"/>
      <c r="JM265" s="19" t="n"/>
      <c r="JN265" s="19" t="n"/>
      <c r="JO265" s="19" t="n"/>
      <c r="JP265" s="5">
        <f>C265</f>
        <v/>
      </c>
      <c r="JT265" s="19" t="n"/>
      <c r="JU265" s="19" t="n"/>
      <c r="JV265" s="19" t="n"/>
      <c r="JW265" s="19" t="n"/>
      <c r="JX265" s="5">
        <f>C265</f>
        <v/>
      </c>
      <c r="KB265" s="19" t="n"/>
      <c r="KC265" s="19" t="n"/>
      <c r="KD265" s="19" t="n"/>
      <c r="KE265" s="19" t="n"/>
      <c r="KF265" s="5">
        <f>C265</f>
        <v/>
      </c>
      <c r="KG265" s="19" t="n"/>
      <c r="KH265" s="19" t="n"/>
      <c r="KJ265" s="19" t="n"/>
      <c r="KK265" s="19" t="n"/>
      <c r="KL265" s="19" t="n"/>
      <c r="KM265" s="19" t="n"/>
      <c r="KN265" s="5">
        <f>C265</f>
        <v/>
      </c>
      <c r="KR265" s="19" t="n"/>
      <c r="KS265" s="19" t="n"/>
      <c r="KT265" s="19" t="n"/>
      <c r="KV265" s="5">
        <f>C265</f>
        <v/>
      </c>
      <c r="KZ265" s="19" t="n"/>
      <c r="LA265" s="19" t="n"/>
      <c r="LB265" s="19" t="n"/>
      <c r="LD265" s="5">
        <f>C265</f>
        <v/>
      </c>
      <c r="LH265" s="19" t="n"/>
      <c r="LI265" s="19" t="n"/>
      <c r="LJ265" s="19" t="n"/>
      <c r="LL265" s="5">
        <f>C265</f>
        <v/>
      </c>
      <c r="LM265" s="633" t="n"/>
      <c r="LP265" s="19" t="n"/>
      <c r="LQ265" s="19" t="n"/>
      <c r="LR265" s="19" t="n"/>
      <c r="LT265" s="5">
        <f>C265</f>
        <v/>
      </c>
      <c r="LX265" s="19" t="n"/>
      <c r="LY265" s="19" t="n"/>
      <c r="LZ265" s="19" t="n"/>
      <c r="MB265" s="5">
        <f>C265</f>
        <v/>
      </c>
      <c r="MF265" s="19" t="n"/>
      <c r="MG265" s="19" t="n"/>
      <c r="MH265" s="19" t="n"/>
      <c r="MK265" s="5">
        <f>C265</f>
        <v/>
      </c>
      <c r="MM265" s="24" t="n"/>
      <c r="MO265" s="19" t="n"/>
      <c r="MP265" s="19" t="n"/>
      <c r="MQ265" s="19" t="n"/>
      <c r="MR265" s="19" t="n"/>
      <c r="MS265" s="19" t="n"/>
      <c r="MT265" s="25">
        <f>C265</f>
        <v/>
      </c>
      <c r="MX265" s="19" t="n"/>
      <c r="MY265" s="19" t="n"/>
      <c r="MZ265" s="19" t="n"/>
      <c r="NA265" s="19" t="n"/>
      <c r="NB265" s="19" t="n"/>
      <c r="NC265" s="5">
        <f>C265</f>
        <v/>
      </c>
      <c r="NG265" s="19" t="n"/>
      <c r="NH265" s="19" t="n"/>
      <c r="NI265" s="19" t="n"/>
      <c r="NJ265" s="19" t="n"/>
      <c r="NK265" s="19" t="n"/>
      <c r="NM265" s="5">
        <f>C265</f>
        <v/>
      </c>
      <c r="NQ265" s="19" t="n"/>
      <c r="NR265" s="19" t="n"/>
      <c r="NU265" s="5">
        <f>C265</f>
        <v/>
      </c>
      <c r="NY265" s="19" t="n"/>
      <c r="NZ265" s="19" t="n"/>
      <c r="OC265" s="5">
        <f>C265</f>
        <v/>
      </c>
      <c r="OG265" s="19" t="n"/>
      <c r="OH265" s="19" t="n"/>
      <c r="OI265" s="19" t="n"/>
      <c r="OK265" s="5">
        <f>C265</f>
        <v/>
      </c>
      <c r="OO265" s="19" t="n"/>
      <c r="OP265" s="19" t="n"/>
      <c r="OQ265" s="19" t="n"/>
      <c r="OT265" s="25">
        <f>OK265</f>
        <v/>
      </c>
      <c r="OX265" s="19" t="n"/>
    </row>
    <row r="266" ht="21" customFormat="1" customHeight="1" s="5">
      <c r="A266" s="631" t="n"/>
      <c r="B266" s="631" t="n"/>
      <c r="C266" s="714" t="inlineStr">
        <is>
          <t>2016//3//31</t>
        </is>
      </c>
      <c r="D266" s="591">
        <f>E266*10000</f>
        <v/>
      </c>
      <c r="E266" s="591" t="n">
        <v>74.36</v>
      </c>
      <c r="F266" s="523" t="n"/>
      <c r="G266" s="592" t="n"/>
      <c r="H266" s="592" t="n"/>
      <c r="I266" s="426" t="n"/>
      <c r="J266" s="426" t="n"/>
      <c r="K266" s="522">
        <f>C266</f>
        <v/>
      </c>
      <c r="L266" s="591">
        <f>M266*10000</f>
        <v/>
      </c>
      <c r="M266" s="591" t="n">
        <v>26.56</v>
      </c>
      <c r="N266" s="523" t="n"/>
      <c r="O266" s="594" t="n"/>
      <c r="P266" s="592" t="n"/>
      <c r="Q266" s="426" t="n"/>
      <c r="R266" s="427" t="n"/>
      <c r="S266" s="522">
        <f>C266</f>
        <v/>
      </c>
      <c r="T266" s="591">
        <f>U266*10000</f>
        <v/>
      </c>
      <c r="U266" s="591" t="n">
        <v>129.7</v>
      </c>
      <c r="V266" s="523" t="n"/>
      <c r="W266" s="592" t="n"/>
      <c r="X266" s="592" t="n"/>
      <c r="Y266" s="426" t="n"/>
      <c r="Z266" s="427" t="n"/>
      <c r="AA266" s="522">
        <f>S266</f>
        <v/>
      </c>
      <c r="AB266" s="591">
        <f>AC266*10000</f>
        <v/>
      </c>
      <c r="AC266" s="591" t="n">
        <v>26.46</v>
      </c>
      <c r="AD266" s="523" t="n"/>
      <c r="AE266" s="594" t="n"/>
      <c r="AF266" s="592" t="n"/>
      <c r="AG266" s="426" t="n"/>
      <c r="AH266" s="427" t="n"/>
      <c r="AI266" s="362">
        <f>C266</f>
        <v/>
      </c>
      <c r="AJ266" s="597" t="n"/>
      <c r="AK266" s="362" t="n"/>
      <c r="AL266" s="598" t="n"/>
      <c r="AM266" s="599" t="n"/>
      <c r="AN266" s="526" t="n"/>
      <c r="AO266" s="526" t="n"/>
      <c r="AP266" s="523" t="n"/>
      <c r="AQ266" s="523">
        <f>C266</f>
        <v/>
      </c>
      <c r="AR266" s="634" t="n"/>
      <c r="AS266" s="523" t="n"/>
      <c r="AT266" s="523" t="n"/>
      <c r="AU266" s="526" t="n"/>
      <c r="AV266" s="526" t="n"/>
      <c r="AW266" s="526" t="n"/>
      <c r="AX266" s="523" t="n"/>
      <c r="AY266" s="523" t="n"/>
      <c r="AZ266" s="523">
        <f>C266</f>
        <v/>
      </c>
      <c r="BA266" s="523" t="n"/>
      <c r="BB266" s="523" t="n"/>
      <c r="BC266" s="523" t="n"/>
      <c r="BD266" s="526" t="n"/>
      <c r="BE266" s="526" t="n"/>
      <c r="BF266" s="526" t="n"/>
      <c r="BG266" s="631" t="n"/>
      <c r="BH266" s="5">
        <f>C266</f>
        <v/>
      </c>
      <c r="BL266" s="19" t="n"/>
      <c r="BM266" s="19" t="n"/>
      <c r="BN266" s="19" t="n"/>
      <c r="BP266" s="5">
        <f>C266</f>
        <v/>
      </c>
      <c r="BQ266" s="633" t="n"/>
      <c r="BT266" s="19" t="n"/>
      <c r="BU266" s="19" t="n"/>
      <c r="BV266" s="19" t="n"/>
      <c r="BX266" s="5">
        <f>C266</f>
        <v/>
      </c>
      <c r="CB266" s="19" t="n"/>
      <c r="CC266" s="19" t="n"/>
      <c r="CD266" s="19" t="n"/>
      <c r="CF266" s="5">
        <f>C266</f>
        <v/>
      </c>
      <c r="CJ266" s="19" t="n"/>
      <c r="CK266" s="19" t="n"/>
      <c r="CL266" s="19" t="n"/>
      <c r="CN266" s="5">
        <f>C266</f>
        <v/>
      </c>
      <c r="CR266" s="19" t="n"/>
      <c r="CS266" s="19" t="n"/>
      <c r="CT266" s="19" t="n"/>
      <c r="CV266" s="5">
        <f>C266</f>
        <v/>
      </c>
      <c r="CZ266" s="19" t="n"/>
      <c r="DA266" s="19" t="n"/>
      <c r="DB266" s="19" t="n"/>
      <c r="DC266" s="23" t="n"/>
      <c r="DD266" s="5">
        <f>C266</f>
        <v/>
      </c>
      <c r="DH266" s="19" t="n"/>
      <c r="DI266" s="19" t="n"/>
      <c r="DJ266" s="19" t="n"/>
      <c r="DL266" s="5">
        <f>C266</f>
        <v/>
      </c>
      <c r="DP266" s="19" t="n"/>
      <c r="DQ266" s="19" t="n"/>
      <c r="DR266" s="19" t="n"/>
      <c r="DT266" s="5">
        <f>C266</f>
        <v/>
      </c>
      <c r="DX266" s="19" t="n"/>
      <c r="DY266" s="19" t="n"/>
      <c r="DZ266" s="19" t="n"/>
      <c r="EB266" s="5">
        <f>C266</f>
        <v/>
      </c>
      <c r="EF266" s="19" t="n"/>
      <c r="EG266" s="19" t="n"/>
      <c r="EH266" s="19" t="n"/>
      <c r="EJ266" s="5">
        <f>C266</f>
        <v/>
      </c>
      <c r="EN266" s="19" t="n"/>
      <c r="EO266" s="19" t="n"/>
      <c r="EP266" s="19" t="n"/>
      <c r="EQ266" s="19" t="n"/>
      <c r="ER266" s="5">
        <f>C266</f>
        <v/>
      </c>
      <c r="ES266" s="19" t="n"/>
      <c r="ET266" s="19" t="n"/>
      <c r="EU266" s="19" t="n"/>
      <c r="EV266" s="19" t="n"/>
      <c r="EW266" s="19" t="n"/>
      <c r="EX266" s="19" t="n"/>
      <c r="EZ266" s="5">
        <f>C266</f>
        <v/>
      </c>
      <c r="FD266" s="19" t="n"/>
      <c r="FE266" s="19" t="n"/>
      <c r="FF266" s="19" t="n"/>
      <c r="FG266" s="19" t="n"/>
      <c r="FH266" s="5">
        <f>C266</f>
        <v/>
      </c>
      <c r="FI266" s="633" t="n"/>
      <c r="FL266" s="19" t="n"/>
      <c r="FM266" s="19" t="n"/>
      <c r="FN266" s="19" t="n"/>
      <c r="FP266" s="5">
        <f>C266</f>
        <v/>
      </c>
      <c r="FT266" s="19" t="n"/>
      <c r="FU266" s="19" t="n"/>
      <c r="FV266" s="19" t="n"/>
      <c r="FX266" s="5">
        <f>C266</f>
        <v/>
      </c>
      <c r="GB266" s="19" t="n"/>
      <c r="GC266" s="19" t="n"/>
      <c r="GD266" s="19" t="n"/>
      <c r="GF266" s="5">
        <f>C266</f>
        <v/>
      </c>
      <c r="GJ266" s="19" t="n"/>
      <c r="GK266" s="19" t="n"/>
      <c r="GL266" s="19" t="n"/>
      <c r="GN266" s="5">
        <f>C266</f>
        <v/>
      </c>
      <c r="GR266" s="19" t="n"/>
      <c r="GS266" s="19" t="n"/>
      <c r="GT266" s="19" t="n"/>
      <c r="GV266" s="5">
        <f>C266</f>
        <v/>
      </c>
      <c r="GZ266" s="19" t="n"/>
      <c r="HA266" s="19" t="n"/>
      <c r="HB266" s="19" t="n"/>
      <c r="HD266" s="5">
        <f>C266</f>
        <v/>
      </c>
      <c r="HH266" s="19" t="n"/>
      <c r="HI266" s="19" t="n"/>
      <c r="HJ266" s="19" t="n"/>
      <c r="HL266" s="5">
        <f>C266</f>
        <v/>
      </c>
      <c r="HP266" s="19" t="n"/>
      <c r="HQ266" s="19" t="n"/>
      <c r="HR266" s="19" t="n"/>
      <c r="HT266" s="5">
        <f>C266</f>
        <v/>
      </c>
      <c r="HX266" s="19" t="n"/>
      <c r="HY266" s="19" t="n"/>
      <c r="HZ266" s="19" t="n"/>
      <c r="IB266" s="5">
        <f>C266</f>
        <v/>
      </c>
      <c r="IG266" s="19" t="n"/>
      <c r="IH266" s="19" t="n"/>
      <c r="IJ266" s="5">
        <f>C266</f>
        <v/>
      </c>
      <c r="IN266" s="19" t="n"/>
      <c r="IO266" s="19" t="n"/>
      <c r="IP266" s="19" t="n"/>
      <c r="IR266" s="5">
        <f>C266</f>
        <v/>
      </c>
      <c r="IV266" s="19" t="n"/>
      <c r="IW266" s="19" t="n"/>
      <c r="IX266" s="19" t="n"/>
      <c r="IZ266" s="5">
        <f>C266</f>
        <v/>
      </c>
      <c r="JD266" s="19" t="n"/>
      <c r="JE266" s="19" t="n"/>
      <c r="JF266" s="19" t="n"/>
      <c r="JH266" s="5">
        <f>C266</f>
        <v/>
      </c>
      <c r="JL266" s="19" t="n"/>
      <c r="JM266" s="19" t="n"/>
      <c r="JN266" s="19" t="n"/>
      <c r="JO266" s="19" t="n"/>
      <c r="JP266" s="5">
        <f>C266</f>
        <v/>
      </c>
      <c r="JT266" s="19" t="n"/>
      <c r="JU266" s="19" t="n"/>
      <c r="JV266" s="19" t="n"/>
      <c r="JW266" s="19" t="n"/>
      <c r="JX266" s="5">
        <f>C266</f>
        <v/>
      </c>
      <c r="KB266" s="19" t="n"/>
      <c r="KC266" s="19" t="n"/>
      <c r="KD266" s="19" t="n"/>
      <c r="KE266" s="19" t="n"/>
      <c r="KF266" s="5">
        <f>C266</f>
        <v/>
      </c>
      <c r="KG266" s="19" t="n"/>
      <c r="KH266" s="19" t="n"/>
      <c r="KJ266" s="19" t="n"/>
      <c r="KK266" s="19" t="n"/>
      <c r="KL266" s="19" t="n"/>
      <c r="KM266" s="19" t="n"/>
      <c r="KN266" s="5">
        <f>C266</f>
        <v/>
      </c>
      <c r="KR266" s="19" t="n"/>
      <c r="KS266" s="19" t="n"/>
      <c r="KT266" s="19" t="n"/>
      <c r="KV266" s="5">
        <f>C266</f>
        <v/>
      </c>
      <c r="KZ266" s="19" t="n"/>
      <c r="LA266" s="19" t="n"/>
      <c r="LB266" s="19" t="n"/>
      <c r="LD266" s="5">
        <f>C266</f>
        <v/>
      </c>
      <c r="LH266" s="19" t="n"/>
      <c r="LI266" s="19" t="n"/>
      <c r="LJ266" s="19" t="n"/>
      <c r="LL266" s="5">
        <f>C266</f>
        <v/>
      </c>
      <c r="LM266" s="633" t="n"/>
      <c r="LP266" s="19" t="n"/>
      <c r="LQ266" s="19" t="n"/>
      <c r="LR266" s="19" t="n"/>
      <c r="LT266" s="5">
        <f>C266</f>
        <v/>
      </c>
      <c r="LX266" s="19" t="n"/>
      <c r="LY266" s="19" t="n"/>
      <c r="LZ266" s="19" t="n"/>
      <c r="MB266" s="5">
        <f>C266</f>
        <v/>
      </c>
      <c r="MF266" s="19" t="n"/>
      <c r="MG266" s="19" t="n"/>
      <c r="MH266" s="19" t="n"/>
      <c r="MK266" s="5">
        <f>C266</f>
        <v/>
      </c>
      <c r="MM266" s="24" t="n"/>
      <c r="MO266" s="19" t="n"/>
      <c r="MP266" s="19" t="n"/>
      <c r="MQ266" s="19" t="n"/>
      <c r="MR266" s="19" t="n"/>
      <c r="MS266" s="19" t="n"/>
      <c r="MT266" s="25">
        <f>C266</f>
        <v/>
      </c>
      <c r="MX266" s="19" t="n"/>
      <c r="MY266" s="19" t="n"/>
      <c r="MZ266" s="19" t="n"/>
      <c r="NA266" s="19" t="n"/>
      <c r="NB266" s="19" t="n"/>
      <c r="NC266" s="5">
        <f>C266</f>
        <v/>
      </c>
      <c r="NG266" s="19" t="n"/>
      <c r="NH266" s="19" t="n"/>
      <c r="NI266" s="19" t="n"/>
      <c r="NJ266" s="19" t="n"/>
      <c r="NK266" s="19" t="n"/>
      <c r="NM266" s="5">
        <f>C266</f>
        <v/>
      </c>
      <c r="NQ266" s="19" t="n"/>
      <c r="NR266" s="19" t="n"/>
      <c r="NU266" s="5">
        <f>C266</f>
        <v/>
      </c>
      <c r="NY266" s="19" t="n"/>
      <c r="NZ266" s="19" t="n"/>
      <c r="OC266" s="5">
        <f>C266</f>
        <v/>
      </c>
      <c r="OG266" s="19" t="n"/>
      <c r="OH266" s="19" t="n"/>
      <c r="OI266" s="19" t="n"/>
      <c r="OK266" s="5">
        <f>C266</f>
        <v/>
      </c>
      <c r="OO266" s="19" t="n"/>
      <c r="OP266" s="19" t="n"/>
      <c r="OQ266" s="19" t="n"/>
      <c r="OT266" s="25">
        <f>OK266</f>
        <v/>
      </c>
      <c r="OX266" s="19" t="n"/>
    </row>
    <row r="267" ht="21" customFormat="1" customHeight="1" s="5">
      <c r="A267" s="631" t="n"/>
      <c r="B267" s="631" t="n"/>
      <c r="C267" s="714" t="inlineStr">
        <is>
          <t>2015//12//31</t>
        </is>
      </c>
      <c r="D267" s="591">
        <f>E267*10000</f>
        <v/>
      </c>
      <c r="E267" s="591" t="n">
        <v>57.78</v>
      </c>
      <c r="F267" s="523" t="n"/>
      <c r="G267" s="592" t="n"/>
      <c r="H267" s="592" t="n"/>
      <c r="I267" s="426" t="n"/>
      <c r="J267" s="426" t="n"/>
      <c r="K267" s="522">
        <f>C267</f>
        <v/>
      </c>
      <c r="L267" s="591">
        <f>M267*10000</f>
        <v/>
      </c>
      <c r="M267" s="591" t="n">
        <v>28.22</v>
      </c>
      <c r="N267" s="523" t="n"/>
      <c r="O267" s="594" t="n"/>
      <c r="P267" s="592" t="n"/>
      <c r="Q267" s="426" t="n"/>
      <c r="R267" s="427" t="n"/>
      <c r="S267" s="522">
        <f>C267</f>
        <v/>
      </c>
      <c r="T267" s="591">
        <f>U267*10000</f>
        <v/>
      </c>
      <c r="U267" s="591" t="n">
        <v>124.65</v>
      </c>
      <c r="V267" s="523" t="n"/>
      <c r="W267" s="592" t="n"/>
      <c r="X267" s="592" t="n"/>
      <c r="Y267" s="426" t="n"/>
      <c r="Z267" s="427" t="n"/>
      <c r="AA267" s="522">
        <f>S267</f>
        <v/>
      </c>
      <c r="AB267" s="591">
        <f>AC267*10000</f>
        <v/>
      </c>
      <c r="AC267" s="591" t="n">
        <v>28.61</v>
      </c>
      <c r="AD267" s="523" t="n"/>
      <c r="AE267" s="594" t="n"/>
      <c r="AF267" s="592" t="n"/>
      <c r="AG267" s="426" t="n"/>
      <c r="AH267" s="427" t="n"/>
      <c r="AI267" s="362">
        <f>C267</f>
        <v/>
      </c>
      <c r="AJ267" s="597" t="n"/>
      <c r="AK267" s="362" t="n"/>
      <c r="AL267" s="598" t="n"/>
      <c r="AM267" s="599" t="n"/>
      <c r="AN267" s="526" t="n"/>
      <c r="AO267" s="526" t="n"/>
      <c r="AP267" s="523" t="n"/>
      <c r="AQ267" s="523">
        <f>C267</f>
        <v/>
      </c>
      <c r="AR267" s="634" t="n"/>
      <c r="AS267" s="523" t="n"/>
      <c r="AT267" s="523" t="n"/>
      <c r="AU267" s="526" t="n"/>
      <c r="AV267" s="526" t="n"/>
      <c r="AW267" s="526" t="n"/>
      <c r="AX267" s="523" t="n"/>
      <c r="AY267" s="523" t="n"/>
      <c r="AZ267" s="523">
        <f>C267</f>
        <v/>
      </c>
      <c r="BA267" s="523" t="n"/>
      <c r="BB267" s="523" t="n"/>
      <c r="BC267" s="523" t="n"/>
      <c r="BD267" s="526" t="n"/>
      <c r="BE267" s="526" t="n"/>
      <c r="BF267" s="526" t="n"/>
      <c r="BG267" s="631" t="n"/>
      <c r="BH267" s="5">
        <f>C267</f>
        <v/>
      </c>
      <c r="BL267" s="19" t="n"/>
      <c r="BM267" s="19" t="n"/>
      <c r="BN267" s="19" t="n"/>
      <c r="BP267" s="5">
        <f>C267</f>
        <v/>
      </c>
      <c r="BQ267" s="633" t="n"/>
      <c r="BT267" s="19" t="n"/>
      <c r="BU267" s="19" t="n"/>
      <c r="BV267" s="19" t="n"/>
      <c r="BX267" s="5">
        <f>C267</f>
        <v/>
      </c>
      <c r="CB267" s="19" t="n"/>
      <c r="CC267" s="19" t="n"/>
      <c r="CD267" s="19" t="n"/>
      <c r="CF267" s="5">
        <f>C267</f>
        <v/>
      </c>
      <c r="CJ267" s="19" t="n"/>
      <c r="CK267" s="19" t="n"/>
      <c r="CL267" s="19" t="n"/>
      <c r="CN267" s="5">
        <f>C267</f>
        <v/>
      </c>
      <c r="CR267" s="19" t="n"/>
      <c r="CS267" s="19" t="n"/>
      <c r="CT267" s="19" t="n"/>
      <c r="CV267" s="5">
        <f>C267</f>
        <v/>
      </c>
      <c r="CZ267" s="19" t="n"/>
      <c r="DA267" s="19" t="n"/>
      <c r="DB267" s="19" t="n"/>
      <c r="DC267" s="23" t="n"/>
      <c r="DD267" s="5">
        <f>C267</f>
        <v/>
      </c>
      <c r="DH267" s="19" t="n"/>
      <c r="DI267" s="19" t="n"/>
      <c r="DJ267" s="19" t="n"/>
      <c r="DL267" s="5">
        <f>C267</f>
        <v/>
      </c>
      <c r="DP267" s="19" t="n"/>
      <c r="DQ267" s="19" t="n"/>
      <c r="DR267" s="19" t="n"/>
      <c r="DT267" s="5">
        <f>C267</f>
        <v/>
      </c>
      <c r="DX267" s="19" t="n"/>
      <c r="DY267" s="19" t="n"/>
      <c r="DZ267" s="19" t="n"/>
      <c r="EB267" s="5">
        <f>C267</f>
        <v/>
      </c>
      <c r="EF267" s="19" t="n"/>
      <c r="EG267" s="19" t="n"/>
      <c r="EH267" s="19" t="n"/>
      <c r="EJ267" s="5">
        <f>C267</f>
        <v/>
      </c>
      <c r="EN267" s="19" t="n"/>
      <c r="EO267" s="19" t="n"/>
      <c r="EP267" s="19" t="n"/>
      <c r="EQ267" s="19" t="n"/>
      <c r="ER267" s="5">
        <f>C267</f>
        <v/>
      </c>
      <c r="ES267" s="19" t="n"/>
      <c r="ET267" s="19" t="n"/>
      <c r="EU267" s="19" t="n"/>
      <c r="EV267" s="19" t="n"/>
      <c r="EW267" s="19" t="n"/>
      <c r="EX267" s="19" t="n"/>
      <c r="EZ267" s="5">
        <f>C267</f>
        <v/>
      </c>
      <c r="FD267" s="19" t="n"/>
      <c r="FE267" s="19" t="n"/>
      <c r="FF267" s="19" t="n"/>
      <c r="FG267" s="19" t="n"/>
      <c r="FH267" s="5">
        <f>C267</f>
        <v/>
      </c>
      <c r="FI267" s="633" t="n"/>
      <c r="FL267" s="19" t="n"/>
      <c r="FM267" s="19" t="n"/>
      <c r="FN267" s="19" t="n"/>
      <c r="FP267" s="5">
        <f>C267</f>
        <v/>
      </c>
      <c r="FT267" s="19" t="n"/>
      <c r="FU267" s="19" t="n"/>
      <c r="FV267" s="19" t="n"/>
      <c r="FX267" s="5">
        <f>C267</f>
        <v/>
      </c>
      <c r="GB267" s="19" t="n"/>
      <c r="GC267" s="19" t="n"/>
      <c r="GD267" s="19" t="n"/>
      <c r="GF267" s="5">
        <f>C267</f>
        <v/>
      </c>
      <c r="GJ267" s="19" t="n"/>
      <c r="GK267" s="19" t="n"/>
      <c r="GL267" s="19" t="n"/>
      <c r="GN267" s="5">
        <f>C267</f>
        <v/>
      </c>
      <c r="GR267" s="19" t="n"/>
      <c r="GS267" s="19" t="n"/>
      <c r="GT267" s="19" t="n"/>
      <c r="GV267" s="5">
        <f>C267</f>
        <v/>
      </c>
      <c r="GZ267" s="19" t="n"/>
      <c r="HA267" s="19" t="n"/>
      <c r="HB267" s="19" t="n"/>
      <c r="HD267" s="5">
        <f>C267</f>
        <v/>
      </c>
      <c r="HH267" s="19" t="n"/>
      <c r="HI267" s="19" t="n"/>
      <c r="HJ267" s="19" t="n"/>
      <c r="HL267" s="5">
        <f>C267</f>
        <v/>
      </c>
      <c r="HP267" s="19" t="n"/>
      <c r="HQ267" s="19" t="n"/>
      <c r="HR267" s="19" t="n"/>
      <c r="HT267" s="5">
        <f>C267</f>
        <v/>
      </c>
      <c r="HX267" s="19" t="n"/>
      <c r="HY267" s="19" t="n"/>
      <c r="HZ267" s="19" t="n"/>
      <c r="IB267" s="5">
        <f>C267</f>
        <v/>
      </c>
      <c r="IG267" s="19" t="n"/>
      <c r="IH267" s="19" t="n"/>
      <c r="IJ267" s="5">
        <f>C267</f>
        <v/>
      </c>
      <c r="IN267" s="19" t="n"/>
      <c r="IO267" s="19" t="n"/>
      <c r="IP267" s="19" t="n"/>
      <c r="IR267" s="5">
        <f>C267</f>
        <v/>
      </c>
      <c r="IV267" s="19" t="n"/>
      <c r="IW267" s="19" t="n"/>
      <c r="IX267" s="19" t="n"/>
      <c r="IZ267" s="5">
        <f>C267</f>
        <v/>
      </c>
      <c r="JD267" s="19" t="n"/>
      <c r="JE267" s="19" t="n"/>
      <c r="JF267" s="19" t="n"/>
      <c r="JH267" s="5">
        <f>C267</f>
        <v/>
      </c>
      <c r="JL267" s="19" t="n"/>
      <c r="JM267" s="19" t="n"/>
      <c r="JN267" s="19" t="n"/>
      <c r="JO267" s="19" t="n"/>
      <c r="JP267" s="5">
        <f>C267</f>
        <v/>
      </c>
      <c r="JT267" s="19" t="n"/>
      <c r="JU267" s="19" t="n"/>
      <c r="JV267" s="19" t="n"/>
      <c r="JW267" s="19" t="n"/>
      <c r="JX267" s="5">
        <f>C267</f>
        <v/>
      </c>
      <c r="KB267" s="19" t="n"/>
      <c r="KC267" s="19" t="n"/>
      <c r="KD267" s="19" t="n"/>
      <c r="KE267" s="19" t="n"/>
      <c r="KF267" s="5">
        <f>C267</f>
        <v/>
      </c>
      <c r="KG267" s="19" t="n"/>
      <c r="KH267" s="19" t="n"/>
      <c r="KJ267" s="19" t="n"/>
      <c r="KK267" s="19" t="n"/>
      <c r="KL267" s="19" t="n"/>
      <c r="KM267" s="19" t="n"/>
      <c r="KN267" s="5">
        <f>C267</f>
        <v/>
      </c>
      <c r="KR267" s="19" t="n"/>
      <c r="KS267" s="19" t="n"/>
      <c r="KT267" s="19" t="n"/>
      <c r="KV267" s="5">
        <f>C267</f>
        <v/>
      </c>
      <c r="KZ267" s="19" t="n"/>
      <c r="LA267" s="19" t="n"/>
      <c r="LB267" s="19" t="n"/>
      <c r="LD267" s="5">
        <f>C267</f>
        <v/>
      </c>
      <c r="LH267" s="19" t="n"/>
      <c r="LI267" s="19" t="n"/>
      <c r="LJ267" s="19" t="n"/>
      <c r="LL267" s="5">
        <f>C267</f>
        <v/>
      </c>
      <c r="LM267" s="633" t="n"/>
      <c r="LP267" s="19" t="n"/>
      <c r="LQ267" s="19" t="n"/>
      <c r="LR267" s="19" t="n"/>
      <c r="LT267" s="5">
        <f>C267</f>
        <v/>
      </c>
      <c r="LX267" s="19" t="n"/>
      <c r="LY267" s="19" t="n"/>
      <c r="LZ267" s="19" t="n"/>
      <c r="MB267" s="5">
        <f>C267</f>
        <v/>
      </c>
      <c r="MF267" s="19" t="n"/>
      <c r="MG267" s="19" t="n"/>
      <c r="MH267" s="19" t="n"/>
      <c r="MK267" s="5">
        <f>C267</f>
        <v/>
      </c>
      <c r="MM267" s="24" t="n"/>
      <c r="MO267" s="19" t="n"/>
      <c r="MP267" s="19" t="n"/>
      <c r="MQ267" s="19" t="n"/>
      <c r="MR267" s="19" t="n"/>
      <c r="MS267" s="19" t="n"/>
      <c r="MT267" s="25">
        <f>C267</f>
        <v/>
      </c>
      <c r="MX267" s="19" t="n"/>
      <c r="MY267" s="19" t="n"/>
      <c r="MZ267" s="19" t="n"/>
      <c r="NA267" s="19" t="n"/>
      <c r="NB267" s="19" t="n"/>
      <c r="NC267" s="5">
        <f>C267</f>
        <v/>
      </c>
      <c r="NG267" s="19" t="n"/>
      <c r="NH267" s="19" t="n"/>
      <c r="NI267" s="19" t="n"/>
      <c r="NJ267" s="19" t="n"/>
      <c r="NK267" s="19" t="n"/>
      <c r="NM267" s="5">
        <f>C267</f>
        <v/>
      </c>
      <c r="NQ267" s="19" t="n"/>
      <c r="NR267" s="19" t="n"/>
      <c r="NU267" s="5">
        <f>C267</f>
        <v/>
      </c>
      <c r="NY267" s="19" t="n"/>
      <c r="NZ267" s="19" t="n"/>
      <c r="OC267" s="5">
        <f>C267</f>
        <v/>
      </c>
      <c r="OG267" s="19" t="n"/>
      <c r="OH267" s="19" t="n"/>
      <c r="OI267" s="19" t="n"/>
      <c r="OK267" s="5">
        <f>C267</f>
        <v/>
      </c>
      <c r="OO267" s="19" t="n"/>
      <c r="OP267" s="19" t="n"/>
      <c r="OQ267" s="19" t="n"/>
      <c r="OT267" s="25">
        <f>OK267</f>
        <v/>
      </c>
      <c r="OX267" s="19" t="n"/>
    </row>
    <row r="268" customFormat="1" s="5">
      <c r="A268" s="631" t="n"/>
      <c r="B268" s="631" t="n"/>
      <c r="C268" s="693" t="n"/>
      <c r="D268" s="597" t="n"/>
      <c r="E268" s="597" t="n"/>
      <c r="F268" s="600" t="n"/>
      <c r="G268" s="601" t="n"/>
      <c r="H268" s="526" t="n"/>
      <c r="I268" s="426" t="n"/>
      <c r="J268" s="426" t="n"/>
      <c r="K268" s="522">
        <f>C268</f>
        <v/>
      </c>
      <c r="L268" s="591">
        <f>M268*10000</f>
        <v/>
      </c>
      <c r="M268" s="591" t="n">
        <v>29.14</v>
      </c>
      <c r="N268" s="523" t="n"/>
      <c r="O268" s="594" t="n"/>
      <c r="P268" s="592" t="n"/>
      <c r="Q268" s="426" t="n"/>
      <c r="R268" s="427" t="n"/>
      <c r="S268" s="522">
        <f>C268</f>
        <v/>
      </c>
      <c r="T268" s="591">
        <f>U268*10000</f>
        <v/>
      </c>
      <c r="U268" s="591" t="n">
        <v>133</v>
      </c>
      <c r="V268" s="523" t="n"/>
      <c r="W268" s="592" t="n"/>
      <c r="X268" s="592" t="n"/>
      <c r="Y268" s="426" t="n"/>
      <c r="Z268" s="427" t="n"/>
      <c r="AA268" s="522">
        <f>S268</f>
        <v/>
      </c>
      <c r="AB268" s="591">
        <f>AC268*10000</f>
        <v/>
      </c>
      <c r="AC268" s="591" t="n">
        <v>28.16</v>
      </c>
      <c r="AD268" s="523" t="n"/>
      <c r="AE268" s="594" t="n"/>
      <c r="AF268" s="592" t="n"/>
      <c r="AG268" s="426" t="n"/>
      <c r="AH268" s="427" t="n"/>
      <c r="AI268" s="362">
        <f>C268</f>
        <v/>
      </c>
      <c r="AJ268" s="597" t="n"/>
      <c r="AK268" s="362" t="n"/>
      <c r="AL268" s="598" t="n"/>
      <c r="AM268" s="599" t="n"/>
      <c r="AN268" s="526" t="n"/>
      <c r="AO268" s="526" t="n"/>
      <c r="AP268" s="523" t="n"/>
      <c r="AQ268" s="523">
        <f>C268</f>
        <v/>
      </c>
      <c r="AR268" s="634" t="n"/>
      <c r="AS268" s="523" t="n"/>
      <c r="AT268" s="523" t="n"/>
      <c r="AU268" s="526" t="n"/>
      <c r="AV268" s="526" t="n"/>
      <c r="AW268" s="526" t="n"/>
      <c r="AX268" s="523" t="n"/>
      <c r="AY268" s="523" t="n"/>
      <c r="AZ268" s="523">
        <f>C268</f>
        <v/>
      </c>
      <c r="BA268" s="523" t="n"/>
      <c r="BB268" s="523" t="n"/>
      <c r="BC268" s="523" t="n"/>
      <c r="BD268" s="526" t="n"/>
      <c r="BE268" s="526" t="n"/>
      <c r="BF268" s="526" t="n"/>
      <c r="BG268" s="631" t="n"/>
      <c r="BH268" s="5">
        <f>C268</f>
        <v/>
      </c>
      <c r="BL268" s="19" t="n"/>
      <c r="BM268" s="19" t="n"/>
      <c r="BN268" s="19" t="n"/>
      <c r="BP268" s="5">
        <f>C268</f>
        <v/>
      </c>
      <c r="BQ268" s="633" t="n"/>
      <c r="BT268" s="19" t="n"/>
      <c r="BU268" s="19" t="n"/>
      <c r="BV268" s="19" t="n"/>
      <c r="BX268" s="5">
        <f>C268</f>
        <v/>
      </c>
      <c r="CB268" s="19" t="n"/>
      <c r="CC268" s="19" t="n"/>
      <c r="CD268" s="19" t="n"/>
      <c r="CF268" s="5">
        <f>C268</f>
        <v/>
      </c>
      <c r="CJ268" s="19" t="n"/>
      <c r="CK268" s="19" t="n"/>
      <c r="CL268" s="19" t="n"/>
      <c r="CN268" s="5">
        <f>C268</f>
        <v/>
      </c>
      <c r="CR268" s="19" t="n"/>
      <c r="CS268" s="19" t="n"/>
      <c r="CT268" s="19" t="n"/>
      <c r="CV268" s="5">
        <f>C268</f>
        <v/>
      </c>
      <c r="CZ268" s="19" t="n"/>
      <c r="DA268" s="19" t="n"/>
      <c r="DB268" s="19" t="n"/>
      <c r="DC268" s="23" t="n"/>
      <c r="DD268" s="5">
        <f>C268</f>
        <v/>
      </c>
      <c r="DH268" s="19" t="n"/>
      <c r="DI268" s="19" t="n"/>
      <c r="DJ268" s="19" t="n"/>
      <c r="DL268" s="5">
        <f>C268</f>
        <v/>
      </c>
      <c r="DP268" s="19" t="n"/>
      <c r="DQ268" s="19" t="n"/>
      <c r="DR268" s="19" t="n"/>
      <c r="DT268" s="5">
        <f>C268</f>
        <v/>
      </c>
      <c r="DX268" s="19" t="n"/>
      <c r="DY268" s="19" t="n"/>
      <c r="DZ268" s="19" t="n"/>
      <c r="EB268" s="5">
        <f>C268</f>
        <v/>
      </c>
      <c r="EF268" s="19" t="n"/>
      <c r="EG268" s="19" t="n"/>
      <c r="EH268" s="19" t="n"/>
      <c r="EJ268" s="5">
        <f>C268</f>
        <v/>
      </c>
      <c r="EN268" s="19" t="n"/>
      <c r="EO268" s="19" t="n"/>
      <c r="EP268" s="19" t="n"/>
      <c r="EQ268" s="19" t="n"/>
      <c r="ER268" s="5">
        <f>C268</f>
        <v/>
      </c>
      <c r="ES268" s="19" t="n"/>
      <c r="ET268" s="19" t="n"/>
      <c r="EU268" s="19" t="n"/>
      <c r="EV268" s="19" t="n"/>
      <c r="EW268" s="19" t="n"/>
      <c r="EX268" s="19" t="n"/>
      <c r="EZ268" s="5">
        <f>C268</f>
        <v/>
      </c>
      <c r="FD268" s="19" t="n"/>
      <c r="FE268" s="19" t="n"/>
      <c r="FF268" s="19" t="n"/>
      <c r="FG268" s="19" t="n"/>
      <c r="FH268" s="5">
        <f>C268</f>
        <v/>
      </c>
      <c r="FI268" s="633" t="n"/>
      <c r="FL268" s="19" t="n"/>
      <c r="FM268" s="19" t="n"/>
      <c r="FN268" s="19" t="n"/>
      <c r="FP268" s="5">
        <f>C268</f>
        <v/>
      </c>
      <c r="FT268" s="19" t="n"/>
      <c r="FU268" s="19" t="n"/>
      <c r="FV268" s="19" t="n"/>
      <c r="FX268" s="5">
        <f>C268</f>
        <v/>
      </c>
      <c r="GB268" s="19" t="n"/>
      <c r="GC268" s="19" t="n"/>
      <c r="GD268" s="19" t="n"/>
      <c r="GF268" s="5">
        <f>C268</f>
        <v/>
      </c>
      <c r="GJ268" s="19" t="n"/>
      <c r="GK268" s="19" t="n"/>
      <c r="GL268" s="19" t="n"/>
      <c r="GN268" s="5">
        <f>C268</f>
        <v/>
      </c>
      <c r="GR268" s="19" t="n"/>
      <c r="GS268" s="19" t="n"/>
      <c r="GT268" s="19" t="n"/>
      <c r="GV268" s="5">
        <f>C268</f>
        <v/>
      </c>
      <c r="GZ268" s="19" t="n"/>
      <c r="HA268" s="19" t="n"/>
      <c r="HB268" s="19" t="n"/>
      <c r="HD268" s="5">
        <f>C268</f>
        <v/>
      </c>
      <c r="HH268" s="19" t="n"/>
      <c r="HI268" s="19" t="n"/>
      <c r="HJ268" s="19" t="n"/>
      <c r="HL268" s="5">
        <f>C268</f>
        <v/>
      </c>
      <c r="HP268" s="19" t="n"/>
      <c r="HQ268" s="19" t="n"/>
      <c r="HR268" s="19" t="n"/>
      <c r="HT268" s="5">
        <f>C268</f>
        <v/>
      </c>
      <c r="HX268" s="19" t="n"/>
      <c r="HY268" s="19" t="n"/>
      <c r="HZ268" s="19" t="n"/>
      <c r="IB268" s="5">
        <f>C268</f>
        <v/>
      </c>
      <c r="IG268" s="19" t="n"/>
      <c r="IH268" s="19" t="n"/>
      <c r="IJ268" s="5">
        <f>C268</f>
        <v/>
      </c>
      <c r="IN268" s="19" t="n"/>
      <c r="IO268" s="19" t="n"/>
      <c r="IP268" s="19" t="n"/>
      <c r="IR268" s="5">
        <f>C268</f>
        <v/>
      </c>
      <c r="IV268" s="19" t="n"/>
      <c r="IW268" s="19" t="n"/>
      <c r="IX268" s="19" t="n"/>
      <c r="IZ268" s="5">
        <f>C268</f>
        <v/>
      </c>
      <c r="JD268" s="19" t="n"/>
      <c r="JE268" s="19" t="n"/>
      <c r="JF268" s="19" t="n"/>
      <c r="JH268" s="5">
        <f>C268</f>
        <v/>
      </c>
      <c r="JL268" s="19" t="n"/>
      <c r="JM268" s="19" t="n"/>
      <c r="JN268" s="19" t="n"/>
      <c r="JO268" s="19" t="n"/>
      <c r="JP268" s="5">
        <f>C268</f>
        <v/>
      </c>
      <c r="JT268" s="19" t="n"/>
      <c r="JU268" s="19" t="n"/>
      <c r="JV268" s="19" t="n"/>
      <c r="JW268" s="19" t="n"/>
      <c r="JX268" s="5">
        <f>C268</f>
        <v/>
      </c>
      <c r="KB268" s="19" t="n"/>
      <c r="KC268" s="19" t="n"/>
      <c r="KD268" s="19" t="n"/>
      <c r="KE268" s="19" t="n"/>
      <c r="KF268" s="5">
        <f>C268</f>
        <v/>
      </c>
      <c r="KG268" s="19" t="n"/>
      <c r="KH268" s="19" t="n"/>
      <c r="KJ268" s="19" t="n"/>
      <c r="KK268" s="19" t="n"/>
      <c r="KL268" s="19" t="n"/>
      <c r="KM268" s="19" t="n"/>
      <c r="KN268" s="5">
        <f>C268</f>
        <v/>
      </c>
      <c r="KR268" s="19" t="n"/>
      <c r="KS268" s="19" t="n"/>
      <c r="KT268" s="19" t="n"/>
      <c r="KV268" s="5">
        <f>C268</f>
        <v/>
      </c>
      <c r="KZ268" s="19" t="n"/>
      <c r="LA268" s="19" t="n"/>
      <c r="LB268" s="19" t="n"/>
      <c r="LD268" s="5">
        <f>C268</f>
        <v/>
      </c>
      <c r="LH268" s="19" t="n"/>
      <c r="LI268" s="19" t="n"/>
      <c r="LJ268" s="19" t="n"/>
      <c r="LL268" s="5">
        <f>C268</f>
        <v/>
      </c>
      <c r="LM268" s="633" t="n"/>
      <c r="LP268" s="19" t="n"/>
      <c r="LQ268" s="19" t="n"/>
      <c r="LR268" s="19" t="n"/>
      <c r="LT268" s="5">
        <f>C268</f>
        <v/>
      </c>
      <c r="LX268" s="19" t="n"/>
      <c r="LY268" s="19" t="n"/>
      <c r="LZ268" s="19" t="n"/>
      <c r="MB268" s="5">
        <f>C268</f>
        <v/>
      </c>
      <c r="MF268" s="19" t="n"/>
      <c r="MG268" s="19" t="n"/>
      <c r="MH268" s="19" t="n"/>
      <c r="MK268" s="5">
        <f>C268</f>
        <v/>
      </c>
      <c r="MM268" s="24" t="n"/>
      <c r="MO268" s="19" t="n"/>
      <c r="MP268" s="19" t="n"/>
      <c r="MQ268" s="19" t="n"/>
      <c r="MR268" s="19" t="n"/>
      <c r="MS268" s="19" t="n"/>
      <c r="MT268" s="25">
        <f>C268</f>
        <v/>
      </c>
      <c r="MX268" s="19" t="n"/>
      <c r="MY268" s="19" t="n"/>
      <c r="MZ268" s="19" t="n"/>
      <c r="NA268" s="19" t="n"/>
      <c r="NB268" s="19" t="n"/>
      <c r="NC268" s="5">
        <f>C268</f>
        <v/>
      </c>
      <c r="NG268" s="19" t="n"/>
      <c r="NH268" s="19" t="n"/>
      <c r="NI268" s="19" t="n"/>
      <c r="NJ268" s="19" t="n"/>
      <c r="NK268" s="19" t="n"/>
      <c r="NM268" s="5">
        <f>C268</f>
        <v/>
      </c>
      <c r="NQ268" s="19" t="n"/>
      <c r="NR268" s="19" t="n"/>
      <c r="NU268" s="5">
        <f>C268</f>
        <v/>
      </c>
      <c r="NY268" s="19" t="n"/>
      <c r="NZ268" s="19" t="n"/>
      <c r="OC268" s="5">
        <f>C268</f>
        <v/>
      </c>
      <c r="OG268" s="19" t="n"/>
      <c r="OH268" s="19" t="n"/>
      <c r="OI268" s="19" t="n"/>
      <c r="OK268" s="5">
        <f>C268</f>
        <v/>
      </c>
      <c r="OO268" s="19" t="n"/>
      <c r="OP268" s="19" t="n"/>
      <c r="OQ268" s="19" t="n"/>
      <c r="OT268" s="25">
        <f>OK268</f>
        <v/>
      </c>
      <c r="OX268" s="19" t="n"/>
    </row>
    <row r="269" customFormat="1" s="5">
      <c r="A269" s="631" t="n"/>
      <c r="B269" s="631" t="n"/>
      <c r="C269" s="693" t="n"/>
      <c r="D269" s="597" t="n"/>
      <c r="E269" s="597" t="n"/>
      <c r="F269" s="600" t="n"/>
      <c r="G269" s="601" t="n"/>
      <c r="H269" s="526" t="n"/>
      <c r="I269" s="426" t="n"/>
      <c r="J269" s="426" t="n"/>
      <c r="K269" s="522">
        <f>C269</f>
        <v/>
      </c>
      <c r="L269" s="591">
        <f>M269*10000</f>
        <v/>
      </c>
      <c r="M269" s="591" t="n">
        <v>35.83</v>
      </c>
      <c r="N269" s="523" t="n"/>
      <c r="O269" s="594" t="n"/>
      <c r="P269" s="592" t="n"/>
      <c r="Q269" s="426" t="n"/>
      <c r="R269" s="427" t="n"/>
      <c r="S269" s="362">
        <f>C269</f>
        <v/>
      </c>
      <c r="T269" s="597" t="n"/>
      <c r="U269" s="597" t="n"/>
      <c r="V269" s="598" t="n"/>
      <c r="W269" s="599" t="n"/>
      <c r="X269" s="526" t="n"/>
      <c r="Y269" s="426" t="n"/>
      <c r="Z269" s="427" t="n"/>
      <c r="AA269" s="522">
        <f>S269</f>
        <v/>
      </c>
      <c r="AB269" s="591">
        <f>AC269*10000</f>
        <v/>
      </c>
      <c r="AC269" s="591" t="n">
        <v>26.07</v>
      </c>
      <c r="AD269" s="523" t="n"/>
      <c r="AE269" s="594" t="n"/>
      <c r="AF269" s="592" t="n"/>
      <c r="AG269" s="426" t="n"/>
      <c r="AH269" s="427" t="n"/>
      <c r="AI269" s="362">
        <f>C269</f>
        <v/>
      </c>
      <c r="AJ269" s="597" t="n"/>
      <c r="AK269" s="362" t="n"/>
      <c r="AL269" s="598" t="n"/>
      <c r="AM269" s="599" t="n"/>
      <c r="AN269" s="526" t="n"/>
      <c r="AO269" s="526" t="n"/>
      <c r="AP269" s="523" t="n"/>
      <c r="AQ269" s="523">
        <f>C269</f>
        <v/>
      </c>
      <c r="AR269" s="634" t="n"/>
      <c r="AS269" s="523" t="n"/>
      <c r="AT269" s="523" t="n"/>
      <c r="AU269" s="526" t="n"/>
      <c r="AV269" s="526" t="n"/>
      <c r="AW269" s="526" t="n"/>
      <c r="AX269" s="523" t="n"/>
      <c r="AY269" s="523" t="n"/>
      <c r="AZ269" s="523">
        <f>C269</f>
        <v/>
      </c>
      <c r="BA269" s="523" t="n"/>
      <c r="BB269" s="523" t="n"/>
      <c r="BC269" s="523" t="n"/>
      <c r="BD269" s="526" t="n"/>
      <c r="BE269" s="526" t="n"/>
      <c r="BF269" s="526" t="n"/>
      <c r="BG269" s="631" t="n"/>
      <c r="BH269" s="5">
        <f>C269</f>
        <v/>
      </c>
      <c r="BL269" s="19" t="n"/>
      <c r="BM269" s="19" t="n"/>
      <c r="BN269" s="19" t="n"/>
      <c r="BP269" s="5">
        <f>C269</f>
        <v/>
      </c>
      <c r="BQ269" s="633" t="n"/>
      <c r="BT269" s="19" t="n"/>
      <c r="BU269" s="19" t="n"/>
      <c r="BV269" s="19" t="n"/>
      <c r="BX269" s="5">
        <f>C269</f>
        <v/>
      </c>
      <c r="CB269" s="19" t="n"/>
      <c r="CC269" s="19" t="n"/>
      <c r="CD269" s="19" t="n"/>
      <c r="CF269" s="5">
        <f>C269</f>
        <v/>
      </c>
      <c r="CJ269" s="19" t="n"/>
      <c r="CK269" s="19" t="n"/>
      <c r="CL269" s="19" t="n"/>
      <c r="CN269" s="5">
        <f>C269</f>
        <v/>
      </c>
      <c r="CR269" s="19" t="n"/>
      <c r="CS269" s="19" t="n"/>
      <c r="CT269" s="19" t="n"/>
      <c r="CV269" s="5">
        <f>C269</f>
        <v/>
      </c>
      <c r="CZ269" s="19" t="n"/>
      <c r="DA269" s="19" t="n"/>
      <c r="DB269" s="19" t="n"/>
      <c r="DC269" s="23" t="n"/>
      <c r="DD269" s="5">
        <f>C269</f>
        <v/>
      </c>
      <c r="DH269" s="19" t="n"/>
      <c r="DI269" s="19" t="n"/>
      <c r="DJ269" s="19" t="n"/>
      <c r="DL269" s="5">
        <f>C269</f>
        <v/>
      </c>
      <c r="DP269" s="19" t="n"/>
      <c r="DQ269" s="19" t="n"/>
      <c r="DR269" s="19" t="n"/>
      <c r="DT269" s="5">
        <f>C269</f>
        <v/>
      </c>
      <c r="DX269" s="19" t="n"/>
      <c r="DY269" s="19" t="n"/>
      <c r="DZ269" s="19" t="n"/>
      <c r="EB269" s="5">
        <f>C269</f>
        <v/>
      </c>
      <c r="EF269" s="19" t="n"/>
      <c r="EG269" s="19" t="n"/>
      <c r="EH269" s="19" t="n"/>
      <c r="EJ269" s="5">
        <f>C269</f>
        <v/>
      </c>
      <c r="EN269" s="19" t="n"/>
      <c r="EO269" s="19" t="n"/>
      <c r="EP269" s="19" t="n"/>
      <c r="EQ269" s="19" t="n"/>
      <c r="ER269" s="5">
        <f>C269</f>
        <v/>
      </c>
      <c r="ES269" s="19" t="n"/>
      <c r="ET269" s="19" t="n"/>
      <c r="EU269" s="19" t="n"/>
      <c r="EV269" s="19" t="n"/>
      <c r="EW269" s="19" t="n"/>
      <c r="EX269" s="19" t="n"/>
      <c r="EZ269" s="5">
        <f>C269</f>
        <v/>
      </c>
      <c r="FD269" s="19" t="n"/>
      <c r="FE269" s="19" t="n"/>
      <c r="FF269" s="19" t="n"/>
      <c r="FG269" s="19" t="n"/>
      <c r="FH269" s="5">
        <f>C269</f>
        <v/>
      </c>
      <c r="FI269" s="633" t="n"/>
      <c r="FL269" s="19" t="n"/>
      <c r="FM269" s="19" t="n"/>
      <c r="FN269" s="19" t="n"/>
      <c r="FP269" s="5">
        <f>C269</f>
        <v/>
      </c>
      <c r="FT269" s="19" t="n"/>
      <c r="FU269" s="19" t="n"/>
      <c r="FV269" s="19" t="n"/>
      <c r="FX269" s="5">
        <f>C269</f>
        <v/>
      </c>
      <c r="GB269" s="19" t="n"/>
      <c r="GC269" s="19" t="n"/>
      <c r="GD269" s="19" t="n"/>
      <c r="GF269" s="5">
        <f>C269</f>
        <v/>
      </c>
      <c r="GJ269" s="19" t="n"/>
      <c r="GK269" s="19" t="n"/>
      <c r="GL269" s="19" t="n"/>
      <c r="GN269" s="5">
        <f>C269</f>
        <v/>
      </c>
      <c r="GR269" s="19" t="n"/>
      <c r="GS269" s="19" t="n"/>
      <c r="GT269" s="19" t="n"/>
      <c r="GV269" s="5">
        <f>C269</f>
        <v/>
      </c>
      <c r="GZ269" s="19" t="n"/>
      <c r="HA269" s="19" t="n"/>
      <c r="HB269" s="19" t="n"/>
      <c r="HD269" s="5">
        <f>C269</f>
        <v/>
      </c>
      <c r="HH269" s="19" t="n"/>
      <c r="HI269" s="19" t="n"/>
      <c r="HJ269" s="19" t="n"/>
      <c r="HL269" s="5">
        <f>C269</f>
        <v/>
      </c>
      <c r="HP269" s="19" t="n"/>
      <c r="HQ269" s="19" t="n"/>
      <c r="HR269" s="19" t="n"/>
      <c r="HT269" s="5">
        <f>C269</f>
        <v/>
      </c>
      <c r="HX269" s="19" t="n"/>
      <c r="HY269" s="19" t="n"/>
      <c r="HZ269" s="19" t="n"/>
      <c r="IB269" s="5">
        <f>C269</f>
        <v/>
      </c>
      <c r="IG269" s="19" t="n"/>
      <c r="IH269" s="19" t="n"/>
      <c r="IJ269" s="5">
        <f>C269</f>
        <v/>
      </c>
      <c r="IN269" s="19" t="n"/>
      <c r="IO269" s="19" t="n"/>
      <c r="IP269" s="19" t="n"/>
      <c r="IR269" s="5">
        <f>C269</f>
        <v/>
      </c>
      <c r="IV269" s="19" t="n"/>
      <c r="IW269" s="19" t="n"/>
      <c r="IX269" s="19" t="n"/>
      <c r="IZ269" s="5">
        <f>C269</f>
        <v/>
      </c>
      <c r="JD269" s="19" t="n"/>
      <c r="JE269" s="19" t="n"/>
      <c r="JF269" s="19" t="n"/>
      <c r="JH269" s="5">
        <f>C269</f>
        <v/>
      </c>
      <c r="JL269" s="19" t="n"/>
      <c r="JM269" s="19" t="n"/>
      <c r="JN269" s="19" t="n"/>
      <c r="JO269" s="19" t="n"/>
      <c r="JP269" s="5">
        <f>C269</f>
        <v/>
      </c>
      <c r="JT269" s="19" t="n"/>
      <c r="JU269" s="19" t="n"/>
      <c r="JV269" s="19" t="n"/>
      <c r="JW269" s="19" t="n"/>
      <c r="JX269" s="5">
        <f>C269</f>
        <v/>
      </c>
      <c r="KB269" s="19" t="n"/>
      <c r="KC269" s="19" t="n"/>
      <c r="KD269" s="19" t="n"/>
      <c r="KE269" s="19" t="n"/>
      <c r="KF269" s="5">
        <f>C269</f>
        <v/>
      </c>
      <c r="KG269" s="19" t="n"/>
      <c r="KH269" s="19" t="n"/>
      <c r="KJ269" s="19" t="n"/>
      <c r="KK269" s="19" t="n"/>
      <c r="KL269" s="19" t="n"/>
      <c r="KM269" s="19" t="n"/>
      <c r="KN269" s="5">
        <f>C269</f>
        <v/>
      </c>
      <c r="KR269" s="19" t="n"/>
      <c r="KS269" s="19" t="n"/>
      <c r="KT269" s="19" t="n"/>
      <c r="KV269" s="5">
        <f>C269</f>
        <v/>
      </c>
      <c r="KZ269" s="19" t="n"/>
      <c r="LA269" s="19" t="n"/>
      <c r="LB269" s="19" t="n"/>
      <c r="LD269" s="5">
        <f>C269</f>
        <v/>
      </c>
      <c r="LH269" s="19" t="n"/>
      <c r="LI269" s="19" t="n"/>
      <c r="LJ269" s="19" t="n"/>
      <c r="LL269" s="5">
        <f>C269</f>
        <v/>
      </c>
      <c r="LM269" s="633" t="n"/>
      <c r="LP269" s="19" t="n"/>
      <c r="LQ269" s="19" t="n"/>
      <c r="LR269" s="19" t="n"/>
      <c r="LT269" s="5">
        <f>C269</f>
        <v/>
      </c>
      <c r="LX269" s="19" t="n"/>
      <c r="LY269" s="19" t="n"/>
      <c r="LZ269" s="19" t="n"/>
      <c r="MB269" s="5">
        <f>C269</f>
        <v/>
      </c>
      <c r="MF269" s="19" t="n"/>
      <c r="MG269" s="19" t="n"/>
      <c r="MH269" s="19" t="n"/>
      <c r="MK269" s="5">
        <f>C269</f>
        <v/>
      </c>
      <c r="MM269" s="24" t="n"/>
      <c r="MO269" s="19" t="n"/>
      <c r="MP269" s="19" t="n"/>
      <c r="MQ269" s="19" t="n"/>
      <c r="MR269" s="19" t="n"/>
      <c r="MS269" s="19" t="n"/>
      <c r="MT269" s="25">
        <f>C269</f>
        <v/>
      </c>
      <c r="MX269" s="19" t="n"/>
      <c r="MY269" s="19" t="n"/>
      <c r="MZ269" s="19" t="n"/>
      <c r="NA269" s="19" t="n"/>
      <c r="NB269" s="19" t="n"/>
      <c r="NC269" s="5">
        <f>C269</f>
        <v/>
      </c>
      <c r="NG269" s="19" t="n"/>
      <c r="NH269" s="19" t="n"/>
      <c r="NI269" s="19" t="n"/>
      <c r="NJ269" s="19" t="n"/>
      <c r="NK269" s="19" t="n"/>
      <c r="NM269" s="5">
        <f>C269</f>
        <v/>
      </c>
      <c r="NQ269" s="19" t="n"/>
      <c r="NR269" s="19" t="n"/>
      <c r="NU269" s="5">
        <f>C269</f>
        <v/>
      </c>
      <c r="NY269" s="19" t="n"/>
      <c r="NZ269" s="19" t="n"/>
      <c r="OC269" s="5">
        <f>C269</f>
        <v/>
      </c>
      <c r="OG269" s="19" t="n"/>
      <c r="OH269" s="19" t="n"/>
      <c r="OI269" s="19" t="n"/>
      <c r="OK269" s="5">
        <f>C269</f>
        <v/>
      </c>
      <c r="OO269" s="19" t="n"/>
      <c r="OP269" s="19" t="n"/>
      <c r="OQ269" s="19" t="n"/>
      <c r="OT269" s="25">
        <f>OK269</f>
        <v/>
      </c>
      <c r="OX269" s="19" t="n"/>
    </row>
    <row r="270" customFormat="1" s="5">
      <c r="A270" s="631" t="n"/>
      <c r="B270" s="631" t="n"/>
      <c r="C270" s="693" t="n"/>
      <c r="D270" s="597" t="n"/>
      <c r="E270" s="597" t="n"/>
      <c r="F270" s="600" t="n"/>
      <c r="G270" s="601" t="n"/>
      <c r="H270" s="526" t="n"/>
      <c r="I270" s="426" t="n"/>
      <c r="J270" s="426" t="n"/>
      <c r="K270" s="522">
        <f>C270</f>
        <v/>
      </c>
      <c r="L270" s="591">
        <f>M270*10000</f>
        <v/>
      </c>
      <c r="M270" s="591" t="n">
        <v>28.46</v>
      </c>
      <c r="N270" s="523" t="n"/>
      <c r="O270" s="594" t="n"/>
      <c r="P270" s="592" t="n"/>
      <c r="Q270" s="426" t="n"/>
      <c r="R270" s="427" t="n"/>
      <c r="S270" s="362">
        <f>C270</f>
        <v/>
      </c>
      <c r="T270" s="597" t="n"/>
      <c r="U270" s="597" t="n"/>
      <c r="V270" s="598" t="n"/>
      <c r="W270" s="599" t="n"/>
      <c r="X270" s="526" t="n"/>
      <c r="Y270" s="426" t="n"/>
      <c r="Z270" s="427" t="n"/>
      <c r="AA270" s="522">
        <f>S270</f>
        <v/>
      </c>
      <c r="AB270" s="591">
        <f>AC270*10000</f>
        <v/>
      </c>
      <c r="AC270" s="591" t="n">
        <v>25.85</v>
      </c>
      <c r="AD270" s="523" t="n"/>
      <c r="AE270" s="594" t="n"/>
      <c r="AF270" s="592" t="n"/>
      <c r="AG270" s="426" t="n"/>
      <c r="AH270" s="427" t="n"/>
      <c r="AI270" s="362">
        <f>C270</f>
        <v/>
      </c>
      <c r="AJ270" s="597" t="n"/>
      <c r="AK270" s="362" t="n"/>
      <c r="AL270" s="598" t="n"/>
      <c r="AM270" s="599" t="n"/>
      <c r="AN270" s="526" t="n"/>
      <c r="AO270" s="526" t="n"/>
      <c r="AP270" s="523" t="n"/>
      <c r="AQ270" s="523">
        <f>C270</f>
        <v/>
      </c>
      <c r="AR270" s="634" t="n"/>
      <c r="AS270" s="523" t="n"/>
      <c r="AT270" s="523" t="n"/>
      <c r="AU270" s="526" t="n"/>
      <c r="AV270" s="526" t="n"/>
      <c r="AW270" s="526" t="n"/>
      <c r="AX270" s="523" t="n"/>
      <c r="AY270" s="523" t="n"/>
      <c r="AZ270" s="523">
        <f>C270</f>
        <v/>
      </c>
      <c r="BA270" s="523" t="n"/>
      <c r="BB270" s="523" t="n"/>
      <c r="BC270" s="523" t="n"/>
      <c r="BD270" s="526" t="n"/>
      <c r="BE270" s="526" t="n"/>
      <c r="BF270" s="526" t="n"/>
      <c r="BG270" s="631" t="n"/>
      <c r="BH270" s="5">
        <f>C270</f>
        <v/>
      </c>
      <c r="BL270" s="19" t="n"/>
      <c r="BM270" s="19" t="n"/>
      <c r="BN270" s="19" t="n"/>
      <c r="BP270" s="5">
        <f>C270</f>
        <v/>
      </c>
      <c r="BQ270" s="633" t="n"/>
      <c r="BT270" s="19" t="n"/>
      <c r="BU270" s="19" t="n"/>
      <c r="BV270" s="19" t="n"/>
      <c r="BX270" s="5">
        <f>C270</f>
        <v/>
      </c>
      <c r="CB270" s="19" t="n"/>
      <c r="CC270" s="19" t="n"/>
      <c r="CD270" s="19" t="n"/>
      <c r="CF270" s="5">
        <f>C270</f>
        <v/>
      </c>
      <c r="CJ270" s="19" t="n"/>
      <c r="CK270" s="19" t="n"/>
      <c r="CL270" s="19" t="n"/>
      <c r="CN270" s="5">
        <f>C270</f>
        <v/>
      </c>
      <c r="CR270" s="19" t="n"/>
      <c r="CS270" s="19" t="n"/>
      <c r="CT270" s="19" t="n"/>
      <c r="CV270" s="5">
        <f>C270</f>
        <v/>
      </c>
      <c r="CZ270" s="19" t="n"/>
      <c r="DA270" s="19" t="n"/>
      <c r="DB270" s="19" t="n"/>
      <c r="DC270" s="23" t="n"/>
      <c r="DD270" s="5">
        <f>C270</f>
        <v/>
      </c>
      <c r="DH270" s="19" t="n"/>
      <c r="DI270" s="19" t="n"/>
      <c r="DJ270" s="19" t="n"/>
      <c r="DL270" s="5">
        <f>C270</f>
        <v/>
      </c>
      <c r="DP270" s="19" t="n"/>
      <c r="DQ270" s="19" t="n"/>
      <c r="DR270" s="19" t="n"/>
      <c r="DT270" s="5">
        <f>C270</f>
        <v/>
      </c>
      <c r="DX270" s="19" t="n"/>
      <c r="DY270" s="19" t="n"/>
      <c r="DZ270" s="19" t="n"/>
      <c r="EB270" s="5">
        <f>C270</f>
        <v/>
      </c>
      <c r="EF270" s="19" t="n"/>
      <c r="EG270" s="19" t="n"/>
      <c r="EH270" s="19" t="n"/>
      <c r="EJ270" s="5">
        <f>C270</f>
        <v/>
      </c>
      <c r="EN270" s="19" t="n"/>
      <c r="EO270" s="19" t="n"/>
      <c r="EP270" s="19" t="n"/>
      <c r="EQ270" s="19" t="n"/>
      <c r="ER270" s="5">
        <f>C270</f>
        <v/>
      </c>
      <c r="ES270" s="19" t="n"/>
      <c r="ET270" s="19" t="n"/>
      <c r="EU270" s="19" t="n"/>
      <c r="EV270" s="19" t="n"/>
      <c r="EW270" s="19" t="n"/>
      <c r="EX270" s="19" t="n"/>
      <c r="EZ270" s="5">
        <f>C270</f>
        <v/>
      </c>
      <c r="FD270" s="19" t="n"/>
      <c r="FE270" s="19" t="n"/>
      <c r="FF270" s="19" t="n"/>
      <c r="FG270" s="19" t="n"/>
      <c r="FH270" s="5">
        <f>C270</f>
        <v/>
      </c>
      <c r="FI270" s="633" t="n"/>
      <c r="FL270" s="19" t="n"/>
      <c r="FM270" s="19" t="n"/>
      <c r="FN270" s="19" t="n"/>
      <c r="FP270" s="5">
        <f>C270</f>
        <v/>
      </c>
      <c r="FT270" s="19" t="n"/>
      <c r="FU270" s="19" t="n"/>
      <c r="FV270" s="19" t="n"/>
      <c r="FX270" s="5">
        <f>C270</f>
        <v/>
      </c>
      <c r="GB270" s="19" t="n"/>
      <c r="GC270" s="19" t="n"/>
      <c r="GD270" s="19" t="n"/>
      <c r="GF270" s="5">
        <f>C270</f>
        <v/>
      </c>
      <c r="GJ270" s="19" t="n"/>
      <c r="GK270" s="19" t="n"/>
      <c r="GL270" s="19" t="n"/>
      <c r="GN270" s="5">
        <f>C270</f>
        <v/>
      </c>
      <c r="GR270" s="19" t="n"/>
      <c r="GS270" s="19" t="n"/>
      <c r="GT270" s="19" t="n"/>
      <c r="GV270" s="5">
        <f>C270</f>
        <v/>
      </c>
      <c r="GZ270" s="19" t="n"/>
      <c r="HA270" s="19" t="n"/>
      <c r="HB270" s="19" t="n"/>
      <c r="HD270" s="5">
        <f>C270</f>
        <v/>
      </c>
      <c r="HH270" s="19" t="n"/>
      <c r="HI270" s="19" t="n"/>
      <c r="HJ270" s="19" t="n"/>
      <c r="HL270" s="5">
        <f>C270</f>
        <v/>
      </c>
      <c r="HP270" s="19" t="n"/>
      <c r="HQ270" s="19" t="n"/>
      <c r="HR270" s="19" t="n"/>
      <c r="HT270" s="5">
        <f>C270</f>
        <v/>
      </c>
      <c r="HX270" s="19" t="n"/>
      <c r="HY270" s="19" t="n"/>
      <c r="HZ270" s="19" t="n"/>
      <c r="IB270" s="5">
        <f>C270</f>
        <v/>
      </c>
      <c r="IG270" s="19" t="n"/>
      <c r="IH270" s="19" t="n"/>
      <c r="IJ270" s="5">
        <f>C270</f>
        <v/>
      </c>
      <c r="IN270" s="19" t="n"/>
      <c r="IO270" s="19" t="n"/>
      <c r="IP270" s="19" t="n"/>
      <c r="IR270" s="5">
        <f>C270</f>
        <v/>
      </c>
      <c r="IV270" s="19" t="n"/>
      <c r="IW270" s="19" t="n"/>
      <c r="IX270" s="19" t="n"/>
      <c r="IZ270" s="5">
        <f>C270</f>
        <v/>
      </c>
      <c r="JD270" s="19" t="n"/>
      <c r="JE270" s="19" t="n"/>
      <c r="JF270" s="19" t="n"/>
      <c r="JH270" s="5">
        <f>C270</f>
        <v/>
      </c>
      <c r="JL270" s="19" t="n"/>
      <c r="JM270" s="19" t="n"/>
      <c r="JN270" s="19" t="n"/>
      <c r="JO270" s="19" t="n"/>
      <c r="JP270" s="5">
        <f>C270</f>
        <v/>
      </c>
      <c r="JT270" s="19" t="n"/>
      <c r="JU270" s="19" t="n"/>
      <c r="JV270" s="19" t="n"/>
      <c r="JW270" s="19" t="n"/>
      <c r="JX270" s="5">
        <f>C270</f>
        <v/>
      </c>
      <c r="KB270" s="19" t="n"/>
      <c r="KC270" s="19" t="n"/>
      <c r="KD270" s="19" t="n"/>
      <c r="KE270" s="19" t="n"/>
      <c r="KF270" s="5">
        <f>C270</f>
        <v/>
      </c>
      <c r="KG270" s="19" t="n"/>
      <c r="KH270" s="19" t="n"/>
      <c r="KJ270" s="19" t="n"/>
      <c r="KK270" s="19" t="n"/>
      <c r="KL270" s="19" t="n"/>
      <c r="KM270" s="19" t="n"/>
      <c r="KN270" s="5">
        <f>C270</f>
        <v/>
      </c>
      <c r="KR270" s="19" t="n"/>
      <c r="KS270" s="19" t="n"/>
      <c r="KT270" s="19" t="n"/>
      <c r="KV270" s="5">
        <f>C270</f>
        <v/>
      </c>
      <c r="KZ270" s="19" t="n"/>
      <c r="LA270" s="19" t="n"/>
      <c r="LB270" s="19" t="n"/>
      <c r="LD270" s="5">
        <f>C270</f>
        <v/>
      </c>
      <c r="LH270" s="19" t="n"/>
      <c r="LI270" s="19" t="n"/>
      <c r="LJ270" s="19" t="n"/>
      <c r="LL270" s="5">
        <f>C270</f>
        <v/>
      </c>
      <c r="LM270" s="633" t="n"/>
      <c r="LP270" s="19" t="n"/>
      <c r="LQ270" s="19" t="n"/>
      <c r="LR270" s="19" t="n"/>
      <c r="LT270" s="5">
        <f>C270</f>
        <v/>
      </c>
      <c r="LX270" s="19" t="n"/>
      <c r="LY270" s="19" t="n"/>
      <c r="LZ270" s="19" t="n"/>
      <c r="MB270" s="5">
        <f>C270</f>
        <v/>
      </c>
      <c r="MF270" s="19" t="n"/>
      <c r="MG270" s="19" t="n"/>
      <c r="MH270" s="19" t="n"/>
      <c r="MK270" s="5">
        <f>C270</f>
        <v/>
      </c>
      <c r="MM270" s="24" t="n"/>
      <c r="MO270" s="19" t="n"/>
      <c r="MP270" s="19" t="n"/>
      <c r="MQ270" s="19" t="n"/>
      <c r="MR270" s="19" t="n"/>
      <c r="MS270" s="19" t="n"/>
      <c r="MT270" s="25">
        <f>C270</f>
        <v/>
      </c>
      <c r="MX270" s="19" t="n"/>
      <c r="MY270" s="19" t="n"/>
      <c r="MZ270" s="19" t="n"/>
      <c r="NA270" s="19" t="n"/>
      <c r="NB270" s="19" t="n"/>
      <c r="NC270" s="5">
        <f>C270</f>
        <v/>
      </c>
      <c r="NG270" s="19" t="n"/>
      <c r="NH270" s="19" t="n"/>
      <c r="NI270" s="19" t="n"/>
      <c r="NJ270" s="19" t="n"/>
      <c r="NK270" s="19" t="n"/>
      <c r="NM270" s="5">
        <f>C270</f>
        <v/>
      </c>
      <c r="NQ270" s="19" t="n"/>
      <c r="NR270" s="19" t="n"/>
      <c r="NU270" s="5">
        <f>C270</f>
        <v/>
      </c>
      <c r="NY270" s="19" t="n"/>
      <c r="NZ270" s="19" t="n"/>
      <c r="OC270" s="5">
        <f>C270</f>
        <v/>
      </c>
      <c r="OG270" s="19" t="n"/>
      <c r="OH270" s="19" t="n"/>
      <c r="OI270" s="19" t="n"/>
      <c r="OK270" s="5">
        <f>C270</f>
        <v/>
      </c>
      <c r="OO270" s="19" t="n"/>
      <c r="OP270" s="19" t="n"/>
      <c r="OQ270" s="19" t="n"/>
      <c r="OT270" s="25">
        <f>OK270</f>
        <v/>
      </c>
      <c r="OX270" s="19" t="n"/>
    </row>
    <row r="271" customFormat="1" s="5">
      <c r="A271" s="631" t="n"/>
      <c r="B271" s="631" t="n"/>
      <c r="C271" s="693" t="n"/>
      <c r="D271" s="597" t="n"/>
      <c r="E271" s="597" t="n"/>
      <c r="F271" s="600" t="n"/>
      <c r="G271" s="601" t="n"/>
      <c r="H271" s="526" t="n"/>
      <c r="I271" s="426" t="n"/>
      <c r="J271" s="426" t="n"/>
      <c r="K271" s="522">
        <f>C271</f>
        <v/>
      </c>
      <c r="L271" s="591">
        <f>M271*10000</f>
        <v/>
      </c>
      <c r="M271" s="591" t="n">
        <v>36.26</v>
      </c>
      <c r="N271" s="523" t="n"/>
      <c r="O271" s="594" t="n"/>
      <c r="P271" s="592" t="n"/>
      <c r="Q271" s="426" t="n"/>
      <c r="R271" s="427" t="n"/>
      <c r="S271" s="362">
        <f>C271</f>
        <v/>
      </c>
      <c r="T271" s="597" t="n"/>
      <c r="U271" s="597" t="n"/>
      <c r="V271" s="598" t="n"/>
      <c r="W271" s="599" t="n"/>
      <c r="X271" s="526" t="n"/>
      <c r="Y271" s="426" t="n"/>
      <c r="Z271" s="427" t="n"/>
      <c r="AA271" s="522">
        <f>S271</f>
        <v/>
      </c>
      <c r="AB271" s="591">
        <f>AC271*10000</f>
        <v/>
      </c>
      <c r="AC271" s="591" t="n">
        <v>6.95</v>
      </c>
      <c r="AD271" s="523" t="n"/>
      <c r="AE271" s="594" t="n"/>
      <c r="AF271" s="592" t="n"/>
      <c r="AG271" s="426" t="n"/>
      <c r="AH271" s="427" t="n"/>
      <c r="AI271" s="362">
        <f>C271</f>
        <v/>
      </c>
      <c r="AJ271" s="597" t="n"/>
      <c r="AK271" s="362" t="n"/>
      <c r="AL271" s="598" t="n"/>
      <c r="AM271" s="599" t="n"/>
      <c r="AN271" s="526" t="n"/>
      <c r="AO271" s="526" t="n"/>
      <c r="AP271" s="523" t="n"/>
      <c r="AQ271" s="523">
        <f>C271</f>
        <v/>
      </c>
      <c r="AR271" s="634" t="n"/>
      <c r="AS271" s="523" t="n"/>
      <c r="AT271" s="523" t="n"/>
      <c r="AU271" s="526" t="n"/>
      <c r="AV271" s="526" t="n"/>
      <c r="AW271" s="526" t="n"/>
      <c r="AX271" s="523" t="n"/>
      <c r="AY271" s="523" t="n"/>
      <c r="AZ271" s="523">
        <f>C271</f>
        <v/>
      </c>
      <c r="BA271" s="523" t="n"/>
      <c r="BB271" s="523" t="n"/>
      <c r="BC271" s="523" t="n"/>
      <c r="BD271" s="526" t="n"/>
      <c r="BE271" s="526" t="n"/>
      <c r="BF271" s="526" t="n"/>
      <c r="BG271" s="631" t="n"/>
      <c r="BH271" s="5">
        <f>C271</f>
        <v/>
      </c>
      <c r="BL271" s="19" t="n"/>
      <c r="BM271" s="19" t="n"/>
      <c r="BN271" s="19" t="n"/>
      <c r="BP271" s="5">
        <f>C271</f>
        <v/>
      </c>
      <c r="BQ271" s="633" t="n"/>
      <c r="BT271" s="19" t="n"/>
      <c r="BU271" s="19" t="n"/>
      <c r="BV271" s="19" t="n"/>
      <c r="BX271" s="5">
        <f>C271</f>
        <v/>
      </c>
      <c r="CB271" s="19" t="n"/>
      <c r="CC271" s="19" t="n"/>
      <c r="CD271" s="19" t="n"/>
      <c r="CF271" s="5">
        <f>C271</f>
        <v/>
      </c>
      <c r="CJ271" s="19" t="n"/>
      <c r="CK271" s="19" t="n"/>
      <c r="CL271" s="19" t="n"/>
      <c r="CN271" s="5">
        <f>C271</f>
        <v/>
      </c>
      <c r="CR271" s="19" t="n"/>
      <c r="CS271" s="19" t="n"/>
      <c r="CT271" s="19" t="n"/>
      <c r="CV271" s="5">
        <f>C271</f>
        <v/>
      </c>
      <c r="CZ271" s="19" t="n"/>
      <c r="DA271" s="19" t="n"/>
      <c r="DB271" s="19" t="n"/>
      <c r="DC271" s="23" t="n"/>
      <c r="DD271" s="5">
        <f>C271</f>
        <v/>
      </c>
      <c r="DH271" s="19" t="n"/>
      <c r="DI271" s="19" t="n"/>
      <c r="DJ271" s="19" t="n"/>
      <c r="DL271" s="5">
        <f>C271</f>
        <v/>
      </c>
      <c r="DP271" s="19" t="n"/>
      <c r="DQ271" s="19" t="n"/>
      <c r="DR271" s="19" t="n"/>
      <c r="DT271" s="5">
        <f>C271</f>
        <v/>
      </c>
      <c r="DX271" s="19" t="n"/>
      <c r="DY271" s="19" t="n"/>
      <c r="DZ271" s="19" t="n"/>
      <c r="EB271" s="5">
        <f>C271</f>
        <v/>
      </c>
      <c r="EF271" s="19" t="n"/>
      <c r="EG271" s="19" t="n"/>
      <c r="EH271" s="19" t="n"/>
      <c r="EJ271" s="5">
        <f>C271</f>
        <v/>
      </c>
      <c r="EN271" s="19" t="n"/>
      <c r="EO271" s="19" t="n"/>
      <c r="EP271" s="19" t="n"/>
      <c r="EQ271" s="19" t="n"/>
      <c r="ER271" s="5">
        <f>C271</f>
        <v/>
      </c>
      <c r="ES271" s="19" t="n"/>
      <c r="ET271" s="19" t="n"/>
      <c r="EU271" s="19" t="n"/>
      <c r="EV271" s="19" t="n"/>
      <c r="EW271" s="19" t="n"/>
      <c r="EX271" s="19" t="n"/>
      <c r="EZ271" s="5">
        <f>C271</f>
        <v/>
      </c>
      <c r="FD271" s="19" t="n"/>
      <c r="FE271" s="19" t="n"/>
      <c r="FF271" s="19" t="n"/>
      <c r="FG271" s="19" t="n"/>
      <c r="FH271" s="5">
        <f>C271</f>
        <v/>
      </c>
      <c r="FI271" s="633" t="n"/>
      <c r="FL271" s="19" t="n"/>
      <c r="FM271" s="19" t="n"/>
      <c r="FN271" s="19" t="n"/>
      <c r="FP271" s="5">
        <f>C271</f>
        <v/>
      </c>
      <c r="FT271" s="19" t="n"/>
      <c r="FU271" s="19" t="n"/>
      <c r="FV271" s="19" t="n"/>
      <c r="FX271" s="5">
        <f>C271</f>
        <v/>
      </c>
      <c r="GB271" s="19" t="n"/>
      <c r="GC271" s="19" t="n"/>
      <c r="GD271" s="19" t="n"/>
      <c r="GF271" s="5">
        <f>C271</f>
        <v/>
      </c>
      <c r="GJ271" s="19" t="n"/>
      <c r="GK271" s="19" t="n"/>
      <c r="GL271" s="19" t="n"/>
      <c r="GN271" s="5">
        <f>C271</f>
        <v/>
      </c>
      <c r="GR271" s="19" t="n"/>
      <c r="GS271" s="19" t="n"/>
      <c r="GT271" s="19" t="n"/>
      <c r="GV271" s="5">
        <f>C271</f>
        <v/>
      </c>
      <c r="GZ271" s="19" t="n"/>
      <c r="HA271" s="19" t="n"/>
      <c r="HB271" s="19" t="n"/>
      <c r="HD271" s="5">
        <f>C271</f>
        <v/>
      </c>
      <c r="HH271" s="19" t="n"/>
      <c r="HI271" s="19" t="n"/>
      <c r="HJ271" s="19" t="n"/>
      <c r="HL271" s="5">
        <f>C271</f>
        <v/>
      </c>
      <c r="HP271" s="19" t="n"/>
      <c r="HQ271" s="19" t="n"/>
      <c r="HR271" s="19" t="n"/>
      <c r="HT271" s="5">
        <f>C271</f>
        <v/>
      </c>
      <c r="HX271" s="19" t="n"/>
      <c r="HY271" s="19" t="n"/>
      <c r="HZ271" s="19" t="n"/>
      <c r="IB271" s="5">
        <f>C271</f>
        <v/>
      </c>
      <c r="IG271" s="19" t="n"/>
      <c r="IH271" s="19" t="n"/>
      <c r="IJ271" s="5">
        <f>C271</f>
        <v/>
      </c>
      <c r="IN271" s="19" t="n"/>
      <c r="IO271" s="19" t="n"/>
      <c r="IP271" s="19" t="n"/>
      <c r="IR271" s="5">
        <f>C271</f>
        <v/>
      </c>
      <c r="IV271" s="19" t="n"/>
      <c r="IW271" s="19" t="n"/>
      <c r="IX271" s="19" t="n"/>
      <c r="IZ271" s="5">
        <f>C271</f>
        <v/>
      </c>
      <c r="JD271" s="19" t="n"/>
      <c r="JE271" s="19" t="n"/>
      <c r="JF271" s="19" t="n"/>
      <c r="JH271" s="5">
        <f>C271</f>
        <v/>
      </c>
      <c r="JL271" s="19" t="n"/>
      <c r="JM271" s="19" t="n"/>
      <c r="JN271" s="19" t="n"/>
      <c r="JO271" s="19" t="n"/>
      <c r="JP271" s="5">
        <f>C271</f>
        <v/>
      </c>
      <c r="JT271" s="19" t="n"/>
      <c r="JU271" s="19" t="n"/>
      <c r="JV271" s="19" t="n"/>
      <c r="JW271" s="19" t="n"/>
      <c r="JX271" s="5">
        <f>C271</f>
        <v/>
      </c>
      <c r="KB271" s="19" t="n"/>
      <c r="KC271" s="19" t="n"/>
      <c r="KD271" s="19" t="n"/>
      <c r="KE271" s="19" t="n"/>
      <c r="KF271" s="5">
        <f>C271</f>
        <v/>
      </c>
      <c r="KG271" s="19" t="n"/>
      <c r="KH271" s="19" t="n"/>
      <c r="KJ271" s="19" t="n"/>
      <c r="KK271" s="19" t="n"/>
      <c r="KL271" s="19" t="n"/>
      <c r="KM271" s="19" t="n"/>
      <c r="KN271" s="5">
        <f>C271</f>
        <v/>
      </c>
      <c r="KR271" s="19" t="n"/>
      <c r="KS271" s="19" t="n"/>
      <c r="KT271" s="19" t="n"/>
      <c r="KV271" s="5">
        <f>C271</f>
        <v/>
      </c>
      <c r="KZ271" s="19" t="n"/>
      <c r="LA271" s="19" t="n"/>
      <c r="LB271" s="19" t="n"/>
      <c r="LD271" s="5">
        <f>C271</f>
        <v/>
      </c>
      <c r="LH271" s="19" t="n"/>
      <c r="LI271" s="19" t="n"/>
      <c r="LJ271" s="19" t="n"/>
      <c r="LL271" s="5">
        <f>C271</f>
        <v/>
      </c>
      <c r="LM271" s="633" t="n"/>
      <c r="LP271" s="19" t="n"/>
      <c r="LQ271" s="19" t="n"/>
      <c r="LR271" s="19" t="n"/>
      <c r="LT271" s="5">
        <f>C271</f>
        <v/>
      </c>
      <c r="LX271" s="19" t="n"/>
      <c r="LY271" s="19" t="n"/>
      <c r="LZ271" s="19" t="n"/>
      <c r="MB271" s="5">
        <f>C271</f>
        <v/>
      </c>
      <c r="MF271" s="19" t="n"/>
      <c r="MG271" s="19" t="n"/>
      <c r="MH271" s="19" t="n"/>
      <c r="MK271" s="5">
        <f>C271</f>
        <v/>
      </c>
      <c r="MM271" s="24" t="n"/>
      <c r="MO271" s="19" t="n"/>
      <c r="MP271" s="19" t="n"/>
      <c r="MQ271" s="19" t="n"/>
      <c r="MR271" s="19" t="n"/>
      <c r="MS271" s="19" t="n"/>
      <c r="MT271" s="25">
        <f>C271</f>
        <v/>
      </c>
      <c r="MX271" s="19" t="n"/>
      <c r="MY271" s="19" t="n"/>
      <c r="MZ271" s="19" t="n"/>
      <c r="NA271" s="19" t="n"/>
      <c r="NB271" s="19" t="n"/>
      <c r="NC271" s="5">
        <f>C271</f>
        <v/>
      </c>
      <c r="NG271" s="19" t="n"/>
      <c r="NH271" s="19" t="n"/>
      <c r="NI271" s="19" t="n"/>
      <c r="NJ271" s="19" t="n"/>
      <c r="NK271" s="19" t="n"/>
      <c r="NM271" s="5">
        <f>C271</f>
        <v/>
      </c>
      <c r="NQ271" s="19" t="n"/>
      <c r="NR271" s="19" t="n"/>
      <c r="NU271" s="5">
        <f>C271</f>
        <v/>
      </c>
      <c r="NY271" s="19" t="n"/>
      <c r="NZ271" s="19" t="n"/>
      <c r="OC271" s="5">
        <f>C271</f>
        <v/>
      </c>
      <c r="OG271" s="19" t="n"/>
      <c r="OH271" s="19" t="n"/>
      <c r="OI271" s="19" t="n"/>
      <c r="OK271" s="5">
        <f>C271</f>
        <v/>
      </c>
      <c r="OO271" s="19" t="n"/>
      <c r="OP271" s="19" t="n"/>
      <c r="OQ271" s="19" t="n"/>
      <c r="OT271" s="25">
        <f>OK271</f>
        <v/>
      </c>
      <c r="OX271" s="19" t="n"/>
    </row>
    <row r="272" customFormat="1" s="5">
      <c r="A272" s="631" t="n"/>
      <c r="B272" s="631" t="n"/>
      <c r="C272" s="693" t="n"/>
      <c r="D272" s="597" t="n"/>
      <c r="E272" s="597" t="n"/>
      <c r="F272" s="600" t="n"/>
      <c r="G272" s="601" t="n"/>
      <c r="H272" s="526" t="n"/>
      <c r="I272" s="426" t="n"/>
      <c r="J272" s="426" t="n"/>
      <c r="K272" s="522">
        <f>C272</f>
        <v/>
      </c>
      <c r="L272" s="591">
        <f>M272*10000</f>
        <v/>
      </c>
      <c r="M272" s="591" t="n">
        <v>24.3</v>
      </c>
      <c r="N272" s="523" t="n"/>
      <c r="O272" s="594" t="n"/>
      <c r="P272" s="592" t="n"/>
      <c r="Q272" s="426" t="n"/>
      <c r="R272" s="427" t="n"/>
      <c r="S272" s="362">
        <f>C272</f>
        <v/>
      </c>
      <c r="T272" s="597" t="n"/>
      <c r="U272" s="597" t="n"/>
      <c r="V272" s="598" t="n"/>
      <c r="W272" s="599" t="n"/>
      <c r="X272" s="526" t="n"/>
      <c r="Y272" s="426" t="n"/>
      <c r="Z272" s="427" t="n"/>
      <c r="AA272" s="522">
        <f>S272</f>
        <v/>
      </c>
      <c r="AB272" s="591">
        <f>AC272*10000</f>
        <v/>
      </c>
      <c r="AC272" s="591" t="n">
        <v>30.92</v>
      </c>
      <c r="AD272" s="523" t="n"/>
      <c r="AE272" s="594" t="n"/>
      <c r="AF272" s="592" t="n"/>
      <c r="AG272" s="426" t="n"/>
      <c r="AH272" s="427" t="n"/>
      <c r="AI272" s="362">
        <f>C272</f>
        <v/>
      </c>
      <c r="AJ272" s="597" t="n"/>
      <c r="AK272" s="362" t="n"/>
      <c r="AL272" s="598" t="n"/>
      <c r="AM272" s="599" t="n"/>
      <c r="AN272" s="526" t="n"/>
      <c r="AO272" s="526" t="n"/>
      <c r="AP272" s="523" t="n"/>
      <c r="AQ272" s="523">
        <f>C272</f>
        <v/>
      </c>
      <c r="AR272" s="634" t="n"/>
      <c r="AS272" s="523" t="n"/>
      <c r="AT272" s="523" t="n"/>
      <c r="AU272" s="526" t="n"/>
      <c r="AV272" s="526" t="n"/>
      <c r="AW272" s="526" t="n"/>
      <c r="AX272" s="523" t="n"/>
      <c r="AY272" s="523" t="n"/>
      <c r="AZ272" s="523">
        <f>C272</f>
        <v/>
      </c>
      <c r="BA272" s="523" t="n"/>
      <c r="BB272" s="523" t="n"/>
      <c r="BC272" s="523" t="n"/>
      <c r="BD272" s="526" t="n"/>
      <c r="BE272" s="526" t="n"/>
      <c r="BF272" s="526" t="n"/>
      <c r="BG272" s="631" t="n"/>
      <c r="BH272" s="5">
        <f>C272</f>
        <v/>
      </c>
      <c r="BL272" s="19" t="n"/>
      <c r="BM272" s="19" t="n"/>
      <c r="BN272" s="19" t="n"/>
      <c r="BP272" s="5">
        <f>C272</f>
        <v/>
      </c>
      <c r="BQ272" s="633" t="n"/>
      <c r="BT272" s="19" t="n"/>
      <c r="BU272" s="19" t="n"/>
      <c r="BV272" s="19" t="n"/>
      <c r="BX272" s="5">
        <f>C272</f>
        <v/>
      </c>
      <c r="CB272" s="19" t="n"/>
      <c r="CC272" s="19" t="n"/>
      <c r="CD272" s="19" t="n"/>
      <c r="CF272" s="5">
        <f>C272</f>
        <v/>
      </c>
      <c r="CJ272" s="19" t="n"/>
      <c r="CK272" s="19" t="n"/>
      <c r="CL272" s="19" t="n"/>
      <c r="CN272" s="5">
        <f>C272</f>
        <v/>
      </c>
      <c r="CR272" s="19" t="n"/>
      <c r="CS272" s="19" t="n"/>
      <c r="CT272" s="19" t="n"/>
      <c r="CV272" s="5">
        <f>C272</f>
        <v/>
      </c>
      <c r="CZ272" s="19" t="n"/>
      <c r="DA272" s="19" t="n"/>
      <c r="DB272" s="19" t="n"/>
      <c r="DC272" s="23" t="n"/>
      <c r="DD272" s="5">
        <f>C272</f>
        <v/>
      </c>
      <c r="DH272" s="19" t="n"/>
      <c r="DI272" s="19" t="n"/>
      <c r="DJ272" s="19" t="n"/>
      <c r="DL272" s="5">
        <f>C272</f>
        <v/>
      </c>
      <c r="DP272" s="19" t="n"/>
      <c r="DQ272" s="19" t="n"/>
      <c r="DR272" s="19" t="n"/>
      <c r="DT272" s="5">
        <f>C272</f>
        <v/>
      </c>
      <c r="DX272" s="19" t="n"/>
      <c r="DY272" s="19" t="n"/>
      <c r="DZ272" s="19" t="n"/>
      <c r="EB272" s="5">
        <f>C272</f>
        <v/>
      </c>
      <c r="EF272" s="19" t="n"/>
      <c r="EG272" s="19" t="n"/>
      <c r="EH272" s="19" t="n"/>
      <c r="EJ272" s="5">
        <f>C272</f>
        <v/>
      </c>
      <c r="EN272" s="19" t="n"/>
      <c r="EO272" s="19" t="n"/>
      <c r="EP272" s="19" t="n"/>
      <c r="EQ272" s="19" t="n"/>
      <c r="ER272" s="5">
        <f>C272</f>
        <v/>
      </c>
      <c r="ES272" s="19" t="n"/>
      <c r="ET272" s="19" t="n"/>
      <c r="EU272" s="19" t="n"/>
      <c r="EV272" s="19" t="n"/>
      <c r="EW272" s="19" t="n"/>
      <c r="EX272" s="19" t="n"/>
      <c r="EZ272" s="5">
        <f>C272</f>
        <v/>
      </c>
      <c r="FD272" s="19" t="n"/>
      <c r="FE272" s="19" t="n"/>
      <c r="FF272" s="19" t="n"/>
      <c r="FG272" s="19" t="n"/>
      <c r="FH272" s="5">
        <f>C272</f>
        <v/>
      </c>
      <c r="FI272" s="633" t="n"/>
      <c r="FL272" s="19" t="n"/>
      <c r="FM272" s="19" t="n"/>
      <c r="FN272" s="19" t="n"/>
      <c r="FP272" s="5">
        <f>C272</f>
        <v/>
      </c>
      <c r="FT272" s="19" t="n"/>
      <c r="FU272" s="19" t="n"/>
      <c r="FV272" s="19" t="n"/>
      <c r="FX272" s="5">
        <f>C272</f>
        <v/>
      </c>
      <c r="GB272" s="19" t="n"/>
      <c r="GC272" s="19" t="n"/>
      <c r="GD272" s="19" t="n"/>
      <c r="GF272" s="5">
        <f>C272</f>
        <v/>
      </c>
      <c r="GJ272" s="19" t="n"/>
      <c r="GK272" s="19" t="n"/>
      <c r="GL272" s="19" t="n"/>
      <c r="GN272" s="5">
        <f>C272</f>
        <v/>
      </c>
      <c r="GR272" s="19" t="n"/>
      <c r="GS272" s="19" t="n"/>
      <c r="GT272" s="19" t="n"/>
      <c r="GV272" s="5">
        <f>C272</f>
        <v/>
      </c>
      <c r="GZ272" s="19" t="n"/>
      <c r="HA272" s="19" t="n"/>
      <c r="HB272" s="19" t="n"/>
      <c r="HD272" s="5">
        <f>C272</f>
        <v/>
      </c>
      <c r="HH272" s="19" t="n"/>
      <c r="HI272" s="19" t="n"/>
      <c r="HJ272" s="19" t="n"/>
      <c r="HL272" s="5">
        <f>C272</f>
        <v/>
      </c>
      <c r="HP272" s="19" t="n"/>
      <c r="HQ272" s="19" t="n"/>
      <c r="HR272" s="19" t="n"/>
      <c r="HT272" s="5">
        <f>C272</f>
        <v/>
      </c>
      <c r="HX272" s="19" t="n"/>
      <c r="HY272" s="19" t="n"/>
      <c r="HZ272" s="19" t="n"/>
      <c r="IB272" s="5">
        <f>C272</f>
        <v/>
      </c>
      <c r="IG272" s="19" t="n"/>
      <c r="IH272" s="19" t="n"/>
      <c r="IJ272" s="5">
        <f>C272</f>
        <v/>
      </c>
      <c r="IN272" s="19" t="n"/>
      <c r="IO272" s="19" t="n"/>
      <c r="IP272" s="19" t="n"/>
      <c r="IR272" s="5">
        <f>C272</f>
        <v/>
      </c>
      <c r="IV272" s="19" t="n"/>
      <c r="IW272" s="19" t="n"/>
      <c r="IX272" s="19" t="n"/>
      <c r="IZ272" s="5">
        <f>C272</f>
        <v/>
      </c>
      <c r="JD272" s="19" t="n"/>
      <c r="JE272" s="19" t="n"/>
      <c r="JF272" s="19" t="n"/>
      <c r="JH272" s="5">
        <f>C272</f>
        <v/>
      </c>
      <c r="JL272" s="19" t="n"/>
      <c r="JM272" s="19" t="n"/>
      <c r="JN272" s="19" t="n"/>
      <c r="JO272" s="19" t="n"/>
      <c r="JP272" s="5">
        <f>C272</f>
        <v/>
      </c>
      <c r="JT272" s="19" t="n"/>
      <c r="JU272" s="19" t="n"/>
      <c r="JV272" s="19" t="n"/>
      <c r="JW272" s="19" t="n"/>
      <c r="JX272" s="5">
        <f>C272</f>
        <v/>
      </c>
      <c r="KB272" s="19" t="n"/>
      <c r="KC272" s="19" t="n"/>
      <c r="KD272" s="19" t="n"/>
      <c r="KE272" s="19" t="n"/>
      <c r="KF272" s="5">
        <f>C272</f>
        <v/>
      </c>
      <c r="KG272" s="19" t="n"/>
      <c r="KH272" s="19" t="n"/>
      <c r="KJ272" s="19" t="n"/>
      <c r="KK272" s="19" t="n"/>
      <c r="KL272" s="19" t="n"/>
      <c r="KM272" s="19" t="n"/>
      <c r="KN272" s="5">
        <f>C272</f>
        <v/>
      </c>
      <c r="KR272" s="19" t="n"/>
      <c r="KS272" s="19" t="n"/>
      <c r="KT272" s="19" t="n"/>
      <c r="KV272" s="5">
        <f>C272</f>
        <v/>
      </c>
      <c r="KZ272" s="19" t="n"/>
      <c r="LA272" s="19" t="n"/>
      <c r="LB272" s="19" t="n"/>
      <c r="LD272" s="5">
        <f>C272</f>
        <v/>
      </c>
      <c r="LH272" s="19" t="n"/>
      <c r="LI272" s="19" t="n"/>
      <c r="LJ272" s="19" t="n"/>
      <c r="LL272" s="5">
        <f>C272</f>
        <v/>
      </c>
      <c r="LM272" s="633" t="n"/>
      <c r="LP272" s="19" t="n"/>
      <c r="LQ272" s="19" t="n"/>
      <c r="LR272" s="19" t="n"/>
      <c r="LT272" s="5">
        <f>C272</f>
        <v/>
      </c>
      <c r="LX272" s="19" t="n"/>
      <c r="LY272" s="19" t="n"/>
      <c r="LZ272" s="19" t="n"/>
      <c r="MB272" s="5">
        <f>C272</f>
        <v/>
      </c>
      <c r="MF272" s="19" t="n"/>
      <c r="MG272" s="19" t="n"/>
      <c r="MH272" s="19" t="n"/>
      <c r="MK272" s="5">
        <f>C272</f>
        <v/>
      </c>
      <c r="MM272" s="24" t="n"/>
      <c r="MO272" s="19" t="n"/>
      <c r="MP272" s="19" t="n"/>
      <c r="MQ272" s="19" t="n"/>
      <c r="MR272" s="19" t="n"/>
      <c r="MS272" s="19" t="n"/>
      <c r="MT272" s="25">
        <f>C272</f>
        <v/>
      </c>
      <c r="MX272" s="19" t="n"/>
      <c r="MY272" s="19" t="n"/>
      <c r="MZ272" s="19" t="n"/>
      <c r="NA272" s="19" t="n"/>
      <c r="NB272" s="19" t="n"/>
      <c r="NC272" s="5">
        <f>C272</f>
        <v/>
      </c>
      <c r="NG272" s="19" t="n"/>
      <c r="NH272" s="19" t="n"/>
      <c r="NI272" s="19" t="n"/>
      <c r="NJ272" s="19" t="n"/>
      <c r="NK272" s="19" t="n"/>
      <c r="NM272" s="5">
        <f>C272</f>
        <v/>
      </c>
      <c r="NQ272" s="19" t="n"/>
      <c r="NR272" s="19" t="n"/>
      <c r="NU272" s="5">
        <f>C272</f>
        <v/>
      </c>
      <c r="NY272" s="19" t="n"/>
      <c r="NZ272" s="19" t="n"/>
      <c r="OC272" s="5">
        <f>C272</f>
        <v/>
      </c>
      <c r="OG272" s="19" t="n"/>
      <c r="OH272" s="19" t="n"/>
      <c r="OI272" s="19" t="n"/>
      <c r="OK272" s="5">
        <f>C272</f>
        <v/>
      </c>
      <c r="OO272" s="19" t="n"/>
      <c r="OP272" s="19" t="n"/>
      <c r="OQ272" s="19" t="n"/>
      <c r="OT272" s="25">
        <f>OK272</f>
        <v/>
      </c>
      <c r="OX272" s="19" t="n"/>
    </row>
    <row r="273" customFormat="1" s="5">
      <c r="A273" s="631" t="n"/>
      <c r="B273" s="631" t="n"/>
      <c r="C273" s="693" t="n"/>
      <c r="D273" s="597" t="n"/>
      <c r="E273" s="597" t="n"/>
      <c r="F273" s="600" t="n"/>
      <c r="G273" s="601" t="n"/>
      <c r="H273" s="526" t="n"/>
      <c r="I273" s="426" t="n"/>
      <c r="J273" s="426" t="n"/>
      <c r="K273" s="522">
        <f>C273</f>
        <v/>
      </c>
      <c r="L273" s="591">
        <f>M273*10000</f>
        <v/>
      </c>
      <c r="M273" s="591" t="n">
        <v>31.68</v>
      </c>
      <c r="N273" s="523" t="n"/>
      <c r="O273" s="594" t="n"/>
      <c r="P273" s="592" t="n"/>
      <c r="Q273" s="426" t="n"/>
      <c r="R273" s="427" t="n"/>
      <c r="S273" s="362">
        <f>C273</f>
        <v/>
      </c>
      <c r="T273" s="597" t="n"/>
      <c r="U273" s="597" t="n"/>
      <c r="V273" s="598" t="n"/>
      <c r="W273" s="599" t="n"/>
      <c r="X273" s="526" t="n"/>
      <c r="Y273" s="426" t="n"/>
      <c r="Z273" s="427" t="n"/>
      <c r="AA273" s="362">
        <f>S273</f>
        <v/>
      </c>
      <c r="AB273" s="597" t="n"/>
      <c r="AC273" s="597" t="n"/>
      <c r="AD273" s="600" t="n"/>
      <c r="AE273" s="601" t="n"/>
      <c r="AF273" s="526" t="n"/>
      <c r="AG273" s="426" t="n"/>
      <c r="AH273" s="427" t="n"/>
      <c r="AI273" s="362">
        <f>C273</f>
        <v/>
      </c>
      <c r="AJ273" s="597" t="n"/>
      <c r="AK273" s="362" t="n"/>
      <c r="AL273" s="598" t="n"/>
      <c r="AM273" s="599" t="n"/>
      <c r="AN273" s="526" t="n"/>
      <c r="AO273" s="526" t="n"/>
      <c r="AP273" s="523" t="n"/>
      <c r="AQ273" s="523">
        <f>C273</f>
        <v/>
      </c>
      <c r="AR273" s="634" t="n"/>
      <c r="AS273" s="523" t="n"/>
      <c r="AT273" s="523" t="n"/>
      <c r="AU273" s="526" t="n"/>
      <c r="AV273" s="526" t="n"/>
      <c r="AW273" s="526" t="n"/>
      <c r="AX273" s="523" t="n"/>
      <c r="AY273" s="523" t="n"/>
      <c r="AZ273" s="523">
        <f>C273</f>
        <v/>
      </c>
      <c r="BA273" s="523" t="n"/>
      <c r="BB273" s="523" t="n"/>
      <c r="BC273" s="523" t="n"/>
      <c r="BD273" s="526" t="n"/>
      <c r="BE273" s="526" t="n"/>
      <c r="BF273" s="526" t="n"/>
      <c r="BG273" s="631" t="n"/>
      <c r="BH273" s="5">
        <f>C273</f>
        <v/>
      </c>
      <c r="BL273" s="19" t="n"/>
      <c r="BM273" s="19" t="n"/>
      <c r="BN273" s="19" t="n"/>
      <c r="BP273" s="5">
        <f>C273</f>
        <v/>
      </c>
      <c r="BQ273" s="633" t="n"/>
      <c r="BT273" s="19" t="n"/>
      <c r="BU273" s="19" t="n"/>
      <c r="BV273" s="19" t="n"/>
      <c r="BX273" s="5">
        <f>C273</f>
        <v/>
      </c>
      <c r="CB273" s="19" t="n"/>
      <c r="CC273" s="19" t="n"/>
      <c r="CD273" s="19" t="n"/>
      <c r="CF273" s="5">
        <f>C273</f>
        <v/>
      </c>
      <c r="CJ273" s="19" t="n"/>
      <c r="CK273" s="19" t="n"/>
      <c r="CL273" s="19" t="n"/>
      <c r="CN273" s="5">
        <f>C273</f>
        <v/>
      </c>
      <c r="CR273" s="19" t="n"/>
      <c r="CS273" s="19" t="n"/>
      <c r="CT273" s="19" t="n"/>
      <c r="CV273" s="5">
        <f>C273</f>
        <v/>
      </c>
      <c r="CZ273" s="19" t="n"/>
      <c r="DA273" s="19" t="n"/>
      <c r="DB273" s="19" t="n"/>
      <c r="DC273" s="23" t="n"/>
      <c r="DD273" s="5">
        <f>C273</f>
        <v/>
      </c>
      <c r="DH273" s="19" t="n"/>
      <c r="DI273" s="19" t="n"/>
      <c r="DJ273" s="19" t="n"/>
      <c r="DL273" s="5">
        <f>C273</f>
        <v/>
      </c>
      <c r="DP273" s="19" t="n"/>
      <c r="DQ273" s="19" t="n"/>
      <c r="DR273" s="19" t="n"/>
      <c r="DT273" s="5">
        <f>C273</f>
        <v/>
      </c>
      <c r="DX273" s="19" t="n"/>
      <c r="DY273" s="19" t="n"/>
      <c r="DZ273" s="19" t="n"/>
      <c r="EB273" s="5">
        <f>C273</f>
        <v/>
      </c>
      <c r="EF273" s="19" t="n"/>
      <c r="EG273" s="19" t="n"/>
      <c r="EH273" s="19" t="n"/>
      <c r="EJ273" s="5">
        <f>C273</f>
        <v/>
      </c>
      <c r="EN273" s="19" t="n"/>
      <c r="EO273" s="19" t="n"/>
      <c r="EP273" s="19" t="n"/>
      <c r="EQ273" s="19" t="n"/>
      <c r="ER273" s="5">
        <f>C273</f>
        <v/>
      </c>
      <c r="ES273" s="19" t="n"/>
      <c r="ET273" s="19" t="n"/>
      <c r="EU273" s="19" t="n"/>
      <c r="EV273" s="19" t="n"/>
      <c r="EW273" s="19" t="n"/>
      <c r="EX273" s="19" t="n"/>
      <c r="EZ273" s="5">
        <f>C273</f>
        <v/>
      </c>
      <c r="FD273" s="19" t="n"/>
      <c r="FE273" s="19" t="n"/>
      <c r="FF273" s="19" t="n"/>
      <c r="FG273" s="19" t="n"/>
      <c r="FH273" s="5">
        <f>C273</f>
        <v/>
      </c>
      <c r="FI273" s="633" t="n"/>
      <c r="FL273" s="19" t="n"/>
      <c r="FM273" s="19" t="n"/>
      <c r="FN273" s="19" t="n"/>
      <c r="FP273" s="5">
        <f>C273</f>
        <v/>
      </c>
      <c r="FT273" s="19" t="n"/>
      <c r="FU273" s="19" t="n"/>
      <c r="FV273" s="19" t="n"/>
      <c r="FX273" s="5">
        <f>C273</f>
        <v/>
      </c>
      <c r="GB273" s="19" t="n"/>
      <c r="GC273" s="19" t="n"/>
      <c r="GD273" s="19" t="n"/>
      <c r="GF273" s="5">
        <f>C273</f>
        <v/>
      </c>
      <c r="GJ273" s="19" t="n"/>
      <c r="GK273" s="19" t="n"/>
      <c r="GL273" s="19" t="n"/>
      <c r="GN273" s="5">
        <f>C273</f>
        <v/>
      </c>
      <c r="GR273" s="19" t="n"/>
      <c r="GS273" s="19" t="n"/>
      <c r="GT273" s="19" t="n"/>
      <c r="GV273" s="5">
        <f>C273</f>
        <v/>
      </c>
      <c r="GZ273" s="19" t="n"/>
      <c r="HA273" s="19" t="n"/>
      <c r="HB273" s="19" t="n"/>
      <c r="HD273" s="5">
        <f>C273</f>
        <v/>
      </c>
      <c r="HH273" s="19" t="n"/>
      <c r="HI273" s="19" t="n"/>
      <c r="HJ273" s="19" t="n"/>
      <c r="HL273" s="5">
        <f>C273</f>
        <v/>
      </c>
      <c r="HP273" s="19" t="n"/>
      <c r="HQ273" s="19" t="n"/>
      <c r="HR273" s="19" t="n"/>
      <c r="HT273" s="5">
        <f>C273</f>
        <v/>
      </c>
      <c r="HX273" s="19" t="n"/>
      <c r="HY273" s="19" t="n"/>
      <c r="HZ273" s="19" t="n"/>
      <c r="IB273" s="5">
        <f>C273</f>
        <v/>
      </c>
      <c r="IG273" s="19" t="n"/>
      <c r="IH273" s="19" t="n"/>
      <c r="IJ273" s="5">
        <f>C273</f>
        <v/>
      </c>
      <c r="IN273" s="19" t="n"/>
      <c r="IO273" s="19" t="n"/>
      <c r="IP273" s="19" t="n"/>
      <c r="IR273" s="5">
        <f>C273</f>
        <v/>
      </c>
      <c r="IV273" s="19" t="n"/>
      <c r="IW273" s="19" t="n"/>
      <c r="IX273" s="19" t="n"/>
      <c r="IZ273" s="5">
        <f>C273</f>
        <v/>
      </c>
      <c r="JD273" s="19" t="n"/>
      <c r="JE273" s="19" t="n"/>
      <c r="JF273" s="19" t="n"/>
      <c r="JH273" s="5">
        <f>C273</f>
        <v/>
      </c>
      <c r="JL273" s="19" t="n"/>
      <c r="JM273" s="19" t="n"/>
      <c r="JN273" s="19" t="n"/>
      <c r="JO273" s="19" t="n"/>
      <c r="JP273" s="5">
        <f>C273</f>
        <v/>
      </c>
      <c r="JT273" s="19" t="n"/>
      <c r="JU273" s="19" t="n"/>
      <c r="JV273" s="19" t="n"/>
      <c r="JW273" s="19" t="n"/>
      <c r="JX273" s="5">
        <f>C273</f>
        <v/>
      </c>
      <c r="KB273" s="19" t="n"/>
      <c r="KC273" s="19" t="n"/>
      <c r="KD273" s="19" t="n"/>
      <c r="KE273" s="19" t="n"/>
      <c r="KF273" s="5">
        <f>C273</f>
        <v/>
      </c>
      <c r="KG273" s="19" t="n"/>
      <c r="KH273" s="19" t="n"/>
      <c r="KJ273" s="19" t="n"/>
      <c r="KK273" s="19" t="n"/>
      <c r="KL273" s="19" t="n"/>
      <c r="KM273" s="19" t="n"/>
      <c r="KN273" s="5">
        <f>C273</f>
        <v/>
      </c>
      <c r="KR273" s="19" t="n"/>
      <c r="KS273" s="19" t="n"/>
      <c r="KT273" s="19" t="n"/>
      <c r="KV273" s="5">
        <f>C273</f>
        <v/>
      </c>
      <c r="KZ273" s="19" t="n"/>
      <c r="LA273" s="19" t="n"/>
      <c r="LB273" s="19" t="n"/>
      <c r="LD273" s="5">
        <f>C273</f>
        <v/>
      </c>
      <c r="LH273" s="19" t="n"/>
      <c r="LI273" s="19" t="n"/>
      <c r="LJ273" s="19" t="n"/>
      <c r="LL273" s="5">
        <f>C273</f>
        <v/>
      </c>
      <c r="LM273" s="633" t="n"/>
      <c r="LP273" s="19" t="n"/>
      <c r="LQ273" s="19" t="n"/>
      <c r="LR273" s="19" t="n"/>
      <c r="LT273" s="5">
        <f>C273</f>
        <v/>
      </c>
      <c r="LX273" s="19" t="n"/>
      <c r="LY273" s="19" t="n"/>
      <c r="LZ273" s="19" t="n"/>
      <c r="MB273" s="5">
        <f>C273</f>
        <v/>
      </c>
      <c r="MF273" s="19" t="n"/>
      <c r="MG273" s="19" t="n"/>
      <c r="MH273" s="19" t="n"/>
      <c r="MK273" s="5">
        <f>C273</f>
        <v/>
      </c>
      <c r="MM273" s="24" t="n"/>
      <c r="MO273" s="19" t="n"/>
      <c r="MP273" s="19" t="n"/>
      <c r="MQ273" s="19" t="n"/>
      <c r="MR273" s="19" t="n"/>
      <c r="MS273" s="19" t="n"/>
      <c r="MT273" s="25">
        <f>C273</f>
        <v/>
      </c>
      <c r="MX273" s="19" t="n"/>
      <c r="MY273" s="19" t="n"/>
      <c r="MZ273" s="19" t="n"/>
      <c r="NA273" s="19" t="n"/>
      <c r="NB273" s="19" t="n"/>
      <c r="NC273" s="5">
        <f>C273</f>
        <v/>
      </c>
      <c r="NG273" s="19" t="n"/>
      <c r="NH273" s="19" t="n"/>
      <c r="NI273" s="19" t="n"/>
      <c r="NJ273" s="19" t="n"/>
      <c r="NK273" s="19" t="n"/>
      <c r="NM273" s="5">
        <f>C273</f>
        <v/>
      </c>
      <c r="NQ273" s="19" t="n"/>
      <c r="NR273" s="19" t="n"/>
      <c r="NU273" s="5">
        <f>C273</f>
        <v/>
      </c>
      <c r="NY273" s="19" t="n"/>
      <c r="NZ273" s="19" t="n"/>
      <c r="OC273" s="5">
        <f>C273</f>
        <v/>
      </c>
      <c r="OG273" s="19" t="n"/>
      <c r="OH273" s="19" t="n"/>
      <c r="OI273" s="19" t="n"/>
      <c r="OK273" s="5">
        <f>C273</f>
        <v/>
      </c>
      <c r="OO273" s="19" t="n"/>
      <c r="OP273" s="19" t="n"/>
      <c r="OQ273" s="19" t="n"/>
      <c r="OT273" s="25">
        <f>OK273</f>
        <v/>
      </c>
      <c r="OX273" s="19" t="n"/>
    </row>
    <row r="274" customFormat="1" s="5">
      <c r="A274" s="631" t="n"/>
      <c r="B274" s="631" t="n"/>
      <c r="C274" s="693" t="n"/>
      <c r="D274" s="597" t="n"/>
      <c r="E274" s="597" t="n"/>
      <c r="F274" s="600" t="n"/>
      <c r="G274" s="601" t="n"/>
      <c r="H274" s="526" t="n"/>
      <c r="I274" s="426" t="n"/>
      <c r="J274" s="426" t="n"/>
      <c r="K274" s="522">
        <f>C274</f>
        <v/>
      </c>
      <c r="L274" s="591">
        <f>M274*10000</f>
        <v/>
      </c>
      <c r="M274" s="591" t="n">
        <v>50.01</v>
      </c>
      <c r="N274" s="523" t="n"/>
      <c r="O274" s="594" t="n"/>
      <c r="P274" s="592" t="n"/>
      <c r="Q274" s="426" t="n"/>
      <c r="R274" s="427" t="n"/>
      <c r="S274" s="362">
        <f>C274</f>
        <v/>
      </c>
      <c r="T274" s="597" t="n"/>
      <c r="U274" s="597" t="n"/>
      <c r="V274" s="598" t="n"/>
      <c r="W274" s="599" t="n"/>
      <c r="X274" s="526" t="n"/>
      <c r="Y274" s="426" t="n"/>
      <c r="Z274" s="427" t="n"/>
      <c r="AA274" s="362">
        <f>S274</f>
        <v/>
      </c>
      <c r="AB274" s="597" t="n"/>
      <c r="AC274" s="597" t="n"/>
      <c r="AD274" s="600" t="n"/>
      <c r="AE274" s="601" t="n"/>
      <c r="AF274" s="526" t="n"/>
      <c r="AG274" s="426" t="n"/>
      <c r="AH274" s="427" t="n"/>
      <c r="AI274" s="362">
        <f>C274</f>
        <v/>
      </c>
      <c r="AJ274" s="597" t="n"/>
      <c r="AK274" s="362" t="n"/>
      <c r="AL274" s="598" t="n"/>
      <c r="AM274" s="599" t="n"/>
      <c r="AN274" s="526" t="n"/>
      <c r="AO274" s="526" t="n"/>
      <c r="AP274" s="523" t="n"/>
      <c r="AQ274" s="523">
        <f>C274</f>
        <v/>
      </c>
      <c r="AR274" s="634" t="n"/>
      <c r="AS274" s="523" t="n"/>
      <c r="AT274" s="523" t="n"/>
      <c r="AU274" s="526" t="n"/>
      <c r="AV274" s="526" t="n"/>
      <c r="AW274" s="526" t="n"/>
      <c r="AX274" s="523" t="n"/>
      <c r="AY274" s="523" t="n"/>
      <c r="AZ274" s="523">
        <f>C274</f>
        <v/>
      </c>
      <c r="BA274" s="523" t="n"/>
      <c r="BB274" s="523" t="n"/>
      <c r="BC274" s="523" t="n"/>
      <c r="BD274" s="526" t="n"/>
      <c r="BE274" s="526" t="n"/>
      <c r="BF274" s="526" t="n"/>
      <c r="BG274" s="631" t="n"/>
      <c r="BH274" s="5">
        <f>C274</f>
        <v/>
      </c>
      <c r="BL274" s="19" t="n"/>
      <c r="BM274" s="19" t="n"/>
      <c r="BN274" s="19" t="n"/>
      <c r="BP274" s="5">
        <f>C274</f>
        <v/>
      </c>
      <c r="BQ274" s="633" t="n"/>
      <c r="BT274" s="19" t="n"/>
      <c r="BU274" s="19" t="n"/>
      <c r="BV274" s="19" t="n"/>
      <c r="BX274" s="5">
        <f>C274</f>
        <v/>
      </c>
      <c r="CB274" s="19" t="n"/>
      <c r="CC274" s="19" t="n"/>
      <c r="CD274" s="19" t="n"/>
      <c r="CF274" s="5">
        <f>C274</f>
        <v/>
      </c>
      <c r="CJ274" s="19" t="n"/>
      <c r="CK274" s="19" t="n"/>
      <c r="CL274" s="19" t="n"/>
      <c r="CN274" s="5">
        <f>C274</f>
        <v/>
      </c>
      <c r="CR274" s="19" t="n"/>
      <c r="CS274" s="19" t="n"/>
      <c r="CT274" s="19" t="n"/>
      <c r="CV274" s="5">
        <f>C274</f>
        <v/>
      </c>
      <c r="CZ274" s="19" t="n"/>
      <c r="DA274" s="19" t="n"/>
      <c r="DB274" s="19" t="n"/>
      <c r="DC274" s="23" t="n"/>
      <c r="DD274" s="5">
        <f>C274</f>
        <v/>
      </c>
      <c r="DH274" s="19" t="n"/>
      <c r="DI274" s="19" t="n"/>
      <c r="DJ274" s="19" t="n"/>
      <c r="DL274" s="5">
        <f>C274</f>
        <v/>
      </c>
      <c r="DP274" s="19" t="n"/>
      <c r="DQ274" s="19" t="n"/>
      <c r="DR274" s="19" t="n"/>
      <c r="DT274" s="5">
        <f>C274</f>
        <v/>
      </c>
      <c r="DX274" s="19" t="n"/>
      <c r="DY274" s="19" t="n"/>
      <c r="DZ274" s="19" t="n"/>
      <c r="EB274" s="5">
        <f>C274</f>
        <v/>
      </c>
      <c r="EF274" s="19" t="n"/>
      <c r="EG274" s="19" t="n"/>
      <c r="EH274" s="19" t="n"/>
      <c r="EJ274" s="5">
        <f>C274</f>
        <v/>
      </c>
      <c r="EN274" s="19" t="n"/>
      <c r="EO274" s="19" t="n"/>
      <c r="EP274" s="19" t="n"/>
      <c r="EQ274" s="19" t="n"/>
      <c r="ER274" s="5">
        <f>C274</f>
        <v/>
      </c>
      <c r="ES274" s="19" t="n"/>
      <c r="ET274" s="19" t="n"/>
      <c r="EU274" s="19" t="n"/>
      <c r="EV274" s="19" t="n"/>
      <c r="EW274" s="19" t="n"/>
      <c r="EX274" s="19" t="n"/>
      <c r="EZ274" s="5">
        <f>C274</f>
        <v/>
      </c>
      <c r="FD274" s="19" t="n"/>
      <c r="FE274" s="19" t="n"/>
      <c r="FF274" s="19" t="n"/>
      <c r="FG274" s="19" t="n"/>
      <c r="FH274" s="5">
        <f>C274</f>
        <v/>
      </c>
      <c r="FI274" s="633" t="n"/>
      <c r="FL274" s="19" t="n"/>
      <c r="FM274" s="19" t="n"/>
      <c r="FN274" s="19" t="n"/>
      <c r="FP274" s="5">
        <f>C274</f>
        <v/>
      </c>
      <c r="FT274" s="19" t="n"/>
      <c r="FU274" s="19" t="n"/>
      <c r="FV274" s="19" t="n"/>
      <c r="FX274" s="5">
        <f>C274</f>
        <v/>
      </c>
      <c r="GB274" s="19" t="n"/>
      <c r="GC274" s="19" t="n"/>
      <c r="GD274" s="19" t="n"/>
      <c r="GF274" s="5">
        <f>C274</f>
        <v/>
      </c>
      <c r="GJ274" s="19" t="n"/>
      <c r="GK274" s="19" t="n"/>
      <c r="GL274" s="19" t="n"/>
      <c r="GN274" s="5">
        <f>C274</f>
        <v/>
      </c>
      <c r="GR274" s="19" t="n"/>
      <c r="GS274" s="19" t="n"/>
      <c r="GT274" s="19" t="n"/>
      <c r="GV274" s="5">
        <f>C274</f>
        <v/>
      </c>
      <c r="GZ274" s="19" t="n"/>
      <c r="HA274" s="19" t="n"/>
      <c r="HB274" s="19" t="n"/>
      <c r="HD274" s="5">
        <f>C274</f>
        <v/>
      </c>
      <c r="HH274" s="19" t="n"/>
      <c r="HI274" s="19" t="n"/>
      <c r="HJ274" s="19" t="n"/>
      <c r="HL274" s="5">
        <f>C274</f>
        <v/>
      </c>
      <c r="HP274" s="19" t="n"/>
      <c r="HQ274" s="19" t="n"/>
      <c r="HR274" s="19" t="n"/>
      <c r="HT274" s="5">
        <f>C274</f>
        <v/>
      </c>
      <c r="HX274" s="19" t="n"/>
      <c r="HY274" s="19" t="n"/>
      <c r="HZ274" s="19" t="n"/>
      <c r="IB274" s="5">
        <f>C274</f>
        <v/>
      </c>
      <c r="IG274" s="19" t="n"/>
      <c r="IH274" s="19" t="n"/>
      <c r="IJ274" s="5">
        <f>C274</f>
        <v/>
      </c>
      <c r="IN274" s="19" t="n"/>
      <c r="IO274" s="19" t="n"/>
      <c r="IP274" s="19" t="n"/>
      <c r="IR274" s="5">
        <f>C274</f>
        <v/>
      </c>
      <c r="IV274" s="19" t="n"/>
      <c r="IW274" s="19" t="n"/>
      <c r="IX274" s="19" t="n"/>
      <c r="IZ274" s="5">
        <f>C274</f>
        <v/>
      </c>
      <c r="JD274" s="19" t="n"/>
      <c r="JE274" s="19" t="n"/>
      <c r="JF274" s="19" t="n"/>
      <c r="JH274" s="5">
        <f>C274</f>
        <v/>
      </c>
      <c r="JL274" s="19" t="n"/>
      <c r="JM274" s="19" t="n"/>
      <c r="JN274" s="19" t="n"/>
      <c r="JO274" s="19" t="n"/>
      <c r="JP274" s="5">
        <f>C274</f>
        <v/>
      </c>
      <c r="JT274" s="19" t="n"/>
      <c r="JU274" s="19" t="n"/>
      <c r="JV274" s="19" t="n"/>
      <c r="JW274" s="19" t="n"/>
      <c r="JX274" s="5">
        <f>C274</f>
        <v/>
      </c>
      <c r="KB274" s="19" t="n"/>
      <c r="KC274" s="19" t="n"/>
      <c r="KD274" s="19" t="n"/>
      <c r="KE274" s="19" t="n"/>
      <c r="KF274" s="5">
        <f>C274</f>
        <v/>
      </c>
      <c r="KG274" s="19" t="n"/>
      <c r="KH274" s="19" t="n"/>
      <c r="KJ274" s="19" t="n"/>
      <c r="KK274" s="19" t="n"/>
      <c r="KL274" s="19" t="n"/>
      <c r="KM274" s="19" t="n"/>
      <c r="KN274" s="5">
        <f>C274</f>
        <v/>
      </c>
      <c r="KR274" s="19" t="n"/>
      <c r="KS274" s="19" t="n"/>
      <c r="KT274" s="19" t="n"/>
      <c r="KV274" s="5">
        <f>C274</f>
        <v/>
      </c>
      <c r="KZ274" s="19" t="n"/>
      <c r="LA274" s="19" t="n"/>
      <c r="LB274" s="19" t="n"/>
      <c r="LD274" s="5">
        <f>C274</f>
        <v/>
      </c>
      <c r="LH274" s="19" t="n"/>
      <c r="LI274" s="19" t="n"/>
      <c r="LJ274" s="19" t="n"/>
      <c r="LL274" s="5">
        <f>C274</f>
        <v/>
      </c>
      <c r="LM274" s="633" t="n"/>
      <c r="LP274" s="19" t="n"/>
      <c r="LQ274" s="19" t="n"/>
      <c r="LR274" s="19" t="n"/>
      <c r="LT274" s="5">
        <f>C274</f>
        <v/>
      </c>
      <c r="LX274" s="19" t="n"/>
      <c r="LY274" s="19" t="n"/>
      <c r="LZ274" s="19" t="n"/>
      <c r="MB274" s="5">
        <f>C274</f>
        <v/>
      </c>
      <c r="MF274" s="19" t="n"/>
      <c r="MG274" s="19" t="n"/>
      <c r="MH274" s="19" t="n"/>
      <c r="MK274" s="5">
        <f>C274</f>
        <v/>
      </c>
      <c r="MM274" s="24" t="n"/>
      <c r="MO274" s="19" t="n"/>
      <c r="MP274" s="19" t="n"/>
      <c r="MQ274" s="19" t="n"/>
      <c r="MR274" s="19" t="n"/>
      <c r="MS274" s="19" t="n"/>
      <c r="MT274" s="25">
        <f>C274</f>
        <v/>
      </c>
      <c r="MX274" s="19" t="n"/>
      <c r="MY274" s="19" t="n"/>
      <c r="MZ274" s="19" t="n"/>
      <c r="NA274" s="19" t="n"/>
      <c r="NB274" s="19" t="n"/>
      <c r="NC274" s="5">
        <f>C274</f>
        <v/>
      </c>
      <c r="NG274" s="19" t="n"/>
      <c r="NH274" s="19" t="n"/>
      <c r="NI274" s="19" t="n"/>
      <c r="NJ274" s="19" t="n"/>
      <c r="NK274" s="19" t="n"/>
      <c r="NM274" s="5">
        <f>C274</f>
        <v/>
      </c>
      <c r="NQ274" s="19" t="n"/>
      <c r="NR274" s="19" t="n"/>
      <c r="NU274" s="5">
        <f>C274</f>
        <v/>
      </c>
      <c r="NY274" s="19" t="n"/>
      <c r="NZ274" s="19" t="n"/>
      <c r="OC274" s="5">
        <f>C274</f>
        <v/>
      </c>
      <c r="OG274" s="19" t="n"/>
      <c r="OH274" s="19" t="n"/>
      <c r="OI274" s="19" t="n"/>
      <c r="OK274" s="5">
        <f>C274</f>
        <v/>
      </c>
      <c r="OO274" s="19" t="n"/>
      <c r="OP274" s="19" t="n"/>
      <c r="OQ274" s="19" t="n"/>
      <c r="OT274" s="25">
        <f>OK274</f>
        <v/>
      </c>
      <c r="OX274" s="19" t="n"/>
    </row>
    <row r="275" customFormat="1" s="5">
      <c r="A275" s="631" t="n"/>
      <c r="B275" s="631" t="n"/>
      <c r="C275" s="693" t="n"/>
      <c r="D275" s="597" t="n"/>
      <c r="E275" s="597" t="n"/>
      <c r="F275" s="600" t="n"/>
      <c r="G275" s="601" t="n"/>
      <c r="H275" s="526" t="n"/>
      <c r="I275" s="426" t="n"/>
      <c r="J275" s="426" t="n"/>
      <c r="K275" s="522">
        <f>C275</f>
        <v/>
      </c>
      <c r="L275" s="591">
        <f>M275*10000</f>
        <v/>
      </c>
      <c r="M275" s="591" t="n">
        <v>44.38</v>
      </c>
      <c r="N275" s="523" t="n"/>
      <c r="O275" s="594" t="n"/>
      <c r="P275" s="592" t="n"/>
      <c r="Q275" s="426" t="n"/>
      <c r="R275" s="427" t="n"/>
      <c r="S275" s="362">
        <f>C275</f>
        <v/>
      </c>
      <c r="T275" s="597" t="n"/>
      <c r="U275" s="597" t="n"/>
      <c r="V275" s="598" t="n"/>
      <c r="W275" s="599" t="n"/>
      <c r="X275" s="526" t="n"/>
      <c r="Y275" s="426" t="n"/>
      <c r="Z275" s="427" t="n"/>
      <c r="AA275" s="362">
        <f>S275</f>
        <v/>
      </c>
      <c r="AB275" s="597" t="n"/>
      <c r="AC275" s="597" t="n"/>
      <c r="AD275" s="600" t="n"/>
      <c r="AE275" s="601" t="n"/>
      <c r="AF275" s="526" t="n"/>
      <c r="AG275" s="426" t="n"/>
      <c r="AH275" s="427" t="n"/>
      <c r="AI275" s="362">
        <f>C275</f>
        <v/>
      </c>
      <c r="AJ275" s="597" t="n"/>
      <c r="AK275" s="362" t="n"/>
      <c r="AL275" s="598" t="n"/>
      <c r="AM275" s="599" t="n"/>
      <c r="AN275" s="526" t="n"/>
      <c r="AO275" s="526" t="n"/>
      <c r="AP275" s="523" t="n"/>
      <c r="AQ275" s="523">
        <f>C275</f>
        <v/>
      </c>
      <c r="AR275" s="634" t="n"/>
      <c r="AS275" s="523" t="n"/>
      <c r="AT275" s="523" t="n"/>
      <c r="AU275" s="526" t="n"/>
      <c r="AV275" s="526" t="n"/>
      <c r="AW275" s="526" t="n"/>
      <c r="AX275" s="523" t="n"/>
      <c r="AY275" s="523" t="n"/>
      <c r="AZ275" s="523">
        <f>C275</f>
        <v/>
      </c>
      <c r="BA275" s="523" t="n"/>
      <c r="BB275" s="523" t="n"/>
      <c r="BC275" s="523" t="n"/>
      <c r="BD275" s="526" t="n"/>
      <c r="BE275" s="526" t="n"/>
      <c r="BF275" s="526" t="n"/>
      <c r="BG275" s="631" t="n"/>
      <c r="BH275" s="5">
        <f>C275</f>
        <v/>
      </c>
      <c r="BL275" s="19" t="n"/>
      <c r="BM275" s="19" t="n"/>
      <c r="BN275" s="19" t="n"/>
      <c r="BP275" s="5">
        <f>C275</f>
        <v/>
      </c>
      <c r="BQ275" s="633" t="n"/>
      <c r="BT275" s="19" t="n"/>
      <c r="BU275" s="19" t="n"/>
      <c r="BV275" s="19" t="n"/>
      <c r="BX275" s="5">
        <f>C275</f>
        <v/>
      </c>
      <c r="CB275" s="19" t="n"/>
      <c r="CC275" s="19" t="n"/>
      <c r="CD275" s="19" t="n"/>
      <c r="CF275" s="5">
        <f>C275</f>
        <v/>
      </c>
      <c r="CJ275" s="19" t="n"/>
      <c r="CK275" s="19" t="n"/>
      <c r="CL275" s="19" t="n"/>
      <c r="CN275" s="5">
        <f>C275</f>
        <v/>
      </c>
      <c r="CR275" s="19" t="n"/>
      <c r="CS275" s="19" t="n"/>
      <c r="CT275" s="19" t="n"/>
      <c r="CV275" s="5">
        <f>C275</f>
        <v/>
      </c>
      <c r="CZ275" s="19" t="n"/>
      <c r="DA275" s="19" t="n"/>
      <c r="DB275" s="19" t="n"/>
      <c r="DC275" s="23" t="n"/>
      <c r="DD275" s="5">
        <f>C275</f>
        <v/>
      </c>
      <c r="DH275" s="19" t="n"/>
      <c r="DI275" s="19" t="n"/>
      <c r="DJ275" s="19" t="n"/>
      <c r="DL275" s="5">
        <f>C275</f>
        <v/>
      </c>
      <c r="DP275" s="19" t="n"/>
      <c r="DQ275" s="19" t="n"/>
      <c r="DR275" s="19" t="n"/>
      <c r="DT275" s="5">
        <f>C275</f>
        <v/>
      </c>
      <c r="DX275" s="19" t="n"/>
      <c r="DY275" s="19" t="n"/>
      <c r="DZ275" s="19" t="n"/>
      <c r="EB275" s="5">
        <f>C275</f>
        <v/>
      </c>
      <c r="EF275" s="19" t="n"/>
      <c r="EG275" s="19" t="n"/>
      <c r="EH275" s="19" t="n"/>
      <c r="EJ275" s="5">
        <f>C275</f>
        <v/>
      </c>
      <c r="EN275" s="19" t="n"/>
      <c r="EO275" s="19" t="n"/>
      <c r="EP275" s="19" t="n"/>
      <c r="EQ275" s="19" t="n"/>
      <c r="ER275" s="5">
        <f>C275</f>
        <v/>
      </c>
      <c r="ES275" s="19" t="n"/>
      <c r="ET275" s="19" t="n"/>
      <c r="EU275" s="19" t="n"/>
      <c r="EV275" s="19" t="n"/>
      <c r="EW275" s="19" t="n"/>
      <c r="EX275" s="19" t="n"/>
      <c r="EZ275" s="5">
        <f>C275</f>
        <v/>
      </c>
      <c r="FD275" s="19" t="n"/>
      <c r="FE275" s="19" t="n"/>
      <c r="FF275" s="19" t="n"/>
      <c r="FG275" s="19" t="n"/>
      <c r="FH275" s="5">
        <f>C275</f>
        <v/>
      </c>
      <c r="FI275" s="633" t="n"/>
      <c r="FL275" s="19" t="n"/>
      <c r="FM275" s="19" t="n"/>
      <c r="FN275" s="19" t="n"/>
      <c r="FP275" s="5">
        <f>C275</f>
        <v/>
      </c>
      <c r="FT275" s="19" t="n"/>
      <c r="FU275" s="19" t="n"/>
      <c r="FV275" s="19" t="n"/>
      <c r="FX275" s="5">
        <f>C275</f>
        <v/>
      </c>
      <c r="GB275" s="19" t="n"/>
      <c r="GC275" s="19" t="n"/>
      <c r="GD275" s="19" t="n"/>
      <c r="GF275" s="5">
        <f>C275</f>
        <v/>
      </c>
      <c r="GJ275" s="19" t="n"/>
      <c r="GK275" s="19" t="n"/>
      <c r="GL275" s="19" t="n"/>
      <c r="GN275" s="5">
        <f>C275</f>
        <v/>
      </c>
      <c r="GR275" s="19" t="n"/>
      <c r="GS275" s="19" t="n"/>
      <c r="GT275" s="19" t="n"/>
      <c r="GV275" s="5">
        <f>C275</f>
        <v/>
      </c>
      <c r="GZ275" s="19" t="n"/>
      <c r="HA275" s="19" t="n"/>
      <c r="HB275" s="19" t="n"/>
      <c r="HD275" s="5">
        <f>C275</f>
        <v/>
      </c>
      <c r="HH275" s="19" t="n"/>
      <c r="HI275" s="19" t="n"/>
      <c r="HJ275" s="19" t="n"/>
      <c r="HL275" s="5">
        <f>C275</f>
        <v/>
      </c>
      <c r="HP275" s="19" t="n"/>
      <c r="HQ275" s="19" t="n"/>
      <c r="HR275" s="19" t="n"/>
      <c r="HT275" s="5">
        <f>C275</f>
        <v/>
      </c>
      <c r="HX275" s="19" t="n"/>
      <c r="HY275" s="19" t="n"/>
      <c r="HZ275" s="19" t="n"/>
      <c r="IB275" s="5">
        <f>C275</f>
        <v/>
      </c>
      <c r="IG275" s="19" t="n"/>
      <c r="IH275" s="19" t="n"/>
      <c r="IJ275" s="5">
        <f>C275</f>
        <v/>
      </c>
      <c r="IN275" s="19" t="n"/>
      <c r="IO275" s="19" t="n"/>
      <c r="IP275" s="19" t="n"/>
      <c r="IR275" s="5">
        <f>C275</f>
        <v/>
      </c>
      <c r="IV275" s="19" t="n"/>
      <c r="IW275" s="19" t="n"/>
      <c r="IX275" s="19" t="n"/>
      <c r="IZ275" s="5">
        <f>C275</f>
        <v/>
      </c>
      <c r="JD275" s="19" t="n"/>
      <c r="JE275" s="19" t="n"/>
      <c r="JF275" s="19" t="n"/>
      <c r="JH275" s="5">
        <f>C275</f>
        <v/>
      </c>
      <c r="JL275" s="19" t="n"/>
      <c r="JM275" s="19" t="n"/>
      <c r="JN275" s="19" t="n"/>
      <c r="JO275" s="19" t="n"/>
      <c r="JP275" s="5">
        <f>C275</f>
        <v/>
      </c>
      <c r="JT275" s="19" t="n"/>
      <c r="JU275" s="19" t="n"/>
      <c r="JV275" s="19" t="n"/>
      <c r="JW275" s="19" t="n"/>
      <c r="JX275" s="5">
        <f>C275</f>
        <v/>
      </c>
      <c r="KB275" s="19" t="n"/>
      <c r="KC275" s="19" t="n"/>
      <c r="KD275" s="19" t="n"/>
      <c r="KE275" s="19" t="n"/>
      <c r="KF275" s="5">
        <f>C275</f>
        <v/>
      </c>
      <c r="KG275" s="19" t="n"/>
      <c r="KH275" s="19" t="n"/>
      <c r="KJ275" s="19" t="n"/>
      <c r="KK275" s="19" t="n"/>
      <c r="KL275" s="19" t="n"/>
      <c r="KM275" s="19" t="n"/>
      <c r="KN275" s="5">
        <f>C275</f>
        <v/>
      </c>
      <c r="KR275" s="19" t="n"/>
      <c r="KS275" s="19" t="n"/>
      <c r="KT275" s="19" t="n"/>
      <c r="KV275" s="5">
        <f>C275</f>
        <v/>
      </c>
      <c r="KZ275" s="19" t="n"/>
      <c r="LA275" s="19" t="n"/>
      <c r="LB275" s="19" t="n"/>
      <c r="LD275" s="5">
        <f>C275</f>
        <v/>
      </c>
      <c r="LH275" s="19" t="n"/>
      <c r="LI275" s="19" t="n"/>
      <c r="LJ275" s="19" t="n"/>
      <c r="LL275" s="5">
        <f>C275</f>
        <v/>
      </c>
      <c r="LM275" s="633" t="n"/>
      <c r="LP275" s="19" t="n"/>
      <c r="LQ275" s="19" t="n"/>
      <c r="LR275" s="19" t="n"/>
      <c r="LT275" s="5">
        <f>C275</f>
        <v/>
      </c>
      <c r="LX275" s="19" t="n"/>
      <c r="LY275" s="19" t="n"/>
      <c r="LZ275" s="19" t="n"/>
      <c r="MB275" s="5">
        <f>C275</f>
        <v/>
      </c>
      <c r="MF275" s="19" t="n"/>
      <c r="MG275" s="19" t="n"/>
      <c r="MH275" s="19" t="n"/>
      <c r="MK275" s="5">
        <f>C275</f>
        <v/>
      </c>
      <c r="MM275" s="24" t="n"/>
      <c r="MO275" s="19" t="n"/>
      <c r="MP275" s="19" t="n"/>
      <c r="MQ275" s="19" t="n"/>
      <c r="MR275" s="19" t="n"/>
      <c r="MS275" s="19" t="n"/>
      <c r="MT275" s="25">
        <f>C275</f>
        <v/>
      </c>
      <c r="MX275" s="19" t="n"/>
      <c r="MY275" s="19" t="n"/>
      <c r="MZ275" s="19" t="n"/>
      <c r="NA275" s="19" t="n"/>
      <c r="NB275" s="19" t="n"/>
      <c r="NC275" s="5">
        <f>C275</f>
        <v/>
      </c>
      <c r="NG275" s="19" t="n"/>
      <c r="NH275" s="19" t="n"/>
      <c r="NI275" s="19" t="n"/>
      <c r="NJ275" s="19" t="n"/>
      <c r="NK275" s="19" t="n"/>
      <c r="NM275" s="5">
        <f>C275</f>
        <v/>
      </c>
      <c r="NQ275" s="19" t="n"/>
      <c r="NR275" s="19" t="n"/>
      <c r="NU275" s="5">
        <f>C275</f>
        <v/>
      </c>
      <c r="NY275" s="19" t="n"/>
      <c r="NZ275" s="19" t="n"/>
      <c r="OC275" s="5">
        <f>C275</f>
        <v/>
      </c>
      <c r="OG275" s="19" t="n"/>
      <c r="OH275" s="19" t="n"/>
      <c r="OI275" s="19" t="n"/>
      <c r="OK275" s="5">
        <f>C275</f>
        <v/>
      </c>
      <c r="OO275" s="19" t="n"/>
      <c r="OP275" s="19" t="n"/>
      <c r="OQ275" s="19" t="n"/>
      <c r="OT275" s="25">
        <f>OK275</f>
        <v/>
      </c>
      <c r="OX275" s="19" t="n"/>
    </row>
    <row r="276" customFormat="1" s="5">
      <c r="A276" s="631" t="n"/>
      <c r="B276" s="631" t="n"/>
      <c r="C276" s="693" t="n"/>
      <c r="D276" s="597" t="n"/>
      <c r="E276" s="597" t="n"/>
      <c r="F276" s="600" t="n"/>
      <c r="G276" s="601" t="n"/>
      <c r="H276" s="526" t="n"/>
      <c r="I276" s="426" t="n"/>
      <c r="J276" s="426" t="n"/>
      <c r="K276" s="522">
        <f>C276</f>
        <v/>
      </c>
      <c r="L276" s="591">
        <f>M276*10000</f>
        <v/>
      </c>
      <c r="M276" s="591" t="n">
        <v>51.2</v>
      </c>
      <c r="N276" s="523" t="n"/>
      <c r="O276" s="594" t="n"/>
      <c r="P276" s="592" t="n"/>
      <c r="Q276" s="426" t="n"/>
      <c r="R276" s="427" t="n"/>
      <c r="S276" s="362">
        <f>C276</f>
        <v/>
      </c>
      <c r="T276" s="597" t="n"/>
      <c r="U276" s="597" t="n"/>
      <c r="V276" s="598" t="n"/>
      <c r="W276" s="599" t="n"/>
      <c r="X276" s="526" t="n"/>
      <c r="Y276" s="426" t="n"/>
      <c r="Z276" s="427" t="n"/>
      <c r="AA276" s="362">
        <f>S276</f>
        <v/>
      </c>
      <c r="AB276" s="597" t="n"/>
      <c r="AC276" s="597" t="n"/>
      <c r="AD276" s="600" t="n"/>
      <c r="AE276" s="601" t="n"/>
      <c r="AF276" s="526" t="n"/>
      <c r="AG276" s="426" t="n"/>
      <c r="AH276" s="427" t="n"/>
      <c r="AI276" s="362">
        <f>C276</f>
        <v/>
      </c>
      <c r="AJ276" s="597" t="n"/>
      <c r="AK276" s="362" t="n"/>
      <c r="AL276" s="598" t="n"/>
      <c r="AM276" s="599" t="n"/>
      <c r="AN276" s="526" t="n"/>
      <c r="AO276" s="526" t="n"/>
      <c r="AP276" s="523" t="n"/>
      <c r="AQ276" s="523">
        <f>C276</f>
        <v/>
      </c>
      <c r="AR276" s="634" t="n"/>
      <c r="AS276" s="523" t="n"/>
      <c r="AT276" s="523" t="n"/>
      <c r="AU276" s="526" t="n"/>
      <c r="AV276" s="526" t="n"/>
      <c r="AW276" s="526" t="n"/>
      <c r="AX276" s="523" t="n"/>
      <c r="AY276" s="523" t="n"/>
      <c r="AZ276" s="523">
        <f>C276</f>
        <v/>
      </c>
      <c r="BA276" s="523" t="n"/>
      <c r="BB276" s="523" t="n"/>
      <c r="BC276" s="523" t="n"/>
      <c r="BD276" s="526" t="n"/>
      <c r="BE276" s="526" t="n"/>
      <c r="BF276" s="526" t="n"/>
      <c r="BG276" s="631" t="n"/>
      <c r="BH276" s="5">
        <f>C276</f>
        <v/>
      </c>
      <c r="BL276" s="19" t="n"/>
      <c r="BM276" s="19" t="n"/>
      <c r="BN276" s="19" t="n"/>
      <c r="BP276" s="5">
        <f>C276</f>
        <v/>
      </c>
      <c r="BQ276" s="633" t="n"/>
      <c r="BT276" s="19" t="n"/>
      <c r="BU276" s="19" t="n"/>
      <c r="BV276" s="19" t="n"/>
      <c r="BX276" s="5">
        <f>C276</f>
        <v/>
      </c>
      <c r="CB276" s="19" t="n"/>
      <c r="CC276" s="19" t="n"/>
      <c r="CD276" s="19" t="n"/>
      <c r="CF276" s="5">
        <f>C276</f>
        <v/>
      </c>
      <c r="CJ276" s="19" t="n"/>
      <c r="CK276" s="19" t="n"/>
      <c r="CL276" s="19" t="n"/>
      <c r="CN276" s="5">
        <f>C276</f>
        <v/>
      </c>
      <c r="CR276" s="19" t="n"/>
      <c r="CS276" s="19" t="n"/>
      <c r="CT276" s="19" t="n"/>
      <c r="CV276" s="5">
        <f>C276</f>
        <v/>
      </c>
      <c r="CZ276" s="19" t="n"/>
      <c r="DA276" s="19" t="n"/>
      <c r="DB276" s="19" t="n"/>
      <c r="DC276" s="23" t="n"/>
      <c r="DD276" s="5">
        <f>C276</f>
        <v/>
      </c>
      <c r="DH276" s="19" t="n"/>
      <c r="DI276" s="19" t="n"/>
      <c r="DJ276" s="19" t="n"/>
      <c r="DL276" s="5">
        <f>C276</f>
        <v/>
      </c>
      <c r="DP276" s="19" t="n"/>
      <c r="DQ276" s="19" t="n"/>
      <c r="DR276" s="19" t="n"/>
      <c r="DT276" s="5">
        <f>C276</f>
        <v/>
      </c>
      <c r="DX276" s="19" t="n"/>
      <c r="DY276" s="19" t="n"/>
      <c r="DZ276" s="19" t="n"/>
      <c r="EB276" s="5">
        <f>C276</f>
        <v/>
      </c>
      <c r="EF276" s="19" t="n"/>
      <c r="EG276" s="19" t="n"/>
      <c r="EH276" s="19" t="n"/>
      <c r="EJ276" s="5">
        <f>C276</f>
        <v/>
      </c>
      <c r="EN276" s="19" t="n"/>
      <c r="EO276" s="19" t="n"/>
      <c r="EP276" s="19" t="n"/>
      <c r="EQ276" s="19" t="n"/>
      <c r="ER276" s="5">
        <f>C276</f>
        <v/>
      </c>
      <c r="ES276" s="19" t="n"/>
      <c r="ET276" s="19" t="n"/>
      <c r="EU276" s="19" t="n"/>
      <c r="EV276" s="19" t="n"/>
      <c r="EW276" s="19" t="n"/>
      <c r="EX276" s="19" t="n"/>
      <c r="EZ276" s="5">
        <f>C276</f>
        <v/>
      </c>
      <c r="FD276" s="19" t="n"/>
      <c r="FE276" s="19" t="n"/>
      <c r="FF276" s="19" t="n"/>
      <c r="FG276" s="19" t="n"/>
      <c r="FH276" s="5">
        <f>C276</f>
        <v/>
      </c>
      <c r="FI276" s="633" t="n"/>
      <c r="FL276" s="19" t="n"/>
      <c r="FM276" s="19" t="n"/>
      <c r="FN276" s="19" t="n"/>
      <c r="FP276" s="5">
        <f>C276</f>
        <v/>
      </c>
      <c r="FT276" s="19" t="n"/>
      <c r="FU276" s="19" t="n"/>
      <c r="FV276" s="19" t="n"/>
      <c r="FX276" s="5">
        <f>C276</f>
        <v/>
      </c>
      <c r="GB276" s="19" t="n"/>
      <c r="GC276" s="19" t="n"/>
      <c r="GD276" s="19" t="n"/>
      <c r="GF276" s="5">
        <f>C276</f>
        <v/>
      </c>
      <c r="GJ276" s="19" t="n"/>
      <c r="GK276" s="19" t="n"/>
      <c r="GL276" s="19" t="n"/>
      <c r="GN276" s="5">
        <f>C276</f>
        <v/>
      </c>
      <c r="GR276" s="19" t="n"/>
      <c r="GS276" s="19" t="n"/>
      <c r="GT276" s="19" t="n"/>
      <c r="GV276" s="5">
        <f>C276</f>
        <v/>
      </c>
      <c r="GZ276" s="19" t="n"/>
      <c r="HA276" s="19" t="n"/>
      <c r="HB276" s="19" t="n"/>
      <c r="HD276" s="5">
        <f>C276</f>
        <v/>
      </c>
      <c r="HH276" s="19" t="n"/>
      <c r="HI276" s="19" t="n"/>
      <c r="HJ276" s="19" t="n"/>
      <c r="HL276" s="5">
        <f>C276</f>
        <v/>
      </c>
      <c r="HP276" s="19" t="n"/>
      <c r="HQ276" s="19" t="n"/>
      <c r="HR276" s="19" t="n"/>
      <c r="HT276" s="5">
        <f>C276</f>
        <v/>
      </c>
      <c r="HX276" s="19" t="n"/>
      <c r="HY276" s="19" t="n"/>
      <c r="HZ276" s="19" t="n"/>
      <c r="IB276" s="5">
        <f>C276</f>
        <v/>
      </c>
      <c r="IG276" s="19" t="n"/>
      <c r="IH276" s="19" t="n"/>
      <c r="IJ276" s="5">
        <f>C276</f>
        <v/>
      </c>
      <c r="IN276" s="19" t="n"/>
      <c r="IO276" s="19" t="n"/>
      <c r="IP276" s="19" t="n"/>
      <c r="IR276" s="5">
        <f>C276</f>
        <v/>
      </c>
      <c r="IV276" s="19" t="n"/>
      <c r="IW276" s="19" t="n"/>
      <c r="IX276" s="19" t="n"/>
      <c r="IZ276" s="5">
        <f>C276</f>
        <v/>
      </c>
      <c r="JD276" s="19" t="n"/>
      <c r="JE276" s="19" t="n"/>
      <c r="JF276" s="19" t="n"/>
      <c r="JH276" s="5">
        <f>C276</f>
        <v/>
      </c>
      <c r="JL276" s="19" t="n"/>
      <c r="JM276" s="19" t="n"/>
      <c r="JN276" s="19" t="n"/>
      <c r="JO276" s="19" t="n"/>
      <c r="JP276" s="5">
        <f>C276</f>
        <v/>
      </c>
      <c r="JT276" s="19" t="n"/>
      <c r="JU276" s="19" t="n"/>
      <c r="JV276" s="19" t="n"/>
      <c r="JW276" s="19" t="n"/>
      <c r="JX276" s="5">
        <f>C276</f>
        <v/>
      </c>
      <c r="KB276" s="19" t="n"/>
      <c r="KC276" s="19" t="n"/>
      <c r="KD276" s="19" t="n"/>
      <c r="KE276" s="19" t="n"/>
      <c r="KF276" s="5">
        <f>C276</f>
        <v/>
      </c>
      <c r="KG276" s="19" t="n"/>
      <c r="KH276" s="19" t="n"/>
      <c r="KJ276" s="19" t="n"/>
      <c r="KK276" s="19" t="n"/>
      <c r="KL276" s="19" t="n"/>
      <c r="KM276" s="19" t="n"/>
      <c r="KN276" s="5">
        <f>C276</f>
        <v/>
      </c>
      <c r="KR276" s="19" t="n"/>
      <c r="KS276" s="19" t="n"/>
      <c r="KT276" s="19" t="n"/>
      <c r="KV276" s="5">
        <f>C276</f>
        <v/>
      </c>
      <c r="KZ276" s="19" t="n"/>
      <c r="LA276" s="19" t="n"/>
      <c r="LB276" s="19" t="n"/>
      <c r="LD276" s="5">
        <f>C276</f>
        <v/>
      </c>
      <c r="LH276" s="19" t="n"/>
      <c r="LI276" s="19" t="n"/>
      <c r="LJ276" s="19" t="n"/>
      <c r="LL276" s="5">
        <f>C276</f>
        <v/>
      </c>
      <c r="LM276" s="633" t="n"/>
      <c r="LP276" s="19" t="n"/>
      <c r="LQ276" s="19" t="n"/>
      <c r="LR276" s="19" t="n"/>
      <c r="LT276" s="5">
        <f>C276</f>
        <v/>
      </c>
      <c r="LX276" s="19" t="n"/>
      <c r="LY276" s="19" t="n"/>
      <c r="LZ276" s="19" t="n"/>
      <c r="MB276" s="5">
        <f>C276</f>
        <v/>
      </c>
      <c r="MF276" s="19" t="n"/>
      <c r="MG276" s="19" t="n"/>
      <c r="MH276" s="19" t="n"/>
      <c r="MK276" s="5">
        <f>C276</f>
        <v/>
      </c>
      <c r="MM276" s="24" t="n"/>
      <c r="MO276" s="19" t="n"/>
      <c r="MP276" s="19" t="n"/>
      <c r="MQ276" s="19" t="n"/>
      <c r="MR276" s="19" t="n"/>
      <c r="MS276" s="19" t="n"/>
      <c r="MT276" s="25">
        <f>C276</f>
        <v/>
      </c>
      <c r="MX276" s="19" t="n"/>
      <c r="MY276" s="19" t="n"/>
      <c r="MZ276" s="19" t="n"/>
      <c r="NA276" s="19" t="n"/>
      <c r="NB276" s="19" t="n"/>
      <c r="NC276" s="5">
        <f>C276</f>
        <v/>
      </c>
      <c r="NG276" s="19" t="n"/>
      <c r="NH276" s="19" t="n"/>
      <c r="NI276" s="19" t="n"/>
      <c r="NJ276" s="19" t="n"/>
      <c r="NK276" s="19" t="n"/>
      <c r="NM276" s="5">
        <f>C276</f>
        <v/>
      </c>
      <c r="NQ276" s="19" t="n"/>
      <c r="NR276" s="19" t="n"/>
      <c r="NU276" s="5">
        <f>C276</f>
        <v/>
      </c>
      <c r="NY276" s="19" t="n"/>
      <c r="NZ276" s="19" t="n"/>
      <c r="OC276" s="5">
        <f>C276</f>
        <v/>
      </c>
      <c r="OG276" s="19" t="n"/>
      <c r="OH276" s="19" t="n"/>
      <c r="OI276" s="19" t="n"/>
      <c r="OK276" s="5">
        <f>C276</f>
        <v/>
      </c>
      <c r="OO276" s="19" t="n"/>
      <c r="OP276" s="19" t="n"/>
      <c r="OQ276" s="19" t="n"/>
      <c r="OT276" s="25">
        <f>OK276</f>
        <v/>
      </c>
      <c r="OX276" s="19" t="n"/>
    </row>
    <row r="277" customFormat="1" s="5">
      <c r="A277" s="631" t="n"/>
      <c r="B277" s="631" t="n"/>
      <c r="C277" s="693" t="n"/>
      <c r="D277" s="597" t="n"/>
      <c r="E277" s="597" t="n"/>
      <c r="F277" s="600" t="n"/>
      <c r="G277" s="601" t="n"/>
      <c r="H277" s="526" t="n"/>
      <c r="I277" s="426" t="n"/>
      <c r="J277" s="426" t="n"/>
      <c r="K277" s="522">
        <f>C277</f>
        <v/>
      </c>
      <c r="L277" s="591">
        <f>M277*10000</f>
        <v/>
      </c>
      <c r="M277" s="591" t="n">
        <v>49.8</v>
      </c>
      <c r="N277" s="523" t="n"/>
      <c r="O277" s="594" t="n"/>
      <c r="P277" s="592" t="n"/>
      <c r="Q277" s="426" t="n"/>
      <c r="R277" s="427" t="n"/>
      <c r="S277" s="362">
        <f>C277</f>
        <v/>
      </c>
      <c r="T277" s="597" t="n"/>
      <c r="U277" s="597" t="n"/>
      <c r="V277" s="598" t="n"/>
      <c r="W277" s="599" t="n"/>
      <c r="X277" s="526" t="n"/>
      <c r="Y277" s="426" t="n"/>
      <c r="Z277" s="427" t="n"/>
      <c r="AA277" s="362">
        <f>S277</f>
        <v/>
      </c>
      <c r="AB277" s="597" t="n"/>
      <c r="AC277" s="597" t="n"/>
      <c r="AD277" s="600" t="n"/>
      <c r="AE277" s="601" t="n"/>
      <c r="AF277" s="526" t="n"/>
      <c r="AG277" s="426" t="n"/>
      <c r="AH277" s="427" t="n"/>
      <c r="AI277" s="362">
        <f>C277</f>
        <v/>
      </c>
      <c r="AJ277" s="597" t="n"/>
      <c r="AK277" s="362" t="n"/>
      <c r="AL277" s="598" t="n"/>
      <c r="AM277" s="599" t="n"/>
      <c r="AN277" s="526" t="n"/>
      <c r="AO277" s="526" t="n"/>
      <c r="AP277" s="523" t="n"/>
      <c r="AQ277" s="523">
        <f>C277</f>
        <v/>
      </c>
      <c r="AR277" s="634" t="n"/>
      <c r="AS277" s="523" t="n"/>
      <c r="AT277" s="523" t="n"/>
      <c r="AU277" s="526" t="n"/>
      <c r="AV277" s="526" t="n"/>
      <c r="AW277" s="526" t="n"/>
      <c r="AX277" s="523" t="n"/>
      <c r="AY277" s="523" t="n"/>
      <c r="AZ277" s="523">
        <f>C277</f>
        <v/>
      </c>
      <c r="BA277" s="523" t="n"/>
      <c r="BB277" s="523" t="n"/>
      <c r="BC277" s="523" t="n"/>
      <c r="BD277" s="526" t="n"/>
      <c r="BE277" s="526" t="n"/>
      <c r="BF277" s="526" t="n"/>
      <c r="BG277" s="631" t="n"/>
      <c r="BH277" s="5">
        <f>C277</f>
        <v/>
      </c>
      <c r="BL277" s="19" t="n"/>
      <c r="BM277" s="19" t="n"/>
      <c r="BN277" s="19" t="n"/>
      <c r="BP277" s="5">
        <f>C277</f>
        <v/>
      </c>
      <c r="BQ277" s="633" t="n"/>
      <c r="BT277" s="19" t="n"/>
      <c r="BU277" s="19" t="n"/>
      <c r="BV277" s="19" t="n"/>
      <c r="BX277" s="5">
        <f>C277</f>
        <v/>
      </c>
      <c r="CB277" s="19" t="n"/>
      <c r="CC277" s="19" t="n"/>
      <c r="CD277" s="19" t="n"/>
      <c r="CF277" s="5">
        <f>C277</f>
        <v/>
      </c>
      <c r="CJ277" s="19" t="n"/>
      <c r="CK277" s="19" t="n"/>
      <c r="CL277" s="19" t="n"/>
      <c r="CN277" s="5">
        <f>C277</f>
        <v/>
      </c>
      <c r="CR277" s="19" t="n"/>
      <c r="CS277" s="19" t="n"/>
      <c r="CT277" s="19" t="n"/>
      <c r="CV277" s="5">
        <f>C277</f>
        <v/>
      </c>
      <c r="CZ277" s="19" t="n"/>
      <c r="DA277" s="19" t="n"/>
      <c r="DB277" s="19" t="n"/>
      <c r="DC277" s="23" t="n"/>
      <c r="DD277" s="5">
        <f>C277</f>
        <v/>
      </c>
      <c r="DH277" s="19" t="n"/>
      <c r="DI277" s="19" t="n"/>
      <c r="DJ277" s="19" t="n"/>
      <c r="DL277" s="5">
        <f>C277</f>
        <v/>
      </c>
      <c r="DP277" s="19" t="n"/>
      <c r="DQ277" s="19" t="n"/>
      <c r="DR277" s="19" t="n"/>
      <c r="DT277" s="5">
        <f>C277</f>
        <v/>
      </c>
      <c r="DX277" s="19" t="n"/>
      <c r="DY277" s="19" t="n"/>
      <c r="DZ277" s="19" t="n"/>
      <c r="EB277" s="5">
        <f>C277</f>
        <v/>
      </c>
      <c r="EF277" s="19" t="n"/>
      <c r="EG277" s="19" t="n"/>
      <c r="EH277" s="19" t="n"/>
      <c r="EJ277" s="5">
        <f>C277</f>
        <v/>
      </c>
      <c r="EN277" s="19" t="n"/>
      <c r="EO277" s="19" t="n"/>
      <c r="EP277" s="19" t="n"/>
      <c r="EQ277" s="19" t="n"/>
      <c r="ER277" s="5">
        <f>C277</f>
        <v/>
      </c>
      <c r="ES277" s="19" t="n"/>
      <c r="ET277" s="19" t="n"/>
      <c r="EU277" s="19" t="n"/>
      <c r="EV277" s="19" t="n"/>
      <c r="EW277" s="19" t="n"/>
      <c r="EX277" s="19" t="n"/>
      <c r="EZ277" s="5">
        <f>C277</f>
        <v/>
      </c>
      <c r="FD277" s="19" t="n"/>
      <c r="FE277" s="19" t="n"/>
      <c r="FF277" s="19" t="n"/>
      <c r="FG277" s="19" t="n"/>
      <c r="FH277" s="5">
        <f>C277</f>
        <v/>
      </c>
      <c r="FI277" s="633" t="n"/>
      <c r="FL277" s="19" t="n"/>
      <c r="FM277" s="19" t="n"/>
      <c r="FN277" s="19" t="n"/>
      <c r="FP277" s="5">
        <f>C277</f>
        <v/>
      </c>
      <c r="FT277" s="19" t="n"/>
      <c r="FU277" s="19" t="n"/>
      <c r="FV277" s="19" t="n"/>
      <c r="FX277" s="5">
        <f>C277</f>
        <v/>
      </c>
      <c r="GB277" s="19" t="n"/>
      <c r="GC277" s="19" t="n"/>
      <c r="GD277" s="19" t="n"/>
      <c r="GF277" s="5">
        <f>C277</f>
        <v/>
      </c>
      <c r="GJ277" s="19" t="n"/>
      <c r="GK277" s="19" t="n"/>
      <c r="GL277" s="19" t="n"/>
      <c r="GN277" s="5">
        <f>C277</f>
        <v/>
      </c>
      <c r="GR277" s="19" t="n"/>
      <c r="GS277" s="19" t="n"/>
      <c r="GT277" s="19" t="n"/>
      <c r="GV277" s="5">
        <f>C277</f>
        <v/>
      </c>
      <c r="GZ277" s="19" t="n"/>
      <c r="HA277" s="19" t="n"/>
      <c r="HB277" s="19" t="n"/>
      <c r="HD277" s="5">
        <f>C277</f>
        <v/>
      </c>
      <c r="HH277" s="19" t="n"/>
      <c r="HI277" s="19" t="n"/>
      <c r="HJ277" s="19" t="n"/>
      <c r="HL277" s="5">
        <f>C277</f>
        <v/>
      </c>
      <c r="HP277" s="19" t="n"/>
      <c r="HQ277" s="19" t="n"/>
      <c r="HR277" s="19" t="n"/>
      <c r="HT277" s="5">
        <f>C277</f>
        <v/>
      </c>
      <c r="HX277" s="19" t="n"/>
      <c r="HY277" s="19" t="n"/>
      <c r="HZ277" s="19" t="n"/>
      <c r="IB277" s="5">
        <f>C277</f>
        <v/>
      </c>
      <c r="IG277" s="19" t="n"/>
      <c r="IH277" s="19" t="n"/>
      <c r="IJ277" s="5">
        <f>C277</f>
        <v/>
      </c>
      <c r="IN277" s="19" t="n"/>
      <c r="IO277" s="19" t="n"/>
      <c r="IP277" s="19" t="n"/>
      <c r="IR277" s="5">
        <f>C277</f>
        <v/>
      </c>
      <c r="IV277" s="19" t="n"/>
      <c r="IW277" s="19" t="n"/>
      <c r="IX277" s="19" t="n"/>
      <c r="IZ277" s="5">
        <f>C277</f>
        <v/>
      </c>
      <c r="JD277" s="19" t="n"/>
      <c r="JE277" s="19" t="n"/>
      <c r="JF277" s="19" t="n"/>
      <c r="JH277" s="5">
        <f>C277</f>
        <v/>
      </c>
      <c r="JL277" s="19" t="n"/>
      <c r="JM277" s="19" t="n"/>
      <c r="JN277" s="19" t="n"/>
      <c r="JO277" s="19" t="n"/>
      <c r="JP277" s="5">
        <f>C277</f>
        <v/>
      </c>
      <c r="JT277" s="19" t="n"/>
      <c r="JU277" s="19" t="n"/>
      <c r="JV277" s="19" t="n"/>
      <c r="JW277" s="19" t="n"/>
      <c r="JX277" s="5">
        <f>C277</f>
        <v/>
      </c>
      <c r="KB277" s="19" t="n"/>
      <c r="KC277" s="19" t="n"/>
      <c r="KD277" s="19" t="n"/>
      <c r="KE277" s="19" t="n"/>
      <c r="KF277" s="5">
        <f>C277</f>
        <v/>
      </c>
      <c r="KG277" s="19" t="n"/>
      <c r="KH277" s="19" t="n"/>
      <c r="KJ277" s="19" t="n"/>
      <c r="KK277" s="19" t="n"/>
      <c r="KL277" s="19" t="n"/>
      <c r="KM277" s="19" t="n"/>
      <c r="KN277" s="5">
        <f>C277</f>
        <v/>
      </c>
      <c r="KR277" s="19" t="n"/>
      <c r="KS277" s="19" t="n"/>
      <c r="KT277" s="19" t="n"/>
      <c r="KV277" s="5">
        <f>C277</f>
        <v/>
      </c>
      <c r="KZ277" s="19" t="n"/>
      <c r="LA277" s="19" t="n"/>
      <c r="LB277" s="19" t="n"/>
      <c r="LD277" s="5">
        <f>C277</f>
        <v/>
      </c>
      <c r="LH277" s="19" t="n"/>
      <c r="LI277" s="19" t="n"/>
      <c r="LJ277" s="19" t="n"/>
      <c r="LL277" s="5">
        <f>C277</f>
        <v/>
      </c>
      <c r="LM277" s="633" t="n"/>
      <c r="LP277" s="19" t="n"/>
      <c r="LQ277" s="19" t="n"/>
      <c r="LR277" s="19" t="n"/>
      <c r="LT277" s="5">
        <f>C277</f>
        <v/>
      </c>
      <c r="LX277" s="19" t="n"/>
      <c r="LY277" s="19" t="n"/>
      <c r="LZ277" s="19" t="n"/>
      <c r="MB277" s="5">
        <f>C277</f>
        <v/>
      </c>
      <c r="MF277" s="19" t="n"/>
      <c r="MG277" s="19" t="n"/>
      <c r="MH277" s="19" t="n"/>
      <c r="MK277" s="5">
        <f>C277</f>
        <v/>
      </c>
      <c r="MM277" s="24" t="n"/>
      <c r="MO277" s="19" t="n"/>
      <c r="MP277" s="19" t="n"/>
      <c r="MQ277" s="19" t="n"/>
      <c r="MR277" s="19" t="n"/>
      <c r="MS277" s="19" t="n"/>
      <c r="MT277" s="25">
        <f>C277</f>
        <v/>
      </c>
      <c r="MX277" s="19" t="n"/>
      <c r="MY277" s="19" t="n"/>
      <c r="MZ277" s="19" t="n"/>
      <c r="NA277" s="19" t="n"/>
      <c r="NB277" s="19" t="n"/>
      <c r="NC277" s="5">
        <f>C277</f>
        <v/>
      </c>
      <c r="NG277" s="19" t="n"/>
      <c r="NH277" s="19" t="n"/>
      <c r="NI277" s="19" t="n"/>
      <c r="NJ277" s="19" t="n"/>
      <c r="NK277" s="19" t="n"/>
      <c r="NM277" s="5">
        <f>C277</f>
        <v/>
      </c>
      <c r="NQ277" s="19" t="n"/>
      <c r="NR277" s="19" t="n"/>
      <c r="NU277" s="5">
        <f>C277</f>
        <v/>
      </c>
      <c r="NY277" s="19" t="n"/>
      <c r="NZ277" s="19" t="n"/>
      <c r="OC277" s="5">
        <f>C277</f>
        <v/>
      </c>
      <c r="OG277" s="19" t="n"/>
      <c r="OH277" s="19" t="n"/>
      <c r="OI277" s="19" t="n"/>
      <c r="OK277" s="5">
        <f>C277</f>
        <v/>
      </c>
      <c r="OO277" s="19" t="n"/>
      <c r="OP277" s="19" t="n"/>
      <c r="OQ277" s="19" t="n"/>
      <c r="OT277" s="25">
        <f>OK277</f>
        <v/>
      </c>
      <c r="OX277" s="19" t="n"/>
    </row>
    <row r="278" customFormat="1" s="5">
      <c r="A278" s="631" t="n"/>
      <c r="B278" s="631" t="n"/>
      <c r="C278" s="693" t="n"/>
      <c r="D278" s="597" t="n"/>
      <c r="E278" s="597" t="n"/>
      <c r="F278" s="600" t="n"/>
      <c r="G278" s="601" t="n"/>
      <c r="H278" s="526" t="n"/>
      <c r="I278" s="426" t="n"/>
      <c r="J278" s="426" t="n"/>
      <c r="K278" s="362">
        <f>C278</f>
        <v/>
      </c>
      <c r="L278" s="597" t="n"/>
      <c r="M278" s="597" t="n"/>
      <c r="N278" s="600" t="n"/>
      <c r="O278" s="601" t="n"/>
      <c r="P278" s="526" t="n"/>
      <c r="Q278" s="426" t="n"/>
      <c r="R278" s="427" t="n"/>
      <c r="S278" s="362">
        <f>C278</f>
        <v/>
      </c>
      <c r="T278" s="597" t="n"/>
      <c r="U278" s="597" t="n"/>
      <c r="V278" s="598" t="n"/>
      <c r="W278" s="599" t="n"/>
      <c r="X278" s="526" t="n"/>
      <c r="Y278" s="426" t="n"/>
      <c r="Z278" s="427" t="n"/>
      <c r="AA278" s="362">
        <f>S278</f>
        <v/>
      </c>
      <c r="AB278" s="597" t="n"/>
      <c r="AC278" s="597" t="n"/>
      <c r="AD278" s="600" t="n"/>
      <c r="AE278" s="601" t="n"/>
      <c r="AF278" s="526" t="n"/>
      <c r="AG278" s="426" t="n"/>
      <c r="AH278" s="427" t="n"/>
      <c r="AI278" s="362">
        <f>C278</f>
        <v/>
      </c>
      <c r="AJ278" s="597" t="n"/>
      <c r="AK278" s="362" t="n"/>
      <c r="AL278" s="598" t="n"/>
      <c r="AM278" s="599" t="n"/>
      <c r="AN278" s="526" t="n"/>
      <c r="AO278" s="526" t="n"/>
      <c r="AP278" s="523" t="n"/>
      <c r="AQ278" s="523">
        <f>C278</f>
        <v/>
      </c>
      <c r="AR278" s="634" t="n"/>
      <c r="AS278" s="523" t="n"/>
      <c r="AT278" s="523" t="n"/>
      <c r="AU278" s="526" t="n"/>
      <c r="AV278" s="526" t="n"/>
      <c r="AW278" s="526" t="n"/>
      <c r="AX278" s="523" t="n"/>
      <c r="AY278" s="523" t="n"/>
      <c r="AZ278" s="523">
        <f>C278</f>
        <v/>
      </c>
      <c r="BA278" s="523" t="n"/>
      <c r="BB278" s="523" t="n"/>
      <c r="BC278" s="523" t="n"/>
      <c r="BD278" s="526" t="n"/>
      <c r="BE278" s="526" t="n"/>
      <c r="BF278" s="526" t="n"/>
      <c r="BG278" s="631" t="n"/>
      <c r="BH278" s="5">
        <f>C278</f>
        <v/>
      </c>
      <c r="BL278" s="19" t="n"/>
      <c r="BM278" s="19" t="n"/>
      <c r="BN278" s="19" t="n"/>
      <c r="BP278" s="5">
        <f>C278</f>
        <v/>
      </c>
      <c r="BQ278" s="633" t="n"/>
      <c r="BT278" s="19" t="n"/>
      <c r="BU278" s="19" t="n"/>
      <c r="BV278" s="19" t="n"/>
      <c r="BX278" s="5">
        <f>C278</f>
        <v/>
      </c>
      <c r="CB278" s="19" t="n"/>
      <c r="CC278" s="19" t="n"/>
      <c r="CD278" s="19" t="n"/>
      <c r="CF278" s="5">
        <f>C278</f>
        <v/>
      </c>
      <c r="CJ278" s="19" t="n"/>
      <c r="CK278" s="19" t="n"/>
      <c r="CL278" s="19" t="n"/>
      <c r="CN278" s="5">
        <f>C278</f>
        <v/>
      </c>
      <c r="CR278" s="19" t="n"/>
      <c r="CS278" s="19" t="n"/>
      <c r="CT278" s="19" t="n"/>
      <c r="CV278" s="5">
        <f>C278</f>
        <v/>
      </c>
      <c r="CZ278" s="19" t="n"/>
      <c r="DA278" s="19" t="n"/>
      <c r="DB278" s="19" t="n"/>
      <c r="DC278" s="23" t="n"/>
      <c r="DD278" s="5">
        <f>C278</f>
        <v/>
      </c>
      <c r="DH278" s="19" t="n"/>
      <c r="DI278" s="19" t="n"/>
      <c r="DJ278" s="19" t="n"/>
      <c r="DL278" s="5">
        <f>C278</f>
        <v/>
      </c>
      <c r="DP278" s="19" t="n"/>
      <c r="DQ278" s="19" t="n"/>
      <c r="DR278" s="19" t="n"/>
      <c r="DT278" s="5">
        <f>C278</f>
        <v/>
      </c>
      <c r="DX278" s="19" t="n"/>
      <c r="DY278" s="19" t="n"/>
      <c r="DZ278" s="19" t="n"/>
      <c r="EB278" s="5">
        <f>C278</f>
        <v/>
      </c>
      <c r="EF278" s="19" t="n"/>
      <c r="EG278" s="19" t="n"/>
      <c r="EH278" s="19" t="n"/>
      <c r="EJ278" s="5">
        <f>C278</f>
        <v/>
      </c>
      <c r="EN278" s="19" t="n"/>
      <c r="EO278" s="19" t="n"/>
      <c r="EP278" s="19" t="n"/>
      <c r="EQ278" s="19" t="n"/>
      <c r="ER278" s="5">
        <f>C278</f>
        <v/>
      </c>
      <c r="ES278" s="19" t="n"/>
      <c r="ET278" s="19" t="n"/>
      <c r="EU278" s="19" t="n"/>
      <c r="EV278" s="19" t="n"/>
      <c r="EW278" s="19" t="n"/>
      <c r="EX278" s="19" t="n"/>
      <c r="EZ278" s="5">
        <f>C278</f>
        <v/>
      </c>
      <c r="FD278" s="19" t="n"/>
      <c r="FE278" s="19" t="n"/>
      <c r="FF278" s="19" t="n"/>
      <c r="FG278" s="19" t="n"/>
      <c r="FH278" s="5">
        <f>C278</f>
        <v/>
      </c>
      <c r="FI278" s="633" t="n"/>
      <c r="FL278" s="19" t="n"/>
      <c r="FM278" s="19" t="n"/>
      <c r="FN278" s="19" t="n"/>
      <c r="FP278" s="5">
        <f>C278</f>
        <v/>
      </c>
      <c r="FT278" s="19" t="n"/>
      <c r="FU278" s="19" t="n"/>
      <c r="FV278" s="19" t="n"/>
      <c r="FX278" s="5">
        <f>C278</f>
        <v/>
      </c>
      <c r="GB278" s="19" t="n"/>
      <c r="GC278" s="19" t="n"/>
      <c r="GD278" s="19" t="n"/>
      <c r="GF278" s="5">
        <f>C278</f>
        <v/>
      </c>
      <c r="GJ278" s="19" t="n"/>
      <c r="GK278" s="19" t="n"/>
      <c r="GL278" s="19" t="n"/>
      <c r="GN278" s="5">
        <f>C278</f>
        <v/>
      </c>
      <c r="GR278" s="19" t="n"/>
      <c r="GS278" s="19" t="n"/>
      <c r="GT278" s="19" t="n"/>
      <c r="GV278" s="5">
        <f>C278</f>
        <v/>
      </c>
      <c r="GZ278" s="19" t="n"/>
      <c r="HA278" s="19" t="n"/>
      <c r="HB278" s="19" t="n"/>
      <c r="HD278" s="5">
        <f>C278</f>
        <v/>
      </c>
      <c r="HH278" s="19" t="n"/>
      <c r="HI278" s="19" t="n"/>
      <c r="HJ278" s="19" t="n"/>
      <c r="HL278" s="5">
        <f>C278</f>
        <v/>
      </c>
      <c r="HP278" s="19" t="n"/>
      <c r="HQ278" s="19" t="n"/>
      <c r="HR278" s="19" t="n"/>
      <c r="HT278" s="5">
        <f>C278</f>
        <v/>
      </c>
      <c r="HX278" s="19" t="n"/>
      <c r="HY278" s="19" t="n"/>
      <c r="HZ278" s="19" t="n"/>
      <c r="IB278" s="5">
        <f>C278</f>
        <v/>
      </c>
      <c r="IG278" s="19" t="n"/>
      <c r="IH278" s="19" t="n"/>
      <c r="IJ278" s="5">
        <f>C278</f>
        <v/>
      </c>
      <c r="IN278" s="19" t="n"/>
      <c r="IO278" s="19" t="n"/>
      <c r="IP278" s="19" t="n"/>
      <c r="IR278" s="5">
        <f>C278</f>
        <v/>
      </c>
      <c r="IV278" s="19" t="n"/>
      <c r="IW278" s="19" t="n"/>
      <c r="IX278" s="19" t="n"/>
      <c r="IZ278" s="5">
        <f>C278</f>
        <v/>
      </c>
      <c r="JD278" s="19" t="n"/>
      <c r="JE278" s="19" t="n"/>
      <c r="JF278" s="19" t="n"/>
      <c r="JH278" s="5">
        <f>C278</f>
        <v/>
      </c>
      <c r="JL278" s="19" t="n"/>
      <c r="JM278" s="19" t="n"/>
      <c r="JN278" s="19" t="n"/>
      <c r="JO278" s="19" t="n"/>
      <c r="JP278" s="5">
        <f>C278</f>
        <v/>
      </c>
      <c r="JT278" s="19" t="n"/>
      <c r="JU278" s="19" t="n"/>
      <c r="JV278" s="19" t="n"/>
      <c r="JW278" s="19" t="n"/>
      <c r="JX278" s="5">
        <f>C278</f>
        <v/>
      </c>
      <c r="KB278" s="19" t="n"/>
      <c r="KC278" s="19" t="n"/>
      <c r="KD278" s="19" t="n"/>
      <c r="KE278" s="19" t="n"/>
      <c r="KF278" s="5">
        <f>C278</f>
        <v/>
      </c>
      <c r="KG278" s="19" t="n"/>
      <c r="KH278" s="19" t="n"/>
      <c r="KJ278" s="19" t="n"/>
      <c r="KK278" s="19" t="n"/>
      <c r="KL278" s="19" t="n"/>
      <c r="KM278" s="19" t="n"/>
      <c r="KN278" s="5">
        <f>C278</f>
        <v/>
      </c>
      <c r="KR278" s="19" t="n"/>
      <c r="KS278" s="19" t="n"/>
      <c r="KT278" s="19" t="n"/>
      <c r="KV278" s="5">
        <f>C278</f>
        <v/>
      </c>
      <c r="KZ278" s="19" t="n"/>
      <c r="LA278" s="19" t="n"/>
      <c r="LB278" s="19" t="n"/>
      <c r="LD278" s="5">
        <f>C278</f>
        <v/>
      </c>
      <c r="LH278" s="19" t="n"/>
      <c r="LI278" s="19" t="n"/>
      <c r="LJ278" s="19" t="n"/>
      <c r="LL278" s="5">
        <f>C278</f>
        <v/>
      </c>
      <c r="LM278" s="633" t="n"/>
      <c r="LP278" s="19" t="n"/>
      <c r="LQ278" s="19" t="n"/>
      <c r="LR278" s="19" t="n"/>
      <c r="LT278" s="5">
        <f>C278</f>
        <v/>
      </c>
      <c r="LX278" s="19" t="n"/>
      <c r="LY278" s="19" t="n"/>
      <c r="LZ278" s="19" t="n"/>
      <c r="MB278" s="5">
        <f>C278</f>
        <v/>
      </c>
      <c r="MF278" s="19" t="n"/>
      <c r="MG278" s="19" t="n"/>
      <c r="MH278" s="19" t="n"/>
      <c r="MK278" s="5">
        <f>C278</f>
        <v/>
      </c>
      <c r="MM278" s="24" t="n"/>
      <c r="MO278" s="19" t="n"/>
      <c r="MP278" s="19" t="n"/>
      <c r="MQ278" s="19" t="n"/>
      <c r="MR278" s="19" t="n"/>
      <c r="MS278" s="19" t="n"/>
      <c r="MT278" s="25">
        <f>C278</f>
        <v/>
      </c>
      <c r="MX278" s="19" t="n"/>
      <c r="MY278" s="19" t="n"/>
      <c r="MZ278" s="19" t="n"/>
      <c r="NA278" s="19" t="n"/>
      <c r="NB278" s="19" t="n"/>
      <c r="NC278" s="5">
        <f>C278</f>
        <v/>
      </c>
      <c r="NG278" s="19" t="n"/>
      <c r="NH278" s="19" t="n"/>
      <c r="NI278" s="19" t="n"/>
      <c r="NJ278" s="19" t="n"/>
      <c r="NK278" s="19" t="n"/>
      <c r="NM278" s="5">
        <f>C278</f>
        <v/>
      </c>
      <c r="NQ278" s="19" t="n"/>
      <c r="NR278" s="19" t="n"/>
      <c r="NU278" s="5">
        <f>C278</f>
        <v/>
      </c>
      <c r="NY278" s="19" t="n"/>
      <c r="NZ278" s="19" t="n"/>
      <c r="OC278" s="5">
        <f>C278</f>
        <v/>
      </c>
      <c r="OG278" s="19" t="n"/>
      <c r="OH278" s="19" t="n"/>
      <c r="OI278" s="19" t="n"/>
      <c r="OK278" s="5">
        <f>C278</f>
        <v/>
      </c>
      <c r="OO278" s="19" t="n"/>
      <c r="OP278" s="19" t="n"/>
      <c r="OQ278" s="19" t="n"/>
      <c r="OT278" s="25">
        <f>OK278</f>
        <v/>
      </c>
      <c r="OX278" s="19" t="n"/>
    </row>
    <row r="279" customFormat="1" s="5">
      <c r="A279" s="631" t="n"/>
      <c r="B279" s="631" t="n"/>
      <c r="C279" s="731" t="n"/>
      <c r="D279" s="523" t="n"/>
      <c r="E279" s="597" t="n"/>
      <c r="F279" s="601" t="n"/>
      <c r="G279" s="601" t="n"/>
      <c r="H279" s="526" t="n"/>
      <c r="I279" s="526" t="n"/>
      <c r="J279" s="526" t="n"/>
      <c r="K279" s="523">
        <f>C279</f>
        <v/>
      </c>
      <c r="L279" s="603" t="n"/>
      <c r="M279" s="597" t="n"/>
      <c r="N279" s="601" t="n"/>
      <c r="O279" s="601" t="n"/>
      <c r="P279" s="526" t="n"/>
      <c r="Q279" s="526" t="n"/>
      <c r="R279" s="604" t="n"/>
      <c r="S279" s="523">
        <f>C279</f>
        <v/>
      </c>
      <c r="T279" s="603" t="n"/>
      <c r="U279" s="597" t="n"/>
      <c r="V279" s="599" t="n"/>
      <c r="W279" s="599" t="n"/>
      <c r="X279" s="526" t="n"/>
      <c r="Y279" s="526" t="n"/>
      <c r="Z279" s="604" t="n"/>
      <c r="AA279" s="523">
        <f>S279</f>
        <v/>
      </c>
      <c r="AB279" s="550" t="n"/>
      <c r="AC279" s="597" t="n"/>
      <c r="AD279" s="601" t="n"/>
      <c r="AE279" s="601" t="n"/>
      <c r="AF279" s="526" t="n"/>
      <c r="AG279" s="526" t="n"/>
      <c r="AH279" s="604" t="n"/>
      <c r="AI279" s="523">
        <f>C279</f>
        <v/>
      </c>
      <c r="AJ279" s="605" t="n"/>
      <c r="AK279" s="362" t="n"/>
      <c r="AL279" s="599" t="n"/>
      <c r="AM279" s="599" t="n"/>
      <c r="AN279" s="526" t="n"/>
      <c r="AO279" s="526" t="n"/>
      <c r="AP279" s="523" t="n"/>
      <c r="AQ279" s="606">
        <f>C279</f>
        <v/>
      </c>
      <c r="AR279" s="607" t="n"/>
      <c r="AS279" s="607" t="n"/>
      <c r="AT279" s="526" t="n"/>
      <c r="AU279" s="608" t="n"/>
      <c r="AV279" s="609" t="n"/>
      <c r="AW279" s="526" t="n"/>
      <c r="AX279" s="610" t="n"/>
      <c r="AY279" s="610" t="n"/>
      <c r="AZ279" s="523">
        <f>C279</f>
        <v/>
      </c>
      <c r="BA279" s="523" t="n"/>
      <c r="BB279" s="523" t="n"/>
      <c r="BC279" s="523" t="n"/>
      <c r="BD279" s="526" t="n"/>
      <c r="BE279" s="526" t="n"/>
      <c r="BF279" s="526" t="n"/>
      <c r="BG279" s="631" t="n"/>
      <c r="BH279" s="5">
        <f>C279</f>
        <v/>
      </c>
      <c r="BL279" s="19" t="n"/>
      <c r="BM279" s="19" t="n"/>
      <c r="BN279" s="19" t="n"/>
      <c r="BP279" s="5">
        <f>C279</f>
        <v/>
      </c>
      <c r="BQ279" s="633" t="n"/>
      <c r="BT279" s="19" t="n"/>
      <c r="BU279" s="19" t="n"/>
      <c r="BV279" s="19" t="n"/>
      <c r="BX279" s="5">
        <f>C279</f>
        <v/>
      </c>
      <c r="CB279" s="19" t="n"/>
      <c r="CC279" s="19" t="n"/>
      <c r="CD279" s="19" t="n"/>
      <c r="CF279" s="5">
        <f>C279</f>
        <v/>
      </c>
      <c r="CJ279" s="19" t="n"/>
      <c r="CK279" s="19" t="n"/>
      <c r="CL279" s="19" t="n"/>
      <c r="CN279" s="5">
        <f>C279</f>
        <v/>
      </c>
      <c r="CR279" s="19" t="n"/>
      <c r="CS279" s="19" t="n"/>
      <c r="CT279" s="19" t="n"/>
      <c r="CV279" s="5">
        <f>C279</f>
        <v/>
      </c>
      <c r="CZ279" s="19" t="n"/>
      <c r="DA279" s="19" t="n"/>
      <c r="DB279" s="19" t="n"/>
      <c r="DC279" s="23" t="n"/>
      <c r="DD279" s="5">
        <f>C279</f>
        <v/>
      </c>
      <c r="DH279" s="19" t="n"/>
      <c r="DI279" s="19" t="n"/>
      <c r="DJ279" s="19" t="n"/>
      <c r="DL279" s="5">
        <f>C279</f>
        <v/>
      </c>
      <c r="DP279" s="19" t="n"/>
      <c r="DQ279" s="19" t="n"/>
      <c r="DR279" s="19" t="n"/>
      <c r="DT279" s="5">
        <f>C279</f>
        <v/>
      </c>
      <c r="DX279" s="19" t="n"/>
      <c r="DY279" s="19" t="n"/>
      <c r="DZ279" s="19" t="n"/>
      <c r="EB279" s="5">
        <f>C279</f>
        <v/>
      </c>
      <c r="EF279" s="19" t="n"/>
      <c r="EG279" s="19" t="n"/>
      <c r="EH279" s="19" t="n"/>
      <c r="EJ279" s="5">
        <f>C279</f>
        <v/>
      </c>
      <c r="EN279" s="19" t="n"/>
      <c r="EO279" s="19" t="n"/>
      <c r="EP279" s="19" t="n"/>
      <c r="EQ279" s="19" t="n"/>
      <c r="ER279" s="5">
        <f>C279</f>
        <v/>
      </c>
      <c r="ES279" s="19" t="n"/>
      <c r="ET279" s="19" t="n"/>
      <c r="EU279" s="19" t="n"/>
      <c r="EV279" s="19" t="n"/>
      <c r="EW279" s="19" t="n"/>
      <c r="EX279" s="19" t="n"/>
      <c r="EZ279" s="5">
        <f>C279</f>
        <v/>
      </c>
      <c r="FD279" s="19" t="n"/>
      <c r="FE279" s="19" t="n"/>
      <c r="FF279" s="19" t="n"/>
      <c r="FG279" s="19" t="n"/>
      <c r="FH279" s="5">
        <f>C279</f>
        <v/>
      </c>
      <c r="FI279" s="633" t="n"/>
      <c r="FL279" s="19" t="n"/>
      <c r="FM279" s="19" t="n"/>
      <c r="FN279" s="19" t="n"/>
      <c r="FP279" s="5">
        <f>C279</f>
        <v/>
      </c>
      <c r="FT279" s="19" t="n"/>
      <c r="FU279" s="19" t="n"/>
      <c r="FV279" s="19" t="n"/>
      <c r="FX279" s="5">
        <f>C279</f>
        <v/>
      </c>
      <c r="GB279" s="19" t="n"/>
      <c r="GC279" s="19" t="n"/>
      <c r="GD279" s="19" t="n"/>
      <c r="GF279" s="5">
        <f>C279</f>
        <v/>
      </c>
      <c r="GJ279" s="19" t="n"/>
      <c r="GK279" s="19" t="n"/>
      <c r="GL279" s="19" t="n"/>
      <c r="GN279" s="5">
        <f>C279</f>
        <v/>
      </c>
      <c r="GR279" s="19" t="n"/>
      <c r="GS279" s="19" t="n"/>
      <c r="GT279" s="19" t="n"/>
      <c r="GV279" s="5">
        <f>C279</f>
        <v/>
      </c>
      <c r="GZ279" s="19" t="n"/>
      <c r="HA279" s="19" t="n"/>
      <c r="HB279" s="19" t="n"/>
      <c r="HD279" s="5">
        <f>C279</f>
        <v/>
      </c>
      <c r="HH279" s="19" t="n"/>
      <c r="HI279" s="19" t="n"/>
      <c r="HJ279" s="19" t="n"/>
      <c r="HL279" s="5">
        <f>C279</f>
        <v/>
      </c>
      <c r="HP279" s="19" t="n"/>
      <c r="HQ279" s="19" t="n"/>
      <c r="HR279" s="19" t="n"/>
      <c r="HT279" s="5">
        <f>C279</f>
        <v/>
      </c>
      <c r="HX279" s="19" t="n"/>
      <c r="HY279" s="19" t="n"/>
      <c r="HZ279" s="19" t="n"/>
      <c r="IB279" s="5">
        <f>C279</f>
        <v/>
      </c>
      <c r="IG279" s="19" t="n"/>
      <c r="IH279" s="19" t="n"/>
      <c r="IJ279" s="5">
        <f>C279</f>
        <v/>
      </c>
      <c r="IN279" s="19" t="n"/>
      <c r="IO279" s="19" t="n"/>
      <c r="IP279" s="19" t="n"/>
      <c r="IR279" s="5">
        <f>C279</f>
        <v/>
      </c>
      <c r="IV279" s="19" t="n"/>
      <c r="IW279" s="19" t="n"/>
      <c r="IX279" s="19" t="n"/>
      <c r="IZ279" s="5">
        <f>C279</f>
        <v/>
      </c>
      <c r="JD279" s="19" t="n"/>
      <c r="JE279" s="19" t="n"/>
      <c r="JF279" s="19" t="n"/>
      <c r="JH279" s="5">
        <f>C279</f>
        <v/>
      </c>
      <c r="JL279" s="19" t="n"/>
      <c r="JM279" s="19" t="n"/>
      <c r="JN279" s="19" t="n"/>
      <c r="JO279" s="19" t="n"/>
      <c r="JP279" s="5">
        <f>C279</f>
        <v/>
      </c>
      <c r="JT279" s="19" t="n"/>
      <c r="JU279" s="19" t="n"/>
      <c r="JV279" s="19" t="n"/>
      <c r="JW279" s="19" t="n"/>
      <c r="JX279" s="5">
        <f>C279</f>
        <v/>
      </c>
      <c r="KB279" s="19" t="n"/>
      <c r="KC279" s="19" t="n"/>
      <c r="KD279" s="19" t="n"/>
      <c r="KE279" s="19" t="n"/>
      <c r="KF279" s="5">
        <f>C279</f>
        <v/>
      </c>
      <c r="KG279" s="19" t="n"/>
      <c r="KH279" s="19" t="n"/>
      <c r="KJ279" s="19" t="n"/>
      <c r="KK279" s="19" t="n"/>
      <c r="KL279" s="19" t="n"/>
      <c r="KM279" s="19" t="n"/>
      <c r="KN279" s="5">
        <f>C279</f>
        <v/>
      </c>
      <c r="KR279" s="19" t="n"/>
      <c r="KS279" s="19" t="n"/>
      <c r="KT279" s="19" t="n"/>
      <c r="KV279" s="5">
        <f>C279</f>
        <v/>
      </c>
      <c r="KZ279" s="19" t="n"/>
      <c r="LA279" s="19" t="n"/>
      <c r="LB279" s="19" t="n"/>
      <c r="LD279" s="5">
        <f>C279</f>
        <v/>
      </c>
      <c r="LH279" s="19" t="n"/>
      <c r="LI279" s="19" t="n"/>
      <c r="LJ279" s="19" t="n"/>
      <c r="LL279" s="5">
        <f>C279</f>
        <v/>
      </c>
      <c r="LM279" s="633" t="n"/>
      <c r="LP279" s="19" t="n"/>
      <c r="LQ279" s="19" t="n"/>
      <c r="LR279" s="19" t="n"/>
      <c r="LT279" s="5">
        <f>C279</f>
        <v/>
      </c>
      <c r="LX279" s="19" t="n"/>
      <c r="LY279" s="19" t="n"/>
      <c r="LZ279" s="19" t="n"/>
      <c r="MB279" s="5">
        <f>C279</f>
        <v/>
      </c>
      <c r="MF279" s="19" t="n"/>
      <c r="MG279" s="19" t="n"/>
      <c r="MH279" s="19" t="n"/>
      <c r="MK279" s="5">
        <f>C279</f>
        <v/>
      </c>
      <c r="MM279" s="24" t="n"/>
      <c r="MO279" s="19" t="n"/>
      <c r="MP279" s="19" t="n"/>
      <c r="MQ279" s="19" t="n"/>
      <c r="MR279" s="19" t="n"/>
      <c r="MS279" s="19" t="n"/>
      <c r="MT279" s="25">
        <f>C279</f>
        <v/>
      </c>
      <c r="MX279" s="19" t="n"/>
      <c r="MY279" s="19" t="n"/>
      <c r="MZ279" s="19" t="n"/>
      <c r="NA279" s="19" t="n"/>
      <c r="NB279" s="19" t="n"/>
      <c r="NC279" s="5">
        <f>C279</f>
        <v/>
      </c>
      <c r="NG279" s="19" t="n"/>
      <c r="NH279" s="19" t="n"/>
      <c r="NI279" s="19" t="n"/>
      <c r="NJ279" s="19" t="n"/>
      <c r="NK279" s="19" t="n"/>
      <c r="NM279" s="5">
        <f>C279</f>
        <v/>
      </c>
      <c r="NQ279" s="19" t="n"/>
      <c r="NR279" s="19" t="n"/>
      <c r="NU279" s="5">
        <f>C279</f>
        <v/>
      </c>
      <c r="NY279" s="19" t="n"/>
      <c r="NZ279" s="19" t="n"/>
      <c r="OC279" s="5">
        <f>C279</f>
        <v/>
      </c>
      <c r="OG279" s="19" t="n"/>
      <c r="OH279" s="19" t="n"/>
      <c r="OI279" s="19" t="n"/>
      <c r="OK279" s="5">
        <f>C279</f>
        <v/>
      </c>
      <c r="OO279" s="19" t="n"/>
      <c r="OP279" s="19" t="n"/>
      <c r="OQ279" s="19" t="n"/>
      <c r="OT279" s="25">
        <f>OK279</f>
        <v/>
      </c>
      <c r="OX279" s="19" t="n"/>
    </row>
    <row r="280" customFormat="1" s="5">
      <c r="A280" s="631" t="n"/>
      <c r="B280" s="631" t="n"/>
      <c r="C280" s="731" t="n"/>
      <c r="D280" s="523" t="n"/>
      <c r="E280" s="597" t="n"/>
      <c r="F280" s="601" t="n"/>
      <c r="G280" s="601" t="n"/>
      <c r="H280" s="526" t="n"/>
      <c r="I280" s="526" t="n"/>
      <c r="J280" s="526" t="n"/>
      <c r="K280" s="523">
        <f>C280</f>
        <v/>
      </c>
      <c r="L280" s="603" t="n"/>
      <c r="M280" s="597" t="n"/>
      <c r="N280" s="601" t="n"/>
      <c r="O280" s="601" t="n"/>
      <c r="P280" s="526" t="n"/>
      <c r="Q280" s="526" t="n"/>
      <c r="R280" s="604" t="n"/>
      <c r="S280" s="523">
        <f>C280</f>
        <v/>
      </c>
      <c r="T280" s="603" t="n"/>
      <c r="U280" s="597" t="n"/>
      <c r="V280" s="599" t="n"/>
      <c r="W280" s="599" t="n"/>
      <c r="X280" s="526" t="n"/>
      <c r="Y280" s="526" t="n"/>
      <c r="Z280" s="604" t="n"/>
      <c r="AA280" s="523">
        <f>S280</f>
        <v/>
      </c>
      <c r="AB280" s="550" t="n"/>
      <c r="AC280" s="597" t="n"/>
      <c r="AD280" s="601" t="n"/>
      <c r="AE280" s="601" t="n"/>
      <c r="AF280" s="526" t="n"/>
      <c r="AG280" s="526" t="n"/>
      <c r="AH280" s="604" t="n"/>
      <c r="AI280" s="523">
        <f>C280</f>
        <v/>
      </c>
      <c r="AJ280" s="605" t="n"/>
      <c r="AK280" s="362" t="n"/>
      <c r="AL280" s="599" t="n"/>
      <c r="AM280" s="599" t="n"/>
      <c r="AN280" s="526" t="n"/>
      <c r="AO280" s="526" t="n"/>
      <c r="AP280" s="523" t="n"/>
      <c r="AQ280" s="606">
        <f>C280</f>
        <v/>
      </c>
      <c r="AR280" s="607" t="n"/>
      <c r="AS280" s="607" t="n"/>
      <c r="AT280" s="526" t="n"/>
      <c r="AU280" s="608" t="n"/>
      <c r="AV280" s="609" t="n"/>
      <c r="AW280" s="526" t="n"/>
      <c r="AX280" s="610" t="n"/>
      <c r="AY280" s="610" t="n"/>
      <c r="AZ280" s="523">
        <f>C280</f>
        <v/>
      </c>
      <c r="BA280" s="523" t="n"/>
      <c r="BB280" s="523" t="n"/>
      <c r="BC280" s="523" t="n"/>
      <c r="BD280" s="526" t="n"/>
      <c r="BE280" s="526" t="n"/>
      <c r="BF280" s="526" t="n"/>
      <c r="BG280" s="631" t="n"/>
      <c r="BH280" s="5">
        <f>C280</f>
        <v/>
      </c>
      <c r="BL280" s="19" t="n"/>
      <c r="BM280" s="19" t="n"/>
      <c r="BN280" s="19" t="n"/>
      <c r="BP280" s="5">
        <f>C280</f>
        <v/>
      </c>
      <c r="BQ280" s="633" t="n"/>
      <c r="BT280" s="19" t="n"/>
      <c r="BU280" s="19" t="n"/>
      <c r="BV280" s="19" t="n"/>
      <c r="BX280" s="5">
        <f>C280</f>
        <v/>
      </c>
      <c r="CB280" s="19" t="n"/>
      <c r="CC280" s="19" t="n"/>
      <c r="CD280" s="19" t="n"/>
      <c r="CF280" s="5">
        <f>C280</f>
        <v/>
      </c>
      <c r="CJ280" s="19" t="n"/>
      <c r="CK280" s="19" t="n"/>
      <c r="CL280" s="19" t="n"/>
      <c r="CN280" s="5">
        <f>C280</f>
        <v/>
      </c>
      <c r="CR280" s="19" t="n"/>
      <c r="CS280" s="19" t="n"/>
      <c r="CT280" s="19" t="n"/>
      <c r="CV280" s="5">
        <f>C280</f>
        <v/>
      </c>
      <c r="CZ280" s="19" t="n"/>
      <c r="DA280" s="19" t="n"/>
      <c r="DB280" s="19" t="n"/>
      <c r="DC280" s="23" t="n"/>
      <c r="DD280" s="5">
        <f>C280</f>
        <v/>
      </c>
      <c r="DH280" s="19" t="n"/>
      <c r="DI280" s="19" t="n"/>
      <c r="DJ280" s="19" t="n"/>
      <c r="DL280" s="5">
        <f>C280</f>
        <v/>
      </c>
      <c r="DP280" s="19" t="n"/>
      <c r="DQ280" s="19" t="n"/>
      <c r="DR280" s="19" t="n"/>
      <c r="DT280" s="5">
        <f>C280</f>
        <v/>
      </c>
      <c r="DX280" s="19" t="n"/>
      <c r="DY280" s="19" t="n"/>
      <c r="DZ280" s="19" t="n"/>
      <c r="EB280" s="5">
        <f>C280</f>
        <v/>
      </c>
      <c r="EF280" s="19" t="n"/>
      <c r="EG280" s="19" t="n"/>
      <c r="EH280" s="19" t="n"/>
      <c r="EJ280" s="5">
        <f>C280</f>
        <v/>
      </c>
      <c r="EN280" s="19" t="n"/>
      <c r="EO280" s="19" t="n"/>
      <c r="EP280" s="19" t="n"/>
      <c r="EQ280" s="19" t="n"/>
      <c r="ER280" s="5">
        <f>C280</f>
        <v/>
      </c>
      <c r="ES280" s="19" t="n"/>
      <c r="ET280" s="19" t="n"/>
      <c r="EU280" s="19" t="n"/>
      <c r="EV280" s="19" t="n"/>
      <c r="EW280" s="19" t="n"/>
      <c r="EX280" s="19" t="n"/>
      <c r="EZ280" s="5">
        <f>C280</f>
        <v/>
      </c>
      <c r="FD280" s="19" t="n"/>
      <c r="FE280" s="19" t="n"/>
      <c r="FF280" s="19" t="n"/>
      <c r="FG280" s="19" t="n"/>
      <c r="FH280" s="5">
        <f>C280</f>
        <v/>
      </c>
      <c r="FI280" s="633" t="n"/>
      <c r="FL280" s="19" t="n"/>
      <c r="FM280" s="19" t="n"/>
      <c r="FN280" s="19" t="n"/>
      <c r="FP280" s="5">
        <f>C280</f>
        <v/>
      </c>
      <c r="FT280" s="19" t="n"/>
      <c r="FU280" s="19" t="n"/>
      <c r="FV280" s="19" t="n"/>
      <c r="FX280" s="5">
        <f>C280</f>
        <v/>
      </c>
      <c r="GB280" s="19" t="n"/>
      <c r="GC280" s="19" t="n"/>
      <c r="GD280" s="19" t="n"/>
      <c r="GF280" s="5">
        <f>C280</f>
        <v/>
      </c>
      <c r="GJ280" s="19" t="n"/>
      <c r="GK280" s="19" t="n"/>
      <c r="GL280" s="19" t="n"/>
      <c r="GN280" s="5">
        <f>C280</f>
        <v/>
      </c>
      <c r="GR280" s="19" t="n"/>
      <c r="GS280" s="19" t="n"/>
      <c r="GT280" s="19" t="n"/>
      <c r="GV280" s="5">
        <f>C280</f>
        <v/>
      </c>
      <c r="GZ280" s="19" t="n"/>
      <c r="HA280" s="19" t="n"/>
      <c r="HB280" s="19" t="n"/>
      <c r="HD280" s="5">
        <f>C280</f>
        <v/>
      </c>
      <c r="HH280" s="19" t="n"/>
      <c r="HI280" s="19" t="n"/>
      <c r="HJ280" s="19" t="n"/>
      <c r="HL280" s="5">
        <f>C280</f>
        <v/>
      </c>
      <c r="HP280" s="19" t="n"/>
      <c r="HQ280" s="19" t="n"/>
      <c r="HR280" s="19" t="n"/>
      <c r="HT280" s="5">
        <f>C280</f>
        <v/>
      </c>
      <c r="HX280" s="19" t="n"/>
      <c r="HY280" s="19" t="n"/>
      <c r="HZ280" s="19" t="n"/>
      <c r="IB280" s="5">
        <f>C280</f>
        <v/>
      </c>
      <c r="IG280" s="19" t="n"/>
      <c r="IH280" s="19" t="n"/>
      <c r="IJ280" s="5">
        <f>C280</f>
        <v/>
      </c>
      <c r="IN280" s="19" t="n"/>
      <c r="IO280" s="19" t="n"/>
      <c r="IP280" s="19" t="n"/>
      <c r="IR280" s="5">
        <f>C280</f>
        <v/>
      </c>
      <c r="IV280" s="19" t="n"/>
      <c r="IW280" s="19" t="n"/>
      <c r="IX280" s="19" t="n"/>
      <c r="IZ280" s="5">
        <f>C280</f>
        <v/>
      </c>
      <c r="JD280" s="19" t="n"/>
      <c r="JE280" s="19" t="n"/>
      <c r="JF280" s="19" t="n"/>
      <c r="JH280" s="5">
        <f>C280</f>
        <v/>
      </c>
      <c r="JL280" s="19" t="n"/>
      <c r="JM280" s="19" t="n"/>
      <c r="JN280" s="19" t="n"/>
      <c r="JO280" s="19" t="n"/>
      <c r="JP280" s="5">
        <f>C280</f>
        <v/>
      </c>
      <c r="JT280" s="19" t="n"/>
      <c r="JU280" s="19" t="n"/>
      <c r="JV280" s="19" t="n"/>
      <c r="JW280" s="19" t="n"/>
      <c r="JX280" s="5">
        <f>C280</f>
        <v/>
      </c>
      <c r="KB280" s="19" t="n"/>
      <c r="KC280" s="19" t="n"/>
      <c r="KD280" s="19" t="n"/>
      <c r="KE280" s="19" t="n"/>
      <c r="KF280" s="5">
        <f>C280</f>
        <v/>
      </c>
      <c r="KG280" s="19" t="n"/>
      <c r="KH280" s="19" t="n"/>
      <c r="KJ280" s="19" t="n"/>
      <c r="KK280" s="19" t="n"/>
      <c r="KL280" s="19" t="n"/>
      <c r="KM280" s="19" t="n"/>
      <c r="KN280" s="5">
        <f>C280</f>
        <v/>
      </c>
      <c r="KR280" s="19" t="n"/>
      <c r="KS280" s="19" t="n"/>
      <c r="KT280" s="19" t="n"/>
      <c r="KV280" s="5">
        <f>C280</f>
        <v/>
      </c>
      <c r="KZ280" s="19" t="n"/>
      <c r="LA280" s="19" t="n"/>
      <c r="LB280" s="19" t="n"/>
      <c r="LD280" s="5">
        <f>C280</f>
        <v/>
      </c>
      <c r="LH280" s="19" t="n"/>
      <c r="LI280" s="19" t="n"/>
      <c r="LJ280" s="19" t="n"/>
      <c r="LL280" s="5">
        <f>C280</f>
        <v/>
      </c>
      <c r="LM280" s="633" t="n"/>
      <c r="LP280" s="19" t="n"/>
      <c r="LQ280" s="19" t="n"/>
      <c r="LR280" s="19" t="n"/>
      <c r="LT280" s="5">
        <f>C280</f>
        <v/>
      </c>
      <c r="LX280" s="19" t="n"/>
      <c r="LY280" s="19" t="n"/>
      <c r="LZ280" s="19" t="n"/>
      <c r="MB280" s="5">
        <f>C280</f>
        <v/>
      </c>
      <c r="MF280" s="19" t="n"/>
      <c r="MG280" s="19" t="n"/>
      <c r="MH280" s="19" t="n"/>
      <c r="MK280" s="5">
        <f>C280</f>
        <v/>
      </c>
      <c r="MM280" s="24" t="n"/>
      <c r="MO280" s="19" t="n"/>
      <c r="MP280" s="19" t="n"/>
      <c r="MQ280" s="19" t="n"/>
      <c r="MR280" s="19" t="n"/>
      <c r="MS280" s="19" t="n"/>
      <c r="MT280" s="25">
        <f>C280</f>
        <v/>
      </c>
      <c r="MX280" s="19" t="n"/>
      <c r="MY280" s="19" t="n"/>
      <c r="MZ280" s="19" t="n"/>
      <c r="NA280" s="19" t="n"/>
      <c r="NB280" s="19" t="n"/>
      <c r="NC280" s="5">
        <f>C280</f>
        <v/>
      </c>
      <c r="NG280" s="19" t="n"/>
      <c r="NH280" s="19" t="n"/>
      <c r="NI280" s="19" t="n"/>
      <c r="NJ280" s="19" t="n"/>
      <c r="NK280" s="19" t="n"/>
      <c r="NM280" s="5">
        <f>C280</f>
        <v/>
      </c>
      <c r="NQ280" s="19" t="n"/>
      <c r="NR280" s="19" t="n"/>
      <c r="NU280" s="5">
        <f>C280</f>
        <v/>
      </c>
      <c r="NY280" s="19" t="n"/>
      <c r="NZ280" s="19" t="n"/>
      <c r="OC280" s="5">
        <f>C280</f>
        <v/>
      </c>
      <c r="OG280" s="19" t="n"/>
      <c r="OH280" s="19" t="n"/>
      <c r="OI280" s="19" t="n"/>
      <c r="OK280" s="5">
        <f>C280</f>
        <v/>
      </c>
      <c r="OO280" s="19" t="n"/>
      <c r="OP280" s="19" t="n"/>
      <c r="OQ280" s="19" t="n"/>
      <c r="OT280" s="25">
        <f>OK280</f>
        <v/>
      </c>
      <c r="OX280" s="19" t="n"/>
    </row>
    <row r="281" ht="21" customFormat="1" customHeight="1" s="5">
      <c r="A281" s="631" t="n"/>
      <c r="B281" s="631" t="n"/>
      <c r="C281" s="731" t="n"/>
      <c r="D281" s="523" t="n"/>
      <c r="E281" s="597" t="n"/>
      <c r="F281" s="601" t="n"/>
      <c r="G281" s="601" t="n"/>
      <c r="H281" s="526" t="n"/>
      <c r="I281" s="526" t="n"/>
      <c r="J281" s="526" t="n"/>
      <c r="K281" s="523">
        <f>C281</f>
        <v/>
      </c>
      <c r="L281" s="603" t="n"/>
      <c r="M281" s="597" t="n"/>
      <c r="N281" s="601" t="n"/>
      <c r="O281" s="601" t="n"/>
      <c r="P281" s="526" t="n"/>
      <c r="Q281" s="526" t="n"/>
      <c r="R281" s="604" t="n"/>
      <c r="S281" s="523">
        <f>C281</f>
        <v/>
      </c>
      <c r="T281" s="603" t="n"/>
      <c r="U281" s="597" t="n"/>
      <c r="V281" s="599" t="n"/>
      <c r="W281" s="599" t="n"/>
      <c r="X281" s="526" t="n"/>
      <c r="Y281" s="526" t="n"/>
      <c r="Z281" s="604" t="n"/>
      <c r="AA281" s="523">
        <f>S281</f>
        <v/>
      </c>
      <c r="AB281" s="550" t="n"/>
      <c r="AC281" s="597" t="n"/>
      <c r="AD281" s="601" t="n"/>
      <c r="AE281" s="601" t="n"/>
      <c r="AF281" s="526" t="n"/>
      <c r="AG281" s="526" t="n"/>
      <c r="AH281" s="604" t="n"/>
      <c r="AI281" s="523">
        <f>C281</f>
        <v/>
      </c>
      <c r="AJ281" s="605" t="n"/>
      <c r="AK281" s="362" t="n"/>
      <c r="AL281" s="599" t="n"/>
      <c r="AM281" s="599" t="n"/>
      <c r="AN281" s="526" t="n"/>
      <c r="AO281" s="526" t="n"/>
      <c r="AP281" s="523" t="n"/>
      <c r="AQ281" s="606">
        <f>C281</f>
        <v/>
      </c>
      <c r="AR281" s="607" t="n"/>
      <c r="AS281" s="607" t="n"/>
      <c r="AT281" s="526" t="n"/>
      <c r="AU281" s="608" t="n"/>
      <c r="AV281" s="609" t="n"/>
      <c r="AW281" s="526" t="n"/>
      <c r="AX281" s="610" t="n"/>
      <c r="AY281" s="610" t="n"/>
      <c r="AZ281" s="523">
        <f>C281</f>
        <v/>
      </c>
      <c r="BA281" s="523" t="n"/>
      <c r="BB281" s="523" t="n"/>
      <c r="BC281" s="523" t="n"/>
      <c r="BD281" s="526" t="n"/>
      <c r="BE281" s="526" t="n"/>
      <c r="BF281" s="526" t="n"/>
      <c r="BG281" s="631" t="n"/>
      <c r="BH281" s="5">
        <f>C281</f>
        <v/>
      </c>
      <c r="BL281" s="19" t="n"/>
      <c r="BM281" s="19" t="n"/>
      <c r="BN281" s="19" t="n"/>
      <c r="BP281" s="5">
        <f>C281</f>
        <v/>
      </c>
      <c r="BQ281" s="633" t="n"/>
      <c r="BT281" s="19" t="n"/>
      <c r="BU281" s="19" t="n"/>
      <c r="BV281" s="19" t="n"/>
      <c r="BX281" s="5">
        <f>C281</f>
        <v/>
      </c>
      <c r="CB281" s="19" t="n"/>
      <c r="CC281" s="19" t="n"/>
      <c r="CD281" s="19" t="n"/>
      <c r="CF281" s="5">
        <f>C281</f>
        <v/>
      </c>
      <c r="CJ281" s="19" t="n"/>
      <c r="CK281" s="19" t="n"/>
      <c r="CL281" s="19" t="n"/>
      <c r="CN281" s="5">
        <f>C281</f>
        <v/>
      </c>
      <c r="CR281" s="19" t="n"/>
      <c r="CS281" s="19" t="n"/>
      <c r="CT281" s="19" t="n"/>
      <c r="CV281" s="5">
        <f>C281</f>
        <v/>
      </c>
      <c r="CZ281" s="19" t="n"/>
      <c r="DA281" s="19" t="n"/>
      <c r="DB281" s="19" t="n"/>
      <c r="DC281" s="23" t="n"/>
      <c r="DD281" s="5">
        <f>C281</f>
        <v/>
      </c>
      <c r="DH281" s="19" t="n"/>
      <c r="DI281" s="19" t="n"/>
      <c r="DJ281" s="19" t="n"/>
      <c r="DL281" s="5">
        <f>C281</f>
        <v/>
      </c>
      <c r="DP281" s="19" t="n"/>
      <c r="DQ281" s="19" t="n"/>
      <c r="DR281" s="19" t="n"/>
      <c r="DT281" s="5">
        <f>C281</f>
        <v/>
      </c>
      <c r="DX281" s="19" t="n"/>
      <c r="DY281" s="19" t="n"/>
      <c r="DZ281" s="19" t="n"/>
      <c r="EB281" s="5">
        <f>C281</f>
        <v/>
      </c>
      <c r="EF281" s="19" t="n"/>
      <c r="EG281" s="19" t="n"/>
      <c r="EH281" s="19" t="n"/>
      <c r="EJ281" s="5">
        <f>C281</f>
        <v/>
      </c>
      <c r="EN281" s="19" t="n"/>
      <c r="EO281" s="19" t="n"/>
      <c r="EP281" s="19" t="n"/>
      <c r="EQ281" s="19" t="n"/>
      <c r="ER281" s="5">
        <f>C281</f>
        <v/>
      </c>
      <c r="ES281" s="19" t="n"/>
      <c r="ET281" s="19" t="n"/>
      <c r="EU281" s="19" t="n"/>
      <c r="EV281" s="19" t="n"/>
      <c r="EW281" s="19" t="n"/>
      <c r="EX281" s="19" t="n"/>
      <c r="EZ281" s="5">
        <f>C281</f>
        <v/>
      </c>
      <c r="FD281" s="19" t="n"/>
      <c r="FE281" s="19" t="n"/>
      <c r="FF281" s="19" t="n"/>
      <c r="FG281" s="19" t="n"/>
      <c r="FH281" s="5">
        <f>C281</f>
        <v/>
      </c>
      <c r="FI281" s="633" t="n"/>
      <c r="FL281" s="19" t="n"/>
      <c r="FM281" s="19" t="n"/>
      <c r="FN281" s="19" t="n"/>
      <c r="FP281" s="5">
        <f>C281</f>
        <v/>
      </c>
      <c r="FT281" s="19" t="n"/>
      <c r="FU281" s="19" t="n"/>
      <c r="FV281" s="19" t="n"/>
      <c r="FX281" s="5">
        <f>C281</f>
        <v/>
      </c>
      <c r="GB281" s="19" t="n"/>
      <c r="GC281" s="19" t="n"/>
      <c r="GD281" s="19" t="n"/>
      <c r="GF281" s="5">
        <f>C281</f>
        <v/>
      </c>
      <c r="GJ281" s="19" t="n"/>
      <c r="GK281" s="19" t="n"/>
      <c r="GL281" s="19" t="n"/>
      <c r="GN281" s="5">
        <f>C281</f>
        <v/>
      </c>
      <c r="GR281" s="19" t="n"/>
      <c r="GS281" s="19" t="n"/>
      <c r="GT281" s="19" t="n"/>
      <c r="GV281" s="5">
        <f>C281</f>
        <v/>
      </c>
      <c r="GZ281" s="19" t="n"/>
      <c r="HA281" s="19" t="n"/>
      <c r="HB281" s="19" t="n"/>
      <c r="HD281" s="5">
        <f>C281</f>
        <v/>
      </c>
      <c r="HH281" s="19" t="n"/>
      <c r="HI281" s="19" t="n"/>
      <c r="HJ281" s="19" t="n"/>
      <c r="HL281" s="5">
        <f>C281</f>
        <v/>
      </c>
      <c r="HP281" s="19" t="n"/>
      <c r="HQ281" s="19" t="n"/>
      <c r="HR281" s="19" t="n"/>
      <c r="HT281" s="5">
        <f>C281</f>
        <v/>
      </c>
      <c r="HX281" s="19" t="n"/>
      <c r="HY281" s="19" t="n"/>
      <c r="HZ281" s="19" t="n"/>
      <c r="IB281" s="5">
        <f>C281</f>
        <v/>
      </c>
      <c r="IG281" s="19" t="n"/>
      <c r="IH281" s="19" t="n"/>
      <c r="IJ281" s="5">
        <f>C281</f>
        <v/>
      </c>
      <c r="IN281" s="19" t="n"/>
      <c r="IO281" s="19" t="n"/>
      <c r="IP281" s="19" t="n"/>
      <c r="IR281" s="5">
        <f>C281</f>
        <v/>
      </c>
      <c r="IV281" s="19" t="n"/>
      <c r="IW281" s="19" t="n"/>
      <c r="IX281" s="19" t="n"/>
      <c r="IZ281" s="5">
        <f>C281</f>
        <v/>
      </c>
      <c r="JD281" s="19" t="n"/>
      <c r="JE281" s="19" t="n"/>
      <c r="JF281" s="19" t="n"/>
      <c r="JH281" s="5">
        <f>C281</f>
        <v/>
      </c>
      <c r="JL281" s="19" t="n"/>
      <c r="JM281" s="19" t="n"/>
      <c r="JN281" s="19" t="n"/>
      <c r="JO281" s="19" t="n"/>
      <c r="JP281" s="5">
        <f>C281</f>
        <v/>
      </c>
      <c r="JT281" s="19" t="n"/>
      <c r="JU281" s="19" t="n"/>
      <c r="JV281" s="19" t="n"/>
      <c r="JW281" s="19" t="n"/>
      <c r="JX281" s="5">
        <f>C281</f>
        <v/>
      </c>
      <c r="KB281" s="19" t="n"/>
      <c r="KC281" s="19" t="n"/>
      <c r="KD281" s="19" t="n"/>
      <c r="KE281" s="19" t="n"/>
      <c r="KF281" s="5">
        <f>C281</f>
        <v/>
      </c>
      <c r="KG281" s="19" t="n"/>
      <c r="KH281" s="19" t="n"/>
      <c r="KJ281" s="19" t="n"/>
      <c r="KK281" s="19" t="n"/>
      <c r="KL281" s="19" t="n"/>
      <c r="KM281" s="19" t="n"/>
      <c r="KN281" s="5">
        <f>C281</f>
        <v/>
      </c>
      <c r="KR281" s="19" t="n"/>
      <c r="KS281" s="19" t="n"/>
      <c r="KT281" s="19" t="n"/>
      <c r="KV281" s="5">
        <f>C281</f>
        <v/>
      </c>
      <c r="KZ281" s="19" t="n"/>
      <c r="LA281" s="19" t="n"/>
      <c r="LB281" s="19" t="n"/>
      <c r="LD281" s="5">
        <f>C281</f>
        <v/>
      </c>
      <c r="LH281" s="19" t="n"/>
      <c r="LI281" s="19" t="n"/>
      <c r="LJ281" s="19" t="n"/>
      <c r="LL281" s="5">
        <f>C281</f>
        <v/>
      </c>
      <c r="LM281" s="633" t="n"/>
      <c r="LP281" s="19" t="n"/>
      <c r="LQ281" s="19" t="n"/>
      <c r="LR281" s="19" t="n"/>
      <c r="LT281" s="5">
        <f>C281</f>
        <v/>
      </c>
      <c r="LX281" s="19" t="n"/>
      <c r="LY281" s="19" t="n"/>
      <c r="LZ281" s="19" t="n"/>
      <c r="MB281" s="5">
        <f>C281</f>
        <v/>
      </c>
      <c r="MF281" s="19" t="n"/>
      <c r="MG281" s="19" t="n"/>
      <c r="MH281" s="19" t="n"/>
      <c r="MK281" s="5">
        <f>C281</f>
        <v/>
      </c>
      <c r="MM281" s="24" t="n"/>
      <c r="MO281" s="19" t="n"/>
      <c r="MP281" s="19" t="n"/>
      <c r="MQ281" s="19" t="n"/>
      <c r="MR281" s="19" t="n"/>
      <c r="MS281" s="19" t="n"/>
      <c r="MT281" s="25">
        <f>C281</f>
        <v/>
      </c>
      <c r="MX281" s="19" t="n"/>
      <c r="MY281" s="19" t="n"/>
      <c r="MZ281" s="19" t="n"/>
      <c r="NA281" s="19" t="n"/>
      <c r="NB281" s="19" t="n"/>
      <c r="NC281" s="5">
        <f>C281</f>
        <v/>
      </c>
      <c r="NG281" s="19" t="n"/>
      <c r="NH281" s="19" t="n"/>
      <c r="NI281" s="19" t="n"/>
      <c r="NJ281" s="19" t="n"/>
      <c r="NK281" s="19" t="n"/>
      <c r="NM281" s="5">
        <f>C281</f>
        <v/>
      </c>
      <c r="NQ281" s="19" t="n"/>
      <c r="NR281" s="19" t="n"/>
      <c r="NU281" s="5">
        <f>C281</f>
        <v/>
      </c>
      <c r="NY281" s="19" t="n"/>
      <c r="NZ281" s="19" t="n"/>
      <c r="OC281" s="5">
        <f>C281</f>
        <v/>
      </c>
      <c r="OG281" s="19" t="n"/>
      <c r="OH281" s="19" t="n"/>
      <c r="OI281" s="19" t="n"/>
      <c r="OK281" s="5">
        <f>C281</f>
        <v/>
      </c>
      <c r="OO281" s="19" t="n"/>
      <c r="OP281" s="19" t="n"/>
      <c r="OQ281" s="19" t="n"/>
      <c r="OT281" s="25">
        <f>OK281</f>
        <v/>
      </c>
      <c r="OX281" s="19" t="n"/>
    </row>
    <row r="282" ht="21" customFormat="1" customHeight="1" s="5">
      <c r="A282" s="631" t="n"/>
      <c r="B282" s="631" t="n"/>
      <c r="C282" s="731" t="inlineStr">
        <is>
          <t>2025//10//31</t>
        </is>
      </c>
      <c r="D282" s="523" t="n">
        <v>9050718.77</v>
      </c>
      <c r="E282" s="597" t="n"/>
      <c r="F282" s="601">
        <f>(D282-D283)/D283</f>
        <v/>
      </c>
      <c r="G282" s="601" t="n"/>
      <c r="H282" s="526" t="n"/>
      <c r="I282" s="526" t="n"/>
      <c r="J282" s="526" t="n"/>
      <c r="K282" s="523">
        <f>C282</f>
        <v/>
      </c>
      <c r="L282" s="603" t="n">
        <v>6697144.4</v>
      </c>
      <c r="M282" s="597" t="n"/>
      <c r="N282" s="601">
        <f>(L282-L283)/L283</f>
        <v/>
      </c>
      <c r="O282" s="601" t="n"/>
      <c r="P282" s="526" t="n"/>
      <c r="Q282" s="526" t="n"/>
      <c r="R282" s="604" t="n"/>
      <c r="S282" s="523">
        <f>C282</f>
        <v/>
      </c>
      <c r="T282" s="603" t="n">
        <v>5862126.68</v>
      </c>
      <c r="U282" s="597" t="n"/>
      <c r="V282" s="599">
        <f>(T282-T283)/T283</f>
        <v/>
      </c>
      <c r="W282" s="599" t="n"/>
      <c r="X282" s="526" t="n"/>
      <c r="Y282" s="526" t="n"/>
      <c r="Z282" s="604" t="n"/>
      <c r="AA282" s="523">
        <f>S282</f>
        <v/>
      </c>
      <c r="AB282" s="550" t="n">
        <v>1839936.86</v>
      </c>
      <c r="AC282" s="597" t="n"/>
      <c r="AD282" s="601">
        <f>(AB282-AB283)/AB283</f>
        <v/>
      </c>
      <c r="AE282" s="601" t="n"/>
      <c r="AF282" s="526" t="n"/>
      <c r="AG282" s="526" t="n"/>
      <c r="AH282" s="604" t="n"/>
      <c r="AI282" s="523">
        <f>C282</f>
        <v/>
      </c>
      <c r="AJ282" s="605" t="n">
        <v>2491121.76</v>
      </c>
      <c r="AK282" s="362" t="n"/>
      <c r="AL282" s="599">
        <f>(AJ282-AJ283)/AJ283</f>
        <v/>
      </c>
      <c r="AM282" s="599" t="n"/>
      <c r="AN282" s="526" t="n"/>
      <c r="AO282" s="526" t="n"/>
      <c r="AP282" s="523" t="n"/>
      <c r="AQ282" s="555">
        <f>C282</f>
        <v/>
      </c>
      <c r="AR282" s="611" t="n">
        <v>3150700</v>
      </c>
      <c r="AS282" s="611" t="n"/>
      <c r="AT282" s="526">
        <f>(AR282-AR283)/AR283</f>
        <v/>
      </c>
      <c r="AU282" s="612" t="n">
        <v>1004.46</v>
      </c>
      <c r="AV282" s="613" t="n">
        <v>-0.0885</v>
      </c>
      <c r="AW282" s="526" t="n"/>
      <c r="AX282" s="523" t="n"/>
      <c r="AY282" s="523" t="n"/>
      <c r="AZ282" s="523">
        <f>C282</f>
        <v/>
      </c>
      <c r="BA282" s="523" t="n"/>
      <c r="BB282" s="523" t="n"/>
      <c r="BC282" s="523" t="n"/>
      <c r="BD282" s="526" t="n"/>
      <c r="BE282" s="526" t="n"/>
      <c r="BF282" s="526" t="n"/>
      <c r="BG282" s="631" t="n"/>
      <c r="BH282" s="5">
        <f>C282</f>
        <v/>
      </c>
      <c r="BL282" s="19" t="n"/>
      <c r="BM282" s="19" t="n"/>
      <c r="BN282" s="19" t="n"/>
      <c r="BP282" s="5">
        <f>C282</f>
        <v/>
      </c>
      <c r="BQ282" s="633" t="n"/>
      <c r="BT282" s="19" t="n"/>
      <c r="BU282" s="19" t="n"/>
      <c r="BV282" s="19" t="n"/>
      <c r="BX282" s="5">
        <f>C282</f>
        <v/>
      </c>
      <c r="CB282" s="19" t="n"/>
      <c r="CC282" s="19" t="n"/>
      <c r="CD282" s="19" t="n"/>
      <c r="CF282" s="5">
        <f>C282</f>
        <v/>
      </c>
      <c r="CJ282" s="19" t="n"/>
      <c r="CK282" s="19" t="n"/>
      <c r="CL282" s="19" t="n"/>
      <c r="CN282" s="5">
        <f>C282</f>
        <v/>
      </c>
      <c r="CR282" s="19" t="n"/>
      <c r="CS282" s="19" t="n"/>
      <c r="CT282" s="19" t="n"/>
      <c r="CV282" s="5">
        <f>C282</f>
        <v/>
      </c>
      <c r="CZ282" s="19" t="n"/>
      <c r="DA282" s="19" t="n"/>
      <c r="DB282" s="19" t="n"/>
      <c r="DC282" s="23" t="n"/>
      <c r="DD282" s="5">
        <f>C282</f>
        <v/>
      </c>
      <c r="DH282" s="19" t="n"/>
      <c r="DI282" s="19" t="n"/>
      <c r="DJ282" s="19" t="n"/>
      <c r="DL282" s="5">
        <f>C282</f>
        <v/>
      </c>
      <c r="DP282" s="19" t="n"/>
      <c r="DQ282" s="19" t="n"/>
      <c r="DR282" s="19" t="n"/>
      <c r="DT282" s="5">
        <f>C282</f>
        <v/>
      </c>
      <c r="DX282" s="19" t="n"/>
      <c r="DY282" s="19" t="n"/>
      <c r="DZ282" s="19" t="n"/>
      <c r="EB282" s="5">
        <f>C282</f>
        <v/>
      </c>
      <c r="EF282" s="19" t="n"/>
      <c r="EG282" s="19" t="n"/>
      <c r="EH282" s="19" t="n"/>
      <c r="EJ282" s="5">
        <f>C282</f>
        <v/>
      </c>
      <c r="EN282" s="19" t="n"/>
      <c r="EO282" s="19" t="n"/>
      <c r="EP282" s="19" t="n"/>
      <c r="EQ282" s="19" t="n"/>
      <c r="ER282" s="5">
        <f>C282</f>
        <v/>
      </c>
      <c r="ES282" s="19" t="n"/>
      <c r="ET282" s="19" t="n"/>
      <c r="EU282" s="19" t="n"/>
      <c r="EV282" s="19" t="n"/>
      <c r="EW282" s="19" t="n"/>
      <c r="EX282" s="19" t="n"/>
      <c r="EZ282" s="5">
        <f>C282</f>
        <v/>
      </c>
      <c r="FD282" s="19" t="n"/>
      <c r="FE282" s="19" t="n"/>
      <c r="FF282" s="19" t="n"/>
      <c r="FG282" s="19" t="n"/>
      <c r="FH282" s="5">
        <f>C282</f>
        <v/>
      </c>
      <c r="FI282" s="633" t="n"/>
      <c r="FL282" s="19" t="n"/>
      <c r="FM282" s="19" t="n"/>
      <c r="FN282" s="19" t="n"/>
      <c r="FP282" s="5">
        <f>C282</f>
        <v/>
      </c>
      <c r="FT282" s="19" t="n"/>
      <c r="FU282" s="19" t="n"/>
      <c r="FV282" s="19" t="n"/>
      <c r="FX282" s="5">
        <f>C282</f>
        <v/>
      </c>
      <c r="GB282" s="19" t="n"/>
      <c r="GC282" s="19" t="n"/>
      <c r="GD282" s="19" t="n"/>
      <c r="GF282" s="5">
        <f>C282</f>
        <v/>
      </c>
      <c r="GJ282" s="19" t="n"/>
      <c r="GK282" s="19" t="n"/>
      <c r="GL282" s="19" t="n"/>
      <c r="GN282" s="5">
        <f>C282</f>
        <v/>
      </c>
      <c r="GR282" s="19" t="n"/>
      <c r="GS282" s="19" t="n"/>
      <c r="GT282" s="19" t="n"/>
      <c r="GV282" s="5">
        <f>C282</f>
        <v/>
      </c>
      <c r="GZ282" s="19" t="n"/>
      <c r="HA282" s="19" t="n"/>
      <c r="HB282" s="19" t="n"/>
      <c r="HD282" s="5">
        <f>C282</f>
        <v/>
      </c>
      <c r="HH282" s="19" t="n"/>
      <c r="HI282" s="19" t="n"/>
      <c r="HJ282" s="19" t="n"/>
      <c r="HL282" s="5">
        <f>C282</f>
        <v/>
      </c>
      <c r="HP282" s="19" t="n"/>
      <c r="HQ282" s="19" t="n"/>
      <c r="HR282" s="19" t="n"/>
      <c r="HT282" s="5">
        <f>C282</f>
        <v/>
      </c>
      <c r="HX282" s="19" t="n"/>
      <c r="HY282" s="19" t="n"/>
      <c r="HZ282" s="19" t="n"/>
      <c r="IB282" s="5">
        <f>C282</f>
        <v/>
      </c>
      <c r="IG282" s="19" t="n"/>
      <c r="IH282" s="19" t="n"/>
      <c r="IJ282" s="5">
        <f>C282</f>
        <v/>
      </c>
      <c r="IN282" s="19" t="n"/>
      <c r="IO282" s="19" t="n"/>
      <c r="IP282" s="19" t="n"/>
      <c r="IR282" s="5">
        <f>C282</f>
        <v/>
      </c>
      <c r="IV282" s="19" t="n"/>
      <c r="IW282" s="19" t="n"/>
      <c r="IX282" s="19" t="n"/>
      <c r="IZ282" s="5">
        <f>C282</f>
        <v/>
      </c>
      <c r="JD282" s="19" t="n"/>
      <c r="JE282" s="19" t="n"/>
      <c r="JF282" s="19" t="n"/>
      <c r="JH282" s="5">
        <f>C282</f>
        <v/>
      </c>
      <c r="JL282" s="19" t="n"/>
      <c r="JM282" s="19" t="n"/>
      <c r="JN282" s="19" t="n"/>
      <c r="JO282" s="19" t="n"/>
      <c r="JP282" s="5">
        <f>C282</f>
        <v/>
      </c>
      <c r="JT282" s="19" t="n"/>
      <c r="JU282" s="19" t="n"/>
      <c r="JV282" s="19" t="n"/>
      <c r="JW282" s="19" t="n"/>
      <c r="JX282" s="5">
        <f>C282</f>
        <v/>
      </c>
      <c r="KB282" s="19" t="n"/>
      <c r="KC282" s="19" t="n"/>
      <c r="KD282" s="19" t="n"/>
      <c r="KE282" s="19" t="n"/>
      <c r="KF282" s="5">
        <f>C282</f>
        <v/>
      </c>
      <c r="KG282" s="19" t="n"/>
      <c r="KH282" s="19" t="n"/>
      <c r="KJ282" s="19" t="n"/>
      <c r="KK282" s="19" t="n"/>
      <c r="KL282" s="19" t="n"/>
      <c r="KM282" s="19" t="n"/>
      <c r="KN282" s="5">
        <f>C282</f>
        <v/>
      </c>
      <c r="KR282" s="19" t="n"/>
      <c r="KS282" s="19" t="n"/>
      <c r="KT282" s="19" t="n"/>
      <c r="KV282" s="5">
        <f>C282</f>
        <v/>
      </c>
      <c r="KZ282" s="19" t="n"/>
      <c r="LA282" s="19" t="n"/>
      <c r="LB282" s="19" t="n"/>
      <c r="LD282" s="5">
        <f>C282</f>
        <v/>
      </c>
      <c r="LH282" s="19" t="n"/>
      <c r="LI282" s="19" t="n"/>
      <c r="LJ282" s="19" t="n"/>
      <c r="LL282" s="5">
        <f>C282</f>
        <v/>
      </c>
      <c r="LM282" s="633" t="n"/>
      <c r="LP282" s="19" t="n"/>
      <c r="LQ282" s="19" t="n"/>
      <c r="LR282" s="19" t="n"/>
      <c r="LT282" s="5">
        <f>C282</f>
        <v/>
      </c>
      <c r="LX282" s="19" t="n"/>
      <c r="LY282" s="19" t="n"/>
      <c r="LZ282" s="19" t="n"/>
      <c r="MB282" s="5">
        <f>C282</f>
        <v/>
      </c>
      <c r="MF282" s="19" t="n"/>
      <c r="MG282" s="19" t="n"/>
      <c r="MH282" s="19" t="n"/>
      <c r="MK282" s="5">
        <f>C282</f>
        <v/>
      </c>
      <c r="MM282" s="24" t="n"/>
      <c r="MO282" s="19" t="n"/>
      <c r="MP282" s="19" t="n"/>
      <c r="MQ282" s="19" t="n"/>
      <c r="MR282" s="19" t="n"/>
      <c r="MS282" s="19" t="n"/>
      <c r="MT282" s="25">
        <f>C282</f>
        <v/>
      </c>
      <c r="MX282" s="19" t="n"/>
      <c r="MY282" s="19" t="n"/>
      <c r="MZ282" s="19" t="n"/>
      <c r="NA282" s="19" t="n"/>
      <c r="NB282" s="19" t="n"/>
      <c r="NC282" s="5">
        <f>C282</f>
        <v/>
      </c>
      <c r="NG282" s="19" t="n"/>
      <c r="NH282" s="19" t="n"/>
      <c r="NI282" s="19" t="n"/>
      <c r="NJ282" s="19" t="n"/>
      <c r="NK282" s="19" t="n"/>
      <c r="NM282" s="5">
        <f>C282</f>
        <v/>
      </c>
      <c r="NQ282" s="19" t="n"/>
      <c r="NR282" s="19" t="n"/>
      <c r="NU282" s="5">
        <f>C282</f>
        <v/>
      </c>
      <c r="NY282" s="19" t="n"/>
      <c r="NZ282" s="19" t="n"/>
      <c r="OC282" s="5">
        <f>C282</f>
        <v/>
      </c>
      <c r="OG282" s="19" t="n"/>
      <c r="OH282" s="19" t="n"/>
      <c r="OI282" s="19" t="n"/>
      <c r="OK282" s="5">
        <f>C282</f>
        <v/>
      </c>
      <c r="OO282" s="19" t="n"/>
      <c r="OP282" s="19" t="n"/>
      <c r="OQ282" s="19" t="n"/>
      <c r="OT282" s="25">
        <f>OK282</f>
        <v/>
      </c>
      <c r="OX282" s="19" t="n"/>
    </row>
    <row r="283" ht="21" customFormat="1" customHeight="1" s="5">
      <c r="A283" s="631" t="n"/>
      <c r="B283" s="631" t="n"/>
      <c r="C283" s="731" t="inlineStr">
        <is>
          <t>2025//9//30</t>
        </is>
      </c>
      <c r="D283" s="603" t="n">
        <v>8971608.77</v>
      </c>
      <c r="E283" s="597" t="n"/>
      <c r="F283" s="601">
        <f>(D283-D284)/D284</f>
        <v/>
      </c>
      <c r="G283" s="601" t="n"/>
      <c r="H283" s="526" t="n"/>
      <c r="I283" s="526" t="n"/>
      <c r="J283" s="526" t="n"/>
      <c r="K283" s="523">
        <f>C283</f>
        <v/>
      </c>
      <c r="L283" s="605" t="n">
        <v>6672844.4</v>
      </c>
      <c r="M283" s="597" t="n"/>
      <c r="N283" s="601">
        <f>(L283-L284)/L284</f>
        <v/>
      </c>
      <c r="O283" s="601" t="n"/>
      <c r="P283" s="526" t="n"/>
      <c r="Q283" s="526" t="n"/>
      <c r="R283" s="604" t="n"/>
      <c r="S283" s="523">
        <f>C283</f>
        <v/>
      </c>
      <c r="T283" s="523" t="n">
        <v>5772396.68</v>
      </c>
      <c r="U283" s="597" t="n"/>
      <c r="V283" s="599">
        <f>(T283-T284)/T284</f>
        <v/>
      </c>
      <c r="W283" s="599" t="n"/>
      <c r="X283" s="526" t="n"/>
      <c r="Y283" s="526" t="n"/>
      <c r="Z283" s="604" t="n"/>
      <c r="AA283" s="523">
        <f>S283</f>
        <v/>
      </c>
      <c r="AB283" s="550" t="n">
        <v>1864456.86</v>
      </c>
      <c r="AC283" s="597" t="n"/>
      <c r="AD283" s="601">
        <f>(AB283-AB284)/AB284</f>
        <v/>
      </c>
      <c r="AE283" s="601" t="n"/>
      <c r="AF283" s="526" t="n"/>
      <c r="AG283" s="526" t="n"/>
      <c r="AH283" s="604" t="n"/>
      <c r="AI283" s="523">
        <f>C283</f>
        <v/>
      </c>
      <c r="AJ283" s="605" t="n">
        <v>2500921.76</v>
      </c>
      <c r="AK283" s="362" t="n"/>
      <c r="AL283" s="599">
        <f>(AJ283-AJ284)/AJ284</f>
        <v/>
      </c>
      <c r="AM283" s="599" t="n"/>
      <c r="AN283" s="526" t="n"/>
      <c r="AO283" s="526" t="n"/>
      <c r="AP283" s="523" t="n"/>
      <c r="AQ283" s="555">
        <f>C283</f>
        <v/>
      </c>
      <c r="AR283" s="611" t="n">
        <v>3430100</v>
      </c>
      <c r="AS283" s="611" t="n"/>
      <c r="AT283" s="526">
        <f>(AR283-AR284)/AR284</f>
        <v/>
      </c>
      <c r="AU283" s="612" t="n">
        <v>1102</v>
      </c>
      <c r="AV283" s="613" t="n">
        <v>0.2883</v>
      </c>
      <c r="AW283" s="526" t="n"/>
      <c r="AX283" s="523" t="n"/>
      <c r="AY283" s="523" t="n"/>
      <c r="AZ283" s="523">
        <f>C283</f>
        <v/>
      </c>
      <c r="BA283" s="523" t="n"/>
      <c r="BB283" s="523" t="n"/>
      <c r="BC283" s="523" t="n"/>
      <c r="BD283" s="526" t="n"/>
      <c r="BE283" s="526" t="n"/>
      <c r="BF283" s="526" t="n"/>
      <c r="BG283" s="631" t="n"/>
      <c r="BH283" s="5">
        <f>C283</f>
        <v/>
      </c>
      <c r="BL283" s="19" t="n"/>
      <c r="BM283" s="19" t="n"/>
      <c r="BN283" s="19" t="n"/>
      <c r="BP283" s="5">
        <f>C283</f>
        <v/>
      </c>
      <c r="BQ283" s="633" t="n"/>
      <c r="BT283" s="19" t="n"/>
      <c r="BU283" s="19" t="n"/>
      <c r="BV283" s="19" t="n"/>
      <c r="BX283" s="5">
        <f>C283</f>
        <v/>
      </c>
      <c r="CB283" s="19" t="n"/>
      <c r="CC283" s="19" t="n"/>
      <c r="CD283" s="19" t="n"/>
      <c r="CF283" s="5">
        <f>C283</f>
        <v/>
      </c>
      <c r="CJ283" s="19" t="n"/>
      <c r="CK283" s="19" t="n"/>
      <c r="CL283" s="19" t="n"/>
      <c r="CN283" s="5">
        <f>C283</f>
        <v/>
      </c>
      <c r="CR283" s="19" t="n"/>
      <c r="CS283" s="19" t="n"/>
      <c r="CT283" s="19" t="n"/>
      <c r="CV283" s="5">
        <f>C283</f>
        <v/>
      </c>
      <c r="CZ283" s="19" t="n"/>
      <c r="DA283" s="19" t="n"/>
      <c r="DB283" s="19" t="n"/>
      <c r="DC283" s="23" t="n"/>
      <c r="DD283" s="5">
        <f>C283</f>
        <v/>
      </c>
      <c r="DH283" s="19" t="n"/>
      <c r="DI283" s="19" t="n"/>
      <c r="DJ283" s="19" t="n"/>
      <c r="DL283" s="5">
        <f>C283</f>
        <v/>
      </c>
      <c r="DP283" s="19" t="n"/>
      <c r="DQ283" s="19" t="n"/>
      <c r="DR283" s="19" t="n"/>
      <c r="DT283" s="5">
        <f>C283</f>
        <v/>
      </c>
      <c r="DX283" s="19" t="n"/>
      <c r="DY283" s="19" t="n"/>
      <c r="DZ283" s="19" t="n"/>
      <c r="EB283" s="5">
        <f>C283</f>
        <v/>
      </c>
      <c r="EF283" s="19" t="n"/>
      <c r="EG283" s="19" t="n"/>
      <c r="EH283" s="19" t="n"/>
      <c r="EJ283" s="5">
        <f>C283</f>
        <v/>
      </c>
      <c r="EN283" s="19" t="n"/>
      <c r="EO283" s="19" t="n"/>
      <c r="EP283" s="19" t="n"/>
      <c r="EQ283" s="19" t="n"/>
      <c r="ER283" s="5">
        <f>C283</f>
        <v/>
      </c>
      <c r="ES283" s="19" t="n"/>
      <c r="ET283" s="19" t="n"/>
      <c r="EU283" s="19" t="n"/>
      <c r="EV283" s="19" t="n"/>
      <c r="EW283" s="19" t="n"/>
      <c r="EX283" s="19" t="n"/>
      <c r="EZ283" s="5">
        <f>C283</f>
        <v/>
      </c>
      <c r="FD283" s="19" t="n"/>
      <c r="FE283" s="19" t="n"/>
      <c r="FF283" s="19" t="n"/>
      <c r="FG283" s="19" t="n"/>
      <c r="FH283" s="5">
        <f>C283</f>
        <v/>
      </c>
      <c r="FI283" s="633" t="n"/>
      <c r="FL283" s="19" t="n"/>
      <c r="FM283" s="19" t="n"/>
      <c r="FN283" s="19" t="n"/>
      <c r="FP283" s="5">
        <f>C283</f>
        <v/>
      </c>
      <c r="FT283" s="19" t="n"/>
      <c r="FU283" s="19" t="n"/>
      <c r="FV283" s="19" t="n"/>
      <c r="FX283" s="5">
        <f>C283</f>
        <v/>
      </c>
      <c r="GB283" s="19" t="n"/>
      <c r="GC283" s="19" t="n"/>
      <c r="GD283" s="19" t="n"/>
      <c r="GF283" s="5">
        <f>C283</f>
        <v/>
      </c>
      <c r="GJ283" s="19" t="n"/>
      <c r="GK283" s="19" t="n"/>
      <c r="GL283" s="19" t="n"/>
      <c r="GN283" s="5">
        <f>C283</f>
        <v/>
      </c>
      <c r="GR283" s="19" t="n"/>
      <c r="GS283" s="19" t="n"/>
      <c r="GT283" s="19" t="n"/>
      <c r="GV283" s="5">
        <f>C283</f>
        <v/>
      </c>
      <c r="GZ283" s="19" t="n"/>
      <c r="HA283" s="19" t="n"/>
      <c r="HB283" s="19" t="n"/>
      <c r="HD283" s="5">
        <f>C283</f>
        <v/>
      </c>
      <c r="HH283" s="19" t="n"/>
      <c r="HI283" s="19" t="n"/>
      <c r="HJ283" s="19" t="n"/>
      <c r="HL283" s="5">
        <f>C283</f>
        <v/>
      </c>
      <c r="HP283" s="19" t="n"/>
      <c r="HQ283" s="19" t="n"/>
      <c r="HR283" s="19" t="n"/>
      <c r="HT283" s="5">
        <f>C283</f>
        <v/>
      </c>
      <c r="HX283" s="19" t="n"/>
      <c r="HY283" s="19" t="n"/>
      <c r="HZ283" s="19" t="n"/>
      <c r="IB283" s="5">
        <f>C283</f>
        <v/>
      </c>
      <c r="IG283" s="19" t="n"/>
      <c r="IH283" s="19" t="n"/>
      <c r="IJ283" s="5">
        <f>C283</f>
        <v/>
      </c>
      <c r="IN283" s="19" t="n"/>
      <c r="IO283" s="19" t="n"/>
      <c r="IP283" s="19" t="n"/>
      <c r="IR283" s="5">
        <f>C283</f>
        <v/>
      </c>
      <c r="IV283" s="19" t="n"/>
      <c r="IW283" s="19" t="n"/>
      <c r="IX283" s="19" t="n"/>
      <c r="IZ283" s="5">
        <f>C283</f>
        <v/>
      </c>
      <c r="JD283" s="19" t="n"/>
      <c r="JE283" s="19" t="n"/>
      <c r="JF283" s="19" t="n"/>
      <c r="JH283" s="5">
        <f>C283</f>
        <v/>
      </c>
      <c r="JL283" s="19" t="n"/>
      <c r="JM283" s="19" t="n"/>
      <c r="JN283" s="19" t="n"/>
      <c r="JO283" s="19" t="n"/>
      <c r="JP283" s="5">
        <f>C283</f>
        <v/>
      </c>
      <c r="JT283" s="19" t="n"/>
      <c r="JU283" s="19" t="n"/>
      <c r="JV283" s="19" t="n"/>
      <c r="JW283" s="19" t="n"/>
      <c r="JX283" s="5">
        <f>C283</f>
        <v/>
      </c>
      <c r="KB283" s="19" t="n"/>
      <c r="KC283" s="19" t="n"/>
      <c r="KD283" s="19" t="n"/>
      <c r="KE283" s="19" t="n"/>
      <c r="KF283" s="5">
        <f>C283</f>
        <v/>
      </c>
      <c r="KG283" s="19" t="n"/>
      <c r="KH283" s="19" t="n"/>
      <c r="KJ283" s="19" t="n"/>
      <c r="KK283" s="19" t="n"/>
      <c r="KL283" s="19" t="n"/>
      <c r="KM283" s="19" t="n"/>
      <c r="KN283" s="5">
        <f>C283</f>
        <v/>
      </c>
      <c r="KR283" s="19" t="n"/>
      <c r="KS283" s="19" t="n"/>
      <c r="KT283" s="19" t="n"/>
      <c r="KV283" s="5">
        <f>C283</f>
        <v/>
      </c>
      <c r="KZ283" s="19" t="n"/>
      <c r="LA283" s="19" t="n"/>
      <c r="LB283" s="19" t="n"/>
      <c r="LD283" s="5">
        <f>C283</f>
        <v/>
      </c>
      <c r="LH283" s="19" t="n"/>
      <c r="LI283" s="19" t="n"/>
      <c r="LJ283" s="19" t="n"/>
      <c r="LL283" s="5">
        <f>C283</f>
        <v/>
      </c>
      <c r="LM283" s="633" t="n"/>
      <c r="LP283" s="19" t="n"/>
      <c r="LQ283" s="19" t="n"/>
      <c r="LR283" s="19" t="n"/>
      <c r="LT283" s="5">
        <f>C283</f>
        <v/>
      </c>
      <c r="LX283" s="19" t="n"/>
      <c r="LY283" s="19" t="n"/>
      <c r="LZ283" s="19" t="n"/>
      <c r="MB283" s="5">
        <f>C283</f>
        <v/>
      </c>
      <c r="MF283" s="19" t="n"/>
      <c r="MG283" s="19" t="n"/>
      <c r="MH283" s="19" t="n"/>
      <c r="MK283" s="5">
        <f>C283</f>
        <v/>
      </c>
      <c r="MM283" s="24" t="n"/>
      <c r="MO283" s="19" t="n"/>
      <c r="MP283" s="19" t="n"/>
      <c r="MQ283" s="19" t="n"/>
      <c r="MR283" s="19" t="n"/>
      <c r="MS283" s="19" t="n"/>
      <c r="MT283" s="25">
        <f>C283</f>
        <v/>
      </c>
      <c r="MX283" s="19" t="n"/>
      <c r="MY283" s="19" t="n"/>
      <c r="MZ283" s="19" t="n"/>
      <c r="NA283" s="19" t="n"/>
      <c r="NB283" s="19" t="n"/>
      <c r="NC283" s="5">
        <f>C283</f>
        <v/>
      </c>
      <c r="NG283" s="19" t="n"/>
      <c r="NH283" s="19" t="n"/>
      <c r="NI283" s="19" t="n"/>
      <c r="NJ283" s="19" t="n"/>
      <c r="NK283" s="19" t="n"/>
      <c r="NM283" s="5">
        <f>C283</f>
        <v/>
      </c>
      <c r="NQ283" s="19" t="n"/>
      <c r="NR283" s="19" t="n"/>
      <c r="NU283" s="5">
        <f>C283</f>
        <v/>
      </c>
      <c r="NY283" s="19" t="n"/>
      <c r="NZ283" s="19" t="n"/>
      <c r="OC283" s="5">
        <f>C283</f>
        <v/>
      </c>
      <c r="OG283" s="19" t="n"/>
      <c r="OH283" s="19" t="n"/>
      <c r="OI283" s="19" t="n"/>
      <c r="OK283" s="5">
        <f>C283</f>
        <v/>
      </c>
      <c r="OO283" s="19" t="n"/>
      <c r="OP283" s="19" t="n"/>
      <c r="OQ283" s="19" t="n"/>
      <c r="OT283" s="25">
        <f>OK283</f>
        <v/>
      </c>
      <c r="OX283" s="19" t="n"/>
    </row>
    <row r="284" ht="21" customFormat="1" customHeight="1" s="5">
      <c r="A284" s="631" t="n"/>
      <c r="B284" s="631" t="n"/>
      <c r="C284" s="731" t="inlineStr">
        <is>
          <t>2025//8//29</t>
        </is>
      </c>
      <c r="D284" s="523" t="n">
        <v>9139818.77</v>
      </c>
      <c r="E284" s="597" t="n"/>
      <c r="F284" s="601">
        <f>(D284-D285)/D285</f>
        <v/>
      </c>
      <c r="G284" s="601" t="n"/>
      <c r="H284" s="526" t="n"/>
      <c r="I284" s="526" t="n"/>
      <c r="J284" s="526" t="n"/>
      <c r="K284" s="523">
        <f>C284</f>
        <v/>
      </c>
      <c r="L284" s="605" t="n">
        <v>6739084.4</v>
      </c>
      <c r="M284" s="597" t="n"/>
      <c r="N284" s="601">
        <f>(L284-L285)/L285</f>
        <v/>
      </c>
      <c r="O284" s="601" t="n"/>
      <c r="P284" s="526" t="n"/>
      <c r="Q284" s="526" t="n"/>
      <c r="R284" s="604" t="n"/>
      <c r="S284" s="523">
        <f>C284</f>
        <v/>
      </c>
      <c r="T284" s="523" t="n">
        <v>5877156.68</v>
      </c>
      <c r="U284" s="597" t="n"/>
      <c r="V284" s="599">
        <f>(T284-T285)/T285</f>
        <v/>
      </c>
      <c r="W284" s="599" t="n"/>
      <c r="X284" s="526" t="n"/>
      <c r="Y284" s="526" t="n"/>
      <c r="Z284" s="604" t="n"/>
      <c r="AA284" s="523">
        <f>S284</f>
        <v/>
      </c>
      <c r="AB284" s="605" t="n">
        <v>1867216.86</v>
      </c>
      <c r="AC284" s="597" t="n"/>
      <c r="AD284" s="601">
        <f>(AB284-AB285)/AB285</f>
        <v/>
      </c>
      <c r="AE284" s="601" t="n"/>
      <c r="AF284" s="526" t="n"/>
      <c r="AG284" s="526" t="n"/>
      <c r="AH284" s="604" t="n"/>
      <c r="AI284" s="523">
        <f>C284</f>
        <v/>
      </c>
      <c r="AJ284" s="605" t="n">
        <v>2516121.76</v>
      </c>
      <c r="AK284" s="362" t="n"/>
      <c r="AL284" s="599">
        <f>(AJ284-AJ285)/AJ285</f>
        <v/>
      </c>
      <c r="AM284" s="599" t="n"/>
      <c r="AN284" s="526" t="n"/>
      <c r="AO284" s="526" t="n"/>
      <c r="AP284" s="523" t="n"/>
      <c r="AQ284" s="555">
        <f>C284</f>
        <v/>
      </c>
      <c r="AR284" s="611" t="n">
        <v>4012600</v>
      </c>
      <c r="AS284" s="611" t="n"/>
      <c r="AT284" s="526">
        <f>(AR284-AR285)/AR285</f>
        <v/>
      </c>
      <c r="AU284" s="611" t="n">
        <v>855.37</v>
      </c>
      <c r="AV284" s="613" t="n">
        <v>0.0271</v>
      </c>
      <c r="AW284" s="526" t="n"/>
      <c r="AX284" s="523" t="n"/>
      <c r="AY284" s="523" t="n"/>
      <c r="AZ284" s="523">
        <f>C284</f>
        <v/>
      </c>
      <c r="BA284" s="523" t="n"/>
      <c r="BB284" s="523" t="n"/>
      <c r="BC284" s="523" t="n"/>
      <c r="BD284" s="526" t="n"/>
      <c r="BE284" s="526" t="n"/>
      <c r="BF284" s="526" t="n"/>
      <c r="BG284" s="631" t="n"/>
      <c r="BH284" s="5">
        <f>C284</f>
        <v/>
      </c>
      <c r="BL284" s="19" t="n"/>
      <c r="BM284" s="19" t="n"/>
      <c r="BN284" s="19" t="n"/>
      <c r="BP284" s="5">
        <f>C284</f>
        <v/>
      </c>
      <c r="BQ284" s="633" t="n"/>
      <c r="BT284" s="19" t="n"/>
      <c r="BU284" s="19" t="n"/>
      <c r="BV284" s="19" t="n"/>
      <c r="BX284" s="5">
        <f>C284</f>
        <v/>
      </c>
      <c r="CB284" s="19" t="n"/>
      <c r="CC284" s="19" t="n"/>
      <c r="CD284" s="19" t="n"/>
      <c r="CF284" s="5">
        <f>C284</f>
        <v/>
      </c>
      <c r="CJ284" s="19" t="n"/>
      <c r="CK284" s="19" t="n"/>
      <c r="CL284" s="19" t="n"/>
      <c r="CN284" s="5">
        <f>C284</f>
        <v/>
      </c>
      <c r="CR284" s="19" t="n"/>
      <c r="CS284" s="19" t="n"/>
      <c r="CT284" s="19" t="n"/>
      <c r="CV284" s="5">
        <f>C284</f>
        <v/>
      </c>
      <c r="CZ284" s="19" t="n"/>
      <c r="DA284" s="19" t="n"/>
      <c r="DB284" s="19" t="n"/>
      <c r="DC284" s="23" t="n"/>
      <c r="DD284" s="5">
        <f>C284</f>
        <v/>
      </c>
      <c r="DH284" s="19" t="n"/>
      <c r="DI284" s="19" t="n"/>
      <c r="DJ284" s="19" t="n"/>
      <c r="DL284" s="5">
        <f>C284</f>
        <v/>
      </c>
      <c r="DP284" s="19" t="n"/>
      <c r="DQ284" s="19" t="n"/>
      <c r="DR284" s="19" t="n"/>
      <c r="DT284" s="5">
        <f>C284</f>
        <v/>
      </c>
      <c r="DX284" s="19" t="n"/>
      <c r="DY284" s="19" t="n"/>
      <c r="DZ284" s="19" t="n"/>
      <c r="EB284" s="5">
        <f>C284</f>
        <v/>
      </c>
      <c r="EF284" s="19" t="n"/>
      <c r="EG284" s="19" t="n"/>
      <c r="EH284" s="19" t="n"/>
      <c r="EJ284" s="5">
        <f>C284</f>
        <v/>
      </c>
      <c r="EN284" s="19" t="n"/>
      <c r="EO284" s="19" t="n"/>
      <c r="EP284" s="19" t="n"/>
      <c r="EQ284" s="19" t="n"/>
      <c r="ER284" s="5">
        <f>C284</f>
        <v/>
      </c>
      <c r="ES284" s="19" t="n"/>
      <c r="ET284" s="19" t="n"/>
      <c r="EU284" s="19" t="n"/>
      <c r="EV284" s="19" t="n"/>
      <c r="EW284" s="19" t="n"/>
      <c r="EX284" s="19" t="n"/>
      <c r="EZ284" s="5">
        <f>C284</f>
        <v/>
      </c>
      <c r="FD284" s="19" t="n"/>
      <c r="FE284" s="19" t="n"/>
      <c r="FF284" s="19" t="n"/>
      <c r="FG284" s="19" t="n"/>
      <c r="FH284" s="5">
        <f>C284</f>
        <v/>
      </c>
      <c r="FI284" s="633" t="n"/>
      <c r="FL284" s="19" t="n"/>
      <c r="FM284" s="19" t="n"/>
      <c r="FN284" s="19" t="n"/>
      <c r="FP284" s="5">
        <f>C284</f>
        <v/>
      </c>
      <c r="FT284" s="19" t="n"/>
      <c r="FU284" s="19" t="n"/>
      <c r="FV284" s="19" t="n"/>
      <c r="FX284" s="5">
        <f>C284</f>
        <v/>
      </c>
      <c r="GB284" s="19" t="n"/>
      <c r="GC284" s="19" t="n"/>
      <c r="GD284" s="19" t="n"/>
      <c r="GF284" s="5">
        <f>C284</f>
        <v/>
      </c>
      <c r="GJ284" s="19" t="n"/>
      <c r="GK284" s="19" t="n"/>
      <c r="GL284" s="19" t="n"/>
      <c r="GN284" s="5">
        <f>C284</f>
        <v/>
      </c>
      <c r="GR284" s="19" t="n"/>
      <c r="GS284" s="19" t="n"/>
      <c r="GT284" s="19" t="n"/>
      <c r="GV284" s="5">
        <f>C284</f>
        <v/>
      </c>
      <c r="GZ284" s="19" t="n"/>
      <c r="HA284" s="19" t="n"/>
      <c r="HB284" s="19" t="n"/>
      <c r="HD284" s="5">
        <f>C284</f>
        <v/>
      </c>
      <c r="HH284" s="19" t="n"/>
      <c r="HI284" s="19" t="n"/>
      <c r="HJ284" s="19" t="n"/>
      <c r="HL284" s="5">
        <f>C284</f>
        <v/>
      </c>
      <c r="HP284" s="19" t="n"/>
      <c r="HQ284" s="19" t="n"/>
      <c r="HR284" s="19" t="n"/>
      <c r="HT284" s="5">
        <f>C284</f>
        <v/>
      </c>
      <c r="HX284" s="19" t="n"/>
      <c r="HY284" s="19" t="n"/>
      <c r="HZ284" s="19" t="n"/>
      <c r="IB284" s="5">
        <f>C284</f>
        <v/>
      </c>
      <c r="IG284" s="19" t="n"/>
      <c r="IH284" s="19" t="n"/>
      <c r="IJ284" s="5">
        <f>C284</f>
        <v/>
      </c>
      <c r="IN284" s="19" t="n"/>
      <c r="IO284" s="19" t="n"/>
      <c r="IP284" s="19" t="n"/>
      <c r="IR284" s="5">
        <f>C284</f>
        <v/>
      </c>
      <c r="IV284" s="19" t="n"/>
      <c r="IW284" s="19" t="n"/>
      <c r="IX284" s="19" t="n"/>
      <c r="IZ284" s="5">
        <f>C284</f>
        <v/>
      </c>
      <c r="JD284" s="19" t="n"/>
      <c r="JE284" s="19" t="n"/>
      <c r="JF284" s="19" t="n"/>
      <c r="JH284" s="5">
        <f>C284</f>
        <v/>
      </c>
      <c r="JL284" s="19" t="n"/>
      <c r="JM284" s="19" t="n"/>
      <c r="JN284" s="19" t="n"/>
      <c r="JO284" s="19" t="n"/>
      <c r="JP284" s="5">
        <f>C284</f>
        <v/>
      </c>
      <c r="JT284" s="19" t="n"/>
      <c r="JU284" s="19" t="n"/>
      <c r="JV284" s="19" t="n"/>
      <c r="JW284" s="19" t="n"/>
      <c r="JX284" s="5">
        <f>C284</f>
        <v/>
      </c>
      <c r="KB284" s="19" t="n"/>
      <c r="KC284" s="19" t="n"/>
      <c r="KD284" s="19" t="n"/>
      <c r="KE284" s="19" t="n"/>
      <c r="KF284" s="5">
        <f>C284</f>
        <v/>
      </c>
      <c r="KG284" s="19" t="n"/>
      <c r="KH284" s="19" t="n"/>
      <c r="KJ284" s="19" t="n"/>
      <c r="KK284" s="19" t="n"/>
      <c r="KL284" s="19" t="n"/>
      <c r="KM284" s="19" t="n"/>
      <c r="KN284" s="5">
        <f>C284</f>
        <v/>
      </c>
      <c r="KR284" s="19" t="n"/>
      <c r="KS284" s="19" t="n"/>
      <c r="KT284" s="19" t="n"/>
      <c r="KV284" s="5">
        <f>C284</f>
        <v/>
      </c>
      <c r="KZ284" s="19" t="n"/>
      <c r="LA284" s="19" t="n"/>
      <c r="LB284" s="19" t="n"/>
      <c r="LD284" s="5">
        <f>C284</f>
        <v/>
      </c>
      <c r="LH284" s="19" t="n"/>
      <c r="LI284" s="19" t="n"/>
      <c r="LJ284" s="19" t="n"/>
      <c r="LL284" s="5">
        <f>C284</f>
        <v/>
      </c>
      <c r="LM284" s="633" t="n"/>
      <c r="LP284" s="19" t="n"/>
      <c r="LQ284" s="19" t="n"/>
      <c r="LR284" s="19" t="n"/>
      <c r="LT284" s="5">
        <f>C284</f>
        <v/>
      </c>
      <c r="LX284" s="19" t="n"/>
      <c r="LY284" s="19" t="n"/>
      <c r="LZ284" s="19" t="n"/>
      <c r="MB284" s="5">
        <f>C284</f>
        <v/>
      </c>
      <c r="MF284" s="19" t="n"/>
      <c r="MG284" s="19" t="n"/>
      <c r="MH284" s="19" t="n"/>
      <c r="MK284" s="5">
        <f>C284</f>
        <v/>
      </c>
      <c r="MM284" s="24" t="n"/>
      <c r="MO284" s="19" t="n"/>
      <c r="MP284" s="19" t="n"/>
      <c r="MQ284" s="19" t="n"/>
      <c r="MR284" s="19" t="n"/>
      <c r="MS284" s="19" t="n"/>
      <c r="MT284" s="25">
        <f>C284</f>
        <v/>
      </c>
      <c r="MX284" s="19" t="n"/>
      <c r="MY284" s="19" t="n"/>
      <c r="MZ284" s="19" t="n"/>
      <c r="NA284" s="19" t="n"/>
      <c r="NB284" s="19" t="n"/>
      <c r="NC284" s="5">
        <f>C284</f>
        <v/>
      </c>
      <c r="NG284" s="19" t="n"/>
      <c r="NH284" s="19" t="n"/>
      <c r="NI284" s="19" t="n"/>
      <c r="NJ284" s="19" t="n"/>
      <c r="NK284" s="19" t="n"/>
      <c r="NM284" s="5">
        <f>C284</f>
        <v/>
      </c>
      <c r="NQ284" s="19" t="n"/>
      <c r="NR284" s="19" t="n"/>
      <c r="NU284" s="5">
        <f>C284</f>
        <v/>
      </c>
      <c r="NY284" s="19" t="n"/>
      <c r="NZ284" s="19" t="n"/>
      <c r="OC284" s="5">
        <f>C284</f>
        <v/>
      </c>
      <c r="OG284" s="19" t="n"/>
      <c r="OH284" s="19" t="n"/>
      <c r="OI284" s="19" t="n"/>
      <c r="OK284" s="5">
        <f>C284</f>
        <v/>
      </c>
      <c r="OO284" s="19" t="n"/>
      <c r="OP284" s="19" t="n"/>
      <c r="OQ284" s="19" t="n"/>
      <c r="OT284" s="25">
        <f>OK284</f>
        <v/>
      </c>
      <c r="OX284" s="19" t="n"/>
    </row>
    <row r="285" ht="21" customFormat="1" customHeight="1" s="5">
      <c r="A285" s="631" t="n"/>
      <c r="B285" s="631" t="n"/>
      <c r="C285" s="731" t="inlineStr">
        <is>
          <t>2025//7//31</t>
        </is>
      </c>
      <c r="D285" s="523" t="n">
        <v>9167628.77</v>
      </c>
      <c r="E285" s="597" t="n"/>
      <c r="F285" s="601">
        <f>(D285-D286)/D286</f>
        <v/>
      </c>
      <c r="G285" s="601" t="n"/>
      <c r="H285" s="526" t="n"/>
      <c r="I285" s="526" t="n"/>
      <c r="J285" s="526" t="n"/>
      <c r="K285" s="523">
        <f>C285</f>
        <v/>
      </c>
      <c r="L285" s="605" t="n">
        <v>6731524.4</v>
      </c>
      <c r="M285" s="597" t="n"/>
      <c r="N285" s="601">
        <f>(L285-L286)/L286</f>
        <v/>
      </c>
      <c r="O285" s="601" t="n"/>
      <c r="P285" s="526" t="n"/>
      <c r="Q285" s="526" t="n"/>
      <c r="R285" s="604" t="n"/>
      <c r="S285" s="523">
        <f>C285</f>
        <v/>
      </c>
      <c r="T285" s="523" t="n">
        <v>5785086.68</v>
      </c>
      <c r="U285" s="597" t="n"/>
      <c r="V285" s="599">
        <f>(T285-T286)/T286</f>
        <v/>
      </c>
      <c r="W285" s="599" t="n"/>
      <c r="X285" s="526" t="n"/>
      <c r="Y285" s="526" t="n"/>
      <c r="Z285" s="604" t="n"/>
      <c r="AA285" s="523">
        <f>S285</f>
        <v/>
      </c>
      <c r="AB285" s="605" t="n">
        <v>1861656.86</v>
      </c>
      <c r="AC285" s="597" t="n"/>
      <c r="AD285" s="601">
        <f>(AB285-AB286)/AB286</f>
        <v/>
      </c>
      <c r="AE285" s="601" t="n"/>
      <c r="AF285" s="526" t="n"/>
      <c r="AG285" s="526" t="n"/>
      <c r="AH285" s="604" t="n"/>
      <c r="AI285" s="523">
        <f>C285</f>
        <v/>
      </c>
      <c r="AJ285" s="605" t="n">
        <v>2487921.76</v>
      </c>
      <c r="AK285" s="362" t="n"/>
      <c r="AL285" s="599">
        <f>(AJ285-AJ286)/AJ286</f>
        <v/>
      </c>
      <c r="AM285" s="599" t="n"/>
      <c r="AN285" s="526" t="n"/>
      <c r="AO285" s="526" t="n"/>
      <c r="AP285" s="523" t="n"/>
      <c r="AQ285" s="555">
        <f>C285</f>
        <v/>
      </c>
      <c r="AR285" s="611" t="n">
        <v>4035600</v>
      </c>
      <c r="AS285" s="611" t="n"/>
      <c r="AT285" s="526">
        <f>(AR285-AR286)/AR286</f>
        <v/>
      </c>
      <c r="AU285" s="611" t="n">
        <v>832.79</v>
      </c>
      <c r="AV285" s="613" t="n">
        <v>-0.0898</v>
      </c>
      <c r="AW285" s="526" t="n"/>
      <c r="AX285" s="523" t="n"/>
      <c r="AY285" s="523" t="n"/>
      <c r="AZ285" s="523">
        <f>C285</f>
        <v/>
      </c>
      <c r="BA285" s="523" t="n"/>
      <c r="BB285" s="523" t="n"/>
      <c r="BC285" s="523" t="n"/>
      <c r="BD285" s="526" t="n"/>
      <c r="BE285" s="526" t="n"/>
      <c r="BF285" s="526" t="n"/>
      <c r="BG285" s="631" t="n"/>
      <c r="BH285" s="5">
        <f>C285</f>
        <v/>
      </c>
      <c r="BL285" s="19" t="n"/>
      <c r="BM285" s="19" t="n"/>
      <c r="BN285" s="19" t="n"/>
      <c r="BP285" s="5">
        <f>C285</f>
        <v/>
      </c>
      <c r="BQ285" s="633" t="n"/>
      <c r="BT285" s="19" t="n"/>
      <c r="BU285" s="19" t="n"/>
      <c r="BV285" s="19" t="n"/>
      <c r="BX285" s="5">
        <f>C285</f>
        <v/>
      </c>
      <c r="CB285" s="19" t="n"/>
      <c r="CC285" s="19" t="n"/>
      <c r="CD285" s="19" t="n"/>
      <c r="CF285" s="5">
        <f>C285</f>
        <v/>
      </c>
      <c r="CJ285" s="19" t="n"/>
      <c r="CK285" s="19" t="n"/>
      <c r="CL285" s="19" t="n"/>
      <c r="CN285" s="5">
        <f>C285</f>
        <v/>
      </c>
      <c r="CR285" s="19" t="n"/>
      <c r="CS285" s="19" t="n"/>
      <c r="CT285" s="19" t="n"/>
      <c r="CV285" s="5">
        <f>C285</f>
        <v/>
      </c>
      <c r="CZ285" s="19" t="n"/>
      <c r="DA285" s="19" t="n"/>
      <c r="DB285" s="19" t="n"/>
      <c r="DC285" s="23" t="n"/>
      <c r="DD285" s="5">
        <f>C285</f>
        <v/>
      </c>
      <c r="DH285" s="19" t="n"/>
      <c r="DI285" s="19" t="n"/>
      <c r="DJ285" s="19" t="n"/>
      <c r="DL285" s="5">
        <f>C285</f>
        <v/>
      </c>
      <c r="DP285" s="19" t="n"/>
      <c r="DQ285" s="19" t="n"/>
      <c r="DR285" s="19" t="n"/>
      <c r="DT285" s="5">
        <f>C285</f>
        <v/>
      </c>
      <c r="DX285" s="19" t="n"/>
      <c r="DY285" s="19" t="n"/>
      <c r="DZ285" s="19" t="n"/>
      <c r="EB285" s="5">
        <f>C285</f>
        <v/>
      </c>
      <c r="EF285" s="19" t="n"/>
      <c r="EG285" s="19" t="n"/>
      <c r="EH285" s="19" t="n"/>
      <c r="EJ285" s="5">
        <f>C285</f>
        <v/>
      </c>
      <c r="EN285" s="19" t="n"/>
      <c r="EO285" s="19" t="n"/>
      <c r="EP285" s="19" t="n"/>
      <c r="EQ285" s="19" t="n"/>
      <c r="ER285" s="5">
        <f>C285</f>
        <v/>
      </c>
      <c r="ES285" s="19" t="n"/>
      <c r="ET285" s="19" t="n"/>
      <c r="EU285" s="19" t="n"/>
      <c r="EV285" s="19" t="n"/>
      <c r="EW285" s="19" t="n"/>
      <c r="EX285" s="19" t="n"/>
      <c r="EZ285" s="5">
        <f>C285</f>
        <v/>
      </c>
      <c r="FD285" s="19" t="n"/>
      <c r="FE285" s="19" t="n"/>
      <c r="FF285" s="19" t="n"/>
      <c r="FG285" s="19" t="n"/>
      <c r="FH285" s="5">
        <f>C285</f>
        <v/>
      </c>
      <c r="FI285" s="633" t="n"/>
      <c r="FL285" s="19" t="n"/>
      <c r="FM285" s="19" t="n"/>
      <c r="FN285" s="19" t="n"/>
      <c r="FP285" s="5">
        <f>C285</f>
        <v/>
      </c>
      <c r="FT285" s="19" t="n"/>
      <c r="FU285" s="19" t="n"/>
      <c r="FV285" s="19" t="n"/>
      <c r="FX285" s="5">
        <f>C285</f>
        <v/>
      </c>
      <c r="GB285" s="19" t="n"/>
      <c r="GC285" s="19" t="n"/>
      <c r="GD285" s="19" t="n"/>
      <c r="GF285" s="5">
        <f>C285</f>
        <v/>
      </c>
      <c r="GJ285" s="19" t="n"/>
      <c r="GK285" s="19" t="n"/>
      <c r="GL285" s="19" t="n"/>
      <c r="GN285" s="5">
        <f>C285</f>
        <v/>
      </c>
      <c r="GR285" s="19" t="n"/>
      <c r="GS285" s="19" t="n"/>
      <c r="GT285" s="19" t="n"/>
      <c r="GV285" s="5">
        <f>C285</f>
        <v/>
      </c>
      <c r="GZ285" s="19" t="n"/>
      <c r="HA285" s="19" t="n"/>
      <c r="HB285" s="19" t="n"/>
      <c r="HD285" s="5">
        <f>C285</f>
        <v/>
      </c>
      <c r="HH285" s="19" t="n"/>
      <c r="HI285" s="19" t="n"/>
      <c r="HJ285" s="19" t="n"/>
      <c r="HL285" s="5">
        <f>C285</f>
        <v/>
      </c>
      <c r="HP285" s="19" t="n"/>
      <c r="HQ285" s="19" t="n"/>
      <c r="HR285" s="19" t="n"/>
      <c r="HT285" s="5">
        <f>C285</f>
        <v/>
      </c>
      <c r="HX285" s="19" t="n"/>
      <c r="HY285" s="19" t="n"/>
      <c r="HZ285" s="19" t="n"/>
      <c r="IB285" s="5">
        <f>C285</f>
        <v/>
      </c>
      <c r="IG285" s="19" t="n"/>
      <c r="IH285" s="19" t="n"/>
      <c r="IJ285" s="5">
        <f>C285</f>
        <v/>
      </c>
      <c r="IN285" s="19" t="n"/>
      <c r="IO285" s="19" t="n"/>
      <c r="IP285" s="19" t="n"/>
      <c r="IR285" s="5">
        <f>C285</f>
        <v/>
      </c>
      <c r="IV285" s="19" t="n"/>
      <c r="IW285" s="19" t="n"/>
      <c r="IX285" s="19" t="n"/>
      <c r="IZ285" s="5">
        <f>C285</f>
        <v/>
      </c>
      <c r="JD285" s="19" t="n"/>
      <c r="JE285" s="19" t="n"/>
      <c r="JF285" s="19" t="n"/>
      <c r="JH285" s="5">
        <f>C285</f>
        <v/>
      </c>
      <c r="JL285" s="19" t="n"/>
      <c r="JM285" s="19" t="n"/>
      <c r="JN285" s="19" t="n"/>
      <c r="JO285" s="19" t="n"/>
      <c r="JP285" s="5">
        <f>C285</f>
        <v/>
      </c>
      <c r="JT285" s="19" t="n"/>
      <c r="JU285" s="19" t="n"/>
      <c r="JV285" s="19" t="n"/>
      <c r="JW285" s="19" t="n"/>
      <c r="JX285" s="5">
        <f>C285</f>
        <v/>
      </c>
      <c r="KB285" s="19" t="n"/>
      <c r="KC285" s="19" t="n"/>
      <c r="KD285" s="19" t="n"/>
      <c r="KE285" s="19" t="n"/>
      <c r="KF285" s="5">
        <f>C285</f>
        <v/>
      </c>
      <c r="KG285" s="19" t="n"/>
      <c r="KH285" s="19" t="n"/>
      <c r="KJ285" s="19" t="n"/>
      <c r="KK285" s="19" t="n"/>
      <c r="KL285" s="19" t="n"/>
      <c r="KM285" s="19" t="n"/>
      <c r="KN285" s="5">
        <f>C285</f>
        <v/>
      </c>
      <c r="KR285" s="19" t="n"/>
      <c r="KS285" s="19" t="n"/>
      <c r="KT285" s="19" t="n"/>
      <c r="KV285" s="5">
        <f>C285</f>
        <v/>
      </c>
      <c r="KZ285" s="19" t="n"/>
      <c r="LA285" s="19" t="n"/>
      <c r="LB285" s="19" t="n"/>
      <c r="LD285" s="5">
        <f>C285</f>
        <v/>
      </c>
      <c r="LH285" s="19" t="n"/>
      <c r="LI285" s="19" t="n"/>
      <c r="LJ285" s="19" t="n"/>
      <c r="LL285" s="5">
        <f>C285</f>
        <v/>
      </c>
      <c r="LM285" s="633" t="n"/>
      <c r="LP285" s="19" t="n"/>
      <c r="LQ285" s="19" t="n"/>
      <c r="LR285" s="19" t="n"/>
      <c r="LT285" s="5">
        <f>C285</f>
        <v/>
      </c>
      <c r="LX285" s="19" t="n"/>
      <c r="LY285" s="19" t="n"/>
      <c r="LZ285" s="19" t="n"/>
      <c r="MB285" s="5">
        <f>C285</f>
        <v/>
      </c>
      <c r="MF285" s="19" t="n"/>
      <c r="MG285" s="19" t="n"/>
      <c r="MH285" s="19" t="n"/>
      <c r="MK285" s="5">
        <f>C285</f>
        <v/>
      </c>
      <c r="MM285" s="24" t="n"/>
      <c r="MO285" s="19" t="n"/>
      <c r="MP285" s="19" t="n"/>
      <c r="MQ285" s="19" t="n"/>
      <c r="MR285" s="19" t="n"/>
      <c r="MS285" s="19" t="n"/>
      <c r="MT285" s="25">
        <f>C285</f>
        <v/>
      </c>
      <c r="MX285" s="19" t="n"/>
      <c r="MY285" s="19" t="n"/>
      <c r="MZ285" s="19" t="n"/>
      <c r="NA285" s="19" t="n"/>
      <c r="NB285" s="19" t="n"/>
      <c r="NC285" s="5">
        <f>C285</f>
        <v/>
      </c>
      <c r="NG285" s="19" t="n"/>
      <c r="NH285" s="19" t="n"/>
      <c r="NI285" s="19" t="n"/>
      <c r="NJ285" s="19" t="n"/>
      <c r="NK285" s="19" t="n"/>
      <c r="NM285" s="5">
        <f>C285</f>
        <v/>
      </c>
      <c r="NQ285" s="19" t="n"/>
      <c r="NR285" s="19" t="n"/>
      <c r="NU285" s="5">
        <f>C285</f>
        <v/>
      </c>
      <c r="NY285" s="19" t="n"/>
      <c r="NZ285" s="19" t="n"/>
      <c r="OC285" s="5">
        <f>C285</f>
        <v/>
      </c>
      <c r="OG285" s="19" t="n"/>
      <c r="OH285" s="19" t="n"/>
      <c r="OI285" s="19" t="n"/>
      <c r="OK285" s="5">
        <f>C285</f>
        <v/>
      </c>
      <c r="OO285" s="19" t="n"/>
      <c r="OP285" s="19" t="n"/>
      <c r="OQ285" s="19" t="n"/>
      <c r="OT285" s="25">
        <f>OK285</f>
        <v/>
      </c>
      <c r="OX285" s="19" t="n"/>
    </row>
    <row r="286" ht="21" customFormat="1" customHeight="1" s="5">
      <c r="A286" s="631" t="n"/>
      <c r="B286" s="631" t="n"/>
      <c r="C286" s="731" t="inlineStr">
        <is>
          <t>2025//6//30</t>
        </is>
      </c>
      <c r="D286" s="523" t="n">
        <v>9404238.77</v>
      </c>
      <c r="E286" s="597" t="n"/>
      <c r="F286" s="601">
        <f>(D286-D287)/D287</f>
        <v/>
      </c>
      <c r="G286" s="601" t="n"/>
      <c r="H286" s="526" t="n"/>
      <c r="I286" s="526" t="n"/>
      <c r="J286" s="526" t="n"/>
      <c r="K286" s="523">
        <f>C286</f>
        <v/>
      </c>
      <c r="L286" s="605" t="n">
        <v>6826834.4</v>
      </c>
      <c r="M286" s="597" t="n"/>
      <c r="N286" s="601">
        <f>(L286-L287)/L287</f>
        <v/>
      </c>
      <c r="O286" s="601" t="n"/>
      <c r="P286" s="526" t="n"/>
      <c r="Q286" s="526" t="n"/>
      <c r="R286" s="604" t="n"/>
      <c r="S286" s="523">
        <f>C286</f>
        <v/>
      </c>
      <c r="T286" s="523" t="n">
        <v>5895246.68</v>
      </c>
      <c r="U286" s="597" t="n"/>
      <c r="V286" s="599">
        <f>(T286-T287)/T287</f>
        <v/>
      </c>
      <c r="W286" s="599" t="n"/>
      <c r="X286" s="526" t="n"/>
      <c r="Y286" s="526" t="n"/>
      <c r="Z286" s="604" t="n"/>
      <c r="AA286" s="523">
        <f>S286</f>
        <v/>
      </c>
      <c r="AB286" s="605" t="n">
        <v>1901216.86</v>
      </c>
      <c r="AC286" s="597" t="n"/>
      <c r="AD286" s="601">
        <f>(AB286-AB287)/AB287</f>
        <v/>
      </c>
      <c r="AE286" s="601" t="n"/>
      <c r="AF286" s="526" t="n"/>
      <c r="AG286" s="526" t="n"/>
      <c r="AH286" s="604" t="n"/>
      <c r="AI286" s="523">
        <f>C286</f>
        <v/>
      </c>
      <c r="AJ286" s="605" t="n">
        <v>2534321.76</v>
      </c>
      <c r="AK286" s="362" t="n"/>
      <c r="AL286" s="599">
        <f>(AJ286-AJ287)/AJ287</f>
        <v/>
      </c>
      <c r="AM286" s="599" t="n"/>
      <c r="AN286" s="526" t="n"/>
      <c r="AO286" s="526" t="n"/>
      <c r="AP286" s="523" t="n"/>
      <c r="AQ286" s="555">
        <f>C286</f>
        <v/>
      </c>
      <c r="AR286" s="611" t="n">
        <v>4357200</v>
      </c>
      <c r="AS286" s="611" t="n"/>
      <c r="AT286" s="526">
        <f>(AR286-AR287)/AR287</f>
        <v/>
      </c>
      <c r="AU286" s="611" t="n">
        <v>915</v>
      </c>
      <c r="AV286" s="613" t="n">
        <v>0.0066</v>
      </c>
      <c r="AW286" s="526" t="n"/>
      <c r="AX286" s="523" t="n"/>
      <c r="AY286" s="523" t="n"/>
      <c r="AZ286" s="523">
        <f>C286</f>
        <v/>
      </c>
      <c r="BA286" s="523" t="n"/>
      <c r="BB286" s="523" t="n"/>
      <c r="BC286" s="523" t="n"/>
      <c r="BD286" s="526" t="n"/>
      <c r="BE286" s="526" t="n"/>
      <c r="BF286" s="526" t="n"/>
      <c r="BG286" s="631" t="n"/>
      <c r="BH286" s="5">
        <f>C286</f>
        <v/>
      </c>
      <c r="BL286" s="19" t="n"/>
      <c r="BM286" s="19" t="n"/>
      <c r="BN286" s="19" t="n"/>
      <c r="BP286" s="5">
        <f>C286</f>
        <v/>
      </c>
      <c r="BQ286" s="633" t="n"/>
      <c r="BT286" s="19" t="n"/>
      <c r="BU286" s="19" t="n"/>
      <c r="BV286" s="19" t="n"/>
      <c r="BX286" s="5">
        <f>C286</f>
        <v/>
      </c>
      <c r="CB286" s="19" t="n"/>
      <c r="CC286" s="19" t="n"/>
      <c r="CD286" s="19" t="n"/>
      <c r="CF286" s="5">
        <f>C286</f>
        <v/>
      </c>
      <c r="CJ286" s="19" t="n"/>
      <c r="CK286" s="19" t="n"/>
      <c r="CL286" s="19" t="n"/>
      <c r="CN286" s="5">
        <f>C286</f>
        <v/>
      </c>
      <c r="CR286" s="19" t="n"/>
      <c r="CS286" s="19" t="n"/>
      <c r="CT286" s="19" t="n"/>
      <c r="CV286" s="5">
        <f>C286</f>
        <v/>
      </c>
      <c r="CZ286" s="19" t="n"/>
      <c r="DA286" s="19" t="n"/>
      <c r="DB286" s="19" t="n"/>
      <c r="DC286" s="23" t="n"/>
      <c r="DD286" s="5">
        <f>C286</f>
        <v/>
      </c>
      <c r="DH286" s="19" t="n"/>
      <c r="DI286" s="19" t="n"/>
      <c r="DJ286" s="19" t="n"/>
      <c r="DL286" s="5">
        <f>C286</f>
        <v/>
      </c>
      <c r="DP286" s="19" t="n"/>
      <c r="DQ286" s="19" t="n"/>
      <c r="DR286" s="19" t="n"/>
      <c r="DT286" s="5">
        <f>C286</f>
        <v/>
      </c>
      <c r="DX286" s="19" t="n"/>
      <c r="DY286" s="19" t="n"/>
      <c r="DZ286" s="19" t="n"/>
      <c r="EB286" s="5">
        <f>C286</f>
        <v/>
      </c>
      <c r="EF286" s="19" t="n"/>
      <c r="EG286" s="19" t="n"/>
      <c r="EH286" s="19" t="n"/>
      <c r="EJ286" s="5">
        <f>C286</f>
        <v/>
      </c>
      <c r="EN286" s="19" t="n"/>
      <c r="EO286" s="19" t="n"/>
      <c r="EP286" s="19" t="n"/>
      <c r="EQ286" s="19" t="n"/>
      <c r="ER286" s="5">
        <f>C286</f>
        <v/>
      </c>
      <c r="ES286" s="19" t="n"/>
      <c r="ET286" s="19" t="n"/>
      <c r="EU286" s="19" t="n"/>
      <c r="EV286" s="19" t="n"/>
      <c r="EW286" s="19" t="n"/>
      <c r="EX286" s="19" t="n"/>
      <c r="EZ286" s="5">
        <f>C286</f>
        <v/>
      </c>
      <c r="FD286" s="19" t="n"/>
      <c r="FE286" s="19" t="n"/>
      <c r="FF286" s="19" t="n"/>
      <c r="FG286" s="19" t="n"/>
      <c r="FH286" s="5">
        <f>C286</f>
        <v/>
      </c>
      <c r="FI286" s="633" t="n"/>
      <c r="FL286" s="19" t="n"/>
      <c r="FM286" s="19" t="n"/>
      <c r="FN286" s="19" t="n"/>
      <c r="FP286" s="5">
        <f>C286</f>
        <v/>
      </c>
      <c r="FT286" s="19" t="n"/>
      <c r="FU286" s="19" t="n"/>
      <c r="FV286" s="19" t="n"/>
      <c r="FX286" s="5">
        <f>C286</f>
        <v/>
      </c>
      <c r="GB286" s="19" t="n"/>
      <c r="GC286" s="19" t="n"/>
      <c r="GD286" s="19" t="n"/>
      <c r="GF286" s="5">
        <f>C286</f>
        <v/>
      </c>
      <c r="GJ286" s="19" t="n"/>
      <c r="GK286" s="19" t="n"/>
      <c r="GL286" s="19" t="n"/>
      <c r="GN286" s="5">
        <f>C286</f>
        <v/>
      </c>
      <c r="GR286" s="19" t="n"/>
      <c r="GS286" s="19" t="n"/>
      <c r="GT286" s="19" t="n"/>
      <c r="GV286" s="5">
        <f>C286</f>
        <v/>
      </c>
      <c r="GZ286" s="19" t="n"/>
      <c r="HA286" s="19" t="n"/>
      <c r="HB286" s="19" t="n"/>
      <c r="HD286" s="5">
        <f>C286</f>
        <v/>
      </c>
      <c r="HH286" s="19" t="n"/>
      <c r="HI286" s="19" t="n"/>
      <c r="HJ286" s="19" t="n"/>
      <c r="HL286" s="5">
        <f>C286</f>
        <v/>
      </c>
      <c r="HP286" s="19" t="n"/>
      <c r="HQ286" s="19" t="n"/>
      <c r="HR286" s="19" t="n"/>
      <c r="HT286" s="5">
        <f>C286</f>
        <v/>
      </c>
      <c r="HX286" s="19" t="n"/>
      <c r="HY286" s="19" t="n"/>
      <c r="HZ286" s="19" t="n"/>
      <c r="IB286" s="5">
        <f>C286</f>
        <v/>
      </c>
      <c r="IG286" s="19" t="n"/>
      <c r="IH286" s="19" t="n"/>
      <c r="IJ286" s="5">
        <f>C286</f>
        <v/>
      </c>
      <c r="IN286" s="19" t="n"/>
      <c r="IO286" s="19" t="n"/>
      <c r="IP286" s="19" t="n"/>
      <c r="IR286" s="5">
        <f>C286</f>
        <v/>
      </c>
      <c r="IV286" s="19" t="n"/>
      <c r="IW286" s="19" t="n"/>
      <c r="IX286" s="19" t="n"/>
      <c r="IZ286" s="5">
        <f>C286</f>
        <v/>
      </c>
      <c r="JD286" s="19" t="n"/>
      <c r="JE286" s="19" t="n"/>
      <c r="JF286" s="19" t="n"/>
      <c r="JH286" s="5">
        <f>C286</f>
        <v/>
      </c>
      <c r="JL286" s="19" t="n"/>
      <c r="JM286" s="19" t="n"/>
      <c r="JN286" s="19" t="n"/>
      <c r="JO286" s="19" t="n"/>
      <c r="JP286" s="5">
        <f>C286</f>
        <v/>
      </c>
      <c r="JT286" s="19" t="n"/>
      <c r="JU286" s="19" t="n"/>
      <c r="JV286" s="19" t="n"/>
      <c r="JW286" s="19" t="n"/>
      <c r="JX286" s="5">
        <f>C286</f>
        <v/>
      </c>
      <c r="KB286" s="19" t="n"/>
      <c r="KC286" s="19" t="n"/>
      <c r="KD286" s="19" t="n"/>
      <c r="KE286" s="19" t="n"/>
      <c r="KF286" s="5">
        <f>C286</f>
        <v/>
      </c>
      <c r="KG286" s="19" t="n"/>
      <c r="KH286" s="19" t="n"/>
      <c r="KJ286" s="19" t="n"/>
      <c r="KK286" s="19" t="n"/>
      <c r="KL286" s="19" t="n"/>
      <c r="KM286" s="19" t="n"/>
      <c r="KN286" s="5">
        <f>C286</f>
        <v/>
      </c>
      <c r="KR286" s="19" t="n"/>
      <c r="KS286" s="19" t="n"/>
      <c r="KT286" s="19" t="n"/>
      <c r="KV286" s="5">
        <f>C286</f>
        <v/>
      </c>
      <c r="KZ286" s="19" t="n"/>
      <c r="LA286" s="19" t="n"/>
      <c r="LB286" s="19" t="n"/>
      <c r="LD286" s="5">
        <f>C286</f>
        <v/>
      </c>
      <c r="LH286" s="19" t="n"/>
      <c r="LI286" s="19" t="n"/>
      <c r="LJ286" s="19" t="n"/>
      <c r="LL286" s="5">
        <f>C286</f>
        <v/>
      </c>
      <c r="LM286" s="633" t="n"/>
      <c r="LP286" s="19" t="n"/>
      <c r="LQ286" s="19" t="n"/>
      <c r="LR286" s="19" t="n"/>
      <c r="LT286" s="5">
        <f>C286</f>
        <v/>
      </c>
      <c r="LX286" s="19" t="n"/>
      <c r="LY286" s="19" t="n"/>
      <c r="LZ286" s="19" t="n"/>
      <c r="MB286" s="5">
        <f>C286</f>
        <v/>
      </c>
      <c r="MF286" s="19" t="n"/>
      <c r="MG286" s="19" t="n"/>
      <c r="MH286" s="19" t="n"/>
      <c r="MK286" s="5">
        <f>C286</f>
        <v/>
      </c>
      <c r="MM286" s="24" t="n"/>
      <c r="MO286" s="19" t="n"/>
      <c r="MP286" s="19" t="n"/>
      <c r="MQ286" s="19" t="n"/>
      <c r="MR286" s="19" t="n"/>
      <c r="MS286" s="19" t="n"/>
      <c r="MT286" s="25">
        <f>C286</f>
        <v/>
      </c>
      <c r="MX286" s="19" t="n"/>
      <c r="MY286" s="19" t="n"/>
      <c r="MZ286" s="19" t="n"/>
      <c r="NA286" s="19" t="n"/>
      <c r="NB286" s="19" t="n"/>
      <c r="NC286" s="5">
        <f>C286</f>
        <v/>
      </c>
      <c r="NG286" s="19" t="n"/>
      <c r="NH286" s="19" t="n"/>
      <c r="NI286" s="19" t="n"/>
      <c r="NJ286" s="19" t="n"/>
      <c r="NK286" s="19" t="n"/>
      <c r="NM286" s="5">
        <f>C286</f>
        <v/>
      </c>
      <c r="NQ286" s="19" t="n"/>
      <c r="NR286" s="19" t="n"/>
      <c r="NU286" s="5">
        <f>C286</f>
        <v/>
      </c>
      <c r="NY286" s="19" t="n"/>
      <c r="NZ286" s="19" t="n"/>
      <c r="OC286" s="5">
        <f>C286</f>
        <v/>
      </c>
      <c r="OG286" s="19" t="n"/>
      <c r="OH286" s="19" t="n"/>
      <c r="OI286" s="19" t="n"/>
      <c r="OK286" s="5">
        <f>C286</f>
        <v/>
      </c>
      <c r="OO286" s="19" t="n"/>
      <c r="OP286" s="19" t="n"/>
      <c r="OQ286" s="19" t="n"/>
      <c r="OT286" s="25">
        <f>OK286</f>
        <v/>
      </c>
      <c r="OX286" s="19" t="n"/>
    </row>
    <row r="287" ht="21" customFormat="1" customHeight="1" s="5">
      <c r="A287" s="631" t="n"/>
      <c r="B287" s="631" t="n"/>
      <c r="C287" s="731" t="inlineStr">
        <is>
          <t>2025//5//30</t>
        </is>
      </c>
      <c r="D287" s="523" t="n">
        <v>9540768.77</v>
      </c>
      <c r="E287" s="597" t="n"/>
      <c r="F287" s="601">
        <f>(D287-D288)/D288</f>
        <v/>
      </c>
      <c r="G287" s="601" t="n"/>
      <c r="H287" s="526" t="n"/>
      <c r="I287" s="526" t="n"/>
      <c r="J287" s="526" t="n"/>
      <c r="K287" s="523">
        <f>C287</f>
        <v/>
      </c>
      <c r="L287" s="605" t="n">
        <v>6915844.4</v>
      </c>
      <c r="M287" s="597" t="n"/>
      <c r="N287" s="601">
        <f>(L287-L288)/L288</f>
        <v/>
      </c>
      <c r="O287" s="601" t="n"/>
      <c r="P287" s="526" t="n"/>
      <c r="Q287" s="526" t="n"/>
      <c r="R287" s="604" t="n"/>
      <c r="S287" s="523">
        <f>C287</f>
        <v/>
      </c>
      <c r="T287" s="603" t="n">
        <v>5926656.68</v>
      </c>
      <c r="U287" s="597" t="n"/>
      <c r="V287" s="599">
        <f>(T287-T288)/T288</f>
        <v/>
      </c>
      <c r="W287" s="599" t="n"/>
      <c r="X287" s="526" t="n"/>
      <c r="Y287" s="526" t="n"/>
      <c r="Z287" s="604" t="n"/>
      <c r="AA287" s="523">
        <f>S287</f>
        <v/>
      </c>
      <c r="AB287" s="605" t="n">
        <v>1926576.86</v>
      </c>
      <c r="AC287" s="597" t="n"/>
      <c r="AD287" s="601">
        <f>(AB287-AB288)/AB288</f>
        <v/>
      </c>
      <c r="AE287" s="601" t="n"/>
      <c r="AF287" s="526" t="n"/>
      <c r="AG287" s="526" t="n"/>
      <c r="AH287" s="604" t="n"/>
      <c r="AI287" s="523">
        <f>C287</f>
        <v/>
      </c>
      <c r="AJ287" s="605" t="n">
        <v>2574121.76</v>
      </c>
      <c r="AK287" s="362" t="n"/>
      <c r="AL287" s="599">
        <f>(AJ287-AJ288)/AJ288</f>
        <v/>
      </c>
      <c r="AM287" s="599" t="n"/>
      <c r="AN287" s="526" t="n"/>
      <c r="AO287" s="526" t="n"/>
      <c r="AP287" s="523" t="n"/>
      <c r="AQ287" s="555">
        <f>C287</f>
        <v/>
      </c>
      <c r="AR287" s="611" t="n">
        <v>4257300</v>
      </c>
      <c r="AS287" s="611" t="n"/>
      <c r="AT287" s="526">
        <f>(AR287-AR288)/AR288</f>
        <v/>
      </c>
      <c r="AU287" s="611" t="n">
        <v>909.02</v>
      </c>
      <c r="AV287" s="613" t="n">
        <v>0.7617</v>
      </c>
      <c r="AW287" s="526" t="n"/>
      <c r="AX287" s="523" t="n"/>
      <c r="AY287" s="523" t="n"/>
      <c r="AZ287" s="523">
        <f>C287</f>
        <v/>
      </c>
      <c r="BA287" s="523" t="n"/>
      <c r="BB287" s="523" t="n"/>
      <c r="BC287" s="523" t="n"/>
      <c r="BD287" s="526" t="n"/>
      <c r="BE287" s="526" t="n"/>
      <c r="BF287" s="526" t="n"/>
      <c r="BG287" s="631" t="n"/>
      <c r="BH287" s="5">
        <f>C287</f>
        <v/>
      </c>
      <c r="BL287" s="19" t="n"/>
      <c r="BM287" s="19" t="n"/>
      <c r="BN287" s="19" t="n"/>
      <c r="BP287" s="5">
        <f>C287</f>
        <v/>
      </c>
      <c r="BQ287" s="633" t="n"/>
      <c r="BT287" s="19" t="n"/>
      <c r="BU287" s="19" t="n"/>
      <c r="BV287" s="19" t="n"/>
      <c r="BX287" s="5">
        <f>C287</f>
        <v/>
      </c>
      <c r="CB287" s="19" t="n"/>
      <c r="CC287" s="19" t="n"/>
      <c r="CD287" s="19" t="n"/>
      <c r="CF287" s="5">
        <f>C287</f>
        <v/>
      </c>
      <c r="CJ287" s="19" t="n"/>
      <c r="CK287" s="19" t="n"/>
      <c r="CL287" s="19" t="n"/>
      <c r="CN287" s="5">
        <f>C287</f>
        <v/>
      </c>
      <c r="CR287" s="19" t="n"/>
      <c r="CS287" s="19" t="n"/>
      <c r="CT287" s="19" t="n"/>
      <c r="CV287" s="5">
        <f>C287</f>
        <v/>
      </c>
      <c r="CZ287" s="19" t="n"/>
      <c r="DA287" s="19" t="n"/>
      <c r="DB287" s="19" t="n"/>
      <c r="DC287" s="23" t="n"/>
      <c r="DD287" s="5">
        <f>C287</f>
        <v/>
      </c>
      <c r="DH287" s="19" t="n"/>
      <c r="DI287" s="19" t="n"/>
      <c r="DJ287" s="19" t="n"/>
      <c r="DL287" s="5">
        <f>C287</f>
        <v/>
      </c>
      <c r="DP287" s="19" t="n"/>
      <c r="DQ287" s="19" t="n"/>
      <c r="DR287" s="19" t="n"/>
      <c r="DT287" s="5">
        <f>C287</f>
        <v/>
      </c>
      <c r="DX287" s="19" t="n"/>
      <c r="DY287" s="19" t="n"/>
      <c r="DZ287" s="19" t="n"/>
      <c r="EB287" s="5">
        <f>C287</f>
        <v/>
      </c>
      <c r="EF287" s="19" t="n"/>
      <c r="EG287" s="19" t="n"/>
      <c r="EH287" s="19" t="n"/>
      <c r="EJ287" s="5">
        <f>C287</f>
        <v/>
      </c>
      <c r="EN287" s="19" t="n"/>
      <c r="EO287" s="19" t="n"/>
      <c r="EP287" s="19" t="n"/>
      <c r="EQ287" s="19" t="n"/>
      <c r="ER287" s="5">
        <f>C287</f>
        <v/>
      </c>
      <c r="ES287" s="19" t="n"/>
      <c r="ET287" s="19" t="n"/>
      <c r="EU287" s="19" t="n"/>
      <c r="EV287" s="19" t="n"/>
      <c r="EW287" s="19" t="n"/>
      <c r="EX287" s="19" t="n"/>
      <c r="EZ287" s="5">
        <f>C287</f>
        <v/>
      </c>
      <c r="FD287" s="19" t="n"/>
      <c r="FE287" s="19" t="n"/>
      <c r="FF287" s="19" t="n"/>
      <c r="FG287" s="19" t="n"/>
      <c r="FH287" s="5">
        <f>C287</f>
        <v/>
      </c>
      <c r="FI287" s="633" t="n"/>
      <c r="FL287" s="19" t="n"/>
      <c r="FM287" s="19" t="n"/>
      <c r="FN287" s="19" t="n"/>
      <c r="FP287" s="5">
        <f>C287</f>
        <v/>
      </c>
      <c r="FT287" s="19" t="n"/>
      <c r="FU287" s="19" t="n"/>
      <c r="FV287" s="19" t="n"/>
      <c r="FX287" s="5">
        <f>C287</f>
        <v/>
      </c>
      <c r="GB287" s="19" t="n"/>
      <c r="GC287" s="19" t="n"/>
      <c r="GD287" s="19" t="n"/>
      <c r="GF287" s="5">
        <f>C287</f>
        <v/>
      </c>
      <c r="GJ287" s="19" t="n"/>
      <c r="GK287" s="19" t="n"/>
      <c r="GL287" s="19" t="n"/>
      <c r="GN287" s="5">
        <f>C287</f>
        <v/>
      </c>
      <c r="GR287" s="19" t="n"/>
      <c r="GS287" s="19" t="n"/>
      <c r="GT287" s="19" t="n"/>
      <c r="GV287" s="5">
        <f>C287</f>
        <v/>
      </c>
      <c r="GZ287" s="19" t="n"/>
      <c r="HA287" s="19" t="n"/>
      <c r="HB287" s="19" t="n"/>
      <c r="HD287" s="5">
        <f>C287</f>
        <v/>
      </c>
      <c r="HH287" s="19" t="n"/>
      <c r="HI287" s="19" t="n"/>
      <c r="HJ287" s="19" t="n"/>
      <c r="HL287" s="5">
        <f>C287</f>
        <v/>
      </c>
      <c r="HP287" s="19" t="n"/>
      <c r="HQ287" s="19" t="n"/>
      <c r="HR287" s="19" t="n"/>
      <c r="HT287" s="5">
        <f>C287</f>
        <v/>
      </c>
      <c r="HX287" s="19" t="n"/>
      <c r="HY287" s="19" t="n"/>
      <c r="HZ287" s="19" t="n"/>
      <c r="IB287" s="5">
        <f>C287</f>
        <v/>
      </c>
      <c r="IG287" s="19" t="n"/>
      <c r="IH287" s="19" t="n"/>
      <c r="IJ287" s="5">
        <f>C287</f>
        <v/>
      </c>
      <c r="IN287" s="19" t="n"/>
      <c r="IO287" s="19" t="n"/>
      <c r="IP287" s="19" t="n"/>
      <c r="IR287" s="5">
        <f>C287</f>
        <v/>
      </c>
      <c r="IV287" s="19" t="n"/>
      <c r="IW287" s="19" t="n"/>
      <c r="IX287" s="19" t="n"/>
      <c r="IZ287" s="5">
        <f>C287</f>
        <v/>
      </c>
      <c r="JD287" s="19" t="n"/>
      <c r="JE287" s="19" t="n"/>
      <c r="JF287" s="19" t="n"/>
      <c r="JH287" s="5">
        <f>C287</f>
        <v/>
      </c>
      <c r="JL287" s="19" t="n"/>
      <c r="JM287" s="19" t="n"/>
      <c r="JN287" s="19" t="n"/>
      <c r="JO287" s="19" t="n"/>
      <c r="JP287" s="5">
        <f>C287</f>
        <v/>
      </c>
      <c r="JT287" s="19" t="n"/>
      <c r="JU287" s="19" t="n"/>
      <c r="JV287" s="19" t="n"/>
      <c r="JW287" s="19" t="n"/>
      <c r="JX287" s="5">
        <f>C287</f>
        <v/>
      </c>
      <c r="KB287" s="19" t="n"/>
      <c r="KC287" s="19" t="n"/>
      <c r="KD287" s="19" t="n"/>
      <c r="KE287" s="19" t="n"/>
      <c r="KF287" s="5">
        <f>C287</f>
        <v/>
      </c>
      <c r="KG287" s="19" t="n"/>
      <c r="KH287" s="19" t="n"/>
      <c r="KJ287" s="19" t="n"/>
      <c r="KK287" s="19" t="n"/>
      <c r="KL287" s="19" t="n"/>
      <c r="KM287" s="19" t="n"/>
      <c r="KN287" s="5">
        <f>C287</f>
        <v/>
      </c>
      <c r="KR287" s="19" t="n"/>
      <c r="KS287" s="19" t="n"/>
      <c r="KT287" s="19" t="n"/>
      <c r="KV287" s="5">
        <f>C287</f>
        <v/>
      </c>
      <c r="KZ287" s="19" t="n"/>
      <c r="LA287" s="19" t="n"/>
      <c r="LB287" s="19" t="n"/>
      <c r="LD287" s="5">
        <f>C287</f>
        <v/>
      </c>
      <c r="LH287" s="19" t="n"/>
      <c r="LI287" s="19" t="n"/>
      <c r="LJ287" s="19" t="n"/>
      <c r="LL287" s="5">
        <f>C287</f>
        <v/>
      </c>
      <c r="LM287" s="633" t="n"/>
      <c r="LP287" s="19" t="n"/>
      <c r="LQ287" s="19" t="n"/>
      <c r="LR287" s="19" t="n"/>
      <c r="LT287" s="5">
        <f>C287</f>
        <v/>
      </c>
      <c r="LX287" s="19" t="n"/>
      <c r="LY287" s="19" t="n"/>
      <c r="LZ287" s="19" t="n"/>
      <c r="MB287" s="5">
        <f>C287</f>
        <v/>
      </c>
      <c r="MF287" s="19" t="n"/>
      <c r="MG287" s="19" t="n"/>
      <c r="MH287" s="19" t="n"/>
      <c r="MK287" s="5">
        <f>C287</f>
        <v/>
      </c>
      <c r="MM287" s="24" t="n"/>
      <c r="MO287" s="19" t="n"/>
      <c r="MP287" s="19" t="n"/>
      <c r="MQ287" s="19" t="n"/>
      <c r="MR287" s="19" t="n"/>
      <c r="MS287" s="19" t="n"/>
      <c r="MT287" s="25">
        <f>C287</f>
        <v/>
      </c>
      <c r="MX287" s="19" t="n"/>
      <c r="MY287" s="19" t="n"/>
      <c r="MZ287" s="19" t="n"/>
      <c r="NA287" s="19" t="n"/>
      <c r="NB287" s="19" t="n"/>
      <c r="NC287" s="5">
        <f>C287</f>
        <v/>
      </c>
      <c r="NG287" s="19" t="n"/>
      <c r="NH287" s="19" t="n"/>
      <c r="NI287" s="19" t="n"/>
      <c r="NJ287" s="19" t="n"/>
      <c r="NK287" s="19" t="n"/>
      <c r="NM287" s="5">
        <f>C287</f>
        <v/>
      </c>
      <c r="NQ287" s="19" t="n"/>
      <c r="NR287" s="19" t="n"/>
      <c r="NU287" s="5">
        <f>C287</f>
        <v/>
      </c>
      <c r="NY287" s="19" t="n"/>
      <c r="NZ287" s="19" t="n"/>
      <c r="OC287" s="5">
        <f>C287</f>
        <v/>
      </c>
      <c r="OG287" s="19" t="n"/>
      <c r="OH287" s="19" t="n"/>
      <c r="OI287" s="19" t="n"/>
      <c r="OK287" s="5">
        <f>C287</f>
        <v/>
      </c>
      <c r="OO287" s="19" t="n"/>
      <c r="OP287" s="19" t="n"/>
      <c r="OQ287" s="19" t="n"/>
      <c r="OT287" s="25">
        <f>OK287</f>
        <v/>
      </c>
      <c r="OX287" s="19" t="n"/>
    </row>
    <row r="288" ht="21" customFormat="1" customHeight="1" s="5">
      <c r="A288" s="674" t="n"/>
      <c r="B288" s="674" t="n"/>
      <c r="C288" s="732" t="inlineStr">
        <is>
          <t>2025//4//30</t>
        </is>
      </c>
      <c r="D288" s="561" t="n">
        <v>9645618.77</v>
      </c>
      <c r="E288" s="615" t="n"/>
      <c r="F288" s="616">
        <f>(D288-D289)/D289</f>
        <v/>
      </c>
      <c r="G288" s="616" t="n"/>
      <c r="H288" s="563" t="n"/>
      <c r="I288" s="563" t="n"/>
      <c r="J288" s="563" t="n"/>
      <c r="K288" s="561">
        <f>C288</f>
        <v/>
      </c>
      <c r="L288" s="617" t="n">
        <v>6969844.4</v>
      </c>
      <c r="M288" s="615" t="n"/>
      <c r="N288" s="616">
        <f>(L288-L289)/L289</f>
        <v/>
      </c>
      <c r="O288" s="616" t="n"/>
      <c r="P288" s="563" t="n"/>
      <c r="Q288" s="563" t="n"/>
      <c r="R288" s="618" t="n"/>
      <c r="S288" s="561">
        <f>C288</f>
        <v/>
      </c>
      <c r="T288" s="561" t="n">
        <v>6020436.68</v>
      </c>
      <c r="U288" s="615" t="n"/>
      <c r="V288" s="599">
        <f>(T288-T289)/T289</f>
        <v/>
      </c>
      <c r="W288" s="616" t="n"/>
      <c r="X288" s="563" t="n"/>
      <c r="Y288" s="563" t="n"/>
      <c r="Z288" s="618" t="n"/>
      <c r="AA288" s="561">
        <f>S288</f>
        <v/>
      </c>
      <c r="AB288" s="617" t="n">
        <v>1940056.86</v>
      </c>
      <c r="AC288" s="615" t="n"/>
      <c r="AD288" s="601">
        <f>(AB288-AB289)/AB289</f>
        <v/>
      </c>
      <c r="AE288" s="616" t="n"/>
      <c r="AF288" s="563" t="n"/>
      <c r="AG288" s="563" t="n"/>
      <c r="AH288" s="618" t="n"/>
      <c r="AI288" s="561">
        <f>C288</f>
        <v/>
      </c>
      <c r="AJ288" s="617" t="n">
        <v>2626721.76</v>
      </c>
      <c r="AK288" s="400" t="n"/>
      <c r="AL288" s="599">
        <f>(AJ288-AJ289)/AJ289</f>
        <v/>
      </c>
      <c r="AM288" s="616" t="n"/>
      <c r="AN288" s="563" t="n"/>
      <c r="AO288" s="563" t="n"/>
      <c r="AP288" s="561" t="n"/>
      <c r="AQ288" s="555">
        <f>C288</f>
        <v/>
      </c>
      <c r="AR288" s="611" t="n">
        <v>3124800</v>
      </c>
      <c r="AS288" s="611" t="n"/>
      <c r="AT288" s="563">
        <f>(AR288-AR289)/AR289</f>
        <v/>
      </c>
      <c r="AU288" s="611" t="n">
        <v>515.99</v>
      </c>
      <c r="AV288" s="613" t="n">
        <v>-0.06270000000000001</v>
      </c>
      <c r="AW288" s="563" t="n"/>
      <c r="AX288" s="561" t="n"/>
      <c r="AY288" s="561" t="n"/>
      <c r="AZ288" s="561">
        <f>C288</f>
        <v/>
      </c>
      <c r="BA288" s="561" t="n"/>
      <c r="BB288" s="561" t="n"/>
      <c r="BC288" s="561" t="n"/>
      <c r="BD288" s="563" t="n"/>
      <c r="BE288" s="563" t="n"/>
      <c r="BF288" s="563" t="n"/>
      <c r="BG288" s="631" t="n"/>
      <c r="BH288" s="5">
        <f>C288</f>
        <v/>
      </c>
      <c r="BL288" s="19" t="n"/>
      <c r="BM288" s="19" t="n"/>
      <c r="BN288" s="19" t="n"/>
      <c r="BP288" s="5">
        <f>C288</f>
        <v/>
      </c>
      <c r="BQ288" s="633" t="n"/>
      <c r="BT288" s="19" t="n"/>
      <c r="BU288" s="19" t="n"/>
      <c r="BV288" s="19" t="n"/>
      <c r="BX288" s="5">
        <f>C288</f>
        <v/>
      </c>
      <c r="CB288" s="19" t="n"/>
      <c r="CC288" s="19" t="n"/>
      <c r="CD288" s="19" t="n"/>
      <c r="CF288" s="5">
        <f>C288</f>
        <v/>
      </c>
      <c r="CJ288" s="19" t="n"/>
      <c r="CK288" s="19" t="n"/>
      <c r="CL288" s="19" t="n"/>
      <c r="CN288" s="5">
        <f>C288</f>
        <v/>
      </c>
      <c r="CR288" s="19" t="n"/>
      <c r="CS288" s="19" t="n"/>
      <c r="CT288" s="19" t="n"/>
      <c r="CV288" s="5">
        <f>C288</f>
        <v/>
      </c>
      <c r="CZ288" s="19" t="n"/>
      <c r="DA288" s="19" t="n"/>
      <c r="DB288" s="19" t="n"/>
      <c r="DC288" s="23" t="n"/>
      <c r="DD288" s="5">
        <f>C288</f>
        <v/>
      </c>
      <c r="DH288" s="19" t="n"/>
      <c r="DI288" s="19" t="n"/>
      <c r="DJ288" s="19" t="n"/>
      <c r="DL288" s="5">
        <f>C288</f>
        <v/>
      </c>
      <c r="DP288" s="19" t="n"/>
      <c r="DQ288" s="19" t="n"/>
      <c r="DR288" s="19" t="n"/>
      <c r="DT288" s="5">
        <f>C288</f>
        <v/>
      </c>
      <c r="DX288" s="19" t="n"/>
      <c r="DY288" s="19" t="n"/>
      <c r="DZ288" s="19" t="n"/>
      <c r="EB288" s="5">
        <f>C288</f>
        <v/>
      </c>
      <c r="EF288" s="19" t="n"/>
      <c r="EG288" s="19" t="n"/>
      <c r="EH288" s="19" t="n"/>
      <c r="EJ288" s="5">
        <f>C288</f>
        <v/>
      </c>
      <c r="EN288" s="19" t="n"/>
      <c r="EO288" s="19" t="n"/>
      <c r="EP288" s="19" t="n"/>
      <c r="EQ288" s="19" t="n"/>
      <c r="ER288" s="5">
        <f>C288</f>
        <v/>
      </c>
      <c r="ES288" s="19" t="n"/>
      <c r="ET288" s="19" t="n"/>
      <c r="EU288" s="19" t="n"/>
      <c r="EV288" s="19" t="n"/>
      <c r="EW288" s="19" t="n"/>
      <c r="EX288" s="19" t="n"/>
      <c r="EZ288" s="5">
        <f>C288</f>
        <v/>
      </c>
      <c r="FD288" s="19" t="n"/>
      <c r="FE288" s="19" t="n"/>
      <c r="FF288" s="19" t="n"/>
      <c r="FG288" s="19" t="n"/>
      <c r="FH288" s="5">
        <f>C288</f>
        <v/>
      </c>
      <c r="FI288" s="633" t="n"/>
      <c r="FL288" s="19" t="n"/>
      <c r="FM288" s="19" t="n"/>
      <c r="FN288" s="19" t="n"/>
      <c r="FP288" s="5">
        <f>C288</f>
        <v/>
      </c>
      <c r="FT288" s="19" t="n"/>
      <c r="FU288" s="19" t="n"/>
      <c r="FV288" s="19" t="n"/>
      <c r="FX288" s="5">
        <f>C288</f>
        <v/>
      </c>
      <c r="GB288" s="19" t="n"/>
      <c r="GC288" s="19" t="n"/>
      <c r="GD288" s="19" t="n"/>
      <c r="GF288" s="5">
        <f>C288</f>
        <v/>
      </c>
      <c r="GJ288" s="19" t="n"/>
      <c r="GK288" s="19" t="n"/>
      <c r="GL288" s="19" t="n"/>
      <c r="GN288" s="5">
        <f>C288</f>
        <v/>
      </c>
      <c r="GR288" s="19" t="n"/>
      <c r="GS288" s="19" t="n"/>
      <c r="GT288" s="19" t="n"/>
      <c r="GV288" s="5">
        <f>C288</f>
        <v/>
      </c>
      <c r="GZ288" s="19" t="n"/>
      <c r="HA288" s="19" t="n"/>
      <c r="HB288" s="19" t="n"/>
      <c r="HD288" s="5">
        <f>C288</f>
        <v/>
      </c>
      <c r="HH288" s="19" t="n"/>
      <c r="HI288" s="19" t="n"/>
      <c r="HJ288" s="19" t="n"/>
      <c r="HL288" s="5">
        <f>C288</f>
        <v/>
      </c>
      <c r="HP288" s="19" t="n"/>
      <c r="HQ288" s="19" t="n"/>
      <c r="HR288" s="19" t="n"/>
      <c r="HT288" s="5">
        <f>C288</f>
        <v/>
      </c>
      <c r="HX288" s="19" t="n"/>
      <c r="HY288" s="19" t="n"/>
      <c r="HZ288" s="19" t="n"/>
      <c r="IB288" s="5">
        <f>C288</f>
        <v/>
      </c>
      <c r="IG288" s="19" t="n"/>
      <c r="IH288" s="19" t="n"/>
      <c r="IJ288" s="5">
        <f>C288</f>
        <v/>
      </c>
      <c r="IN288" s="19" t="n"/>
      <c r="IO288" s="19" t="n"/>
      <c r="IP288" s="19" t="n"/>
      <c r="IR288" s="5">
        <f>C288</f>
        <v/>
      </c>
      <c r="IV288" s="19" t="n"/>
      <c r="IW288" s="19" t="n"/>
      <c r="IX288" s="19" t="n"/>
      <c r="IZ288" s="5">
        <f>C288</f>
        <v/>
      </c>
      <c r="JD288" s="19" t="n"/>
      <c r="JE288" s="19" t="n"/>
      <c r="JF288" s="19" t="n"/>
      <c r="JH288" s="5">
        <f>C288</f>
        <v/>
      </c>
      <c r="JL288" s="19" t="n"/>
      <c r="JM288" s="19" t="n"/>
      <c r="JN288" s="19" t="n"/>
      <c r="JO288" s="19" t="n"/>
      <c r="JP288" s="5">
        <f>C288</f>
        <v/>
      </c>
      <c r="JT288" s="19" t="n"/>
      <c r="JU288" s="19" t="n"/>
      <c r="JV288" s="19" t="n"/>
      <c r="JW288" s="19" t="n"/>
      <c r="JX288" s="5">
        <f>C288</f>
        <v/>
      </c>
      <c r="KB288" s="19" t="n"/>
      <c r="KC288" s="19" t="n"/>
      <c r="KD288" s="19" t="n"/>
      <c r="KE288" s="19" t="n"/>
      <c r="KF288" s="5">
        <f>C288</f>
        <v/>
      </c>
      <c r="KG288" s="19" t="n"/>
      <c r="KH288" s="19" t="n"/>
      <c r="KJ288" s="19" t="n"/>
      <c r="KK288" s="19" t="n"/>
      <c r="KL288" s="19" t="n"/>
      <c r="KM288" s="19" t="n"/>
      <c r="KN288" s="5">
        <f>C288</f>
        <v/>
      </c>
      <c r="KR288" s="19" t="n"/>
      <c r="KS288" s="19" t="n"/>
      <c r="KT288" s="19" t="n"/>
      <c r="KV288" s="5">
        <f>C288</f>
        <v/>
      </c>
      <c r="KZ288" s="19" t="n"/>
      <c r="LA288" s="19" t="n"/>
      <c r="LB288" s="19" t="n"/>
      <c r="LD288" s="5">
        <f>C288</f>
        <v/>
      </c>
      <c r="LH288" s="19" t="n"/>
      <c r="LI288" s="19" t="n"/>
      <c r="LJ288" s="19" t="n"/>
      <c r="LL288" s="5">
        <f>C288</f>
        <v/>
      </c>
      <c r="LM288" s="633" t="n"/>
      <c r="LP288" s="19" t="n"/>
      <c r="LQ288" s="19" t="n"/>
      <c r="LR288" s="19" t="n"/>
      <c r="LT288" s="5">
        <f>C288</f>
        <v/>
      </c>
      <c r="LX288" s="19" t="n"/>
      <c r="LY288" s="19" t="n"/>
      <c r="LZ288" s="19" t="n"/>
      <c r="MB288" s="5">
        <f>C288</f>
        <v/>
      </c>
      <c r="MF288" s="19" t="n"/>
      <c r="MG288" s="19" t="n"/>
      <c r="MH288" s="19" t="n"/>
      <c r="MK288" s="5">
        <f>C288</f>
        <v/>
      </c>
      <c r="MM288" s="24" t="n"/>
      <c r="MO288" s="19" t="n"/>
      <c r="MP288" s="19" t="n"/>
      <c r="MQ288" s="19" t="n"/>
      <c r="MR288" s="19" t="n"/>
      <c r="MS288" s="19" t="n"/>
      <c r="MT288" s="25">
        <f>C288</f>
        <v/>
      </c>
      <c r="MX288" s="19" t="n"/>
      <c r="MY288" s="19" t="n"/>
      <c r="MZ288" s="19" t="n"/>
      <c r="NA288" s="19" t="n"/>
      <c r="NB288" s="19" t="n"/>
      <c r="NC288" s="5">
        <f>C288</f>
        <v/>
      </c>
      <c r="NG288" s="19" t="n"/>
      <c r="NH288" s="19" t="n"/>
      <c r="NI288" s="19" t="n"/>
      <c r="NJ288" s="19" t="n"/>
      <c r="NK288" s="19" t="n"/>
      <c r="NM288" s="5">
        <f>C288</f>
        <v/>
      </c>
      <c r="NQ288" s="19" t="n"/>
      <c r="NR288" s="19" t="n"/>
      <c r="NU288" s="5">
        <f>C288</f>
        <v/>
      </c>
      <c r="NY288" s="19" t="n"/>
      <c r="NZ288" s="19" t="n"/>
      <c r="OC288" s="5">
        <f>C288</f>
        <v/>
      </c>
      <c r="OG288" s="19" t="n"/>
      <c r="OH288" s="19" t="n"/>
      <c r="OI288" s="19" t="n"/>
      <c r="OK288" s="5">
        <f>C288</f>
        <v/>
      </c>
      <c r="OO288" s="19" t="n"/>
      <c r="OP288" s="19" t="n"/>
      <c r="OQ288" s="19" t="n"/>
      <c r="OT288" s="25">
        <f>OK288</f>
        <v/>
      </c>
      <c r="OX288" s="19" t="n"/>
    </row>
    <row r="289" ht="21" customFormat="1" customHeight="1" s="5">
      <c r="A289" s="631" t="n"/>
      <c r="B289" s="631" t="n"/>
      <c r="C289" s="731" t="inlineStr">
        <is>
          <t>2025//3//31</t>
        </is>
      </c>
      <c r="D289" s="523" t="n">
        <v>8506038.77</v>
      </c>
      <c r="E289" s="597" t="n"/>
      <c r="F289" s="601">
        <f>(D289-D290)/D290</f>
        <v/>
      </c>
      <c r="G289" s="601" t="n"/>
      <c r="H289" s="526" t="n"/>
      <c r="I289" s="526" t="n"/>
      <c r="J289" s="526" t="n"/>
      <c r="K289" s="523">
        <f>C289</f>
        <v/>
      </c>
      <c r="L289" s="605" t="n">
        <v>6107644.4</v>
      </c>
      <c r="M289" s="597" t="n"/>
      <c r="N289" s="601">
        <f>(L289-L290)/L290</f>
        <v/>
      </c>
      <c r="O289" s="601" t="n"/>
      <c r="P289" s="526" t="n"/>
      <c r="Q289" s="526" t="n"/>
      <c r="R289" s="604" t="n"/>
      <c r="S289" s="523">
        <f>C289</f>
        <v/>
      </c>
      <c r="T289" s="523" t="n">
        <v>5349036.68</v>
      </c>
      <c r="U289" s="597" t="n"/>
      <c r="V289" s="599">
        <f>(T289-T290)/T290</f>
        <v/>
      </c>
      <c r="W289" s="599" t="n"/>
      <c r="X289" s="526" t="n"/>
      <c r="Y289" s="526" t="n"/>
      <c r="Z289" s="604" t="n"/>
      <c r="AA289" s="523">
        <f>S289</f>
        <v/>
      </c>
      <c r="AB289" s="605" t="n">
        <v>1620616.86</v>
      </c>
      <c r="AC289" s="597" t="n"/>
      <c r="AD289" s="601">
        <f>(AB289-AB290)/AB290</f>
        <v/>
      </c>
      <c r="AE289" s="601" t="n"/>
      <c r="AF289" s="526" t="n"/>
      <c r="AG289" s="526" t="n"/>
      <c r="AH289" s="604" t="n"/>
      <c r="AI289" s="523">
        <f>C289</f>
        <v/>
      </c>
      <c r="AJ289" s="605" t="n">
        <v>2064521.76</v>
      </c>
      <c r="AK289" s="362" t="n"/>
      <c r="AL289" s="599">
        <f>(AJ289-AJ290)/AJ290</f>
        <v/>
      </c>
      <c r="AM289" s="599" t="n"/>
      <c r="AN289" s="526" t="n"/>
      <c r="AO289" s="526" t="n"/>
      <c r="AP289" s="523" t="n"/>
      <c r="AQ289" s="555">
        <f>C289</f>
        <v/>
      </c>
      <c r="AR289" s="611" t="n">
        <v>3113100</v>
      </c>
      <c r="AS289" s="611" t="n"/>
      <c r="AT289" s="526">
        <f>(AR289-AR290)/AR290</f>
        <v/>
      </c>
      <c r="AU289" s="611" t="n">
        <v>550.53</v>
      </c>
      <c r="AV289" s="613" t="n">
        <v>0.3492</v>
      </c>
      <c r="AW289" s="526" t="n"/>
      <c r="AX289" s="523" t="n"/>
      <c r="AY289" s="523" t="n"/>
      <c r="AZ289" s="523">
        <f>C289</f>
        <v/>
      </c>
      <c r="BA289" s="523" t="n"/>
      <c r="BB289" s="523" t="n"/>
      <c r="BC289" s="523" t="n"/>
      <c r="BD289" s="526" t="n"/>
      <c r="BE289" s="526" t="n"/>
      <c r="BF289" s="526" t="n"/>
      <c r="BG289" s="631" t="n"/>
      <c r="BH289" s="5">
        <f>C289</f>
        <v/>
      </c>
      <c r="BL289" s="19" t="n"/>
      <c r="BM289" s="19" t="n"/>
      <c r="BN289" s="19" t="n"/>
      <c r="BP289" s="5">
        <f>C289</f>
        <v/>
      </c>
      <c r="BQ289" s="633" t="n"/>
      <c r="BT289" s="19" t="n"/>
      <c r="BU289" s="19" t="n"/>
      <c r="BV289" s="19" t="n"/>
      <c r="BX289" s="5">
        <f>C289</f>
        <v/>
      </c>
      <c r="CB289" s="19" t="n"/>
      <c r="CC289" s="19" t="n"/>
      <c r="CD289" s="19" t="n"/>
      <c r="CF289" s="5">
        <f>C289</f>
        <v/>
      </c>
      <c r="CJ289" s="19" t="n"/>
      <c r="CK289" s="19" t="n"/>
      <c r="CL289" s="19" t="n"/>
      <c r="CN289" s="5">
        <f>C289</f>
        <v/>
      </c>
      <c r="CR289" s="19" t="n"/>
      <c r="CS289" s="19" t="n"/>
      <c r="CT289" s="19" t="n"/>
      <c r="CV289" s="5">
        <f>C289</f>
        <v/>
      </c>
      <c r="CZ289" s="19" t="n"/>
      <c r="DA289" s="19" t="n"/>
      <c r="DB289" s="19" t="n"/>
      <c r="DC289" s="23" t="n"/>
      <c r="DD289" s="5">
        <f>C289</f>
        <v/>
      </c>
      <c r="DH289" s="19" t="n"/>
      <c r="DI289" s="19" t="n"/>
      <c r="DJ289" s="19" t="n"/>
      <c r="DL289" s="5">
        <f>C289</f>
        <v/>
      </c>
      <c r="DP289" s="19" t="n"/>
      <c r="DQ289" s="19" t="n"/>
      <c r="DR289" s="19" t="n"/>
      <c r="DT289" s="5">
        <f>C289</f>
        <v/>
      </c>
      <c r="DX289" s="19" t="n"/>
      <c r="DY289" s="19" t="n"/>
      <c r="DZ289" s="19" t="n"/>
      <c r="EB289" s="5">
        <f>C289</f>
        <v/>
      </c>
      <c r="EF289" s="19" t="n"/>
      <c r="EG289" s="19" t="n"/>
      <c r="EH289" s="19" t="n"/>
      <c r="EJ289" s="5">
        <f>C289</f>
        <v/>
      </c>
      <c r="EN289" s="19" t="n"/>
      <c r="EO289" s="19" t="n"/>
      <c r="EP289" s="19" t="n"/>
      <c r="EQ289" s="19" t="n"/>
      <c r="ER289" s="5">
        <f>C289</f>
        <v/>
      </c>
      <c r="ES289" s="19" t="n"/>
      <c r="ET289" s="19" t="n"/>
      <c r="EU289" s="19" t="n"/>
      <c r="EV289" s="19" t="n"/>
      <c r="EW289" s="19" t="n"/>
      <c r="EX289" s="19" t="n"/>
      <c r="EZ289" s="5">
        <f>C289</f>
        <v/>
      </c>
      <c r="FD289" s="19" t="n"/>
      <c r="FE289" s="19" t="n"/>
      <c r="FF289" s="19" t="n"/>
      <c r="FG289" s="19" t="n"/>
      <c r="FH289" s="5">
        <f>C289</f>
        <v/>
      </c>
      <c r="FI289" s="633" t="n"/>
      <c r="FL289" s="19" t="n"/>
      <c r="FM289" s="19" t="n"/>
      <c r="FN289" s="19" t="n"/>
      <c r="FP289" s="5">
        <f>C289</f>
        <v/>
      </c>
      <c r="FT289" s="19" t="n"/>
      <c r="FU289" s="19" t="n"/>
      <c r="FV289" s="19" t="n"/>
      <c r="FX289" s="5">
        <f>C289</f>
        <v/>
      </c>
      <c r="GB289" s="19" t="n"/>
      <c r="GC289" s="19" t="n"/>
      <c r="GD289" s="19" t="n"/>
      <c r="GF289" s="5">
        <f>C289</f>
        <v/>
      </c>
      <c r="GJ289" s="19" t="n"/>
      <c r="GK289" s="19" t="n"/>
      <c r="GL289" s="19" t="n"/>
      <c r="GN289" s="5">
        <f>C289</f>
        <v/>
      </c>
      <c r="GR289" s="19" t="n"/>
      <c r="GS289" s="19" t="n"/>
      <c r="GT289" s="19" t="n"/>
      <c r="GV289" s="5">
        <f>C289</f>
        <v/>
      </c>
      <c r="GZ289" s="19" t="n"/>
      <c r="HA289" s="19" t="n"/>
      <c r="HB289" s="19" t="n"/>
      <c r="HD289" s="5">
        <f>C289</f>
        <v/>
      </c>
      <c r="HH289" s="19" t="n"/>
      <c r="HI289" s="19" t="n"/>
      <c r="HJ289" s="19" t="n"/>
      <c r="HL289" s="5">
        <f>C289</f>
        <v/>
      </c>
      <c r="HP289" s="19" t="n"/>
      <c r="HQ289" s="19" t="n"/>
      <c r="HR289" s="19" t="n"/>
      <c r="HT289" s="5">
        <f>C289</f>
        <v/>
      </c>
      <c r="HX289" s="19" t="n"/>
      <c r="HY289" s="19" t="n"/>
      <c r="HZ289" s="19" t="n"/>
      <c r="IB289" s="5">
        <f>C289</f>
        <v/>
      </c>
      <c r="IG289" s="19" t="n"/>
      <c r="IH289" s="19" t="n"/>
      <c r="IJ289" s="5">
        <f>C289</f>
        <v/>
      </c>
      <c r="IN289" s="19" t="n"/>
      <c r="IO289" s="19" t="n"/>
      <c r="IP289" s="19" t="n"/>
      <c r="IR289" s="5">
        <f>C289</f>
        <v/>
      </c>
      <c r="IV289" s="19" t="n"/>
      <c r="IW289" s="19" t="n"/>
      <c r="IX289" s="19" t="n"/>
      <c r="IZ289" s="5">
        <f>C289</f>
        <v/>
      </c>
      <c r="JD289" s="19" t="n"/>
      <c r="JE289" s="19" t="n"/>
      <c r="JF289" s="19" t="n"/>
      <c r="JH289" s="5">
        <f>C289</f>
        <v/>
      </c>
      <c r="JL289" s="19" t="n"/>
      <c r="JM289" s="19" t="n"/>
      <c r="JN289" s="19" t="n"/>
      <c r="JO289" s="19" t="n"/>
      <c r="JP289" s="5">
        <f>C289</f>
        <v/>
      </c>
      <c r="JT289" s="19" t="n"/>
      <c r="JU289" s="19" t="n"/>
      <c r="JV289" s="19" t="n"/>
      <c r="JW289" s="19" t="n"/>
      <c r="JX289" s="5">
        <f>C289</f>
        <v/>
      </c>
      <c r="KB289" s="19" t="n"/>
      <c r="KC289" s="19" t="n"/>
      <c r="KD289" s="19" t="n"/>
      <c r="KE289" s="19" t="n"/>
      <c r="KF289" s="5">
        <f>C289</f>
        <v/>
      </c>
      <c r="KG289" s="19" t="n"/>
      <c r="KH289" s="19" t="n"/>
      <c r="KJ289" s="19" t="n"/>
      <c r="KK289" s="19" t="n"/>
      <c r="KL289" s="19" t="n"/>
      <c r="KM289" s="19" t="n"/>
      <c r="KN289" s="5">
        <f>C289</f>
        <v/>
      </c>
      <c r="KR289" s="19" t="n"/>
      <c r="KS289" s="19" t="n"/>
      <c r="KT289" s="19" t="n"/>
      <c r="KV289" s="5">
        <f>C289</f>
        <v/>
      </c>
      <c r="KZ289" s="19" t="n"/>
      <c r="LA289" s="19" t="n"/>
      <c r="LB289" s="19" t="n"/>
      <c r="LD289" s="5">
        <f>C289</f>
        <v/>
      </c>
      <c r="LH289" s="19" t="n"/>
      <c r="LI289" s="19" t="n"/>
      <c r="LJ289" s="19" t="n"/>
      <c r="LL289" s="5">
        <f>C289</f>
        <v/>
      </c>
      <c r="LM289" s="633" t="n"/>
      <c r="LP289" s="19" t="n"/>
      <c r="LQ289" s="19" t="n"/>
      <c r="LR289" s="19" t="n"/>
      <c r="LT289" s="5">
        <f>C289</f>
        <v/>
      </c>
      <c r="LX289" s="19" t="n"/>
      <c r="LY289" s="19" t="n"/>
      <c r="LZ289" s="19" t="n"/>
      <c r="MB289" s="5">
        <f>C289</f>
        <v/>
      </c>
      <c r="MF289" s="19" t="n"/>
      <c r="MG289" s="19" t="n"/>
      <c r="MH289" s="19" t="n"/>
      <c r="MK289" s="5">
        <f>C289</f>
        <v/>
      </c>
      <c r="MM289" s="24" t="n"/>
      <c r="MO289" s="19" t="n"/>
      <c r="MP289" s="19" t="n"/>
      <c r="MQ289" s="19" t="n"/>
      <c r="MR289" s="19" t="n"/>
      <c r="MS289" s="19" t="n"/>
      <c r="MT289" s="25">
        <f>C289</f>
        <v/>
      </c>
      <c r="MX289" s="19" t="n"/>
      <c r="MY289" s="19" t="n"/>
      <c r="MZ289" s="19" t="n"/>
      <c r="NA289" s="19" t="n"/>
      <c r="NB289" s="19" t="n"/>
      <c r="NC289" s="5">
        <f>C289</f>
        <v/>
      </c>
      <c r="NG289" s="19" t="n"/>
      <c r="NH289" s="19" t="n"/>
      <c r="NI289" s="19" t="n"/>
      <c r="NJ289" s="19" t="n"/>
      <c r="NK289" s="19" t="n"/>
      <c r="NM289" s="5">
        <f>C289</f>
        <v/>
      </c>
      <c r="NQ289" s="19" t="n"/>
      <c r="NR289" s="19" t="n"/>
      <c r="NU289" s="5">
        <f>C289</f>
        <v/>
      </c>
      <c r="NY289" s="19" t="n"/>
      <c r="NZ289" s="19" t="n"/>
      <c r="OC289" s="5">
        <f>C289</f>
        <v/>
      </c>
      <c r="OG289" s="19" t="n"/>
      <c r="OH289" s="19" t="n"/>
      <c r="OI289" s="19" t="n"/>
      <c r="OK289" s="5">
        <f>C289</f>
        <v/>
      </c>
      <c r="OO289" s="19" t="n"/>
      <c r="OP289" s="19" t="n"/>
      <c r="OQ289" s="19" t="n"/>
      <c r="OT289" s="25">
        <f>OK289</f>
        <v/>
      </c>
      <c r="OX289" s="19" t="n"/>
    </row>
    <row r="290" ht="21" customFormat="1" customHeight="1" s="5">
      <c r="A290" s="631" t="n"/>
      <c r="B290" s="631" t="n"/>
      <c r="C290" s="731" t="inlineStr">
        <is>
          <t>2025//2//28</t>
        </is>
      </c>
      <c r="D290" s="603" t="n">
        <v>8708898.77</v>
      </c>
      <c r="E290" s="597" t="n"/>
      <c r="F290" s="601">
        <f>(D290-D291)/D291</f>
        <v/>
      </c>
      <c r="G290" s="601" t="n"/>
      <c r="H290" s="526" t="n"/>
      <c r="I290" s="526" t="n"/>
      <c r="J290" s="526" t="n"/>
      <c r="K290" s="523">
        <f>C290</f>
        <v/>
      </c>
      <c r="L290" s="605" t="n">
        <v>6265954.4</v>
      </c>
      <c r="M290" s="597" t="n"/>
      <c r="N290" s="601">
        <f>(L290-L291)/L291</f>
        <v/>
      </c>
      <c r="O290" s="601" t="n"/>
      <c r="P290" s="526" t="n"/>
      <c r="Q290" s="526" t="n"/>
      <c r="R290" s="604" t="n"/>
      <c r="S290" s="523">
        <f>C290</f>
        <v/>
      </c>
      <c r="T290" s="603" t="n">
        <v>5288916.68</v>
      </c>
      <c r="U290" s="597" t="n"/>
      <c r="V290" s="599">
        <f>(T290-T291)/T291</f>
        <v/>
      </c>
      <c r="W290" s="599" t="n"/>
      <c r="X290" s="526" t="n"/>
      <c r="Y290" s="526" t="n"/>
      <c r="Z290" s="604" t="n"/>
      <c r="AA290" s="523">
        <f>S290</f>
        <v/>
      </c>
      <c r="AB290" s="605" t="n">
        <v>1645376.86</v>
      </c>
      <c r="AC290" s="597" t="n"/>
      <c r="AD290" s="601">
        <f>(AB290-AB291)/AB291</f>
        <v/>
      </c>
      <c r="AE290" s="601" t="n"/>
      <c r="AF290" s="526" t="n"/>
      <c r="AG290" s="526" t="n"/>
      <c r="AH290" s="604" t="n"/>
      <c r="AI290" s="523">
        <f>C290</f>
        <v/>
      </c>
      <c r="AJ290" s="605" t="n">
        <v>2155521.76</v>
      </c>
      <c r="AK290" s="362" t="n"/>
      <c r="AL290" s="599">
        <f>(AJ290-AJ291)/AJ291</f>
        <v/>
      </c>
      <c r="AM290" s="599" t="n"/>
      <c r="AN290" s="526" t="n"/>
      <c r="AO290" s="526" t="n"/>
      <c r="AP290" s="523" t="n"/>
      <c r="AQ290" s="555">
        <f>C290</f>
        <v/>
      </c>
      <c r="AR290" s="611" t="n">
        <v>2214800</v>
      </c>
      <c r="AS290" s="611" t="n"/>
      <c r="AT290" s="526">
        <f>(AR290-AR291)/AR291</f>
        <v/>
      </c>
      <c r="AU290" s="611" t="n">
        <v>408.06</v>
      </c>
      <c r="AV290" s="613" t="n">
        <v>0.0255</v>
      </c>
      <c r="AW290" s="526" t="n"/>
      <c r="AX290" s="523" t="n"/>
      <c r="AY290" s="523" t="n"/>
      <c r="AZ290" s="523">
        <f>C290</f>
        <v/>
      </c>
      <c r="BA290" s="523" t="n"/>
      <c r="BB290" s="523" t="n"/>
      <c r="BC290" s="523" t="n"/>
      <c r="BD290" s="526" t="n"/>
      <c r="BE290" s="526" t="n"/>
      <c r="BF290" s="526" t="n"/>
      <c r="BG290" s="631" t="n"/>
      <c r="BH290" s="5">
        <f>C290</f>
        <v/>
      </c>
      <c r="BL290" s="19" t="n"/>
      <c r="BM290" s="19" t="n"/>
      <c r="BN290" s="19" t="n"/>
      <c r="BP290" s="5">
        <f>C290</f>
        <v/>
      </c>
      <c r="BQ290" s="633" t="n"/>
      <c r="BT290" s="19" t="n"/>
      <c r="BU290" s="19" t="n"/>
      <c r="BV290" s="19" t="n"/>
      <c r="BX290" s="5">
        <f>C290</f>
        <v/>
      </c>
      <c r="CB290" s="19" t="n"/>
      <c r="CC290" s="19" t="n"/>
      <c r="CD290" s="19" t="n"/>
      <c r="CF290" s="5">
        <f>C290</f>
        <v/>
      </c>
      <c r="CJ290" s="19" t="n"/>
      <c r="CK290" s="19" t="n"/>
      <c r="CL290" s="19" t="n"/>
      <c r="CN290" s="5">
        <f>C290</f>
        <v/>
      </c>
      <c r="CR290" s="19" t="n"/>
      <c r="CS290" s="19" t="n"/>
      <c r="CT290" s="19" t="n"/>
      <c r="CV290" s="5">
        <f>C290</f>
        <v/>
      </c>
      <c r="CZ290" s="19" t="n"/>
      <c r="DA290" s="19" t="n"/>
      <c r="DB290" s="19" t="n"/>
      <c r="DC290" s="23" t="n"/>
      <c r="DD290" s="5">
        <f>C290</f>
        <v/>
      </c>
      <c r="DH290" s="19" t="n"/>
      <c r="DI290" s="19" t="n"/>
      <c r="DJ290" s="19" t="n"/>
      <c r="DL290" s="5">
        <f>C290</f>
        <v/>
      </c>
      <c r="DP290" s="19" t="n"/>
      <c r="DQ290" s="19" t="n"/>
      <c r="DR290" s="19" t="n"/>
      <c r="DT290" s="5">
        <f>C290</f>
        <v/>
      </c>
      <c r="DX290" s="19" t="n"/>
      <c r="DY290" s="19" t="n"/>
      <c r="DZ290" s="19" t="n"/>
      <c r="EB290" s="5">
        <f>C290</f>
        <v/>
      </c>
      <c r="EF290" s="19" t="n"/>
      <c r="EG290" s="19" t="n"/>
      <c r="EH290" s="19" t="n"/>
      <c r="EJ290" s="5">
        <f>C290</f>
        <v/>
      </c>
      <c r="EN290" s="19" t="n"/>
      <c r="EO290" s="19" t="n"/>
      <c r="EP290" s="19" t="n"/>
      <c r="EQ290" s="19" t="n"/>
      <c r="ER290" s="5">
        <f>C290</f>
        <v/>
      </c>
      <c r="ES290" s="19" t="n"/>
      <c r="ET290" s="19" t="n"/>
      <c r="EU290" s="19" t="n"/>
      <c r="EV290" s="19" t="n"/>
      <c r="EW290" s="19" t="n"/>
      <c r="EX290" s="19" t="n"/>
      <c r="EZ290" s="5">
        <f>C290</f>
        <v/>
      </c>
      <c r="FD290" s="19" t="n"/>
      <c r="FE290" s="19" t="n"/>
      <c r="FF290" s="19" t="n"/>
      <c r="FG290" s="19" t="n"/>
      <c r="FH290" s="5">
        <f>C290</f>
        <v/>
      </c>
      <c r="FI290" s="633" t="n"/>
      <c r="FL290" s="19" t="n"/>
      <c r="FM290" s="19" t="n"/>
      <c r="FN290" s="19" t="n"/>
      <c r="FP290" s="5">
        <f>C290</f>
        <v/>
      </c>
      <c r="FT290" s="19" t="n"/>
      <c r="FU290" s="19" t="n"/>
      <c r="FV290" s="19" t="n"/>
      <c r="FX290" s="5">
        <f>C290</f>
        <v/>
      </c>
      <c r="GB290" s="19" t="n"/>
      <c r="GC290" s="19" t="n"/>
      <c r="GD290" s="19" t="n"/>
      <c r="GF290" s="5">
        <f>C290</f>
        <v/>
      </c>
      <c r="GJ290" s="19" t="n"/>
      <c r="GK290" s="19" t="n"/>
      <c r="GL290" s="19" t="n"/>
      <c r="GN290" s="5">
        <f>C290</f>
        <v/>
      </c>
      <c r="GR290" s="19" t="n"/>
      <c r="GS290" s="19" t="n"/>
      <c r="GT290" s="19" t="n"/>
      <c r="GV290" s="5">
        <f>C290</f>
        <v/>
      </c>
      <c r="GZ290" s="19" t="n"/>
      <c r="HA290" s="19" t="n"/>
      <c r="HB290" s="19" t="n"/>
      <c r="HD290" s="5">
        <f>C290</f>
        <v/>
      </c>
      <c r="HH290" s="19" t="n"/>
      <c r="HI290" s="19" t="n"/>
      <c r="HJ290" s="19" t="n"/>
      <c r="HL290" s="5">
        <f>C290</f>
        <v/>
      </c>
      <c r="HP290" s="19" t="n"/>
      <c r="HQ290" s="19" t="n"/>
      <c r="HR290" s="19" t="n"/>
      <c r="HT290" s="5">
        <f>C290</f>
        <v/>
      </c>
      <c r="HX290" s="19" t="n"/>
      <c r="HY290" s="19" t="n"/>
      <c r="HZ290" s="19" t="n"/>
      <c r="IB290" s="5">
        <f>C290</f>
        <v/>
      </c>
      <c r="IG290" s="19" t="n"/>
      <c r="IH290" s="19" t="n"/>
      <c r="IJ290" s="5">
        <f>C290</f>
        <v/>
      </c>
      <c r="IN290" s="19" t="n"/>
      <c r="IO290" s="19" t="n"/>
      <c r="IP290" s="19" t="n"/>
      <c r="IR290" s="5">
        <f>C290</f>
        <v/>
      </c>
      <c r="IV290" s="19" t="n"/>
      <c r="IW290" s="19" t="n"/>
      <c r="IX290" s="19" t="n"/>
      <c r="IZ290" s="5">
        <f>C290</f>
        <v/>
      </c>
      <c r="JD290" s="19" t="n"/>
      <c r="JE290" s="19" t="n"/>
      <c r="JF290" s="19" t="n"/>
      <c r="JH290" s="5">
        <f>C290</f>
        <v/>
      </c>
      <c r="JL290" s="19" t="n"/>
      <c r="JM290" s="19" t="n"/>
      <c r="JN290" s="19" t="n"/>
      <c r="JO290" s="19" t="n"/>
      <c r="JP290" s="5">
        <f>C290</f>
        <v/>
      </c>
      <c r="JT290" s="19" t="n"/>
      <c r="JU290" s="19" t="n"/>
      <c r="JV290" s="19" t="n"/>
      <c r="JW290" s="19" t="n"/>
      <c r="JX290" s="5">
        <f>C290</f>
        <v/>
      </c>
      <c r="KB290" s="19" t="n"/>
      <c r="KC290" s="19" t="n"/>
      <c r="KD290" s="19" t="n"/>
      <c r="KE290" s="19" t="n"/>
      <c r="KF290" s="5">
        <f>C290</f>
        <v/>
      </c>
      <c r="KG290" s="19" t="n"/>
      <c r="KH290" s="19" t="n"/>
      <c r="KJ290" s="19" t="n"/>
      <c r="KK290" s="19" t="n"/>
      <c r="KL290" s="19" t="n"/>
      <c r="KM290" s="19" t="n"/>
      <c r="KN290" s="5">
        <f>C290</f>
        <v/>
      </c>
      <c r="KR290" s="19" t="n"/>
      <c r="KS290" s="19" t="n"/>
      <c r="KT290" s="19" t="n"/>
      <c r="KV290" s="5">
        <f>C290</f>
        <v/>
      </c>
      <c r="KZ290" s="19" t="n"/>
      <c r="LA290" s="19" t="n"/>
      <c r="LB290" s="19" t="n"/>
      <c r="LD290" s="5">
        <f>C290</f>
        <v/>
      </c>
      <c r="LH290" s="19" t="n"/>
      <c r="LI290" s="19" t="n"/>
      <c r="LJ290" s="19" t="n"/>
      <c r="LL290" s="5">
        <f>C290</f>
        <v/>
      </c>
      <c r="LM290" s="633" t="n"/>
      <c r="LP290" s="19" t="n"/>
      <c r="LQ290" s="19" t="n"/>
      <c r="LR290" s="19" t="n"/>
      <c r="LT290" s="5">
        <f>C290</f>
        <v/>
      </c>
      <c r="LX290" s="19" t="n"/>
      <c r="LY290" s="19" t="n"/>
      <c r="LZ290" s="19" t="n"/>
      <c r="MB290" s="5">
        <f>C290</f>
        <v/>
      </c>
      <c r="MF290" s="19" t="n"/>
      <c r="MG290" s="19" t="n"/>
      <c r="MH290" s="19" t="n"/>
      <c r="MK290" s="5">
        <f>C290</f>
        <v/>
      </c>
      <c r="MM290" s="24" t="n"/>
      <c r="MO290" s="19" t="n"/>
      <c r="MP290" s="19" t="n"/>
      <c r="MQ290" s="19" t="n"/>
      <c r="MR290" s="19" t="n"/>
      <c r="MS290" s="19" t="n"/>
      <c r="MT290" s="25">
        <f>C290</f>
        <v/>
      </c>
      <c r="MX290" s="19" t="n"/>
      <c r="MY290" s="19" t="n"/>
      <c r="MZ290" s="19" t="n"/>
      <c r="NA290" s="19" t="n"/>
      <c r="NB290" s="19" t="n"/>
      <c r="NC290" s="5">
        <f>C290</f>
        <v/>
      </c>
      <c r="NG290" s="19" t="n"/>
      <c r="NH290" s="19" t="n"/>
      <c r="NI290" s="19" t="n"/>
      <c r="NJ290" s="19" t="n"/>
      <c r="NK290" s="19" t="n"/>
      <c r="NM290" s="5">
        <f>C290</f>
        <v/>
      </c>
      <c r="NQ290" s="19" t="n"/>
      <c r="NR290" s="19" t="n"/>
      <c r="NU290" s="5">
        <f>C290</f>
        <v/>
      </c>
      <c r="NY290" s="19" t="n"/>
      <c r="NZ290" s="19" t="n"/>
      <c r="OC290" s="5">
        <f>C290</f>
        <v/>
      </c>
      <c r="OG290" s="19" t="n"/>
      <c r="OH290" s="19" t="n"/>
      <c r="OI290" s="19" t="n"/>
      <c r="OK290" s="5">
        <f>C290</f>
        <v/>
      </c>
      <c r="OO290" s="19" t="n"/>
      <c r="OP290" s="19" t="n"/>
      <c r="OQ290" s="19" t="n"/>
      <c r="OT290" s="25">
        <f>OK290</f>
        <v/>
      </c>
      <c r="OX290" s="19" t="n"/>
    </row>
    <row r="291" ht="21" customFormat="1" customHeight="1" s="5">
      <c r="A291" s="631" t="n"/>
      <c r="B291" s="631" t="n"/>
      <c r="C291" s="731" t="inlineStr">
        <is>
          <t>2025//1//27</t>
        </is>
      </c>
      <c r="D291" s="523" t="n">
        <v>9015618.77</v>
      </c>
      <c r="E291" s="597" t="n"/>
      <c r="F291" s="601">
        <f>(D291-D292)/D292</f>
        <v/>
      </c>
      <c r="G291" s="601" t="n"/>
      <c r="H291" s="526" t="n"/>
      <c r="I291" s="526" t="n"/>
      <c r="J291" s="526" t="n"/>
      <c r="K291" s="523">
        <f>C291</f>
        <v/>
      </c>
      <c r="L291" s="605" t="n">
        <v>6432904.4</v>
      </c>
      <c r="M291" s="597" t="n"/>
      <c r="N291" s="601">
        <f>(L291-L292)/L292</f>
        <v/>
      </c>
      <c r="O291" s="601" t="n"/>
      <c r="P291" s="526" t="n"/>
      <c r="Q291" s="526" t="n"/>
      <c r="R291" s="604" t="n"/>
      <c r="S291" s="523">
        <f>C291</f>
        <v/>
      </c>
      <c r="T291" s="523" t="n">
        <v>5456136.68</v>
      </c>
      <c r="U291" s="597" t="n"/>
      <c r="V291" s="599">
        <f>(T291-T292)/T292</f>
        <v/>
      </c>
      <c r="W291" s="599" t="n"/>
      <c r="X291" s="526" t="n"/>
      <c r="Y291" s="526" t="n"/>
      <c r="Z291" s="604" t="n"/>
      <c r="AA291" s="523">
        <f>S291</f>
        <v/>
      </c>
      <c r="AB291" s="605" t="n">
        <v>1769416.86</v>
      </c>
      <c r="AC291" s="597" t="n"/>
      <c r="AD291" s="601">
        <f>(AB291-AB292)/AB292</f>
        <v/>
      </c>
      <c r="AE291" s="601" t="n"/>
      <c r="AF291" s="526" t="n"/>
      <c r="AG291" s="526" t="n"/>
      <c r="AH291" s="604" t="n"/>
      <c r="AI291" s="523">
        <f>C291</f>
        <v/>
      </c>
      <c r="AJ291" s="605" t="n">
        <v>2282921.76</v>
      </c>
      <c r="AK291" s="362" t="n"/>
      <c r="AL291" s="599">
        <f>(AJ291-AJ292)/AJ292</f>
        <v/>
      </c>
      <c r="AM291" s="599" t="n"/>
      <c r="AN291" s="526" t="n"/>
      <c r="AO291" s="526" t="n"/>
      <c r="AP291" s="523" t="n"/>
      <c r="AQ291" s="555">
        <f>C291</f>
        <v/>
      </c>
      <c r="AR291" s="611" t="n">
        <v>2037200</v>
      </c>
      <c r="AS291" s="611" t="n"/>
      <c r="AT291" s="526">
        <f>(AR291-AR292)/AR292</f>
        <v/>
      </c>
      <c r="AU291" s="611" t="n">
        <v>397.92</v>
      </c>
      <c r="AV291" s="613" t="n">
        <v>0.0202</v>
      </c>
      <c r="AW291" s="526" t="n"/>
      <c r="AX291" s="523" t="n"/>
      <c r="AY291" s="523" t="n"/>
      <c r="AZ291" s="523">
        <f>C291</f>
        <v/>
      </c>
      <c r="BA291" s="523" t="n"/>
      <c r="BB291" s="523" t="n"/>
      <c r="BC291" s="523" t="n"/>
      <c r="BD291" s="526" t="n"/>
      <c r="BE291" s="526" t="n"/>
      <c r="BF291" s="526" t="n"/>
      <c r="BG291" s="631" t="n"/>
      <c r="BH291" s="5">
        <f>C291</f>
        <v/>
      </c>
      <c r="BL291" s="19" t="n"/>
      <c r="BM291" s="19" t="n"/>
      <c r="BN291" s="19" t="n"/>
      <c r="BP291" s="5">
        <f>C291</f>
        <v/>
      </c>
      <c r="BQ291" s="633" t="n"/>
      <c r="BT291" s="19" t="n"/>
      <c r="BU291" s="19" t="n"/>
      <c r="BV291" s="19" t="n"/>
      <c r="BX291" s="5">
        <f>C291</f>
        <v/>
      </c>
      <c r="CB291" s="19" t="n"/>
      <c r="CC291" s="19" t="n"/>
      <c r="CD291" s="19" t="n"/>
      <c r="CF291" s="5">
        <f>C291</f>
        <v/>
      </c>
      <c r="CJ291" s="19" t="n"/>
      <c r="CK291" s="19" t="n"/>
      <c r="CL291" s="19" t="n"/>
      <c r="CN291" s="5">
        <f>C291</f>
        <v/>
      </c>
      <c r="CR291" s="19" t="n"/>
      <c r="CS291" s="19" t="n"/>
      <c r="CT291" s="19" t="n"/>
      <c r="CV291" s="5">
        <f>C291</f>
        <v/>
      </c>
      <c r="CZ291" s="19" t="n"/>
      <c r="DA291" s="19" t="n"/>
      <c r="DB291" s="19" t="n"/>
      <c r="DC291" s="23" t="n"/>
      <c r="DD291" s="5">
        <f>C291</f>
        <v/>
      </c>
      <c r="DH291" s="19" t="n"/>
      <c r="DI291" s="19" t="n"/>
      <c r="DJ291" s="19" t="n"/>
      <c r="DL291" s="5">
        <f>C291</f>
        <v/>
      </c>
      <c r="DP291" s="19" t="n"/>
      <c r="DQ291" s="19" t="n"/>
      <c r="DR291" s="19" t="n"/>
      <c r="DT291" s="5">
        <f>C291</f>
        <v/>
      </c>
      <c r="DX291" s="19" t="n"/>
      <c r="DY291" s="19" t="n"/>
      <c r="DZ291" s="19" t="n"/>
      <c r="EB291" s="5">
        <f>C291</f>
        <v/>
      </c>
      <c r="EF291" s="19" t="n"/>
      <c r="EG291" s="19" t="n"/>
      <c r="EH291" s="19" t="n"/>
      <c r="EJ291" s="5">
        <f>C291</f>
        <v/>
      </c>
      <c r="EN291" s="19" t="n"/>
      <c r="EO291" s="19" t="n"/>
      <c r="EP291" s="19" t="n"/>
      <c r="EQ291" s="19" t="n"/>
      <c r="ER291" s="5">
        <f>C291</f>
        <v/>
      </c>
      <c r="ES291" s="19" t="n"/>
      <c r="ET291" s="19" t="n"/>
      <c r="EU291" s="19" t="n"/>
      <c r="EV291" s="19" t="n"/>
      <c r="EW291" s="19" t="n"/>
      <c r="EX291" s="19" t="n"/>
      <c r="EZ291" s="5">
        <f>C291</f>
        <v/>
      </c>
      <c r="FD291" s="19" t="n"/>
      <c r="FE291" s="19" t="n"/>
      <c r="FF291" s="19" t="n"/>
      <c r="FG291" s="19" t="n"/>
      <c r="FH291" s="5">
        <f>C291</f>
        <v/>
      </c>
      <c r="FI291" s="633" t="n"/>
      <c r="FL291" s="19" t="n"/>
      <c r="FM291" s="19" t="n"/>
      <c r="FN291" s="19" t="n"/>
      <c r="FP291" s="5">
        <f>C291</f>
        <v/>
      </c>
      <c r="FT291" s="19" t="n"/>
      <c r="FU291" s="19" t="n"/>
      <c r="FV291" s="19" t="n"/>
      <c r="FX291" s="5">
        <f>C291</f>
        <v/>
      </c>
      <c r="GB291" s="19" t="n"/>
      <c r="GC291" s="19" t="n"/>
      <c r="GD291" s="19" t="n"/>
      <c r="GF291" s="5">
        <f>C291</f>
        <v/>
      </c>
      <c r="GJ291" s="19" t="n"/>
      <c r="GK291" s="19" t="n"/>
      <c r="GL291" s="19" t="n"/>
      <c r="GN291" s="5">
        <f>C291</f>
        <v/>
      </c>
      <c r="GR291" s="19" t="n"/>
      <c r="GS291" s="19" t="n"/>
      <c r="GT291" s="19" t="n"/>
      <c r="GV291" s="5">
        <f>C291</f>
        <v/>
      </c>
      <c r="GZ291" s="19" t="n"/>
      <c r="HA291" s="19" t="n"/>
      <c r="HB291" s="19" t="n"/>
      <c r="HD291" s="5">
        <f>C291</f>
        <v/>
      </c>
      <c r="HH291" s="19" t="n"/>
      <c r="HI291" s="19" t="n"/>
      <c r="HJ291" s="19" t="n"/>
      <c r="HL291" s="5">
        <f>C291</f>
        <v/>
      </c>
      <c r="HP291" s="19" t="n"/>
      <c r="HQ291" s="19" t="n"/>
      <c r="HR291" s="19" t="n"/>
      <c r="HT291" s="5">
        <f>C291</f>
        <v/>
      </c>
      <c r="HX291" s="19" t="n"/>
      <c r="HY291" s="19" t="n"/>
      <c r="HZ291" s="19" t="n"/>
      <c r="IB291" s="5">
        <f>C291</f>
        <v/>
      </c>
      <c r="IG291" s="19" t="n"/>
      <c r="IH291" s="19" t="n"/>
      <c r="IJ291" s="5">
        <f>C291</f>
        <v/>
      </c>
      <c r="IN291" s="19" t="n"/>
      <c r="IO291" s="19" t="n"/>
      <c r="IP291" s="19" t="n"/>
      <c r="IR291" s="5">
        <f>C291</f>
        <v/>
      </c>
      <c r="IV291" s="19" t="n"/>
      <c r="IW291" s="19" t="n"/>
      <c r="IX291" s="19" t="n"/>
      <c r="IZ291" s="5">
        <f>C291</f>
        <v/>
      </c>
      <c r="JD291" s="19" t="n"/>
      <c r="JE291" s="19" t="n"/>
      <c r="JF291" s="19" t="n"/>
      <c r="JH291" s="5">
        <f>C291</f>
        <v/>
      </c>
      <c r="JL291" s="19" t="n"/>
      <c r="JM291" s="19" t="n"/>
      <c r="JN291" s="19" t="n"/>
      <c r="JO291" s="19" t="n"/>
      <c r="JP291" s="5">
        <f>C291</f>
        <v/>
      </c>
      <c r="JT291" s="19" t="n"/>
      <c r="JU291" s="19" t="n"/>
      <c r="JV291" s="19" t="n"/>
      <c r="JW291" s="19" t="n"/>
      <c r="JX291" s="5">
        <f>C291</f>
        <v/>
      </c>
      <c r="KB291" s="19" t="n"/>
      <c r="KC291" s="19" t="n"/>
      <c r="KD291" s="19" t="n"/>
      <c r="KE291" s="19" t="n"/>
      <c r="KF291" s="5">
        <f>C291</f>
        <v/>
      </c>
      <c r="KG291" s="19" t="n"/>
      <c r="KH291" s="19" t="n"/>
      <c r="KJ291" s="19" t="n"/>
      <c r="KK291" s="19" t="n"/>
      <c r="KL291" s="19" t="n"/>
      <c r="KM291" s="19" t="n"/>
      <c r="KN291" s="5">
        <f>C291</f>
        <v/>
      </c>
      <c r="KR291" s="19" t="n"/>
      <c r="KS291" s="19" t="n"/>
      <c r="KT291" s="19" t="n"/>
      <c r="KV291" s="5">
        <f>C291</f>
        <v/>
      </c>
      <c r="KZ291" s="19" t="n"/>
      <c r="LA291" s="19" t="n"/>
      <c r="LB291" s="19" t="n"/>
      <c r="LD291" s="5">
        <f>C291</f>
        <v/>
      </c>
      <c r="LH291" s="19" t="n"/>
      <c r="LI291" s="19" t="n"/>
      <c r="LJ291" s="19" t="n"/>
      <c r="LL291" s="5">
        <f>C291</f>
        <v/>
      </c>
      <c r="LM291" s="633" t="n"/>
      <c r="LP291" s="19" t="n"/>
      <c r="LQ291" s="19" t="n"/>
      <c r="LR291" s="19" t="n"/>
      <c r="LT291" s="5">
        <f>C291</f>
        <v/>
      </c>
      <c r="LX291" s="19" t="n"/>
      <c r="LY291" s="19" t="n"/>
      <c r="LZ291" s="19" t="n"/>
      <c r="MB291" s="5">
        <f>C291</f>
        <v/>
      </c>
      <c r="MF291" s="19" t="n"/>
      <c r="MG291" s="19" t="n"/>
      <c r="MH291" s="19" t="n"/>
      <c r="MK291" s="5">
        <f>C291</f>
        <v/>
      </c>
      <c r="MM291" s="24" t="n"/>
      <c r="MO291" s="19" t="n"/>
      <c r="MP291" s="19" t="n"/>
      <c r="MQ291" s="19" t="n"/>
      <c r="MR291" s="19" t="n"/>
      <c r="MS291" s="19" t="n"/>
      <c r="MT291" s="25">
        <f>C291</f>
        <v/>
      </c>
      <c r="MX291" s="19" t="n"/>
      <c r="MY291" s="19" t="n"/>
      <c r="MZ291" s="19" t="n"/>
      <c r="NA291" s="19" t="n"/>
      <c r="NB291" s="19" t="n"/>
      <c r="NC291" s="5">
        <f>C291</f>
        <v/>
      </c>
      <c r="NG291" s="19" t="n"/>
      <c r="NH291" s="19" t="n"/>
      <c r="NI291" s="19" t="n"/>
      <c r="NJ291" s="19" t="n"/>
      <c r="NK291" s="19" t="n"/>
      <c r="NM291" s="5">
        <f>C291</f>
        <v/>
      </c>
      <c r="NQ291" s="19" t="n"/>
      <c r="NR291" s="19" t="n"/>
      <c r="NU291" s="5">
        <f>C291</f>
        <v/>
      </c>
      <c r="NY291" s="19" t="n"/>
      <c r="NZ291" s="19" t="n"/>
      <c r="OC291" s="5">
        <f>C291</f>
        <v/>
      </c>
      <c r="OG291" s="19" t="n"/>
      <c r="OH291" s="19" t="n"/>
      <c r="OI291" s="19" t="n"/>
      <c r="OK291" s="5">
        <f>C291</f>
        <v/>
      </c>
      <c r="OO291" s="19" t="n"/>
      <c r="OP291" s="19" t="n"/>
      <c r="OQ291" s="19" t="n"/>
      <c r="OT291" s="25">
        <f>OK291</f>
        <v/>
      </c>
      <c r="OX291" s="19" t="n"/>
    </row>
    <row r="292" ht="21" customFormat="1" customHeight="1" s="5">
      <c r="A292" s="733" t="n"/>
      <c r="B292" s="733" t="n"/>
      <c r="C292" s="734" t="inlineStr">
        <is>
          <t>2024//12//31</t>
        </is>
      </c>
      <c r="D292" s="621" t="n">
        <v>8938668.77</v>
      </c>
      <c r="E292" s="622" t="n"/>
      <c r="F292" s="623">
        <f>(D292-D293)/D293</f>
        <v/>
      </c>
      <c r="G292" s="623" t="n"/>
      <c r="H292" s="624" t="n"/>
      <c r="I292" s="624" t="n"/>
      <c r="J292" s="624" t="n"/>
      <c r="K292" s="621">
        <f>C292</f>
        <v/>
      </c>
      <c r="L292" s="625" t="n">
        <v>6373414.4</v>
      </c>
      <c r="M292" s="622" t="n"/>
      <c r="N292" s="623">
        <f>(L292-L293)/L293</f>
        <v/>
      </c>
      <c r="O292" s="623" t="n"/>
      <c r="P292" s="624" t="n"/>
      <c r="Q292" s="624" t="n"/>
      <c r="R292" s="626" t="n"/>
      <c r="S292" s="621">
        <f>C292</f>
        <v/>
      </c>
      <c r="T292" s="621" t="n">
        <v>5533266.68</v>
      </c>
      <c r="U292" s="622" t="n"/>
      <c r="V292" s="623">
        <f>(T292-T293)/T293</f>
        <v/>
      </c>
      <c r="W292" s="623" t="n"/>
      <c r="X292" s="624" t="n"/>
      <c r="Y292" s="624" t="n"/>
      <c r="Z292" s="626" t="n"/>
      <c r="AA292" s="621">
        <f>S292</f>
        <v/>
      </c>
      <c r="AB292" s="625" t="n">
        <v>1749256.86</v>
      </c>
      <c r="AC292" s="622" t="n"/>
      <c r="AD292" s="601">
        <f>(AB292-AB293)/AB293</f>
        <v/>
      </c>
      <c r="AE292" s="623" t="n"/>
      <c r="AF292" s="624" t="n"/>
      <c r="AG292" s="624" t="n"/>
      <c r="AH292" s="626" t="n"/>
      <c r="AI292" s="621">
        <f>C292</f>
        <v/>
      </c>
      <c r="AJ292" s="625" t="n">
        <v>2225321.76</v>
      </c>
      <c r="AK292" s="627" t="n"/>
      <c r="AL292" s="599">
        <f>(AJ292-AJ293)/AJ293</f>
        <v/>
      </c>
      <c r="AM292" s="623" t="n"/>
      <c r="AN292" s="624" t="n"/>
      <c r="AO292" s="624" t="n"/>
      <c r="AP292" s="621" t="n"/>
      <c r="AQ292" s="555">
        <f>C292</f>
        <v/>
      </c>
      <c r="AR292" s="611" t="n">
        <v>1805600</v>
      </c>
      <c r="AS292" s="611" t="n"/>
      <c r="AT292" s="624">
        <f>(AR292-AR293)/AR293</f>
        <v/>
      </c>
      <c r="AU292" s="611" t="n">
        <v>390.03</v>
      </c>
      <c r="AV292" s="613" t="n">
        <v>0.1599</v>
      </c>
      <c r="AW292" s="624" t="n"/>
      <c r="AX292" s="621" t="n"/>
      <c r="AY292" s="621" t="n"/>
      <c r="AZ292" s="621">
        <f>C292</f>
        <v/>
      </c>
      <c r="BA292" s="621" t="n"/>
      <c r="BB292" s="621" t="n"/>
      <c r="BC292" s="621" t="n"/>
      <c r="BD292" s="624" t="n"/>
      <c r="BE292" s="624" t="n"/>
      <c r="BF292" s="624" t="n"/>
      <c r="BG292" s="631" t="n"/>
      <c r="BH292" s="5">
        <f>C292</f>
        <v/>
      </c>
      <c r="BL292" s="19" t="n"/>
      <c r="BM292" s="19" t="n"/>
      <c r="BN292" s="19" t="n"/>
      <c r="BP292" s="5">
        <f>C292</f>
        <v/>
      </c>
      <c r="BQ292" s="633" t="n"/>
      <c r="BT292" s="19" t="n"/>
      <c r="BU292" s="19" t="n"/>
      <c r="BV292" s="19" t="n"/>
      <c r="BX292" s="5">
        <f>C292</f>
        <v/>
      </c>
      <c r="CB292" s="19" t="n"/>
      <c r="CC292" s="19" t="n"/>
      <c r="CD292" s="19" t="n"/>
      <c r="CF292" s="5">
        <f>C292</f>
        <v/>
      </c>
      <c r="CJ292" s="19" t="n"/>
      <c r="CK292" s="19" t="n"/>
      <c r="CL292" s="19" t="n"/>
      <c r="CN292" s="5">
        <f>C292</f>
        <v/>
      </c>
      <c r="CR292" s="19" t="n"/>
      <c r="CS292" s="19" t="n"/>
      <c r="CT292" s="19" t="n"/>
      <c r="CV292" s="5">
        <f>C292</f>
        <v/>
      </c>
      <c r="CZ292" s="19" t="n"/>
      <c r="DA292" s="19" t="n"/>
      <c r="DB292" s="19" t="n"/>
      <c r="DC292" s="23" t="n"/>
      <c r="DD292" s="5">
        <f>C292</f>
        <v/>
      </c>
      <c r="DH292" s="19" t="n"/>
      <c r="DI292" s="19" t="n"/>
      <c r="DJ292" s="19" t="n"/>
      <c r="DL292" s="5">
        <f>C292</f>
        <v/>
      </c>
      <c r="DP292" s="19" t="n"/>
      <c r="DQ292" s="19" t="n"/>
      <c r="DR292" s="19" t="n"/>
      <c r="DT292" s="5">
        <f>C292</f>
        <v/>
      </c>
      <c r="DX292" s="19" t="n"/>
      <c r="DY292" s="19" t="n"/>
      <c r="DZ292" s="19" t="n"/>
      <c r="EB292" s="5">
        <f>C292</f>
        <v/>
      </c>
      <c r="EF292" s="19" t="n"/>
      <c r="EG292" s="19" t="n"/>
      <c r="EH292" s="19" t="n"/>
      <c r="EJ292" s="5">
        <f>C292</f>
        <v/>
      </c>
      <c r="EN292" s="19" t="n"/>
      <c r="EO292" s="19" t="n"/>
      <c r="EP292" s="19" t="n"/>
      <c r="EQ292" s="19" t="n"/>
      <c r="ER292" s="5">
        <f>C292</f>
        <v/>
      </c>
      <c r="ES292" s="19" t="n"/>
      <c r="ET292" s="19" t="n"/>
      <c r="EU292" s="19" t="n"/>
      <c r="EV292" s="19" t="n"/>
      <c r="EW292" s="19" t="n"/>
      <c r="EX292" s="19" t="n"/>
      <c r="EZ292" s="5">
        <f>C292</f>
        <v/>
      </c>
      <c r="FD292" s="19" t="n"/>
      <c r="FE292" s="19" t="n"/>
      <c r="FF292" s="19" t="n"/>
      <c r="FG292" s="19" t="n"/>
      <c r="FH292" s="5">
        <f>C292</f>
        <v/>
      </c>
      <c r="FI292" s="633" t="n"/>
      <c r="FL292" s="19" t="n"/>
      <c r="FM292" s="19" t="n"/>
      <c r="FN292" s="19" t="n"/>
      <c r="FP292" s="5">
        <f>C292</f>
        <v/>
      </c>
      <c r="FT292" s="19" t="n"/>
      <c r="FU292" s="19" t="n"/>
      <c r="FV292" s="19" t="n"/>
      <c r="FX292" s="5">
        <f>C292</f>
        <v/>
      </c>
      <c r="GB292" s="19" t="n"/>
      <c r="GC292" s="19" t="n"/>
      <c r="GD292" s="19" t="n"/>
      <c r="GF292" s="5">
        <f>C292</f>
        <v/>
      </c>
      <c r="GJ292" s="19" t="n"/>
      <c r="GK292" s="19" t="n"/>
      <c r="GL292" s="19" t="n"/>
      <c r="GN292" s="5">
        <f>C292</f>
        <v/>
      </c>
      <c r="GR292" s="19" t="n"/>
      <c r="GS292" s="19" t="n"/>
      <c r="GT292" s="19" t="n"/>
      <c r="GV292" s="5">
        <f>C292</f>
        <v/>
      </c>
      <c r="GZ292" s="19" t="n"/>
      <c r="HA292" s="19" t="n"/>
      <c r="HB292" s="19" t="n"/>
      <c r="HD292" s="5">
        <f>C292</f>
        <v/>
      </c>
      <c r="HH292" s="19" t="n"/>
      <c r="HI292" s="19" t="n"/>
      <c r="HJ292" s="19" t="n"/>
      <c r="HL292" s="5">
        <f>C292</f>
        <v/>
      </c>
      <c r="HP292" s="19" t="n"/>
      <c r="HQ292" s="19" t="n"/>
      <c r="HR292" s="19" t="n"/>
      <c r="HT292" s="5">
        <f>C292</f>
        <v/>
      </c>
      <c r="HX292" s="19" t="n"/>
      <c r="HY292" s="19" t="n"/>
      <c r="HZ292" s="19" t="n"/>
      <c r="IB292" s="5">
        <f>C292</f>
        <v/>
      </c>
      <c r="IG292" s="19" t="n"/>
      <c r="IH292" s="19" t="n"/>
      <c r="IJ292" s="5">
        <f>C292</f>
        <v/>
      </c>
      <c r="IN292" s="19" t="n"/>
      <c r="IO292" s="19" t="n"/>
      <c r="IP292" s="19" t="n"/>
      <c r="IR292" s="5">
        <f>C292</f>
        <v/>
      </c>
      <c r="IV292" s="19" t="n"/>
      <c r="IW292" s="19" t="n"/>
      <c r="IX292" s="19" t="n"/>
      <c r="IZ292" s="5">
        <f>C292</f>
        <v/>
      </c>
      <c r="JD292" s="19" t="n"/>
      <c r="JE292" s="19" t="n"/>
      <c r="JF292" s="19" t="n"/>
      <c r="JH292" s="5">
        <f>C292</f>
        <v/>
      </c>
      <c r="JL292" s="19" t="n"/>
      <c r="JM292" s="19" t="n"/>
      <c r="JN292" s="19" t="n"/>
      <c r="JO292" s="19" t="n"/>
      <c r="JP292" s="5">
        <f>C292</f>
        <v/>
      </c>
      <c r="JT292" s="19" t="n"/>
      <c r="JU292" s="19" t="n"/>
      <c r="JV292" s="19" t="n"/>
      <c r="JW292" s="19" t="n"/>
      <c r="JX292" s="5">
        <f>C292</f>
        <v/>
      </c>
      <c r="KB292" s="19" t="n"/>
      <c r="KC292" s="19" t="n"/>
      <c r="KD292" s="19" t="n"/>
      <c r="KE292" s="19" t="n"/>
      <c r="KF292" s="5">
        <f>C292</f>
        <v/>
      </c>
      <c r="KG292" s="19" t="n"/>
      <c r="KH292" s="19" t="n"/>
      <c r="KJ292" s="19" t="n"/>
      <c r="KK292" s="19" t="n"/>
      <c r="KL292" s="19" t="n"/>
      <c r="KM292" s="19" t="n"/>
      <c r="KN292" s="5">
        <f>C292</f>
        <v/>
      </c>
      <c r="KR292" s="19" t="n"/>
      <c r="KS292" s="19" t="n"/>
      <c r="KT292" s="19" t="n"/>
      <c r="KV292" s="5">
        <f>C292</f>
        <v/>
      </c>
      <c r="KZ292" s="19" t="n"/>
      <c r="LA292" s="19" t="n"/>
      <c r="LB292" s="19" t="n"/>
      <c r="LD292" s="5">
        <f>C292</f>
        <v/>
      </c>
      <c r="LH292" s="19" t="n"/>
      <c r="LI292" s="19" t="n"/>
      <c r="LJ292" s="19" t="n"/>
      <c r="LL292" s="5">
        <f>C292</f>
        <v/>
      </c>
      <c r="LM292" s="633" t="n"/>
      <c r="LP292" s="19" t="n"/>
      <c r="LQ292" s="19" t="n"/>
      <c r="LR292" s="19" t="n"/>
      <c r="LT292" s="5">
        <f>C292</f>
        <v/>
      </c>
      <c r="LX292" s="19" t="n"/>
      <c r="LY292" s="19" t="n"/>
      <c r="LZ292" s="19" t="n"/>
      <c r="MB292" s="5">
        <f>C292</f>
        <v/>
      </c>
      <c r="MF292" s="19" t="n"/>
      <c r="MG292" s="19" t="n"/>
      <c r="MH292" s="19" t="n"/>
      <c r="MK292" s="5">
        <f>C292</f>
        <v/>
      </c>
      <c r="MM292" s="24" t="n"/>
      <c r="MO292" s="19" t="n"/>
      <c r="MP292" s="19" t="n"/>
      <c r="MQ292" s="19" t="n"/>
      <c r="MR292" s="19" t="n"/>
      <c r="MS292" s="19" t="n"/>
      <c r="MT292" s="25">
        <f>C292</f>
        <v/>
      </c>
      <c r="MX292" s="19" t="n"/>
      <c r="MY292" s="19" t="n"/>
      <c r="MZ292" s="19" t="n"/>
      <c r="NA292" s="19" t="n"/>
      <c r="NB292" s="19" t="n"/>
      <c r="NC292" s="5">
        <f>C292</f>
        <v/>
      </c>
      <c r="NG292" s="19" t="n"/>
      <c r="NH292" s="19" t="n"/>
      <c r="NI292" s="19" t="n"/>
      <c r="NJ292" s="19" t="n"/>
      <c r="NK292" s="19" t="n"/>
      <c r="NM292" s="5">
        <f>C292</f>
        <v/>
      </c>
      <c r="NQ292" s="19" t="n"/>
      <c r="NR292" s="19" t="n"/>
      <c r="NU292" s="5">
        <f>C292</f>
        <v/>
      </c>
      <c r="NY292" s="19" t="n"/>
      <c r="NZ292" s="19" t="n"/>
      <c r="OC292" s="5">
        <f>C292</f>
        <v/>
      </c>
      <c r="OG292" s="19" t="n"/>
      <c r="OH292" s="19" t="n"/>
      <c r="OI292" s="19" t="n"/>
      <c r="OK292" s="5">
        <f>C292</f>
        <v/>
      </c>
      <c r="OO292" s="19" t="n"/>
      <c r="OP292" s="19" t="n"/>
      <c r="OQ292" s="19" t="n"/>
      <c r="OT292" s="25">
        <f>OK292</f>
        <v/>
      </c>
      <c r="OX292" s="19" t="n"/>
    </row>
    <row r="293" ht="21" customFormat="1" customHeight="1" s="5">
      <c r="A293" s="631" t="n"/>
      <c r="B293" s="631" t="n"/>
      <c r="C293" s="731" t="inlineStr">
        <is>
          <t>2024//11//29</t>
        </is>
      </c>
      <c r="D293" s="523" t="n">
        <v>9010218.77</v>
      </c>
      <c r="E293" s="597" t="n"/>
      <c r="F293" s="601">
        <f>(D293-D294)/D294</f>
        <v/>
      </c>
      <c r="G293" s="601" t="n"/>
      <c r="H293" s="526" t="n"/>
      <c r="I293" s="526" t="n"/>
      <c r="J293" s="526" t="n"/>
      <c r="K293" s="523">
        <f>C293</f>
        <v/>
      </c>
      <c r="L293" s="605" t="n">
        <v>6379894.4</v>
      </c>
      <c r="M293" s="597" t="n"/>
      <c r="N293" s="601">
        <f>(L293-L294)/L294</f>
        <v/>
      </c>
      <c r="O293" s="601" t="n"/>
      <c r="P293" s="526" t="n"/>
      <c r="Q293" s="526" t="n"/>
      <c r="R293" s="604" t="n"/>
      <c r="S293" s="523">
        <f>C293</f>
        <v/>
      </c>
      <c r="T293" s="523" t="n">
        <v>5681586.68</v>
      </c>
      <c r="U293" s="597" t="n"/>
      <c r="V293" s="599">
        <f>(T293-T294)/T294</f>
        <v/>
      </c>
      <c r="W293" s="599" t="n"/>
      <c r="X293" s="526" t="n"/>
      <c r="Y293" s="526" t="n"/>
      <c r="Z293" s="604" t="n"/>
      <c r="AA293" s="523">
        <f>S293</f>
        <v/>
      </c>
      <c r="AB293" s="605" t="n">
        <v>1795336.86</v>
      </c>
      <c r="AC293" s="597" t="n"/>
      <c r="AD293" s="601">
        <f>(AB293-AB294)/AB294</f>
        <v/>
      </c>
      <c r="AE293" s="601" t="n"/>
      <c r="AF293" s="526" t="n"/>
      <c r="AG293" s="526" t="n"/>
      <c r="AH293" s="604" t="n"/>
      <c r="AI293" s="523">
        <f>C293</f>
        <v/>
      </c>
      <c r="AJ293" s="605" t="n">
        <v>2280921.76</v>
      </c>
      <c r="AK293" s="362" t="n"/>
      <c r="AL293" s="599">
        <f>(AJ293-AJ294)/AJ294</f>
        <v/>
      </c>
      <c r="AM293" s="599" t="n"/>
      <c r="AN293" s="526" t="n"/>
      <c r="AO293" s="526" t="n"/>
      <c r="AP293" s="523" t="n"/>
      <c r="AQ293" s="555">
        <f>C293</f>
        <v/>
      </c>
      <c r="AR293" s="611" t="n">
        <v>1444500</v>
      </c>
      <c r="AS293" s="611" t="n"/>
      <c r="AT293" s="526">
        <f>(AR293-AR294)/AR294</f>
        <v/>
      </c>
      <c r="AU293" s="611" t="n">
        <v>336.25</v>
      </c>
      <c r="AV293" s="613" t="n">
        <v>0.6321</v>
      </c>
      <c r="AW293" s="526" t="n"/>
      <c r="AX293" s="523" t="n"/>
      <c r="AY293" s="523" t="n"/>
      <c r="AZ293" s="523">
        <f>C293</f>
        <v/>
      </c>
      <c r="BA293" s="523" t="n"/>
      <c r="BB293" s="523" t="n"/>
      <c r="BC293" s="523" t="n"/>
      <c r="BD293" s="526" t="n"/>
      <c r="BE293" s="526" t="n"/>
      <c r="BF293" s="526" t="n"/>
      <c r="BG293" s="631" t="n"/>
      <c r="BH293" s="5">
        <f>C293</f>
        <v/>
      </c>
      <c r="BL293" s="19" t="n"/>
      <c r="BM293" s="19" t="n"/>
      <c r="BN293" s="19" t="n"/>
      <c r="BP293" s="5">
        <f>C293</f>
        <v/>
      </c>
      <c r="BQ293" s="633" t="n"/>
      <c r="BT293" s="19" t="n"/>
      <c r="BU293" s="19" t="n"/>
      <c r="BV293" s="19" t="n"/>
      <c r="BX293" s="5">
        <f>C293</f>
        <v/>
      </c>
      <c r="CB293" s="19" t="n"/>
      <c r="CC293" s="19" t="n"/>
      <c r="CD293" s="19" t="n"/>
      <c r="CF293" s="5">
        <f>C293</f>
        <v/>
      </c>
      <c r="CJ293" s="19" t="n"/>
      <c r="CK293" s="19" t="n"/>
      <c r="CL293" s="19" t="n"/>
      <c r="CN293" s="5">
        <f>C293</f>
        <v/>
      </c>
      <c r="CR293" s="19" t="n"/>
      <c r="CS293" s="19" t="n"/>
      <c r="CT293" s="19" t="n"/>
      <c r="CV293" s="5">
        <f>C293</f>
        <v/>
      </c>
      <c r="CZ293" s="19" t="n"/>
      <c r="DA293" s="19" t="n"/>
      <c r="DB293" s="19" t="n"/>
      <c r="DC293" s="23" t="n"/>
      <c r="DD293" s="5">
        <f>C293</f>
        <v/>
      </c>
      <c r="DH293" s="19" t="n"/>
      <c r="DI293" s="19" t="n"/>
      <c r="DJ293" s="19" t="n"/>
      <c r="DL293" s="5">
        <f>C293</f>
        <v/>
      </c>
      <c r="DP293" s="19" t="n"/>
      <c r="DQ293" s="19" t="n"/>
      <c r="DR293" s="19" t="n"/>
      <c r="DT293" s="5">
        <f>C293</f>
        <v/>
      </c>
      <c r="DX293" s="19" t="n"/>
      <c r="DY293" s="19" t="n"/>
      <c r="DZ293" s="19" t="n"/>
      <c r="EB293" s="5">
        <f>C293</f>
        <v/>
      </c>
      <c r="EF293" s="19" t="n"/>
      <c r="EG293" s="19" t="n"/>
      <c r="EH293" s="19" t="n"/>
      <c r="EJ293" s="5">
        <f>C293</f>
        <v/>
      </c>
      <c r="EN293" s="19" t="n"/>
      <c r="EO293" s="19" t="n"/>
      <c r="EP293" s="19" t="n"/>
      <c r="EQ293" s="19" t="n"/>
      <c r="ER293" s="5">
        <f>C293</f>
        <v/>
      </c>
      <c r="ES293" s="19" t="n"/>
      <c r="ET293" s="19" t="n"/>
      <c r="EU293" s="19" t="n"/>
      <c r="EV293" s="19" t="n"/>
      <c r="EW293" s="19" t="n"/>
      <c r="EX293" s="19" t="n"/>
      <c r="EZ293" s="5">
        <f>C293</f>
        <v/>
      </c>
      <c r="FD293" s="19" t="n"/>
      <c r="FE293" s="19" t="n"/>
      <c r="FF293" s="19" t="n"/>
      <c r="FG293" s="19" t="n"/>
      <c r="FH293" s="5">
        <f>C293</f>
        <v/>
      </c>
      <c r="FI293" s="633" t="n"/>
      <c r="FL293" s="19" t="n"/>
      <c r="FM293" s="19" t="n"/>
      <c r="FN293" s="19" t="n"/>
      <c r="FP293" s="5">
        <f>C293</f>
        <v/>
      </c>
      <c r="FT293" s="19" t="n"/>
      <c r="FU293" s="19" t="n"/>
      <c r="FV293" s="19" t="n"/>
      <c r="FX293" s="5">
        <f>C293</f>
        <v/>
      </c>
      <c r="GB293" s="19" t="n"/>
      <c r="GC293" s="19" t="n"/>
      <c r="GD293" s="19" t="n"/>
      <c r="GF293" s="5">
        <f>C293</f>
        <v/>
      </c>
      <c r="GJ293" s="19" t="n"/>
      <c r="GK293" s="19" t="n"/>
      <c r="GL293" s="19" t="n"/>
      <c r="GN293" s="5">
        <f>C293</f>
        <v/>
      </c>
      <c r="GR293" s="19" t="n"/>
      <c r="GS293" s="19" t="n"/>
      <c r="GT293" s="19" t="n"/>
      <c r="GV293" s="5">
        <f>C293</f>
        <v/>
      </c>
      <c r="GZ293" s="19" t="n"/>
      <c r="HA293" s="19" t="n"/>
      <c r="HB293" s="19" t="n"/>
      <c r="HD293" s="5">
        <f>C293</f>
        <v/>
      </c>
      <c r="HH293" s="19" t="n"/>
      <c r="HI293" s="19" t="n"/>
      <c r="HJ293" s="19" t="n"/>
      <c r="HL293" s="5">
        <f>C293</f>
        <v/>
      </c>
      <c r="HP293" s="19" t="n"/>
      <c r="HQ293" s="19" t="n"/>
      <c r="HR293" s="19" t="n"/>
      <c r="HT293" s="5">
        <f>C293</f>
        <v/>
      </c>
      <c r="HX293" s="19" t="n"/>
      <c r="HY293" s="19" t="n"/>
      <c r="HZ293" s="19" t="n"/>
      <c r="IB293" s="5">
        <f>C293</f>
        <v/>
      </c>
      <c r="IG293" s="19" t="n"/>
      <c r="IH293" s="19" t="n"/>
      <c r="IJ293" s="5">
        <f>C293</f>
        <v/>
      </c>
      <c r="IN293" s="19" t="n"/>
      <c r="IO293" s="19" t="n"/>
      <c r="IP293" s="19" t="n"/>
      <c r="IR293" s="5">
        <f>C293</f>
        <v/>
      </c>
      <c r="IV293" s="19" t="n"/>
      <c r="IW293" s="19" t="n"/>
      <c r="IX293" s="19" t="n"/>
      <c r="IZ293" s="5">
        <f>C293</f>
        <v/>
      </c>
      <c r="JD293" s="19" t="n"/>
      <c r="JE293" s="19" t="n"/>
      <c r="JF293" s="19" t="n"/>
      <c r="JH293" s="5">
        <f>C293</f>
        <v/>
      </c>
      <c r="JL293" s="19" t="n"/>
      <c r="JM293" s="19" t="n"/>
      <c r="JN293" s="19" t="n"/>
      <c r="JO293" s="19" t="n"/>
      <c r="JP293" s="5">
        <f>C293</f>
        <v/>
      </c>
      <c r="JT293" s="19" t="n"/>
      <c r="JU293" s="19" t="n"/>
      <c r="JV293" s="19" t="n"/>
      <c r="JW293" s="19" t="n"/>
      <c r="JX293" s="5">
        <f>C293</f>
        <v/>
      </c>
      <c r="KB293" s="19" t="n"/>
      <c r="KC293" s="19" t="n"/>
      <c r="KD293" s="19" t="n"/>
      <c r="KE293" s="19" t="n"/>
      <c r="KF293" s="5">
        <f>C293</f>
        <v/>
      </c>
      <c r="KG293" s="19" t="n"/>
      <c r="KH293" s="19" t="n"/>
      <c r="KJ293" s="19" t="n"/>
      <c r="KK293" s="19" t="n"/>
      <c r="KL293" s="19" t="n"/>
      <c r="KM293" s="19" t="n"/>
      <c r="KN293" s="5">
        <f>C293</f>
        <v/>
      </c>
      <c r="KR293" s="19" t="n"/>
      <c r="KS293" s="19" t="n"/>
      <c r="KT293" s="19" t="n"/>
      <c r="KV293" s="5">
        <f>C293</f>
        <v/>
      </c>
      <c r="KZ293" s="19" t="n"/>
      <c r="LA293" s="19" t="n"/>
      <c r="LB293" s="19" t="n"/>
      <c r="LD293" s="5">
        <f>C293</f>
        <v/>
      </c>
      <c r="LH293" s="19" t="n"/>
      <c r="LI293" s="19" t="n"/>
      <c r="LJ293" s="19" t="n"/>
      <c r="LL293" s="5">
        <f>C293</f>
        <v/>
      </c>
      <c r="LM293" s="633" t="n"/>
      <c r="LP293" s="19" t="n"/>
      <c r="LQ293" s="19" t="n"/>
      <c r="LR293" s="19" t="n"/>
      <c r="LT293" s="5">
        <f>C293</f>
        <v/>
      </c>
      <c r="LX293" s="19" t="n"/>
      <c r="LY293" s="19" t="n"/>
      <c r="LZ293" s="19" t="n"/>
      <c r="MB293" s="5">
        <f>C293</f>
        <v/>
      </c>
      <c r="MF293" s="19" t="n"/>
      <c r="MG293" s="19" t="n"/>
      <c r="MH293" s="19" t="n"/>
      <c r="MK293" s="5">
        <f>C293</f>
        <v/>
      </c>
      <c r="MM293" s="24" t="n"/>
      <c r="MO293" s="19" t="n"/>
      <c r="MP293" s="19" t="n"/>
      <c r="MQ293" s="19" t="n"/>
      <c r="MR293" s="19" t="n"/>
      <c r="MS293" s="19" t="n"/>
      <c r="MT293" s="25">
        <f>C293</f>
        <v/>
      </c>
      <c r="MX293" s="19" t="n"/>
      <c r="MY293" s="19" t="n"/>
      <c r="MZ293" s="19" t="n"/>
      <c r="NA293" s="19" t="n"/>
      <c r="NB293" s="19" t="n"/>
      <c r="NC293" s="5">
        <f>C293</f>
        <v/>
      </c>
      <c r="NG293" s="19" t="n"/>
      <c r="NH293" s="19" t="n"/>
      <c r="NI293" s="19" t="n"/>
      <c r="NJ293" s="19" t="n"/>
      <c r="NK293" s="19" t="n"/>
      <c r="NM293" s="5">
        <f>C293</f>
        <v/>
      </c>
      <c r="NQ293" s="19" t="n"/>
      <c r="NR293" s="19" t="n"/>
      <c r="NU293" s="5">
        <f>C293</f>
        <v/>
      </c>
      <c r="NY293" s="19" t="n"/>
      <c r="NZ293" s="19" t="n"/>
      <c r="OC293" s="5">
        <f>C293</f>
        <v/>
      </c>
      <c r="OG293" s="19" t="n"/>
      <c r="OH293" s="19" t="n"/>
      <c r="OI293" s="19" t="n"/>
      <c r="OK293" s="5">
        <f>C293</f>
        <v/>
      </c>
      <c r="OO293" s="19" t="n"/>
      <c r="OP293" s="19" t="n"/>
      <c r="OQ293" s="19" t="n"/>
      <c r="OT293" s="25">
        <f>OK293</f>
        <v/>
      </c>
      <c r="OX293" s="19" t="n"/>
    </row>
    <row r="294" ht="21" customFormat="1" customHeight="1" s="5">
      <c r="A294" s="631" t="n"/>
      <c r="B294" s="631" t="n"/>
      <c r="C294" s="731" t="inlineStr">
        <is>
          <t>2024//10//31</t>
        </is>
      </c>
      <c r="D294" s="605" t="n">
        <v>9476418.77</v>
      </c>
      <c r="E294" s="597" t="n"/>
      <c r="F294" s="601">
        <f>(D294-D295)/D295</f>
        <v/>
      </c>
      <c r="G294" s="601" t="n"/>
      <c r="H294" s="526" t="n"/>
      <c r="I294" s="526" t="n"/>
      <c r="J294" s="526" t="n"/>
      <c r="K294" s="523">
        <f>C294</f>
        <v/>
      </c>
      <c r="L294" s="605" t="n">
        <v>6469894.4</v>
      </c>
      <c r="M294" s="597" t="n"/>
      <c r="N294" s="601">
        <f>(L294-L295)/L295</f>
        <v/>
      </c>
      <c r="O294" s="601" t="n"/>
      <c r="P294" s="526" t="n"/>
      <c r="Q294" s="526" t="n"/>
      <c r="R294" s="604" t="n"/>
      <c r="S294" s="523">
        <f>C294</f>
        <v/>
      </c>
      <c r="T294" s="523" t="n">
        <v>5626056.68</v>
      </c>
      <c r="U294" s="597" t="n"/>
      <c r="V294" s="599">
        <f>(T294-T295)/T295</f>
        <v/>
      </c>
      <c r="W294" s="599" t="n"/>
      <c r="X294" s="526" t="n"/>
      <c r="Y294" s="526" t="n"/>
      <c r="Z294" s="604" t="n"/>
      <c r="AA294" s="523">
        <f>S294</f>
        <v/>
      </c>
      <c r="AB294" s="605" t="n">
        <v>1886256.86</v>
      </c>
      <c r="AC294" s="597" t="n"/>
      <c r="AD294" s="601">
        <f>(AB294-AB295)/AB295</f>
        <v/>
      </c>
      <c r="AE294" s="601" t="n"/>
      <c r="AF294" s="526" t="n"/>
      <c r="AG294" s="526" t="n"/>
      <c r="AH294" s="604" t="n"/>
      <c r="AI294" s="523">
        <f>C294</f>
        <v/>
      </c>
      <c r="AJ294" s="605" t="n">
        <v>2407121.76</v>
      </c>
      <c r="AK294" s="362" t="n"/>
      <c r="AL294" s="599">
        <f>(AJ294-AJ295)/AJ295</f>
        <v/>
      </c>
      <c r="AM294" s="599" t="n"/>
      <c r="AN294" s="526" t="n"/>
      <c r="AO294" s="526" t="n"/>
      <c r="AP294" s="523" t="n"/>
      <c r="AQ294" s="555">
        <f>C294</f>
        <v/>
      </c>
      <c r="AR294" s="611" t="n">
        <v>904200</v>
      </c>
      <c r="AS294" s="611" t="n"/>
      <c r="AT294" s="526">
        <f>(AR294-AR295)/AR295</f>
        <v/>
      </c>
      <c r="AU294" s="611" t="n">
        <v>206.02</v>
      </c>
      <c r="AV294" s="613" t="n">
        <v>0.2826</v>
      </c>
      <c r="AW294" s="526" t="n"/>
      <c r="AX294" s="523" t="n"/>
      <c r="AY294" s="523" t="n"/>
      <c r="AZ294" s="523">
        <f>C294</f>
        <v/>
      </c>
      <c r="BA294" s="523" t="n"/>
      <c r="BB294" s="523" t="n"/>
      <c r="BC294" s="523" t="n"/>
      <c r="BD294" s="526" t="n"/>
      <c r="BE294" s="526" t="n"/>
      <c r="BF294" s="526" t="n"/>
      <c r="BG294" s="631" t="n"/>
      <c r="BH294" s="5">
        <f>C294</f>
        <v/>
      </c>
      <c r="BL294" s="19" t="n"/>
      <c r="BM294" s="19" t="n"/>
      <c r="BN294" s="19" t="n"/>
      <c r="BP294" s="5">
        <f>C294</f>
        <v/>
      </c>
      <c r="BQ294" s="633" t="n"/>
      <c r="BT294" s="19" t="n"/>
      <c r="BU294" s="19" t="n"/>
      <c r="BV294" s="19" t="n"/>
      <c r="BX294" s="5">
        <f>C294</f>
        <v/>
      </c>
      <c r="CB294" s="19" t="n"/>
      <c r="CC294" s="19" t="n"/>
      <c r="CD294" s="19" t="n"/>
      <c r="CF294" s="5">
        <f>C294</f>
        <v/>
      </c>
      <c r="CJ294" s="19" t="n"/>
      <c r="CK294" s="19" t="n"/>
      <c r="CL294" s="19" t="n"/>
      <c r="CN294" s="5">
        <f>C294</f>
        <v/>
      </c>
      <c r="CR294" s="19" t="n"/>
      <c r="CS294" s="19" t="n"/>
      <c r="CT294" s="19" t="n"/>
      <c r="CV294" s="5">
        <f>C294</f>
        <v/>
      </c>
      <c r="CZ294" s="19" t="n"/>
      <c r="DA294" s="19" t="n"/>
      <c r="DB294" s="19" t="n"/>
      <c r="DC294" s="23" t="n"/>
      <c r="DD294" s="5">
        <f>C294</f>
        <v/>
      </c>
      <c r="DH294" s="19" t="n"/>
      <c r="DI294" s="19" t="n"/>
      <c r="DJ294" s="19" t="n"/>
      <c r="DL294" s="5">
        <f>C294</f>
        <v/>
      </c>
      <c r="DP294" s="19" t="n"/>
      <c r="DQ294" s="19" t="n"/>
      <c r="DR294" s="19" t="n"/>
      <c r="DT294" s="5">
        <f>C294</f>
        <v/>
      </c>
      <c r="DX294" s="19" t="n"/>
      <c r="DY294" s="19" t="n"/>
      <c r="DZ294" s="19" t="n"/>
      <c r="EB294" s="5">
        <f>C294</f>
        <v/>
      </c>
      <c r="EF294" s="19" t="n"/>
      <c r="EG294" s="19" t="n"/>
      <c r="EH294" s="19" t="n"/>
      <c r="EJ294" s="5">
        <f>C294</f>
        <v/>
      </c>
      <c r="EN294" s="19" t="n"/>
      <c r="EO294" s="19" t="n"/>
      <c r="EP294" s="19" t="n"/>
      <c r="EQ294" s="19" t="n"/>
      <c r="ER294" s="5">
        <f>C294</f>
        <v/>
      </c>
      <c r="ES294" s="19" t="n"/>
      <c r="ET294" s="19" t="n"/>
      <c r="EU294" s="19" t="n"/>
      <c r="EV294" s="19" t="n"/>
      <c r="EW294" s="19" t="n"/>
      <c r="EX294" s="19" t="n"/>
      <c r="EZ294" s="5">
        <f>C294</f>
        <v/>
      </c>
      <c r="FD294" s="19" t="n"/>
      <c r="FE294" s="19" t="n"/>
      <c r="FF294" s="19" t="n"/>
      <c r="FG294" s="19" t="n"/>
      <c r="FH294" s="5">
        <f>C294</f>
        <v/>
      </c>
      <c r="FI294" s="633" t="n"/>
      <c r="FL294" s="19" t="n"/>
      <c r="FM294" s="19" t="n"/>
      <c r="FN294" s="19" t="n"/>
      <c r="FP294" s="5">
        <f>C294</f>
        <v/>
      </c>
      <c r="FT294" s="19" t="n"/>
      <c r="FU294" s="19" t="n"/>
      <c r="FV294" s="19" t="n"/>
      <c r="FX294" s="5">
        <f>C294</f>
        <v/>
      </c>
      <c r="GB294" s="19" t="n"/>
      <c r="GC294" s="19" t="n"/>
      <c r="GD294" s="19" t="n"/>
      <c r="GF294" s="5">
        <f>C294</f>
        <v/>
      </c>
      <c r="GJ294" s="19" t="n"/>
      <c r="GK294" s="19" t="n"/>
      <c r="GL294" s="19" t="n"/>
      <c r="GN294" s="5">
        <f>C294</f>
        <v/>
      </c>
      <c r="GR294" s="19" t="n"/>
      <c r="GS294" s="19" t="n"/>
      <c r="GT294" s="19" t="n"/>
      <c r="GV294" s="5">
        <f>C294</f>
        <v/>
      </c>
      <c r="GZ294" s="19" t="n"/>
      <c r="HA294" s="19" t="n"/>
      <c r="HB294" s="19" t="n"/>
      <c r="HD294" s="5">
        <f>C294</f>
        <v/>
      </c>
      <c r="HH294" s="19" t="n"/>
      <c r="HI294" s="19" t="n"/>
      <c r="HJ294" s="19" t="n"/>
      <c r="HL294" s="5">
        <f>C294</f>
        <v/>
      </c>
      <c r="HP294" s="19" t="n"/>
      <c r="HQ294" s="19" t="n"/>
      <c r="HR294" s="19" t="n"/>
      <c r="HT294" s="5">
        <f>C294</f>
        <v/>
      </c>
      <c r="HX294" s="19" t="n"/>
      <c r="HY294" s="19" t="n"/>
      <c r="HZ294" s="19" t="n"/>
      <c r="IB294" s="5">
        <f>C294</f>
        <v/>
      </c>
      <c r="IG294" s="19" t="n"/>
      <c r="IH294" s="19" t="n"/>
      <c r="IJ294" s="5">
        <f>C294</f>
        <v/>
      </c>
      <c r="IN294" s="19" t="n"/>
      <c r="IO294" s="19" t="n"/>
      <c r="IP294" s="19" t="n"/>
      <c r="IR294" s="5">
        <f>C294</f>
        <v/>
      </c>
      <c r="IV294" s="19" t="n"/>
      <c r="IW294" s="19" t="n"/>
      <c r="IX294" s="19" t="n"/>
      <c r="IZ294" s="5">
        <f>C294</f>
        <v/>
      </c>
      <c r="JD294" s="19" t="n"/>
      <c r="JE294" s="19" t="n"/>
      <c r="JF294" s="19" t="n"/>
      <c r="JH294" s="5">
        <f>C294</f>
        <v/>
      </c>
      <c r="JL294" s="19" t="n"/>
      <c r="JM294" s="19" t="n"/>
      <c r="JN294" s="19" t="n"/>
      <c r="JO294" s="19" t="n"/>
      <c r="JP294" s="5">
        <f>C294</f>
        <v/>
      </c>
      <c r="JT294" s="19" t="n"/>
      <c r="JU294" s="19" t="n"/>
      <c r="JV294" s="19" t="n"/>
      <c r="JW294" s="19" t="n"/>
      <c r="JX294" s="5">
        <f>C294</f>
        <v/>
      </c>
      <c r="KB294" s="19" t="n"/>
      <c r="KC294" s="19" t="n"/>
      <c r="KD294" s="19" t="n"/>
      <c r="KE294" s="19" t="n"/>
      <c r="KF294" s="5">
        <f>C294</f>
        <v/>
      </c>
      <c r="KG294" s="19" t="n"/>
      <c r="KH294" s="19" t="n"/>
      <c r="KJ294" s="19" t="n"/>
      <c r="KK294" s="19" t="n"/>
      <c r="KL294" s="19" t="n"/>
      <c r="KM294" s="19" t="n"/>
      <c r="KN294" s="5">
        <f>C294</f>
        <v/>
      </c>
      <c r="KR294" s="19" t="n"/>
      <c r="KS294" s="19" t="n"/>
      <c r="KT294" s="19" t="n"/>
      <c r="KV294" s="5">
        <f>C294</f>
        <v/>
      </c>
      <c r="KZ294" s="19" t="n"/>
      <c r="LA294" s="19" t="n"/>
      <c r="LB294" s="19" t="n"/>
      <c r="LD294" s="5">
        <f>C294</f>
        <v/>
      </c>
      <c r="LH294" s="19" t="n"/>
      <c r="LI294" s="19" t="n"/>
      <c r="LJ294" s="19" t="n"/>
      <c r="LL294" s="5">
        <f>C294</f>
        <v/>
      </c>
      <c r="LM294" s="633" t="n"/>
      <c r="LP294" s="19" t="n"/>
      <c r="LQ294" s="19" t="n"/>
      <c r="LR294" s="19" t="n"/>
      <c r="LT294" s="5">
        <f>C294</f>
        <v/>
      </c>
      <c r="LX294" s="19" t="n"/>
      <c r="LY294" s="19" t="n"/>
      <c r="LZ294" s="19" t="n"/>
      <c r="MB294" s="5">
        <f>C294</f>
        <v/>
      </c>
      <c r="MF294" s="19" t="n"/>
      <c r="MG294" s="19" t="n"/>
      <c r="MH294" s="19" t="n"/>
      <c r="MK294" s="5">
        <f>C294</f>
        <v/>
      </c>
      <c r="MM294" s="24" t="n"/>
      <c r="MO294" s="19" t="n"/>
      <c r="MP294" s="19" t="n"/>
      <c r="MQ294" s="19" t="n"/>
      <c r="MR294" s="19" t="n"/>
      <c r="MS294" s="19" t="n"/>
      <c r="MT294" s="25">
        <f>C294</f>
        <v/>
      </c>
      <c r="MX294" s="19" t="n"/>
      <c r="MY294" s="19" t="n"/>
      <c r="MZ294" s="19" t="n"/>
      <c r="NA294" s="19" t="n"/>
      <c r="NB294" s="19" t="n"/>
      <c r="NC294" s="5">
        <f>C294</f>
        <v/>
      </c>
      <c r="NG294" s="19" t="n"/>
      <c r="NH294" s="19" t="n"/>
      <c r="NI294" s="19" t="n"/>
      <c r="NJ294" s="19" t="n"/>
      <c r="NK294" s="19" t="n"/>
      <c r="NM294" s="5">
        <f>C294</f>
        <v/>
      </c>
      <c r="NQ294" s="19" t="n"/>
      <c r="NR294" s="19" t="n"/>
      <c r="NU294" s="5">
        <f>C294</f>
        <v/>
      </c>
      <c r="NY294" s="19" t="n"/>
      <c r="NZ294" s="19" t="n"/>
      <c r="OC294" s="5">
        <f>C294</f>
        <v/>
      </c>
      <c r="OG294" s="19" t="n"/>
      <c r="OH294" s="19" t="n"/>
      <c r="OI294" s="19" t="n"/>
      <c r="OK294" s="5">
        <f>C294</f>
        <v/>
      </c>
      <c r="OO294" s="19" t="n"/>
      <c r="OP294" s="19" t="n"/>
      <c r="OQ294" s="19" t="n"/>
      <c r="OT294" s="25">
        <f>OK294</f>
        <v/>
      </c>
      <c r="OX294" s="19" t="n"/>
    </row>
    <row r="295" ht="21" customFormat="1" customHeight="1" s="5">
      <c r="A295" s="631" t="n"/>
      <c r="B295" s="631" t="n"/>
      <c r="C295" s="735" t="inlineStr">
        <is>
          <t>2024//9//30</t>
        </is>
      </c>
      <c r="D295" s="605" t="n">
        <v>9692238.77</v>
      </c>
      <c r="E295" s="597" t="n"/>
      <c r="F295" s="601">
        <f>(D295-D296)/D296</f>
        <v/>
      </c>
      <c r="G295" s="601" t="n"/>
      <c r="H295" s="526" t="n"/>
      <c r="I295" s="629" t="n"/>
      <c r="J295" s="629" t="n"/>
      <c r="K295" s="605">
        <f>C295</f>
        <v/>
      </c>
      <c r="L295" s="605" t="n">
        <v>6519214.4</v>
      </c>
      <c r="M295" s="597" t="n"/>
      <c r="N295" s="601">
        <f>(L295-L296)/L296</f>
        <v/>
      </c>
      <c r="O295" s="601" t="n"/>
      <c r="P295" s="526" t="n"/>
      <c r="Q295" s="629" t="n"/>
      <c r="R295" s="630" t="n"/>
      <c r="S295" s="605">
        <f>C295</f>
        <v/>
      </c>
      <c r="T295" s="605" t="n">
        <v>5757186.68</v>
      </c>
      <c r="U295" s="597" t="n"/>
      <c r="V295" s="599">
        <f>(T295-T296)/T296</f>
        <v/>
      </c>
      <c r="W295" s="599" t="n"/>
      <c r="X295" s="526" t="n"/>
      <c r="Y295" s="629" t="n"/>
      <c r="Z295" s="630" t="n"/>
      <c r="AA295" s="605">
        <f>S295</f>
        <v/>
      </c>
      <c r="AB295" s="605" t="n">
        <v>2121496.86</v>
      </c>
      <c r="AC295" s="597" t="n"/>
      <c r="AD295" s="601">
        <f>(AB295-AB296)/AB296</f>
        <v/>
      </c>
      <c r="AE295" s="601" t="n"/>
      <c r="AF295" s="526" t="n"/>
      <c r="AG295" s="629" t="n"/>
      <c r="AH295" s="630" t="n"/>
      <c r="AI295" s="605">
        <f>C295</f>
        <v/>
      </c>
      <c r="AJ295" s="605" t="n">
        <v>3020921.76</v>
      </c>
      <c r="AK295" s="362" t="n"/>
      <c r="AL295" s="599">
        <f>(AJ295-AJ296)/AJ296</f>
        <v/>
      </c>
      <c r="AM295" s="599" t="n"/>
      <c r="AN295" s="526" t="n"/>
      <c r="AO295" s="526" t="n"/>
      <c r="AP295" s="523" t="n"/>
      <c r="AQ295" s="555">
        <f>C295</f>
        <v/>
      </c>
      <c r="AR295" s="611" t="n">
        <v>722600</v>
      </c>
      <c r="AS295" s="611" t="n"/>
      <c r="AT295" s="526">
        <f>(AR295-AR296)/AR296</f>
        <v/>
      </c>
      <c r="AU295" s="611" t="n">
        <v>160.63</v>
      </c>
      <c r="AV295" s="613" t="n">
        <v>-0.0549</v>
      </c>
      <c r="AW295" s="526" t="n"/>
      <c r="AX295" s="523" t="n"/>
      <c r="AY295" s="523" t="n"/>
      <c r="AZ295" s="523">
        <f>C295</f>
        <v/>
      </c>
      <c r="BA295" s="523" t="n"/>
      <c r="BB295" s="523" t="n"/>
      <c r="BC295" s="523" t="n"/>
      <c r="BD295" s="526" t="n"/>
      <c r="BE295" s="526" t="n"/>
      <c r="BF295" s="526" t="n"/>
      <c r="BG295" s="631" t="n"/>
      <c r="BH295" s="5">
        <f>C295</f>
        <v/>
      </c>
      <c r="BL295" s="19" t="n"/>
      <c r="BM295" s="19" t="n"/>
      <c r="BN295" s="19" t="n"/>
      <c r="BP295" s="5">
        <f>C295</f>
        <v/>
      </c>
      <c r="BQ295" s="633" t="n"/>
      <c r="BT295" s="19" t="n"/>
      <c r="BU295" s="19" t="n"/>
      <c r="BV295" s="19" t="n"/>
      <c r="BX295" s="5">
        <f>C295</f>
        <v/>
      </c>
      <c r="CB295" s="19" t="n"/>
      <c r="CC295" s="19" t="n"/>
      <c r="CD295" s="19" t="n"/>
      <c r="CF295" s="5">
        <f>C295</f>
        <v/>
      </c>
      <c r="CJ295" s="19" t="n"/>
      <c r="CK295" s="19" t="n"/>
      <c r="CL295" s="19" t="n"/>
      <c r="CN295" s="5">
        <f>C295</f>
        <v/>
      </c>
      <c r="CR295" s="19" t="n"/>
      <c r="CS295" s="19" t="n"/>
      <c r="CT295" s="19" t="n"/>
      <c r="CV295" s="5">
        <f>C295</f>
        <v/>
      </c>
      <c r="CZ295" s="19" t="n"/>
      <c r="DA295" s="19" t="n"/>
      <c r="DB295" s="19" t="n"/>
      <c r="DC295" s="23" t="n"/>
      <c r="DD295" s="5">
        <f>C295</f>
        <v/>
      </c>
      <c r="DH295" s="19" t="n"/>
      <c r="DI295" s="19" t="n"/>
      <c r="DJ295" s="19" t="n"/>
      <c r="DL295" s="5">
        <f>C295</f>
        <v/>
      </c>
      <c r="DP295" s="19" t="n"/>
      <c r="DQ295" s="19" t="n"/>
      <c r="DR295" s="19" t="n"/>
      <c r="DT295" s="5">
        <f>C295</f>
        <v/>
      </c>
      <c r="DX295" s="19" t="n"/>
      <c r="DY295" s="19" t="n"/>
      <c r="DZ295" s="19" t="n"/>
      <c r="EB295" s="5">
        <f>C295</f>
        <v/>
      </c>
      <c r="EF295" s="19" t="n"/>
      <c r="EG295" s="19" t="n"/>
      <c r="EH295" s="19" t="n"/>
      <c r="EJ295" s="5">
        <f>C295</f>
        <v/>
      </c>
      <c r="EN295" s="19" t="n"/>
      <c r="EO295" s="19" t="n"/>
      <c r="EP295" s="19" t="n"/>
      <c r="EQ295" s="19" t="n"/>
      <c r="ER295" s="5">
        <f>C295</f>
        <v/>
      </c>
      <c r="ES295" s="19" t="n"/>
      <c r="ET295" s="19" t="n"/>
      <c r="EU295" s="19" t="n"/>
      <c r="EV295" s="19" t="n"/>
      <c r="EW295" s="19" t="n"/>
      <c r="EX295" s="19" t="n"/>
      <c r="EZ295" s="5">
        <f>C295</f>
        <v/>
      </c>
      <c r="FD295" s="19" t="n"/>
      <c r="FE295" s="19" t="n"/>
      <c r="FF295" s="19" t="n"/>
      <c r="FG295" s="19" t="n"/>
      <c r="FH295" s="5">
        <f>C295</f>
        <v/>
      </c>
      <c r="FI295" s="633" t="n"/>
      <c r="FL295" s="19" t="n"/>
      <c r="FM295" s="19" t="n"/>
      <c r="FN295" s="19" t="n"/>
      <c r="FP295" s="5">
        <f>C295</f>
        <v/>
      </c>
      <c r="FT295" s="19" t="n"/>
      <c r="FU295" s="19" t="n"/>
      <c r="FV295" s="19" t="n"/>
      <c r="FX295" s="5">
        <f>C295</f>
        <v/>
      </c>
      <c r="GB295" s="19" t="n"/>
      <c r="GC295" s="19" t="n"/>
      <c r="GD295" s="19" t="n"/>
      <c r="GF295" s="5">
        <f>C295</f>
        <v/>
      </c>
      <c r="GJ295" s="19" t="n"/>
      <c r="GK295" s="19" t="n"/>
      <c r="GL295" s="19" t="n"/>
      <c r="GN295" s="5">
        <f>C295</f>
        <v/>
      </c>
      <c r="GR295" s="19" t="n"/>
      <c r="GS295" s="19" t="n"/>
      <c r="GT295" s="19" t="n"/>
      <c r="GV295" s="5">
        <f>C295</f>
        <v/>
      </c>
      <c r="GZ295" s="19" t="n"/>
      <c r="HA295" s="19" t="n"/>
      <c r="HB295" s="19" t="n"/>
      <c r="HD295" s="5">
        <f>C295</f>
        <v/>
      </c>
      <c r="HH295" s="19" t="n"/>
      <c r="HI295" s="19" t="n"/>
      <c r="HJ295" s="19" t="n"/>
      <c r="HL295" s="5">
        <f>C295</f>
        <v/>
      </c>
      <c r="HP295" s="19" t="n"/>
      <c r="HQ295" s="19" t="n"/>
      <c r="HR295" s="19" t="n"/>
      <c r="HT295" s="5">
        <f>C295</f>
        <v/>
      </c>
      <c r="HX295" s="19" t="n"/>
      <c r="HY295" s="19" t="n"/>
      <c r="HZ295" s="19" t="n"/>
      <c r="IB295" s="5">
        <f>C295</f>
        <v/>
      </c>
      <c r="IG295" s="19" t="n"/>
      <c r="IH295" s="19" t="n"/>
      <c r="IJ295" s="5">
        <f>C295</f>
        <v/>
      </c>
      <c r="IN295" s="19" t="n"/>
      <c r="IO295" s="19" t="n"/>
      <c r="IP295" s="19" t="n"/>
      <c r="IR295" s="5">
        <f>C295</f>
        <v/>
      </c>
      <c r="IV295" s="19" t="n"/>
      <c r="IW295" s="19" t="n"/>
      <c r="IX295" s="19" t="n"/>
      <c r="IZ295" s="5">
        <f>C295</f>
        <v/>
      </c>
      <c r="JD295" s="19" t="n"/>
      <c r="JE295" s="19" t="n"/>
      <c r="JF295" s="19" t="n"/>
      <c r="JH295" s="5">
        <f>C295</f>
        <v/>
      </c>
      <c r="JL295" s="19" t="n"/>
      <c r="JM295" s="19" t="n"/>
      <c r="JN295" s="19" t="n"/>
      <c r="JO295" s="19" t="n"/>
      <c r="JP295" s="5">
        <f>C295</f>
        <v/>
      </c>
      <c r="JT295" s="19" t="n"/>
      <c r="JU295" s="19" t="n"/>
      <c r="JV295" s="19" t="n"/>
      <c r="JW295" s="19" t="n"/>
      <c r="JX295" s="5">
        <f>C295</f>
        <v/>
      </c>
      <c r="KB295" s="19" t="n"/>
      <c r="KC295" s="19" t="n"/>
      <c r="KD295" s="19" t="n"/>
      <c r="KE295" s="19" t="n"/>
      <c r="KF295" s="5">
        <f>C295</f>
        <v/>
      </c>
      <c r="KG295" s="19" t="n"/>
      <c r="KH295" s="19" t="n"/>
      <c r="KJ295" s="19" t="n"/>
      <c r="KK295" s="19" t="n"/>
      <c r="KL295" s="19" t="n"/>
      <c r="KM295" s="19" t="n"/>
      <c r="KN295" s="5">
        <f>C295</f>
        <v/>
      </c>
      <c r="KR295" s="19" t="n"/>
      <c r="KS295" s="19" t="n"/>
      <c r="KT295" s="19" t="n"/>
      <c r="KV295" s="5">
        <f>C295</f>
        <v/>
      </c>
      <c r="KZ295" s="19" t="n"/>
      <c r="LA295" s="19" t="n"/>
      <c r="LB295" s="19" t="n"/>
      <c r="LD295" s="5">
        <f>C295</f>
        <v/>
      </c>
      <c r="LH295" s="19" t="n"/>
      <c r="LI295" s="19" t="n"/>
      <c r="LJ295" s="19" t="n"/>
      <c r="LL295" s="5">
        <f>C295</f>
        <v/>
      </c>
      <c r="LM295" s="633" t="n"/>
      <c r="LP295" s="19" t="n"/>
      <c r="LQ295" s="19" t="n"/>
      <c r="LR295" s="19" t="n"/>
      <c r="LT295" s="5">
        <f>C295</f>
        <v/>
      </c>
      <c r="LX295" s="19" t="n"/>
      <c r="LY295" s="19" t="n"/>
      <c r="LZ295" s="19" t="n"/>
      <c r="MB295" s="5">
        <f>C295</f>
        <v/>
      </c>
      <c r="MF295" s="19" t="n"/>
      <c r="MG295" s="19" t="n"/>
      <c r="MH295" s="19" t="n"/>
      <c r="MK295" s="5">
        <f>C295</f>
        <v/>
      </c>
      <c r="MM295" s="24" t="n"/>
      <c r="MO295" s="19" t="n"/>
      <c r="MP295" s="19" t="n"/>
      <c r="MQ295" s="19" t="n"/>
      <c r="MR295" s="19" t="n"/>
      <c r="MS295" s="19" t="n"/>
      <c r="MT295" s="25">
        <f>C295</f>
        <v/>
      </c>
      <c r="MX295" s="19" t="n"/>
      <c r="MY295" s="19" t="n"/>
      <c r="MZ295" s="19" t="n"/>
      <c r="NA295" s="19" t="n"/>
      <c r="NB295" s="19" t="n"/>
      <c r="NC295" s="5">
        <f>C295</f>
        <v/>
      </c>
      <c r="NG295" s="19" t="n"/>
      <c r="NH295" s="19" t="n"/>
      <c r="NI295" s="19" t="n"/>
      <c r="NJ295" s="19" t="n"/>
      <c r="NK295" s="19" t="n"/>
      <c r="NM295" s="5">
        <f>C295</f>
        <v/>
      </c>
      <c r="NQ295" s="19" t="n"/>
      <c r="NR295" s="19" t="n"/>
      <c r="NU295" s="5">
        <f>C295</f>
        <v/>
      </c>
      <c r="NY295" s="19" t="n"/>
      <c r="NZ295" s="19" t="n"/>
      <c r="OC295" s="5">
        <f>C295</f>
        <v/>
      </c>
      <c r="OG295" s="19" t="n"/>
      <c r="OH295" s="19" t="n"/>
      <c r="OI295" s="19" t="n"/>
      <c r="OK295" s="5">
        <f>C295</f>
        <v/>
      </c>
      <c r="OO295" s="19" t="n"/>
      <c r="OP295" s="19" t="n"/>
      <c r="OQ295" s="19" t="n"/>
      <c r="OT295" s="25">
        <f>OK295</f>
        <v/>
      </c>
      <c r="OX295" s="19" t="n"/>
    </row>
    <row r="296" ht="21" customFormat="1" customHeight="1" s="5">
      <c r="A296" s="631" t="n"/>
      <c r="B296" s="631" t="n"/>
      <c r="C296" s="735" t="inlineStr">
        <is>
          <t>2024//8//30</t>
        </is>
      </c>
      <c r="D296" s="605" t="n">
        <v>8526198.77</v>
      </c>
      <c r="E296" s="597" t="n"/>
      <c r="F296" s="601">
        <f>(D296-D297)/D297</f>
        <v/>
      </c>
      <c r="G296" s="601" t="n"/>
      <c r="H296" s="526" t="n"/>
      <c r="I296" s="629" t="n"/>
      <c r="J296" s="629" t="n"/>
      <c r="K296" s="605">
        <f>C296</f>
        <v/>
      </c>
      <c r="L296" s="605">
        <f>11726630.74/2</f>
        <v/>
      </c>
      <c r="M296" s="597" t="n"/>
      <c r="N296" s="601">
        <f>(L296-L297)/L297</f>
        <v/>
      </c>
      <c r="O296" s="601" t="n"/>
      <c r="P296" s="526" t="n"/>
      <c r="Q296" s="629" t="n"/>
      <c r="R296" s="630" t="n"/>
      <c r="S296" s="605">
        <f>C296</f>
        <v/>
      </c>
      <c r="T296" s="605" t="n">
        <v>5433186.68</v>
      </c>
      <c r="U296" s="597" t="n"/>
      <c r="V296" s="599">
        <f>(T296-T297)/T297</f>
        <v/>
      </c>
      <c r="W296" s="599" t="n"/>
      <c r="X296" s="526" t="n"/>
      <c r="Y296" s="629" t="n"/>
      <c r="Z296" s="630" t="n"/>
      <c r="AA296" s="605">
        <f>S296</f>
        <v/>
      </c>
      <c r="AB296" s="605" t="n">
        <v>1870296.86</v>
      </c>
      <c r="AC296" s="597" t="n"/>
      <c r="AD296" s="601">
        <f>(AB296-AB297)/AB297</f>
        <v/>
      </c>
      <c r="AE296" s="601" t="n"/>
      <c r="AF296" s="526" t="n"/>
      <c r="AG296" s="629" t="n"/>
      <c r="AH296" s="630" t="n"/>
      <c r="AI296" s="605">
        <f>C296</f>
        <v/>
      </c>
      <c r="AJ296" s="605" t="n">
        <v>2124921.76</v>
      </c>
      <c r="AK296" s="362" t="n"/>
      <c r="AL296" s="599">
        <f>(AJ296-AJ297)/AJ297</f>
        <v/>
      </c>
      <c r="AM296" s="599" t="n"/>
      <c r="AN296" s="526" t="n"/>
      <c r="AO296" s="526" t="n"/>
      <c r="AP296" s="523" t="n"/>
      <c r="AQ296" s="555">
        <f>C296</f>
        <v/>
      </c>
      <c r="AR296" s="611" t="n">
        <v>622700</v>
      </c>
      <c r="AS296" s="611" t="n"/>
      <c r="AT296" s="526">
        <f>(AR296-AR297)/AR297</f>
        <v/>
      </c>
      <c r="AU296" s="611" t="n">
        <v>169.95</v>
      </c>
      <c r="AV296" s="613" t="n">
        <v>-0.0046</v>
      </c>
      <c r="AW296" s="526" t="n"/>
      <c r="AX296" s="523" t="n"/>
      <c r="AY296" s="523" t="n"/>
      <c r="AZ296" s="523">
        <f>C296</f>
        <v/>
      </c>
      <c r="BA296" s="523" t="n"/>
      <c r="BB296" s="523" t="n"/>
      <c r="BC296" s="523" t="n"/>
      <c r="BD296" s="526" t="n"/>
      <c r="BE296" s="526" t="n"/>
      <c r="BF296" s="526" t="n"/>
      <c r="BG296" s="631" t="n"/>
      <c r="BH296" s="5">
        <f>C296</f>
        <v/>
      </c>
      <c r="BL296" s="19" t="n"/>
      <c r="BM296" s="19" t="n"/>
      <c r="BN296" s="19" t="n"/>
      <c r="BP296" s="5">
        <f>C296</f>
        <v/>
      </c>
      <c r="BQ296" s="633" t="n"/>
      <c r="BT296" s="19" t="n"/>
      <c r="BU296" s="19" t="n"/>
      <c r="BV296" s="19" t="n"/>
      <c r="BX296" s="5">
        <f>C296</f>
        <v/>
      </c>
      <c r="CB296" s="19" t="n"/>
      <c r="CC296" s="19" t="n"/>
      <c r="CD296" s="19" t="n"/>
      <c r="CF296" s="5">
        <f>C296</f>
        <v/>
      </c>
      <c r="CJ296" s="19" t="n"/>
      <c r="CK296" s="19" t="n"/>
      <c r="CL296" s="19" t="n"/>
      <c r="CN296" s="5">
        <f>C296</f>
        <v/>
      </c>
      <c r="CR296" s="19" t="n"/>
      <c r="CS296" s="19" t="n"/>
      <c r="CT296" s="19" t="n"/>
      <c r="CV296" s="5">
        <f>C296</f>
        <v/>
      </c>
      <c r="CZ296" s="19" t="n"/>
      <c r="DA296" s="19" t="n"/>
      <c r="DB296" s="19" t="n"/>
      <c r="DC296" s="23" t="n"/>
      <c r="DD296" s="5">
        <f>C296</f>
        <v/>
      </c>
      <c r="DH296" s="19" t="n"/>
      <c r="DI296" s="19" t="n"/>
      <c r="DJ296" s="19" t="n"/>
      <c r="DL296" s="5">
        <f>C296</f>
        <v/>
      </c>
      <c r="DP296" s="19" t="n"/>
      <c r="DQ296" s="19" t="n"/>
      <c r="DR296" s="19" t="n"/>
      <c r="DT296" s="5">
        <f>C296</f>
        <v/>
      </c>
      <c r="DX296" s="19" t="n"/>
      <c r="DY296" s="19" t="n"/>
      <c r="DZ296" s="19" t="n"/>
      <c r="EB296" s="5">
        <f>C296</f>
        <v/>
      </c>
      <c r="EF296" s="19" t="n"/>
      <c r="EG296" s="19" t="n"/>
      <c r="EH296" s="19" t="n"/>
      <c r="EJ296" s="5">
        <f>C296</f>
        <v/>
      </c>
      <c r="EN296" s="19" t="n"/>
      <c r="EO296" s="19" t="n"/>
      <c r="EP296" s="19" t="n"/>
      <c r="EQ296" s="19" t="n"/>
      <c r="ER296" s="5">
        <f>C296</f>
        <v/>
      </c>
      <c r="ES296" s="19" t="n"/>
      <c r="ET296" s="19" t="n"/>
      <c r="EU296" s="19" t="n"/>
      <c r="EV296" s="19" t="n"/>
      <c r="EW296" s="19" t="n"/>
      <c r="EX296" s="19" t="n"/>
      <c r="EZ296" s="5">
        <f>C296</f>
        <v/>
      </c>
      <c r="FD296" s="19" t="n"/>
      <c r="FE296" s="19" t="n"/>
      <c r="FF296" s="19" t="n"/>
      <c r="FG296" s="19" t="n"/>
      <c r="FH296" s="5">
        <f>C296</f>
        <v/>
      </c>
      <c r="FI296" s="633" t="n"/>
      <c r="FL296" s="19" t="n"/>
      <c r="FM296" s="19" t="n"/>
      <c r="FN296" s="19" t="n"/>
      <c r="FP296" s="5">
        <f>C296</f>
        <v/>
      </c>
      <c r="FT296" s="19" t="n"/>
      <c r="FU296" s="19" t="n"/>
      <c r="FV296" s="19" t="n"/>
      <c r="FX296" s="5">
        <f>C296</f>
        <v/>
      </c>
      <c r="GB296" s="19" t="n"/>
      <c r="GC296" s="19" t="n"/>
      <c r="GD296" s="19" t="n"/>
      <c r="GF296" s="5">
        <f>C296</f>
        <v/>
      </c>
      <c r="GJ296" s="19" t="n"/>
      <c r="GK296" s="19" t="n"/>
      <c r="GL296" s="19" t="n"/>
      <c r="GN296" s="5">
        <f>C296</f>
        <v/>
      </c>
      <c r="GR296" s="19" t="n"/>
      <c r="GS296" s="19" t="n"/>
      <c r="GT296" s="19" t="n"/>
      <c r="GV296" s="5">
        <f>C296</f>
        <v/>
      </c>
      <c r="GZ296" s="19" t="n"/>
      <c r="HA296" s="19" t="n"/>
      <c r="HB296" s="19" t="n"/>
      <c r="HD296" s="5">
        <f>C296</f>
        <v/>
      </c>
      <c r="HH296" s="19" t="n"/>
      <c r="HI296" s="19" t="n"/>
      <c r="HJ296" s="19" t="n"/>
      <c r="HL296" s="5">
        <f>C296</f>
        <v/>
      </c>
      <c r="HP296" s="19" t="n"/>
      <c r="HQ296" s="19" t="n"/>
      <c r="HR296" s="19" t="n"/>
      <c r="HT296" s="5">
        <f>C296</f>
        <v/>
      </c>
      <c r="HX296" s="19" t="n"/>
      <c r="HY296" s="19" t="n"/>
      <c r="HZ296" s="19" t="n"/>
      <c r="IB296" s="5">
        <f>C296</f>
        <v/>
      </c>
      <c r="IG296" s="19" t="n"/>
      <c r="IH296" s="19" t="n"/>
      <c r="IJ296" s="5">
        <f>C296</f>
        <v/>
      </c>
      <c r="IN296" s="19" t="n"/>
      <c r="IO296" s="19" t="n"/>
      <c r="IP296" s="19" t="n"/>
      <c r="IR296" s="5">
        <f>C296</f>
        <v/>
      </c>
      <c r="IV296" s="19" t="n"/>
      <c r="IW296" s="19" t="n"/>
      <c r="IX296" s="19" t="n"/>
      <c r="IZ296" s="5">
        <f>C296</f>
        <v/>
      </c>
      <c r="JD296" s="19" t="n"/>
      <c r="JE296" s="19" t="n"/>
      <c r="JF296" s="19" t="n"/>
      <c r="JH296" s="5">
        <f>C296</f>
        <v/>
      </c>
      <c r="JL296" s="19" t="n"/>
      <c r="JM296" s="19" t="n"/>
      <c r="JN296" s="19" t="n"/>
      <c r="JO296" s="19" t="n"/>
      <c r="JP296" s="5">
        <f>C296</f>
        <v/>
      </c>
      <c r="JT296" s="19" t="n"/>
      <c r="JU296" s="19" t="n"/>
      <c r="JV296" s="19" t="n"/>
      <c r="JW296" s="19" t="n"/>
      <c r="JX296" s="5">
        <f>C296</f>
        <v/>
      </c>
      <c r="KB296" s="19" t="n"/>
      <c r="KC296" s="19" t="n"/>
      <c r="KD296" s="19" t="n"/>
      <c r="KE296" s="19" t="n"/>
      <c r="KF296" s="5">
        <f>C296</f>
        <v/>
      </c>
      <c r="KG296" s="19" t="n"/>
      <c r="KH296" s="19" t="n"/>
      <c r="KJ296" s="19" t="n"/>
      <c r="KK296" s="19" t="n"/>
      <c r="KL296" s="19" t="n"/>
      <c r="KM296" s="19" t="n"/>
      <c r="KN296" s="5">
        <f>C296</f>
        <v/>
      </c>
      <c r="KR296" s="19" t="n"/>
      <c r="KS296" s="19" t="n"/>
      <c r="KT296" s="19" t="n"/>
      <c r="KV296" s="5">
        <f>C296</f>
        <v/>
      </c>
      <c r="KZ296" s="19" t="n"/>
      <c r="LA296" s="19" t="n"/>
      <c r="LB296" s="19" t="n"/>
      <c r="LD296" s="5">
        <f>C296</f>
        <v/>
      </c>
      <c r="LH296" s="19" t="n"/>
      <c r="LI296" s="19" t="n"/>
      <c r="LJ296" s="19" t="n"/>
      <c r="LL296" s="5">
        <f>C296</f>
        <v/>
      </c>
      <c r="LM296" s="633" t="n"/>
      <c r="LP296" s="19" t="n"/>
      <c r="LQ296" s="19" t="n"/>
      <c r="LR296" s="19" t="n"/>
      <c r="LT296" s="5">
        <f>C296</f>
        <v/>
      </c>
      <c r="LX296" s="19" t="n"/>
      <c r="LY296" s="19" t="n"/>
      <c r="LZ296" s="19" t="n"/>
      <c r="MB296" s="5">
        <f>C296</f>
        <v/>
      </c>
      <c r="MF296" s="19" t="n"/>
      <c r="MG296" s="19" t="n"/>
      <c r="MH296" s="19" t="n"/>
      <c r="MK296" s="5">
        <f>C296</f>
        <v/>
      </c>
      <c r="MM296" s="24" t="n"/>
      <c r="MO296" s="19" t="n"/>
      <c r="MP296" s="19" t="n"/>
      <c r="MQ296" s="19" t="n"/>
      <c r="MR296" s="19" t="n"/>
      <c r="MS296" s="19" t="n"/>
      <c r="MT296" s="25">
        <f>C296</f>
        <v/>
      </c>
      <c r="MX296" s="19" t="n"/>
      <c r="MY296" s="19" t="n"/>
      <c r="MZ296" s="19" t="n"/>
      <c r="NA296" s="19" t="n"/>
      <c r="NB296" s="19" t="n"/>
      <c r="NC296" s="5">
        <f>C296</f>
        <v/>
      </c>
      <c r="NG296" s="19" t="n"/>
      <c r="NH296" s="19" t="n"/>
      <c r="NI296" s="19" t="n"/>
      <c r="NJ296" s="19" t="n"/>
      <c r="NK296" s="19" t="n"/>
      <c r="NM296" s="5">
        <f>C296</f>
        <v/>
      </c>
      <c r="NQ296" s="19" t="n"/>
      <c r="NR296" s="19" t="n"/>
      <c r="NU296" s="5">
        <f>C296</f>
        <v/>
      </c>
      <c r="NY296" s="19" t="n"/>
      <c r="NZ296" s="19" t="n"/>
      <c r="OC296" s="5">
        <f>C296</f>
        <v/>
      </c>
      <c r="OG296" s="19" t="n"/>
      <c r="OH296" s="19" t="n"/>
      <c r="OI296" s="19" t="n"/>
      <c r="OK296" s="5">
        <f>C296</f>
        <v/>
      </c>
      <c r="OO296" s="19" t="n"/>
      <c r="OP296" s="19" t="n"/>
      <c r="OQ296" s="19" t="n"/>
      <c r="OT296" s="25">
        <f>OK296</f>
        <v/>
      </c>
      <c r="OX296" s="19" t="n"/>
    </row>
    <row r="297" ht="21" customFormat="1" customHeight="1" s="5">
      <c r="A297" s="631" t="n"/>
      <c r="B297" s="631" t="n"/>
      <c r="C297" s="735" t="inlineStr">
        <is>
          <t>2024//7//31</t>
        </is>
      </c>
      <c r="D297" s="605" t="n">
        <v>7528548.77</v>
      </c>
      <c r="E297" s="597" t="n"/>
      <c r="F297" s="601">
        <f>(D297-D298)/D298</f>
        <v/>
      </c>
      <c r="G297" s="601" t="n"/>
      <c r="H297" s="526" t="n"/>
      <c r="I297" s="629" t="n"/>
      <c r="J297" s="629" t="n"/>
      <c r="K297" s="605">
        <f>C297</f>
        <v/>
      </c>
      <c r="L297" s="605">
        <f>10167630.74/2</f>
        <v/>
      </c>
      <c r="M297" s="597" t="n"/>
      <c r="N297" s="601">
        <f>(L297-L298)/L298</f>
        <v/>
      </c>
      <c r="O297" s="601" t="n"/>
      <c r="P297" s="526" t="n"/>
      <c r="Q297" s="629" t="n"/>
      <c r="R297" s="630" t="n"/>
      <c r="S297" s="605">
        <f>C297</f>
        <v/>
      </c>
      <c r="T297" s="605" t="n">
        <v>5053116.68</v>
      </c>
      <c r="U297" s="597" t="n"/>
      <c r="V297" s="599">
        <f>(T297-T298)/T298</f>
        <v/>
      </c>
      <c r="W297" s="599" t="n"/>
      <c r="X297" s="526" t="n"/>
      <c r="Y297" s="629" t="n"/>
      <c r="Z297" s="630" t="n"/>
      <c r="AA297" s="605">
        <f>S297</f>
        <v/>
      </c>
      <c r="AB297" s="605" t="n">
        <v>1718696.86</v>
      </c>
      <c r="AC297" s="597" t="n"/>
      <c r="AD297" s="601">
        <f>(AB297-AB298)/AB298</f>
        <v/>
      </c>
      <c r="AE297" s="601" t="n"/>
      <c r="AF297" s="526" t="n"/>
      <c r="AG297" s="629" t="n"/>
      <c r="AH297" s="630" t="n"/>
      <c r="AI297" s="605">
        <f>C297</f>
        <v/>
      </c>
      <c r="AJ297" s="605" t="n">
        <v>1816721.76</v>
      </c>
      <c r="AK297" s="362" t="n"/>
      <c r="AL297" s="599">
        <f>(AJ297-AJ298)/AJ298</f>
        <v/>
      </c>
      <c r="AM297" s="599" t="n"/>
      <c r="AN297" s="526" t="n"/>
      <c r="AO297" s="526" t="n"/>
      <c r="AP297" s="523" t="n"/>
      <c r="AQ297" s="555">
        <f>C297</f>
        <v/>
      </c>
      <c r="AR297" s="611" t="n">
        <v>662900</v>
      </c>
      <c r="AS297" s="611" t="n"/>
      <c r="AT297" s="526">
        <f>(AR297-AR298)/AR298</f>
        <v/>
      </c>
      <c r="AU297" s="611" t="n">
        <v>170.74</v>
      </c>
      <c r="AV297" s="613" t="n">
        <v>0.3519</v>
      </c>
      <c r="AW297" s="526" t="n"/>
      <c r="AX297" s="523" t="n"/>
      <c r="AY297" s="523" t="n"/>
      <c r="AZ297" s="523">
        <f>C297</f>
        <v/>
      </c>
      <c r="BA297" s="523" t="n"/>
      <c r="BB297" s="523" t="n"/>
      <c r="BC297" s="523" t="n"/>
      <c r="BD297" s="526" t="n"/>
      <c r="BE297" s="526" t="n"/>
      <c r="BF297" s="526" t="n"/>
      <c r="BG297" s="631" t="n"/>
      <c r="BH297" s="5">
        <f>C297</f>
        <v/>
      </c>
      <c r="BL297" s="19" t="n"/>
      <c r="BM297" s="19" t="n"/>
      <c r="BN297" s="19" t="n"/>
      <c r="BP297" s="5">
        <f>C297</f>
        <v/>
      </c>
      <c r="BQ297" s="633" t="n"/>
      <c r="BT297" s="19" t="n"/>
      <c r="BU297" s="19" t="n"/>
      <c r="BV297" s="19" t="n"/>
      <c r="BX297" s="5">
        <f>C297</f>
        <v/>
      </c>
      <c r="CB297" s="19" t="n"/>
      <c r="CC297" s="19" t="n"/>
      <c r="CD297" s="19" t="n"/>
      <c r="CF297" s="5">
        <f>C297</f>
        <v/>
      </c>
      <c r="CJ297" s="19" t="n"/>
      <c r="CK297" s="19" t="n"/>
      <c r="CL297" s="19" t="n"/>
      <c r="CN297" s="5">
        <f>C297</f>
        <v/>
      </c>
      <c r="CR297" s="19" t="n"/>
      <c r="CS297" s="19" t="n"/>
      <c r="CT297" s="19" t="n"/>
      <c r="CV297" s="5">
        <f>C297</f>
        <v/>
      </c>
      <c r="CZ297" s="19" t="n"/>
      <c r="DA297" s="19" t="n"/>
      <c r="DB297" s="19" t="n"/>
      <c r="DC297" s="23" t="n"/>
      <c r="DD297" s="5">
        <f>C297</f>
        <v/>
      </c>
      <c r="DH297" s="19" t="n"/>
      <c r="DI297" s="19" t="n"/>
      <c r="DJ297" s="19" t="n"/>
      <c r="DL297" s="5">
        <f>C297</f>
        <v/>
      </c>
      <c r="DP297" s="19" t="n"/>
      <c r="DQ297" s="19" t="n"/>
      <c r="DR297" s="19" t="n"/>
      <c r="DT297" s="5">
        <f>C297</f>
        <v/>
      </c>
      <c r="DX297" s="19" t="n"/>
      <c r="DY297" s="19" t="n"/>
      <c r="DZ297" s="19" t="n"/>
      <c r="EB297" s="5">
        <f>C297</f>
        <v/>
      </c>
      <c r="EF297" s="19" t="n"/>
      <c r="EG297" s="19" t="n"/>
      <c r="EH297" s="19" t="n"/>
      <c r="EJ297" s="5">
        <f>C297</f>
        <v/>
      </c>
      <c r="EN297" s="19" t="n"/>
      <c r="EO297" s="19" t="n"/>
      <c r="EP297" s="19" t="n"/>
      <c r="EQ297" s="19" t="n"/>
      <c r="ER297" s="5">
        <f>C297</f>
        <v/>
      </c>
      <c r="ES297" s="19" t="n"/>
      <c r="ET297" s="19" t="n"/>
      <c r="EU297" s="19" t="n"/>
      <c r="EV297" s="19" t="n"/>
      <c r="EW297" s="19" t="n"/>
      <c r="EX297" s="19" t="n"/>
      <c r="EZ297" s="5">
        <f>C297</f>
        <v/>
      </c>
      <c r="FD297" s="19" t="n"/>
      <c r="FE297" s="19" t="n"/>
      <c r="FF297" s="19" t="n"/>
      <c r="FG297" s="19" t="n"/>
      <c r="FH297" s="5">
        <f>C297</f>
        <v/>
      </c>
      <c r="FI297" s="633" t="n"/>
      <c r="FL297" s="19" t="n"/>
      <c r="FM297" s="19" t="n"/>
      <c r="FN297" s="19" t="n"/>
      <c r="FP297" s="5">
        <f>C297</f>
        <v/>
      </c>
      <c r="FT297" s="19" t="n"/>
      <c r="FU297" s="19" t="n"/>
      <c r="FV297" s="19" t="n"/>
      <c r="FX297" s="5">
        <f>C297</f>
        <v/>
      </c>
      <c r="GB297" s="19" t="n"/>
      <c r="GC297" s="19" t="n"/>
      <c r="GD297" s="19" t="n"/>
      <c r="GF297" s="5">
        <f>C297</f>
        <v/>
      </c>
      <c r="GJ297" s="19" t="n"/>
      <c r="GK297" s="19" t="n"/>
      <c r="GL297" s="19" t="n"/>
      <c r="GN297" s="5">
        <f>C297</f>
        <v/>
      </c>
      <c r="GR297" s="19" t="n"/>
      <c r="GS297" s="19" t="n"/>
      <c r="GT297" s="19" t="n"/>
      <c r="GV297" s="5">
        <f>C297</f>
        <v/>
      </c>
      <c r="GZ297" s="19" t="n"/>
      <c r="HA297" s="19" t="n"/>
      <c r="HB297" s="19" t="n"/>
      <c r="HD297" s="5">
        <f>C297</f>
        <v/>
      </c>
      <c r="HH297" s="19" t="n"/>
      <c r="HI297" s="19" t="n"/>
      <c r="HJ297" s="19" t="n"/>
      <c r="HL297" s="5">
        <f>C297</f>
        <v/>
      </c>
      <c r="HP297" s="19" t="n"/>
      <c r="HQ297" s="19" t="n"/>
      <c r="HR297" s="19" t="n"/>
      <c r="HT297" s="5">
        <f>C297</f>
        <v/>
      </c>
      <c r="HX297" s="19" t="n"/>
      <c r="HY297" s="19" t="n"/>
      <c r="HZ297" s="19" t="n"/>
      <c r="IB297" s="5">
        <f>C297</f>
        <v/>
      </c>
      <c r="IG297" s="19" t="n"/>
      <c r="IH297" s="19" t="n"/>
      <c r="IJ297" s="5">
        <f>C297</f>
        <v/>
      </c>
      <c r="IN297" s="19" t="n"/>
      <c r="IO297" s="19" t="n"/>
      <c r="IP297" s="19" t="n"/>
      <c r="IR297" s="5">
        <f>C297</f>
        <v/>
      </c>
      <c r="IV297" s="19" t="n"/>
      <c r="IW297" s="19" t="n"/>
      <c r="IX297" s="19" t="n"/>
      <c r="IZ297" s="5">
        <f>C297</f>
        <v/>
      </c>
      <c r="JD297" s="19" t="n"/>
      <c r="JE297" s="19" t="n"/>
      <c r="JF297" s="19" t="n"/>
      <c r="JH297" s="5">
        <f>C297</f>
        <v/>
      </c>
      <c r="JL297" s="19" t="n"/>
      <c r="JM297" s="19" t="n"/>
      <c r="JN297" s="19" t="n"/>
      <c r="JO297" s="19" t="n"/>
      <c r="JP297" s="5">
        <f>C297</f>
        <v/>
      </c>
      <c r="JT297" s="19" t="n"/>
      <c r="JU297" s="19" t="n"/>
      <c r="JV297" s="19" t="n"/>
      <c r="JW297" s="19" t="n"/>
      <c r="JX297" s="5">
        <f>C297</f>
        <v/>
      </c>
      <c r="KB297" s="19" t="n"/>
      <c r="KC297" s="19" t="n"/>
      <c r="KD297" s="19" t="n"/>
      <c r="KE297" s="19" t="n"/>
      <c r="KF297" s="5">
        <f>C297</f>
        <v/>
      </c>
      <c r="KG297" s="19" t="n"/>
      <c r="KH297" s="19" t="n"/>
      <c r="KJ297" s="19" t="n"/>
      <c r="KK297" s="19" t="n"/>
      <c r="KL297" s="19" t="n"/>
      <c r="KM297" s="19" t="n"/>
      <c r="KN297" s="5">
        <f>C297</f>
        <v/>
      </c>
      <c r="KR297" s="19" t="n"/>
      <c r="KS297" s="19" t="n"/>
      <c r="KT297" s="19" t="n"/>
      <c r="KV297" s="5">
        <f>C297</f>
        <v/>
      </c>
      <c r="KZ297" s="19" t="n"/>
      <c r="LA297" s="19" t="n"/>
      <c r="LB297" s="19" t="n"/>
      <c r="LD297" s="5">
        <f>C297</f>
        <v/>
      </c>
      <c r="LH297" s="19" t="n"/>
      <c r="LI297" s="19" t="n"/>
      <c r="LJ297" s="19" t="n"/>
      <c r="LL297" s="5">
        <f>C297</f>
        <v/>
      </c>
      <c r="LM297" s="633" t="n"/>
      <c r="LP297" s="19" t="n"/>
      <c r="LQ297" s="19" t="n"/>
      <c r="LR297" s="19" t="n"/>
      <c r="LT297" s="5">
        <f>C297</f>
        <v/>
      </c>
      <c r="LX297" s="19" t="n"/>
      <c r="LY297" s="19" t="n"/>
      <c r="LZ297" s="19" t="n"/>
      <c r="MB297" s="5">
        <f>C297</f>
        <v/>
      </c>
      <c r="MF297" s="19" t="n"/>
      <c r="MG297" s="19" t="n"/>
      <c r="MH297" s="19" t="n"/>
      <c r="MK297" s="5">
        <f>C297</f>
        <v/>
      </c>
      <c r="MM297" s="24" t="n"/>
      <c r="MO297" s="19" t="n"/>
      <c r="MP297" s="19" t="n"/>
      <c r="MQ297" s="19" t="n"/>
      <c r="MR297" s="19" t="n"/>
      <c r="MS297" s="19" t="n"/>
      <c r="MT297" s="25">
        <f>C297</f>
        <v/>
      </c>
      <c r="MX297" s="19" t="n"/>
      <c r="MY297" s="19" t="n"/>
      <c r="MZ297" s="19" t="n"/>
      <c r="NA297" s="19" t="n"/>
      <c r="NB297" s="19" t="n"/>
      <c r="NC297" s="5">
        <f>C297</f>
        <v/>
      </c>
      <c r="NG297" s="19" t="n"/>
      <c r="NH297" s="19" t="n"/>
      <c r="NI297" s="19" t="n"/>
      <c r="NJ297" s="19" t="n"/>
      <c r="NK297" s="19" t="n"/>
      <c r="NM297" s="5">
        <f>C297</f>
        <v/>
      </c>
      <c r="NQ297" s="19" t="n"/>
      <c r="NR297" s="19" t="n"/>
      <c r="NU297" s="5">
        <f>C297</f>
        <v/>
      </c>
      <c r="NY297" s="19" t="n"/>
      <c r="NZ297" s="19" t="n"/>
      <c r="OC297" s="5">
        <f>C297</f>
        <v/>
      </c>
      <c r="OG297" s="19" t="n"/>
      <c r="OH297" s="19" t="n"/>
      <c r="OI297" s="19" t="n"/>
      <c r="OK297" s="5">
        <f>C297</f>
        <v/>
      </c>
      <c r="OO297" s="19" t="n"/>
      <c r="OP297" s="19" t="n"/>
      <c r="OQ297" s="19" t="n"/>
      <c r="OT297" s="25">
        <f>OK297</f>
        <v/>
      </c>
      <c r="OX297" s="19" t="n"/>
    </row>
    <row r="298" ht="21" customFormat="1" customHeight="1" s="5">
      <c r="A298" s="631" t="n"/>
      <c r="B298" s="631" t="n"/>
      <c r="C298" s="735" t="inlineStr">
        <is>
          <t>2024//6//28</t>
        </is>
      </c>
      <c r="D298" s="605" t="n">
        <v>6073968.77</v>
      </c>
      <c r="E298" s="597" t="n"/>
      <c r="F298" s="601">
        <f>(D298-D299)/D299</f>
        <v/>
      </c>
      <c r="G298" s="601" t="n"/>
      <c r="H298" s="526" t="n"/>
      <c r="I298" s="629" t="n"/>
      <c r="J298" s="629" t="n"/>
      <c r="K298" s="605">
        <f>C298</f>
        <v/>
      </c>
      <c r="L298" s="605">
        <f>8165230.74/2</f>
        <v/>
      </c>
      <c r="M298" s="597" t="n"/>
      <c r="N298" s="601">
        <f>(L298-L299)/L299</f>
        <v/>
      </c>
      <c r="O298" s="601" t="n"/>
      <c r="P298" s="526" t="n"/>
      <c r="Q298" s="629" t="n"/>
      <c r="R298" s="630" t="n"/>
      <c r="S298" s="605">
        <f>C298</f>
        <v/>
      </c>
      <c r="T298" s="605" t="n">
        <v>4627596.68</v>
      </c>
      <c r="U298" s="597" t="n"/>
      <c r="V298" s="599">
        <f>(T298-T299)/T299</f>
        <v/>
      </c>
      <c r="W298" s="599" t="n"/>
      <c r="X298" s="526" t="n"/>
      <c r="Y298" s="629" t="n"/>
      <c r="Z298" s="630" t="n"/>
      <c r="AA298" s="605">
        <f>S298</f>
        <v/>
      </c>
      <c r="AB298" s="605" t="n">
        <v>1477376.86</v>
      </c>
      <c r="AC298" s="597" t="n"/>
      <c r="AD298" s="601">
        <f>(AB298-AB299)/AB299</f>
        <v/>
      </c>
      <c r="AE298" s="601" t="n"/>
      <c r="AF298" s="526" t="n"/>
      <c r="AG298" s="629" t="n"/>
      <c r="AH298" s="630" t="n"/>
      <c r="AI298" s="605">
        <f>C298</f>
        <v/>
      </c>
      <c r="AJ298" s="605" t="n">
        <v>1215721.76</v>
      </c>
      <c r="AK298" s="362" t="n"/>
      <c r="AL298" s="599">
        <f>(AJ298-AJ299)/AJ299</f>
        <v/>
      </c>
      <c r="AM298" s="599" t="n"/>
      <c r="AN298" s="526" t="n"/>
      <c r="AO298" s="526" t="n"/>
      <c r="AP298" s="523" t="n"/>
      <c r="AQ298" s="555">
        <f>C298</f>
        <v/>
      </c>
      <c r="AR298" s="611" t="n">
        <v>392200</v>
      </c>
      <c r="AS298" s="611" t="n"/>
      <c r="AT298" s="526">
        <f>(AR298-AR299)/AR299</f>
        <v/>
      </c>
      <c r="AU298" s="611" t="n">
        <v>126.29</v>
      </c>
      <c r="AV298" s="613" t="n">
        <v>-0.0293</v>
      </c>
      <c r="AW298" s="526" t="n"/>
      <c r="AX298" s="523" t="n"/>
      <c r="AY298" s="523" t="n"/>
      <c r="AZ298" s="523">
        <f>C298</f>
        <v/>
      </c>
      <c r="BA298" s="523" t="n"/>
      <c r="BB298" s="523" t="n"/>
      <c r="BC298" s="523" t="n"/>
      <c r="BD298" s="526" t="n"/>
      <c r="BE298" s="526" t="n"/>
      <c r="BF298" s="526" t="n"/>
      <c r="BG298" s="631" t="n"/>
      <c r="BH298" s="5">
        <f>C298</f>
        <v/>
      </c>
      <c r="BL298" s="19" t="n"/>
      <c r="BM298" s="19" t="n"/>
      <c r="BN298" s="19" t="n"/>
      <c r="BP298" s="5">
        <f>C298</f>
        <v/>
      </c>
      <c r="BQ298" s="633" t="n"/>
      <c r="BT298" s="19" t="n"/>
      <c r="BU298" s="19" t="n"/>
      <c r="BV298" s="19" t="n"/>
      <c r="BX298" s="5">
        <f>C298</f>
        <v/>
      </c>
      <c r="CB298" s="19" t="n"/>
      <c r="CC298" s="19" t="n"/>
      <c r="CD298" s="19" t="n"/>
      <c r="CF298" s="5">
        <f>C298</f>
        <v/>
      </c>
      <c r="CJ298" s="19" t="n"/>
      <c r="CK298" s="19" t="n"/>
      <c r="CL298" s="19" t="n"/>
      <c r="CN298" s="5">
        <f>C298</f>
        <v/>
      </c>
      <c r="CR298" s="19" t="n"/>
      <c r="CS298" s="19" t="n"/>
      <c r="CT298" s="19" t="n"/>
      <c r="CV298" s="5">
        <f>C298</f>
        <v/>
      </c>
      <c r="CZ298" s="19" t="n"/>
      <c r="DA298" s="19" t="n"/>
      <c r="DB298" s="19" t="n"/>
      <c r="DC298" s="23" t="n"/>
      <c r="DD298" s="5">
        <f>C298</f>
        <v/>
      </c>
      <c r="DH298" s="19" t="n"/>
      <c r="DI298" s="19" t="n"/>
      <c r="DJ298" s="19" t="n"/>
      <c r="DL298" s="5">
        <f>C298</f>
        <v/>
      </c>
      <c r="DP298" s="19" t="n"/>
      <c r="DQ298" s="19" t="n"/>
      <c r="DR298" s="19" t="n"/>
      <c r="DT298" s="5">
        <f>C298</f>
        <v/>
      </c>
      <c r="DX298" s="19" t="n"/>
      <c r="DY298" s="19" t="n"/>
      <c r="DZ298" s="19" t="n"/>
      <c r="EB298" s="5">
        <f>C298</f>
        <v/>
      </c>
      <c r="EF298" s="19" t="n"/>
      <c r="EG298" s="19" t="n"/>
      <c r="EH298" s="19" t="n"/>
      <c r="EJ298" s="5">
        <f>C298</f>
        <v/>
      </c>
      <c r="EN298" s="19" t="n"/>
      <c r="EO298" s="19" t="n"/>
      <c r="EP298" s="19" t="n"/>
      <c r="EQ298" s="19" t="n"/>
      <c r="ER298" s="5">
        <f>C298</f>
        <v/>
      </c>
      <c r="ES298" s="19" t="n"/>
      <c r="ET298" s="19" t="n"/>
      <c r="EU298" s="19" t="n"/>
      <c r="EV298" s="19" t="n"/>
      <c r="EW298" s="19" t="n"/>
      <c r="EX298" s="19" t="n"/>
      <c r="EZ298" s="5">
        <f>C298</f>
        <v/>
      </c>
      <c r="FD298" s="19" t="n"/>
      <c r="FE298" s="19" t="n"/>
      <c r="FF298" s="19" t="n"/>
      <c r="FG298" s="19" t="n"/>
      <c r="FH298" s="5">
        <f>C298</f>
        <v/>
      </c>
      <c r="FI298" s="633" t="n"/>
      <c r="FL298" s="19" t="n"/>
      <c r="FM298" s="19" t="n"/>
      <c r="FN298" s="19" t="n"/>
      <c r="FP298" s="5">
        <f>C298</f>
        <v/>
      </c>
      <c r="FT298" s="19" t="n"/>
      <c r="FU298" s="19" t="n"/>
      <c r="FV298" s="19" t="n"/>
      <c r="FX298" s="5">
        <f>C298</f>
        <v/>
      </c>
      <c r="GB298" s="19" t="n"/>
      <c r="GC298" s="19" t="n"/>
      <c r="GD298" s="19" t="n"/>
      <c r="GF298" s="5">
        <f>C298</f>
        <v/>
      </c>
      <c r="GJ298" s="19" t="n"/>
      <c r="GK298" s="19" t="n"/>
      <c r="GL298" s="19" t="n"/>
      <c r="GN298" s="5">
        <f>C298</f>
        <v/>
      </c>
      <c r="GR298" s="19" t="n"/>
      <c r="GS298" s="19" t="n"/>
      <c r="GT298" s="19" t="n"/>
      <c r="GV298" s="5">
        <f>C298</f>
        <v/>
      </c>
      <c r="GZ298" s="19" t="n"/>
      <c r="HA298" s="19" t="n"/>
      <c r="HB298" s="19" t="n"/>
      <c r="HD298" s="5">
        <f>C298</f>
        <v/>
      </c>
      <c r="HH298" s="19" t="n"/>
      <c r="HI298" s="19" t="n"/>
      <c r="HJ298" s="19" t="n"/>
      <c r="HL298" s="5">
        <f>C298</f>
        <v/>
      </c>
      <c r="HP298" s="19" t="n"/>
      <c r="HQ298" s="19" t="n"/>
      <c r="HR298" s="19" t="n"/>
      <c r="HT298" s="5">
        <f>C298</f>
        <v/>
      </c>
      <c r="HX298" s="19" t="n"/>
      <c r="HY298" s="19" t="n"/>
      <c r="HZ298" s="19" t="n"/>
      <c r="IB298" s="5">
        <f>C298</f>
        <v/>
      </c>
      <c r="IG298" s="19" t="n"/>
      <c r="IH298" s="19" t="n"/>
      <c r="IJ298" s="5">
        <f>C298</f>
        <v/>
      </c>
      <c r="IN298" s="19" t="n"/>
      <c r="IO298" s="19" t="n"/>
      <c r="IP298" s="19" t="n"/>
      <c r="IR298" s="5">
        <f>C298</f>
        <v/>
      </c>
      <c r="IV298" s="19" t="n"/>
      <c r="IW298" s="19" t="n"/>
      <c r="IX298" s="19" t="n"/>
      <c r="IZ298" s="5">
        <f>C298</f>
        <v/>
      </c>
      <c r="JD298" s="19" t="n"/>
      <c r="JE298" s="19" t="n"/>
      <c r="JF298" s="19" t="n"/>
      <c r="JH298" s="5">
        <f>C298</f>
        <v/>
      </c>
      <c r="JL298" s="19" t="n"/>
      <c r="JM298" s="19" t="n"/>
      <c r="JN298" s="19" t="n"/>
      <c r="JO298" s="19" t="n"/>
      <c r="JP298" s="5">
        <f>C298</f>
        <v/>
      </c>
      <c r="JT298" s="19" t="n"/>
      <c r="JU298" s="19" t="n"/>
      <c r="JV298" s="19" t="n"/>
      <c r="JW298" s="19" t="n"/>
      <c r="JX298" s="5">
        <f>C298</f>
        <v/>
      </c>
      <c r="KB298" s="19" t="n"/>
      <c r="KC298" s="19" t="n"/>
      <c r="KD298" s="19" t="n"/>
      <c r="KE298" s="19" t="n"/>
      <c r="KF298" s="5">
        <f>C298</f>
        <v/>
      </c>
      <c r="KG298" s="19" t="n"/>
      <c r="KH298" s="19" t="n"/>
      <c r="KJ298" s="19" t="n"/>
      <c r="KK298" s="19" t="n"/>
      <c r="KL298" s="19" t="n"/>
      <c r="KM298" s="19" t="n"/>
      <c r="KN298" s="5">
        <f>C298</f>
        <v/>
      </c>
      <c r="KR298" s="19" t="n"/>
      <c r="KS298" s="19" t="n"/>
      <c r="KT298" s="19" t="n"/>
      <c r="KV298" s="5">
        <f>C298</f>
        <v/>
      </c>
      <c r="KZ298" s="19" t="n"/>
      <c r="LA298" s="19" t="n"/>
      <c r="LB298" s="19" t="n"/>
      <c r="LD298" s="5">
        <f>C298</f>
        <v/>
      </c>
      <c r="LH298" s="19" t="n"/>
      <c r="LI298" s="19" t="n"/>
      <c r="LJ298" s="19" t="n"/>
      <c r="LL298" s="5">
        <f>C298</f>
        <v/>
      </c>
      <c r="LM298" s="633" t="n"/>
      <c r="LP298" s="19" t="n"/>
      <c r="LQ298" s="19" t="n"/>
      <c r="LR298" s="19" t="n"/>
      <c r="LT298" s="5">
        <f>C298</f>
        <v/>
      </c>
      <c r="LX298" s="19" t="n"/>
      <c r="LY298" s="19" t="n"/>
      <c r="LZ298" s="19" t="n"/>
      <c r="MB298" s="5">
        <f>C298</f>
        <v/>
      </c>
      <c r="MF298" s="19" t="n"/>
      <c r="MG298" s="19" t="n"/>
      <c r="MH298" s="19" t="n"/>
      <c r="MK298" s="5">
        <f>C298</f>
        <v/>
      </c>
      <c r="MM298" s="24" t="n"/>
      <c r="MO298" s="19" t="n"/>
      <c r="MP298" s="19" t="n"/>
      <c r="MQ298" s="19" t="n"/>
      <c r="MR298" s="19" t="n"/>
      <c r="MS298" s="19" t="n"/>
      <c r="MT298" s="25">
        <f>C298</f>
        <v/>
      </c>
      <c r="MX298" s="19" t="n"/>
      <c r="MY298" s="19" t="n"/>
      <c r="MZ298" s="19" t="n"/>
      <c r="NA298" s="19" t="n"/>
      <c r="NB298" s="19" t="n"/>
      <c r="NC298" s="5">
        <f>C298</f>
        <v/>
      </c>
      <c r="NG298" s="19" t="n"/>
      <c r="NH298" s="19" t="n"/>
      <c r="NI298" s="19" t="n"/>
      <c r="NJ298" s="19" t="n"/>
      <c r="NK298" s="19" t="n"/>
      <c r="NM298" s="5">
        <f>C298</f>
        <v/>
      </c>
      <c r="NQ298" s="19" t="n"/>
      <c r="NR298" s="19" t="n"/>
      <c r="NU298" s="5">
        <f>C298</f>
        <v/>
      </c>
      <c r="NY298" s="19" t="n"/>
      <c r="NZ298" s="19" t="n"/>
      <c r="OC298" s="5">
        <f>C298</f>
        <v/>
      </c>
      <c r="OG298" s="19" t="n"/>
      <c r="OH298" s="19" t="n"/>
      <c r="OI298" s="19" t="n"/>
      <c r="OK298" s="5">
        <f>C298</f>
        <v/>
      </c>
      <c r="OO298" s="19" t="n"/>
      <c r="OP298" s="19" t="n"/>
      <c r="OQ298" s="19" t="n"/>
      <c r="OT298" s="25">
        <f>OK298</f>
        <v/>
      </c>
      <c r="OX298" s="19" t="n"/>
    </row>
    <row r="299" ht="21" customFormat="1" customHeight="1" s="5">
      <c r="A299" s="631" t="n"/>
      <c r="B299" s="631" t="n"/>
      <c r="C299" s="735" t="inlineStr">
        <is>
          <t>2024//5//31</t>
        </is>
      </c>
      <c r="D299" s="605" t="n">
        <v>5601828.77</v>
      </c>
      <c r="E299" s="597" t="n"/>
      <c r="F299" s="601">
        <f>(D299-D300)/D300</f>
        <v/>
      </c>
      <c r="G299" s="601" t="n"/>
      <c r="H299" s="526" t="n"/>
      <c r="I299" s="629" t="n"/>
      <c r="J299" s="629" t="n"/>
      <c r="K299" s="605">
        <f>C299</f>
        <v/>
      </c>
      <c r="L299" s="605">
        <f>7758030.74/2</f>
        <v/>
      </c>
      <c r="M299" s="597" t="n"/>
      <c r="N299" s="601">
        <f>(L299-L300)/L300</f>
        <v/>
      </c>
      <c r="O299" s="601" t="n"/>
      <c r="P299" s="526" t="n"/>
      <c r="Q299" s="629" t="n"/>
      <c r="R299" s="630" t="n"/>
      <c r="S299" s="605">
        <f>C299</f>
        <v/>
      </c>
      <c r="T299" s="605" t="n">
        <v>4528236.68</v>
      </c>
      <c r="U299" s="597" t="n"/>
      <c r="V299" s="599">
        <f>(T299-T300)/T300</f>
        <v/>
      </c>
      <c r="W299" s="599" t="n"/>
      <c r="X299" s="526" t="n"/>
      <c r="Y299" s="629" t="n"/>
      <c r="Z299" s="630" t="n"/>
      <c r="AA299" s="605">
        <f>S299</f>
        <v/>
      </c>
      <c r="AB299" s="605" t="n">
        <v>1358936.86</v>
      </c>
      <c r="AC299" s="597" t="n"/>
      <c r="AD299" s="601">
        <f>(AB299-AB300)/AB300</f>
        <v/>
      </c>
      <c r="AE299" s="601" t="n"/>
      <c r="AF299" s="526" t="n"/>
      <c r="AG299" s="629" t="n"/>
      <c r="AH299" s="630" t="n"/>
      <c r="AI299" s="605">
        <f>C299</f>
        <v/>
      </c>
      <c r="AJ299" s="605" t="n">
        <v>1131721.76</v>
      </c>
      <c r="AK299" s="362" t="n"/>
      <c r="AL299" s="599">
        <f>(AJ299-AJ300)/AJ300</f>
        <v/>
      </c>
      <c r="AM299" s="599" t="n"/>
      <c r="AN299" s="526" t="n"/>
      <c r="AO299" s="526" t="n"/>
      <c r="AP299" s="523" t="n"/>
      <c r="AQ299" s="555">
        <f>C299</f>
        <v/>
      </c>
      <c r="AR299" s="611" t="n">
        <v>413600</v>
      </c>
      <c r="AS299" s="611" t="n"/>
      <c r="AT299" s="526">
        <f>(AR299-AR300)/AR300</f>
        <v/>
      </c>
      <c r="AU299" s="611" t="n">
        <v>130.1</v>
      </c>
      <c r="AV299" s="613" t="n">
        <v>-0.1283</v>
      </c>
      <c r="AW299" s="526" t="n"/>
      <c r="AX299" s="523" t="n"/>
      <c r="AY299" s="523" t="n"/>
      <c r="AZ299" s="523">
        <f>C299</f>
        <v/>
      </c>
      <c r="BA299" s="523" t="n"/>
      <c r="BB299" s="523" t="n"/>
      <c r="BC299" s="523" t="n"/>
      <c r="BD299" s="526" t="n"/>
      <c r="BE299" s="526" t="n"/>
      <c r="BF299" s="526" t="n"/>
      <c r="BG299" s="631" t="n"/>
      <c r="BH299" s="5">
        <f>C299</f>
        <v/>
      </c>
      <c r="BL299" s="19" t="n"/>
      <c r="BM299" s="19" t="n"/>
      <c r="BN299" s="19" t="n"/>
      <c r="BP299" s="5">
        <f>C299</f>
        <v/>
      </c>
      <c r="BQ299" s="633" t="n"/>
      <c r="BT299" s="19" t="n"/>
      <c r="BU299" s="19" t="n"/>
      <c r="BV299" s="19" t="n"/>
      <c r="BX299" s="5">
        <f>C299</f>
        <v/>
      </c>
      <c r="CB299" s="19" t="n"/>
      <c r="CC299" s="19" t="n"/>
      <c r="CD299" s="19" t="n"/>
      <c r="CF299" s="5">
        <f>C299</f>
        <v/>
      </c>
      <c r="CJ299" s="19" t="n"/>
      <c r="CK299" s="19" t="n"/>
      <c r="CL299" s="19" t="n"/>
      <c r="CN299" s="5">
        <f>C299</f>
        <v/>
      </c>
      <c r="CR299" s="19" t="n"/>
      <c r="CS299" s="19" t="n"/>
      <c r="CT299" s="19" t="n"/>
      <c r="CV299" s="5">
        <f>C299</f>
        <v/>
      </c>
      <c r="CZ299" s="19" t="n"/>
      <c r="DA299" s="19" t="n"/>
      <c r="DB299" s="19" t="n"/>
      <c r="DC299" s="23" t="n"/>
      <c r="DD299" s="5">
        <f>C299</f>
        <v/>
      </c>
      <c r="DH299" s="19" t="n"/>
      <c r="DI299" s="19" t="n"/>
      <c r="DJ299" s="19" t="n"/>
      <c r="DL299" s="5">
        <f>C299</f>
        <v/>
      </c>
      <c r="DP299" s="19" t="n"/>
      <c r="DQ299" s="19" t="n"/>
      <c r="DR299" s="19" t="n"/>
      <c r="DT299" s="5">
        <f>C299</f>
        <v/>
      </c>
      <c r="DX299" s="19" t="n"/>
      <c r="DY299" s="19" t="n"/>
      <c r="DZ299" s="19" t="n"/>
      <c r="EB299" s="5">
        <f>C299</f>
        <v/>
      </c>
      <c r="EF299" s="19" t="n"/>
      <c r="EG299" s="19" t="n"/>
      <c r="EH299" s="19" t="n"/>
      <c r="EJ299" s="5">
        <f>C299</f>
        <v/>
      </c>
      <c r="EN299" s="19" t="n"/>
      <c r="EO299" s="19" t="n"/>
      <c r="EP299" s="19" t="n"/>
      <c r="EQ299" s="19" t="n"/>
      <c r="ER299" s="5">
        <f>C299</f>
        <v/>
      </c>
      <c r="ES299" s="19" t="n"/>
      <c r="ET299" s="19" t="n"/>
      <c r="EU299" s="19" t="n"/>
      <c r="EV299" s="19" t="n"/>
      <c r="EW299" s="19" t="n"/>
      <c r="EX299" s="19" t="n"/>
      <c r="EZ299" s="5">
        <f>C299</f>
        <v/>
      </c>
      <c r="FD299" s="19" t="n"/>
      <c r="FE299" s="19" t="n"/>
      <c r="FF299" s="19" t="n"/>
      <c r="FG299" s="19" t="n"/>
      <c r="FH299" s="5">
        <f>C299</f>
        <v/>
      </c>
      <c r="FI299" s="633" t="n"/>
      <c r="FL299" s="19" t="n"/>
      <c r="FM299" s="19" t="n"/>
      <c r="FN299" s="19" t="n"/>
      <c r="FP299" s="5">
        <f>C299</f>
        <v/>
      </c>
      <c r="FT299" s="19" t="n"/>
      <c r="FU299" s="19" t="n"/>
      <c r="FV299" s="19" t="n"/>
      <c r="FX299" s="5">
        <f>C299</f>
        <v/>
      </c>
      <c r="GB299" s="19" t="n"/>
      <c r="GC299" s="19" t="n"/>
      <c r="GD299" s="19" t="n"/>
      <c r="GF299" s="5">
        <f>C299</f>
        <v/>
      </c>
      <c r="GJ299" s="19" t="n"/>
      <c r="GK299" s="19" t="n"/>
      <c r="GL299" s="19" t="n"/>
      <c r="GN299" s="5">
        <f>C299</f>
        <v/>
      </c>
      <c r="GR299" s="19" t="n"/>
      <c r="GS299" s="19" t="n"/>
      <c r="GT299" s="19" t="n"/>
      <c r="GV299" s="5">
        <f>C299</f>
        <v/>
      </c>
      <c r="GZ299" s="19" t="n"/>
      <c r="HA299" s="19" t="n"/>
      <c r="HB299" s="19" t="n"/>
      <c r="HD299" s="5">
        <f>C299</f>
        <v/>
      </c>
      <c r="HH299" s="19" t="n"/>
      <c r="HI299" s="19" t="n"/>
      <c r="HJ299" s="19" t="n"/>
      <c r="HL299" s="5">
        <f>C299</f>
        <v/>
      </c>
      <c r="HP299" s="19" t="n"/>
      <c r="HQ299" s="19" t="n"/>
      <c r="HR299" s="19" t="n"/>
      <c r="HT299" s="5">
        <f>C299</f>
        <v/>
      </c>
      <c r="HX299" s="19" t="n"/>
      <c r="HY299" s="19" t="n"/>
      <c r="HZ299" s="19" t="n"/>
      <c r="IB299" s="5">
        <f>C299</f>
        <v/>
      </c>
      <c r="IG299" s="19" t="n"/>
      <c r="IH299" s="19" t="n"/>
      <c r="IJ299" s="5">
        <f>C299</f>
        <v/>
      </c>
      <c r="IN299" s="19" t="n"/>
      <c r="IO299" s="19" t="n"/>
      <c r="IP299" s="19" t="n"/>
      <c r="IR299" s="5">
        <f>C299</f>
        <v/>
      </c>
      <c r="IV299" s="19" t="n"/>
      <c r="IW299" s="19" t="n"/>
      <c r="IX299" s="19" t="n"/>
      <c r="IZ299" s="5">
        <f>C299</f>
        <v/>
      </c>
      <c r="JD299" s="19" t="n"/>
      <c r="JE299" s="19" t="n"/>
      <c r="JF299" s="19" t="n"/>
      <c r="JH299" s="5">
        <f>C299</f>
        <v/>
      </c>
      <c r="JL299" s="19" t="n"/>
      <c r="JM299" s="19" t="n"/>
      <c r="JN299" s="19" t="n"/>
      <c r="JO299" s="19" t="n"/>
      <c r="JP299" s="5">
        <f>C299</f>
        <v/>
      </c>
      <c r="JT299" s="19" t="n"/>
      <c r="JU299" s="19" t="n"/>
      <c r="JV299" s="19" t="n"/>
      <c r="JW299" s="19" t="n"/>
      <c r="JX299" s="5">
        <f>C299</f>
        <v/>
      </c>
      <c r="KB299" s="19" t="n"/>
      <c r="KC299" s="19" t="n"/>
      <c r="KD299" s="19" t="n"/>
      <c r="KE299" s="19" t="n"/>
      <c r="KF299" s="5">
        <f>C299</f>
        <v/>
      </c>
      <c r="KG299" s="19" t="n"/>
      <c r="KH299" s="19" t="n"/>
      <c r="KJ299" s="19" t="n"/>
      <c r="KK299" s="19" t="n"/>
      <c r="KL299" s="19" t="n"/>
      <c r="KM299" s="19" t="n"/>
      <c r="KN299" s="5">
        <f>C299</f>
        <v/>
      </c>
      <c r="KR299" s="19" t="n"/>
      <c r="KS299" s="19" t="n"/>
      <c r="KT299" s="19" t="n"/>
      <c r="KV299" s="5">
        <f>C299</f>
        <v/>
      </c>
      <c r="KZ299" s="19" t="n"/>
      <c r="LA299" s="19" t="n"/>
      <c r="LB299" s="19" t="n"/>
      <c r="LD299" s="5">
        <f>C299</f>
        <v/>
      </c>
      <c r="LH299" s="19" t="n"/>
      <c r="LI299" s="19" t="n"/>
      <c r="LJ299" s="19" t="n"/>
      <c r="LL299" s="5">
        <f>C299</f>
        <v/>
      </c>
      <c r="LM299" s="633" t="n"/>
      <c r="LP299" s="19" t="n"/>
      <c r="LQ299" s="19" t="n"/>
      <c r="LR299" s="19" t="n"/>
      <c r="LT299" s="5">
        <f>C299</f>
        <v/>
      </c>
      <c r="LX299" s="19" t="n"/>
      <c r="LY299" s="19" t="n"/>
      <c r="LZ299" s="19" t="n"/>
      <c r="MB299" s="5">
        <f>C299</f>
        <v/>
      </c>
      <c r="MF299" s="19" t="n"/>
      <c r="MG299" s="19" t="n"/>
      <c r="MH299" s="19" t="n"/>
      <c r="MK299" s="5">
        <f>C299</f>
        <v/>
      </c>
      <c r="MM299" s="24" t="n"/>
      <c r="MO299" s="19" t="n"/>
      <c r="MP299" s="19" t="n"/>
      <c r="MQ299" s="19" t="n"/>
      <c r="MR299" s="19" t="n"/>
      <c r="MS299" s="19" t="n"/>
      <c r="MT299" s="25">
        <f>C299</f>
        <v/>
      </c>
      <c r="MX299" s="19" t="n"/>
      <c r="MY299" s="19" t="n"/>
      <c r="MZ299" s="19" t="n"/>
      <c r="NA299" s="19" t="n"/>
      <c r="NB299" s="19" t="n"/>
      <c r="NC299" s="5">
        <f>C299</f>
        <v/>
      </c>
      <c r="NG299" s="19" t="n"/>
      <c r="NH299" s="19" t="n"/>
      <c r="NI299" s="19" t="n"/>
      <c r="NJ299" s="19" t="n"/>
      <c r="NK299" s="19" t="n"/>
      <c r="NM299" s="5">
        <f>C299</f>
        <v/>
      </c>
      <c r="NQ299" s="19" t="n"/>
      <c r="NR299" s="19" t="n"/>
      <c r="NU299" s="5">
        <f>C299</f>
        <v/>
      </c>
      <c r="NY299" s="19" t="n"/>
      <c r="NZ299" s="19" t="n"/>
      <c r="OC299" s="5">
        <f>C299</f>
        <v/>
      </c>
      <c r="OG299" s="19" t="n"/>
      <c r="OH299" s="19" t="n"/>
      <c r="OI299" s="19" t="n"/>
      <c r="OK299" s="5">
        <f>C299</f>
        <v/>
      </c>
      <c r="OO299" s="19" t="n"/>
      <c r="OP299" s="19" t="n"/>
      <c r="OQ299" s="19" t="n"/>
      <c r="OT299" s="25">
        <f>OK299</f>
        <v/>
      </c>
      <c r="OX299" s="19" t="n"/>
    </row>
    <row r="300" ht="21" customFormat="1" customHeight="1" s="5">
      <c r="A300" s="631" t="n"/>
      <c r="B300" s="631" t="n"/>
      <c r="C300" s="735" t="inlineStr">
        <is>
          <t>2024//4//30</t>
        </is>
      </c>
      <c r="D300" s="605" t="n">
        <v>5744478.77</v>
      </c>
      <c r="E300" s="597" t="n"/>
      <c r="F300" s="601">
        <f>(D300-D301)/D301</f>
        <v/>
      </c>
      <c r="G300" s="601" t="n"/>
      <c r="H300" s="526" t="n"/>
      <c r="I300" s="629" t="n"/>
      <c r="J300" s="629" t="n"/>
      <c r="K300" s="605">
        <f>C300</f>
        <v/>
      </c>
      <c r="L300" s="605" t="n">
        <v>7895630.74</v>
      </c>
      <c r="M300" s="597" t="n"/>
      <c r="N300" s="601">
        <f>(L300-L301)/L301</f>
        <v/>
      </c>
      <c r="O300" s="601" t="n"/>
      <c r="P300" s="526" t="n"/>
      <c r="Q300" s="629" t="n"/>
      <c r="R300" s="630" t="n"/>
      <c r="S300" s="605">
        <f>C300</f>
        <v/>
      </c>
      <c r="T300" s="605" t="n">
        <v>4633986.68</v>
      </c>
      <c r="U300" s="597" t="n"/>
      <c r="V300" s="599">
        <f>(T300-T301)/T301</f>
        <v/>
      </c>
      <c r="W300" s="599" t="n"/>
      <c r="X300" s="526" t="n"/>
      <c r="Y300" s="629" t="n"/>
      <c r="Z300" s="630" t="n"/>
      <c r="AA300" s="605">
        <f>S300</f>
        <v/>
      </c>
      <c r="AB300" s="605" t="n">
        <v>1474296.86</v>
      </c>
      <c r="AC300" s="597" t="n"/>
      <c r="AD300" s="601">
        <f>(AB300-AB301)/AB301</f>
        <v/>
      </c>
      <c r="AE300" s="601" t="n"/>
      <c r="AF300" s="526" t="n"/>
      <c r="AG300" s="629" t="n"/>
      <c r="AH300" s="630" t="n"/>
      <c r="AI300" s="605">
        <f>C300</f>
        <v/>
      </c>
      <c r="AJ300" s="605" t="n">
        <v>1272521.76</v>
      </c>
      <c r="AK300" s="362" t="n"/>
      <c r="AL300" s="599">
        <f>(AJ300-AJ301)/AJ301</f>
        <v/>
      </c>
      <c r="AM300" s="599" t="n"/>
      <c r="AN300" s="526" t="n"/>
      <c r="AO300" s="526" t="n"/>
      <c r="AP300" s="523" t="n"/>
      <c r="AQ300" s="555">
        <f>C300</f>
        <v/>
      </c>
      <c r="AR300" s="611" t="n">
        <v>443000</v>
      </c>
      <c r="AS300" s="611" t="n"/>
      <c r="AT300" s="526">
        <f>(AR300-AR301)/AR301</f>
        <v/>
      </c>
      <c r="AU300" s="611" t="n">
        <v>149.24</v>
      </c>
      <c r="AV300" s="613" t="n">
        <v>-0.1285</v>
      </c>
      <c r="AW300" s="526" t="n"/>
      <c r="AX300" s="523" t="n"/>
      <c r="AY300" s="523" t="n"/>
      <c r="AZ300" s="523">
        <f>C300</f>
        <v/>
      </c>
      <c r="BA300" s="523" t="n"/>
      <c r="BB300" s="523" t="n"/>
      <c r="BC300" s="523" t="n"/>
      <c r="BD300" s="526" t="n"/>
      <c r="BE300" s="526" t="n"/>
      <c r="BF300" s="526" t="n"/>
      <c r="BG300" s="631" t="n"/>
      <c r="BH300" s="5">
        <f>C300</f>
        <v/>
      </c>
      <c r="BL300" s="19" t="n"/>
      <c r="BM300" s="19" t="n"/>
      <c r="BN300" s="19" t="n"/>
      <c r="BP300" s="5">
        <f>C300</f>
        <v/>
      </c>
      <c r="BQ300" s="633" t="n"/>
      <c r="BT300" s="19" t="n"/>
      <c r="BU300" s="19" t="n"/>
      <c r="BV300" s="19" t="n"/>
      <c r="BX300" s="5">
        <f>C300</f>
        <v/>
      </c>
      <c r="CB300" s="19" t="n"/>
      <c r="CC300" s="19" t="n"/>
      <c r="CD300" s="19" t="n"/>
      <c r="CF300" s="5">
        <f>C300</f>
        <v/>
      </c>
      <c r="CJ300" s="19" t="n"/>
      <c r="CK300" s="19" t="n"/>
      <c r="CL300" s="19" t="n"/>
      <c r="CN300" s="5">
        <f>C300</f>
        <v/>
      </c>
      <c r="CR300" s="19" t="n"/>
      <c r="CS300" s="19" t="n"/>
      <c r="CT300" s="19" t="n"/>
      <c r="CV300" s="5">
        <f>C300</f>
        <v/>
      </c>
      <c r="CZ300" s="19" t="n"/>
      <c r="DA300" s="19" t="n"/>
      <c r="DB300" s="19" t="n"/>
      <c r="DC300" s="23" t="n"/>
      <c r="DD300" s="5">
        <f>C300</f>
        <v/>
      </c>
      <c r="DH300" s="19" t="n"/>
      <c r="DI300" s="19" t="n"/>
      <c r="DJ300" s="19" t="n"/>
      <c r="DL300" s="5">
        <f>C300</f>
        <v/>
      </c>
      <c r="DP300" s="19" t="n"/>
      <c r="DQ300" s="19" t="n"/>
      <c r="DR300" s="19" t="n"/>
      <c r="DT300" s="5">
        <f>C300</f>
        <v/>
      </c>
      <c r="DX300" s="19" t="n"/>
      <c r="DY300" s="19" t="n"/>
      <c r="DZ300" s="19" t="n"/>
      <c r="EB300" s="5">
        <f>C300</f>
        <v/>
      </c>
      <c r="EF300" s="19" t="n"/>
      <c r="EG300" s="19" t="n"/>
      <c r="EH300" s="19" t="n"/>
      <c r="EJ300" s="5">
        <f>C300</f>
        <v/>
      </c>
      <c r="EN300" s="19" t="n"/>
      <c r="EO300" s="19" t="n"/>
      <c r="EP300" s="19" t="n"/>
      <c r="EQ300" s="19" t="n"/>
      <c r="ER300" s="5">
        <f>C300</f>
        <v/>
      </c>
      <c r="ES300" s="19" t="n"/>
      <c r="ET300" s="19" t="n"/>
      <c r="EU300" s="19" t="n"/>
      <c r="EV300" s="19" t="n"/>
      <c r="EW300" s="19" t="n"/>
      <c r="EX300" s="19" t="n"/>
      <c r="EZ300" s="5">
        <f>C300</f>
        <v/>
      </c>
      <c r="FD300" s="19" t="n"/>
      <c r="FE300" s="19" t="n"/>
      <c r="FF300" s="19" t="n"/>
      <c r="FG300" s="19" t="n"/>
      <c r="FH300" s="5">
        <f>C300</f>
        <v/>
      </c>
      <c r="FI300" s="633" t="n"/>
      <c r="FL300" s="19" t="n"/>
      <c r="FM300" s="19" t="n"/>
      <c r="FN300" s="19" t="n"/>
      <c r="FP300" s="5">
        <f>C300</f>
        <v/>
      </c>
      <c r="FT300" s="19" t="n"/>
      <c r="FU300" s="19" t="n"/>
      <c r="FV300" s="19" t="n"/>
      <c r="FX300" s="5">
        <f>C300</f>
        <v/>
      </c>
      <c r="GB300" s="19" t="n"/>
      <c r="GC300" s="19" t="n"/>
      <c r="GD300" s="19" t="n"/>
      <c r="GF300" s="5">
        <f>C300</f>
        <v/>
      </c>
      <c r="GJ300" s="19" t="n"/>
      <c r="GK300" s="19" t="n"/>
      <c r="GL300" s="19" t="n"/>
      <c r="GN300" s="5">
        <f>C300</f>
        <v/>
      </c>
      <c r="GR300" s="19" t="n"/>
      <c r="GS300" s="19" t="n"/>
      <c r="GT300" s="19" t="n"/>
      <c r="GV300" s="5">
        <f>C300</f>
        <v/>
      </c>
      <c r="GZ300" s="19" t="n"/>
      <c r="HA300" s="19" t="n"/>
      <c r="HB300" s="19" t="n"/>
      <c r="HD300" s="5">
        <f>C300</f>
        <v/>
      </c>
      <c r="HH300" s="19" t="n"/>
      <c r="HI300" s="19" t="n"/>
      <c r="HJ300" s="19" t="n"/>
      <c r="HL300" s="5">
        <f>C300</f>
        <v/>
      </c>
      <c r="HP300" s="19" t="n"/>
      <c r="HQ300" s="19" t="n"/>
      <c r="HR300" s="19" t="n"/>
      <c r="HT300" s="5">
        <f>C300</f>
        <v/>
      </c>
      <c r="HX300" s="19" t="n"/>
      <c r="HY300" s="19" t="n"/>
      <c r="HZ300" s="19" t="n"/>
      <c r="IB300" s="5">
        <f>C300</f>
        <v/>
      </c>
      <c r="IG300" s="19" t="n"/>
      <c r="IH300" s="19" t="n"/>
      <c r="IJ300" s="5">
        <f>C300</f>
        <v/>
      </c>
      <c r="IN300" s="19" t="n"/>
      <c r="IO300" s="19" t="n"/>
      <c r="IP300" s="19" t="n"/>
      <c r="IR300" s="5">
        <f>C300</f>
        <v/>
      </c>
      <c r="IV300" s="19" t="n"/>
      <c r="IW300" s="19" t="n"/>
      <c r="IX300" s="19" t="n"/>
      <c r="IZ300" s="5">
        <f>C300</f>
        <v/>
      </c>
      <c r="JD300" s="19" t="n"/>
      <c r="JE300" s="19" t="n"/>
      <c r="JF300" s="19" t="n"/>
      <c r="JH300" s="5">
        <f>C300</f>
        <v/>
      </c>
      <c r="JL300" s="19" t="n"/>
      <c r="JM300" s="19" t="n"/>
      <c r="JN300" s="19" t="n"/>
      <c r="JO300" s="19" t="n"/>
      <c r="JP300" s="5">
        <f>C300</f>
        <v/>
      </c>
      <c r="JT300" s="19" t="n"/>
      <c r="JU300" s="19" t="n"/>
      <c r="JV300" s="19" t="n"/>
      <c r="JW300" s="19" t="n"/>
      <c r="JX300" s="5">
        <f>C300</f>
        <v/>
      </c>
      <c r="KB300" s="19" t="n"/>
      <c r="KC300" s="19" t="n"/>
      <c r="KD300" s="19" t="n"/>
      <c r="KE300" s="19" t="n"/>
      <c r="KF300" s="5">
        <f>C300</f>
        <v/>
      </c>
      <c r="KG300" s="19" t="n"/>
      <c r="KH300" s="19" t="n"/>
      <c r="KJ300" s="19" t="n"/>
      <c r="KK300" s="19" t="n"/>
      <c r="KL300" s="19" t="n"/>
      <c r="KM300" s="19" t="n"/>
      <c r="KN300" s="5">
        <f>C300</f>
        <v/>
      </c>
      <c r="KR300" s="19" t="n"/>
      <c r="KS300" s="19" t="n"/>
      <c r="KT300" s="19" t="n"/>
      <c r="KV300" s="5">
        <f>C300</f>
        <v/>
      </c>
      <c r="KZ300" s="19" t="n"/>
      <c r="LA300" s="19" t="n"/>
      <c r="LB300" s="19" t="n"/>
      <c r="LD300" s="5">
        <f>C300</f>
        <v/>
      </c>
      <c r="LH300" s="19" t="n"/>
      <c r="LI300" s="19" t="n"/>
      <c r="LJ300" s="19" t="n"/>
      <c r="LL300" s="5">
        <f>C300</f>
        <v/>
      </c>
      <c r="LM300" s="633" t="n"/>
      <c r="LP300" s="19" t="n"/>
      <c r="LQ300" s="19" t="n"/>
      <c r="LR300" s="19" t="n"/>
      <c r="LT300" s="5">
        <f>C300</f>
        <v/>
      </c>
      <c r="LX300" s="19" t="n"/>
      <c r="LY300" s="19" t="n"/>
      <c r="LZ300" s="19" t="n"/>
      <c r="MB300" s="5">
        <f>C300</f>
        <v/>
      </c>
      <c r="MF300" s="19" t="n"/>
      <c r="MG300" s="19" t="n"/>
      <c r="MH300" s="19" t="n"/>
      <c r="MK300" s="5">
        <f>C300</f>
        <v/>
      </c>
      <c r="MM300" s="24" t="n"/>
      <c r="MO300" s="19" t="n"/>
      <c r="MP300" s="19" t="n"/>
      <c r="MQ300" s="19" t="n"/>
      <c r="MR300" s="19" t="n"/>
      <c r="MS300" s="19" t="n"/>
      <c r="MT300" s="25">
        <f>C300</f>
        <v/>
      </c>
      <c r="MX300" s="19" t="n"/>
      <c r="MY300" s="19" t="n"/>
      <c r="MZ300" s="19" t="n"/>
      <c r="NA300" s="19" t="n"/>
      <c r="NB300" s="19" t="n"/>
      <c r="NC300" s="5">
        <f>C300</f>
        <v/>
      </c>
      <c r="NG300" s="19" t="n"/>
      <c r="NH300" s="19" t="n"/>
      <c r="NI300" s="19" t="n"/>
      <c r="NJ300" s="19" t="n"/>
      <c r="NK300" s="19" t="n"/>
      <c r="NM300" s="5">
        <f>C300</f>
        <v/>
      </c>
      <c r="NQ300" s="19" t="n"/>
      <c r="NR300" s="19" t="n"/>
      <c r="NU300" s="5">
        <f>C300</f>
        <v/>
      </c>
      <c r="NY300" s="19" t="n"/>
      <c r="NZ300" s="19" t="n"/>
      <c r="OC300" s="5">
        <f>C300</f>
        <v/>
      </c>
      <c r="OG300" s="19" t="n"/>
      <c r="OH300" s="19" t="n"/>
      <c r="OI300" s="19" t="n"/>
      <c r="OK300" s="5">
        <f>C300</f>
        <v/>
      </c>
      <c r="OO300" s="19" t="n"/>
      <c r="OP300" s="19" t="n"/>
      <c r="OQ300" s="19" t="n"/>
      <c r="OT300" s="25">
        <f>OK300</f>
        <v/>
      </c>
      <c r="OX300" s="19" t="n"/>
    </row>
    <row r="301" ht="21" customFormat="1" customHeight="1" s="5">
      <c r="A301" s="631" t="n"/>
      <c r="B301" s="631" t="n"/>
      <c r="C301" s="735" t="inlineStr">
        <is>
          <t>2024//3//29</t>
        </is>
      </c>
      <c r="D301" s="605" t="n">
        <v>5532888.77</v>
      </c>
      <c r="E301" s="597" t="n"/>
      <c r="F301" s="601">
        <f>(D301-D302)/D302</f>
        <v/>
      </c>
      <c r="G301" s="601" t="n"/>
      <c r="H301" s="526" t="n"/>
      <c r="I301" s="629" t="n"/>
      <c r="J301" s="629" t="n"/>
      <c r="K301" s="605">
        <f>C301</f>
        <v/>
      </c>
      <c r="L301" s="605" t="n">
        <v>7810430.74</v>
      </c>
      <c r="M301" s="597" t="n"/>
      <c r="N301" s="601">
        <f>(L301-L302)/L302</f>
        <v/>
      </c>
      <c r="O301" s="601" t="n"/>
      <c r="P301" s="526" t="n"/>
      <c r="Q301" s="629" t="n"/>
      <c r="R301" s="630" t="n"/>
      <c r="S301" s="605">
        <f>C301</f>
        <v/>
      </c>
      <c r="T301" s="605" t="n">
        <v>4591506.68</v>
      </c>
      <c r="U301" s="597" t="n"/>
      <c r="V301" s="599">
        <f>(T301-T302)/T302</f>
        <v/>
      </c>
      <c r="W301" s="599" t="n"/>
      <c r="X301" s="526" t="n"/>
      <c r="Y301" s="629" t="n"/>
      <c r="Z301" s="630" t="n"/>
      <c r="AA301" s="605">
        <f>S301</f>
        <v/>
      </c>
      <c r="AB301" s="605" t="n">
        <v>1456816.86</v>
      </c>
      <c r="AC301" s="597" t="n"/>
      <c r="AD301" s="601">
        <f>(AB301-AB302)/AB302</f>
        <v/>
      </c>
      <c r="AE301" s="601" t="n"/>
      <c r="AF301" s="526" t="n"/>
      <c r="AG301" s="629" t="n"/>
      <c r="AH301" s="630" t="n"/>
      <c r="AI301" s="605">
        <f>C301</f>
        <v/>
      </c>
      <c r="AJ301" s="605" t="n">
        <v>1177521.76</v>
      </c>
      <c r="AK301" s="362" t="n"/>
      <c r="AL301" s="599">
        <f>(AJ301-AJ302)/AJ302</f>
        <v/>
      </c>
      <c r="AM301" s="599" t="n"/>
      <c r="AN301" s="526" t="n"/>
      <c r="AO301" s="526" t="n"/>
      <c r="AP301" s="523" t="n"/>
      <c r="AQ301" s="555">
        <f>C301</f>
        <v/>
      </c>
      <c r="AR301" s="611" t="n">
        <v>643000</v>
      </c>
      <c r="AS301" s="611" t="n"/>
      <c r="AT301" s="526">
        <f>(AR301-AR302)/AR302</f>
        <v/>
      </c>
      <c r="AU301" s="611" t="n">
        <v>171.25</v>
      </c>
      <c r="AV301" s="613" t="n">
        <v>0.0982</v>
      </c>
      <c r="AW301" s="526" t="n"/>
      <c r="AX301" s="523" t="n"/>
      <c r="AY301" s="523" t="n"/>
      <c r="AZ301" s="523">
        <f>C301</f>
        <v/>
      </c>
      <c r="BA301" s="523" t="n"/>
      <c r="BB301" s="523" t="n"/>
      <c r="BC301" s="523" t="n"/>
      <c r="BD301" s="526" t="n"/>
      <c r="BE301" s="526" t="n"/>
      <c r="BF301" s="526" t="n"/>
      <c r="BG301" s="631" t="n"/>
      <c r="BH301" s="5">
        <f>C301</f>
        <v/>
      </c>
      <c r="BL301" s="19" t="n"/>
      <c r="BM301" s="19" t="n"/>
      <c r="BN301" s="19" t="n"/>
      <c r="BP301" s="5">
        <f>C301</f>
        <v/>
      </c>
      <c r="BQ301" s="633" t="n"/>
      <c r="BT301" s="19" t="n"/>
      <c r="BU301" s="19" t="n"/>
      <c r="BV301" s="19" t="n"/>
      <c r="BX301" s="5">
        <f>C301</f>
        <v/>
      </c>
      <c r="CB301" s="19" t="n"/>
      <c r="CC301" s="19" t="n"/>
      <c r="CD301" s="19" t="n"/>
      <c r="CF301" s="5">
        <f>C301</f>
        <v/>
      </c>
      <c r="CJ301" s="19" t="n"/>
      <c r="CK301" s="19" t="n"/>
      <c r="CL301" s="19" t="n"/>
      <c r="CN301" s="5">
        <f>C301</f>
        <v/>
      </c>
      <c r="CR301" s="19" t="n"/>
      <c r="CS301" s="19" t="n"/>
      <c r="CT301" s="19" t="n"/>
      <c r="CV301" s="5">
        <f>C301</f>
        <v/>
      </c>
      <c r="CZ301" s="19" t="n"/>
      <c r="DA301" s="19" t="n"/>
      <c r="DB301" s="19" t="n"/>
      <c r="DC301" s="23" t="n"/>
      <c r="DD301" s="5">
        <f>C301</f>
        <v/>
      </c>
      <c r="DH301" s="19" t="n"/>
      <c r="DI301" s="19" t="n"/>
      <c r="DJ301" s="19" t="n"/>
      <c r="DL301" s="5">
        <f>C301</f>
        <v/>
      </c>
      <c r="DP301" s="19" t="n"/>
      <c r="DQ301" s="19" t="n"/>
      <c r="DR301" s="19" t="n"/>
      <c r="DT301" s="5">
        <f>C301</f>
        <v/>
      </c>
      <c r="DX301" s="19" t="n"/>
      <c r="DY301" s="19" t="n"/>
      <c r="DZ301" s="19" t="n"/>
      <c r="EB301" s="5">
        <f>C301</f>
        <v/>
      </c>
      <c r="EF301" s="19" t="n"/>
      <c r="EG301" s="19" t="n"/>
      <c r="EH301" s="19" t="n"/>
      <c r="EJ301" s="5">
        <f>C301</f>
        <v/>
      </c>
      <c r="EN301" s="19" t="n"/>
      <c r="EO301" s="19" t="n"/>
      <c r="EP301" s="19" t="n"/>
      <c r="EQ301" s="19" t="n"/>
      <c r="ER301" s="5">
        <f>C301</f>
        <v/>
      </c>
      <c r="ES301" s="19" t="n"/>
      <c r="ET301" s="19" t="n"/>
      <c r="EU301" s="19" t="n"/>
      <c r="EV301" s="19" t="n"/>
      <c r="EW301" s="19" t="n"/>
      <c r="EX301" s="19" t="n"/>
      <c r="EZ301" s="5">
        <f>C301</f>
        <v/>
      </c>
      <c r="FD301" s="19" t="n"/>
      <c r="FE301" s="19" t="n"/>
      <c r="FF301" s="19" t="n"/>
      <c r="FG301" s="19" t="n"/>
      <c r="FH301" s="5">
        <f>C301</f>
        <v/>
      </c>
      <c r="FI301" s="633" t="n"/>
      <c r="FL301" s="19" t="n"/>
      <c r="FM301" s="19" t="n"/>
      <c r="FN301" s="19" t="n"/>
      <c r="FP301" s="5">
        <f>C301</f>
        <v/>
      </c>
      <c r="FT301" s="19" t="n"/>
      <c r="FU301" s="19" t="n"/>
      <c r="FV301" s="19" t="n"/>
      <c r="FX301" s="5">
        <f>C301</f>
        <v/>
      </c>
      <c r="GB301" s="19" t="n"/>
      <c r="GC301" s="19" t="n"/>
      <c r="GD301" s="19" t="n"/>
      <c r="GF301" s="5">
        <f>C301</f>
        <v/>
      </c>
      <c r="GJ301" s="19" t="n"/>
      <c r="GK301" s="19" t="n"/>
      <c r="GL301" s="19" t="n"/>
      <c r="GN301" s="5">
        <f>C301</f>
        <v/>
      </c>
      <c r="GR301" s="19" t="n"/>
      <c r="GS301" s="19" t="n"/>
      <c r="GT301" s="19" t="n"/>
      <c r="GV301" s="5">
        <f>C301</f>
        <v/>
      </c>
      <c r="GZ301" s="19" t="n"/>
      <c r="HA301" s="19" t="n"/>
      <c r="HB301" s="19" t="n"/>
      <c r="HD301" s="5">
        <f>C301</f>
        <v/>
      </c>
      <c r="HH301" s="19" t="n"/>
      <c r="HI301" s="19" t="n"/>
      <c r="HJ301" s="19" t="n"/>
      <c r="HL301" s="5">
        <f>C301</f>
        <v/>
      </c>
      <c r="HP301" s="19" t="n"/>
      <c r="HQ301" s="19" t="n"/>
      <c r="HR301" s="19" t="n"/>
      <c r="HT301" s="5">
        <f>C301</f>
        <v/>
      </c>
      <c r="HX301" s="19" t="n"/>
      <c r="HY301" s="19" t="n"/>
      <c r="HZ301" s="19" t="n"/>
      <c r="IB301" s="5">
        <f>C301</f>
        <v/>
      </c>
      <c r="IG301" s="19" t="n"/>
      <c r="IH301" s="19" t="n"/>
      <c r="IJ301" s="5">
        <f>C301</f>
        <v/>
      </c>
      <c r="IN301" s="19" t="n"/>
      <c r="IO301" s="19" t="n"/>
      <c r="IP301" s="19" t="n"/>
      <c r="IR301" s="5">
        <f>C301</f>
        <v/>
      </c>
      <c r="IV301" s="19" t="n"/>
      <c r="IW301" s="19" t="n"/>
      <c r="IX301" s="19" t="n"/>
      <c r="IZ301" s="5">
        <f>C301</f>
        <v/>
      </c>
      <c r="JD301" s="19" t="n"/>
      <c r="JE301" s="19" t="n"/>
      <c r="JF301" s="19" t="n"/>
      <c r="JH301" s="5">
        <f>C301</f>
        <v/>
      </c>
      <c r="JL301" s="19" t="n"/>
      <c r="JM301" s="19" t="n"/>
      <c r="JN301" s="19" t="n"/>
      <c r="JO301" s="19" t="n"/>
      <c r="JP301" s="5">
        <f>C301</f>
        <v/>
      </c>
      <c r="JT301" s="19" t="n"/>
      <c r="JU301" s="19" t="n"/>
      <c r="JV301" s="19" t="n"/>
      <c r="JW301" s="19" t="n"/>
      <c r="JX301" s="5">
        <f>C301</f>
        <v/>
      </c>
      <c r="KB301" s="19" t="n"/>
      <c r="KC301" s="19" t="n"/>
      <c r="KD301" s="19" t="n"/>
      <c r="KE301" s="19" t="n"/>
      <c r="KF301" s="5">
        <f>C301</f>
        <v/>
      </c>
      <c r="KG301" s="19" t="n"/>
      <c r="KH301" s="19" t="n"/>
      <c r="KJ301" s="19" t="n"/>
      <c r="KK301" s="19" t="n"/>
      <c r="KL301" s="19" t="n"/>
      <c r="KM301" s="19" t="n"/>
      <c r="KN301" s="5">
        <f>C301</f>
        <v/>
      </c>
      <c r="KR301" s="19" t="n"/>
      <c r="KS301" s="19" t="n"/>
      <c r="KT301" s="19" t="n"/>
      <c r="KV301" s="5">
        <f>C301</f>
        <v/>
      </c>
      <c r="KZ301" s="19" t="n"/>
      <c r="LA301" s="19" t="n"/>
      <c r="LB301" s="19" t="n"/>
      <c r="LD301" s="5">
        <f>C301</f>
        <v/>
      </c>
      <c r="LH301" s="19" t="n"/>
      <c r="LI301" s="19" t="n"/>
      <c r="LJ301" s="19" t="n"/>
      <c r="LL301" s="5">
        <f>C301</f>
        <v/>
      </c>
      <c r="LM301" s="633" t="n"/>
      <c r="LP301" s="19" t="n"/>
      <c r="LQ301" s="19" t="n"/>
      <c r="LR301" s="19" t="n"/>
      <c r="LT301" s="5">
        <f>C301</f>
        <v/>
      </c>
      <c r="LX301" s="19" t="n"/>
      <c r="LY301" s="19" t="n"/>
      <c r="LZ301" s="19" t="n"/>
      <c r="MB301" s="5">
        <f>C301</f>
        <v/>
      </c>
      <c r="MF301" s="19" t="n"/>
      <c r="MG301" s="19" t="n"/>
      <c r="MH301" s="19" t="n"/>
      <c r="MK301" s="5">
        <f>C301</f>
        <v/>
      </c>
      <c r="MM301" s="24" t="n"/>
      <c r="MO301" s="19" t="n"/>
      <c r="MP301" s="19" t="n"/>
      <c r="MQ301" s="19" t="n"/>
      <c r="MR301" s="19" t="n"/>
      <c r="MS301" s="19" t="n"/>
      <c r="MT301" s="25">
        <f>C301</f>
        <v/>
      </c>
      <c r="MX301" s="19" t="n"/>
      <c r="MY301" s="19" t="n"/>
      <c r="MZ301" s="19" t="n"/>
      <c r="NA301" s="19" t="n"/>
      <c r="NB301" s="19" t="n"/>
      <c r="NC301" s="5">
        <f>C301</f>
        <v/>
      </c>
      <c r="NG301" s="19" t="n"/>
      <c r="NH301" s="19" t="n"/>
      <c r="NI301" s="19" t="n"/>
      <c r="NJ301" s="19" t="n"/>
      <c r="NK301" s="19" t="n"/>
      <c r="NM301" s="5">
        <f>C301</f>
        <v/>
      </c>
      <c r="NQ301" s="19" t="n"/>
      <c r="NR301" s="19" t="n"/>
      <c r="NU301" s="5">
        <f>C301</f>
        <v/>
      </c>
      <c r="NY301" s="19" t="n"/>
      <c r="NZ301" s="19" t="n"/>
      <c r="OC301" s="5">
        <f>C301</f>
        <v/>
      </c>
      <c r="OG301" s="19" t="n"/>
      <c r="OH301" s="19" t="n"/>
      <c r="OI301" s="19" t="n"/>
      <c r="OK301" s="5">
        <f>C301</f>
        <v/>
      </c>
      <c r="OO301" s="19" t="n"/>
      <c r="OP301" s="19" t="n"/>
      <c r="OQ301" s="19" t="n"/>
      <c r="OT301" s="25">
        <f>OK301</f>
        <v/>
      </c>
      <c r="OX301" s="19" t="n"/>
    </row>
    <row r="302" ht="21" customFormat="1" customHeight="1" s="5">
      <c r="A302" s="631" t="n"/>
      <c r="B302" s="631" t="n"/>
      <c r="C302" s="735" t="inlineStr">
        <is>
          <t>2024//2//29</t>
        </is>
      </c>
      <c r="D302" s="605" t="n">
        <v>5353608.77</v>
      </c>
      <c r="E302" s="597" t="n"/>
      <c r="F302" s="601">
        <f>(D302-D303)/D303</f>
        <v/>
      </c>
      <c r="G302" s="601" t="n"/>
      <c r="H302" s="526" t="n"/>
      <c r="I302" s="629" t="n"/>
      <c r="J302" s="629" t="n"/>
      <c r="K302" s="605">
        <f>C302</f>
        <v/>
      </c>
      <c r="L302" s="605" t="n">
        <v>6840230.74</v>
      </c>
      <c r="M302" s="597" t="n"/>
      <c r="N302" s="601">
        <f>(L302-L303)/L303</f>
        <v/>
      </c>
      <c r="O302" s="601" t="n"/>
      <c r="P302" s="526" t="n"/>
      <c r="Q302" s="629" t="n"/>
      <c r="R302" s="630" t="n"/>
      <c r="S302" s="605">
        <f>C302</f>
        <v/>
      </c>
      <c r="T302" s="605" t="n">
        <v>4599066.68</v>
      </c>
      <c r="U302" s="597" t="n"/>
      <c r="V302" s="599">
        <f>(T302-T303)/T303</f>
        <v/>
      </c>
      <c r="W302" s="599" t="n"/>
      <c r="X302" s="526" t="n"/>
      <c r="Y302" s="629" t="n"/>
      <c r="Z302" s="630" t="n"/>
      <c r="AA302" s="605">
        <f>S302</f>
        <v/>
      </c>
      <c r="AB302" s="605" t="n">
        <v>1413696.86</v>
      </c>
      <c r="AC302" s="597" t="n"/>
      <c r="AD302" s="601">
        <f>(AB302-AB303)/AB303</f>
        <v/>
      </c>
      <c r="AE302" s="601" t="n"/>
      <c r="AF302" s="526" t="n"/>
      <c r="AG302" s="629" t="n"/>
      <c r="AH302" s="630" t="n"/>
      <c r="AI302" s="605">
        <f>C302</f>
        <v/>
      </c>
      <c r="AJ302" s="605" t="n">
        <v>1112321.76</v>
      </c>
      <c r="AK302" s="362" t="n"/>
      <c r="AL302" s="599">
        <f>(AJ302-AJ303)/AJ303</f>
        <v/>
      </c>
      <c r="AM302" s="599" t="n"/>
      <c r="AN302" s="526" t="n"/>
      <c r="AO302" s="526" t="n"/>
      <c r="AP302" s="523" t="n"/>
      <c r="AQ302" s="555">
        <f>C302</f>
        <v/>
      </c>
      <c r="AR302" s="611" t="n">
        <v>544000</v>
      </c>
      <c r="AS302" s="611" t="n"/>
      <c r="AT302" s="526">
        <f>(AR302-AR303)/AR303</f>
        <v/>
      </c>
      <c r="AU302" s="611" t="n">
        <v>155.93</v>
      </c>
      <c r="AV302" s="613" t="n">
        <v>-0.04</v>
      </c>
      <c r="AW302" s="526" t="n"/>
      <c r="AX302" s="523" t="n"/>
      <c r="AY302" s="523" t="n"/>
      <c r="AZ302" s="523">
        <f>C302</f>
        <v/>
      </c>
      <c r="BA302" s="523" t="n"/>
      <c r="BB302" s="523" t="n"/>
      <c r="BC302" s="523" t="n"/>
      <c r="BD302" s="526" t="n"/>
      <c r="BE302" s="526" t="n"/>
      <c r="BF302" s="526" t="n"/>
      <c r="BG302" s="631" t="n"/>
      <c r="BH302" s="5">
        <f>C302</f>
        <v/>
      </c>
      <c r="BL302" s="19" t="n"/>
      <c r="BM302" s="19" t="n"/>
      <c r="BN302" s="19" t="n"/>
      <c r="BP302" s="5">
        <f>C302</f>
        <v/>
      </c>
      <c r="BQ302" s="633" t="n"/>
      <c r="BT302" s="19" t="n"/>
      <c r="BU302" s="19" t="n"/>
      <c r="BV302" s="19" t="n"/>
      <c r="BX302" s="5">
        <f>C302</f>
        <v/>
      </c>
      <c r="CB302" s="19" t="n"/>
      <c r="CC302" s="19" t="n"/>
      <c r="CD302" s="19" t="n"/>
      <c r="CF302" s="5">
        <f>C302</f>
        <v/>
      </c>
      <c r="CJ302" s="19" t="n"/>
      <c r="CK302" s="19" t="n"/>
      <c r="CL302" s="19" t="n"/>
      <c r="CN302" s="5">
        <f>C302</f>
        <v/>
      </c>
      <c r="CR302" s="19" t="n"/>
      <c r="CS302" s="19" t="n"/>
      <c r="CT302" s="19" t="n"/>
      <c r="CV302" s="5">
        <f>C302</f>
        <v/>
      </c>
      <c r="CZ302" s="19" t="n"/>
      <c r="DA302" s="19" t="n"/>
      <c r="DB302" s="19" t="n"/>
      <c r="DC302" s="23" t="n"/>
      <c r="DD302" s="5">
        <f>C302</f>
        <v/>
      </c>
      <c r="DH302" s="19" t="n"/>
      <c r="DI302" s="19" t="n"/>
      <c r="DJ302" s="19" t="n"/>
      <c r="DL302" s="5">
        <f>C302</f>
        <v/>
      </c>
      <c r="DP302" s="19" t="n"/>
      <c r="DQ302" s="19" t="n"/>
      <c r="DR302" s="19" t="n"/>
      <c r="DT302" s="5">
        <f>C302</f>
        <v/>
      </c>
      <c r="DX302" s="19" t="n"/>
      <c r="DY302" s="19" t="n"/>
      <c r="DZ302" s="19" t="n"/>
      <c r="EB302" s="5">
        <f>C302</f>
        <v/>
      </c>
      <c r="EF302" s="19" t="n"/>
      <c r="EG302" s="19" t="n"/>
      <c r="EH302" s="19" t="n"/>
      <c r="EJ302" s="5">
        <f>C302</f>
        <v/>
      </c>
      <c r="EN302" s="19" t="n"/>
      <c r="EO302" s="19" t="n"/>
      <c r="EP302" s="19" t="n"/>
      <c r="EQ302" s="19" t="n"/>
      <c r="ER302" s="5">
        <f>C302</f>
        <v/>
      </c>
      <c r="ES302" s="19" t="n"/>
      <c r="ET302" s="19" t="n"/>
      <c r="EU302" s="19" t="n"/>
      <c r="EV302" s="19" t="n"/>
      <c r="EW302" s="19" t="n"/>
      <c r="EX302" s="19" t="n"/>
      <c r="EZ302" s="5">
        <f>C302</f>
        <v/>
      </c>
      <c r="FD302" s="19" t="n"/>
      <c r="FE302" s="19" t="n"/>
      <c r="FF302" s="19" t="n"/>
      <c r="FG302" s="19" t="n"/>
      <c r="FH302" s="5">
        <f>C302</f>
        <v/>
      </c>
      <c r="FI302" s="633" t="n"/>
      <c r="FL302" s="19" t="n"/>
      <c r="FM302" s="19" t="n"/>
      <c r="FN302" s="19" t="n"/>
      <c r="FP302" s="5">
        <f>C302</f>
        <v/>
      </c>
      <c r="FT302" s="19" t="n"/>
      <c r="FU302" s="19" t="n"/>
      <c r="FV302" s="19" t="n"/>
      <c r="FX302" s="5">
        <f>C302</f>
        <v/>
      </c>
      <c r="GB302" s="19" t="n"/>
      <c r="GC302" s="19" t="n"/>
      <c r="GD302" s="19" t="n"/>
      <c r="GF302" s="5">
        <f>C302</f>
        <v/>
      </c>
      <c r="GJ302" s="19" t="n"/>
      <c r="GK302" s="19" t="n"/>
      <c r="GL302" s="19" t="n"/>
      <c r="GN302" s="5">
        <f>C302</f>
        <v/>
      </c>
      <c r="GR302" s="19" t="n"/>
      <c r="GS302" s="19" t="n"/>
      <c r="GT302" s="19" t="n"/>
      <c r="GV302" s="5">
        <f>C302</f>
        <v/>
      </c>
      <c r="GZ302" s="19" t="n"/>
      <c r="HA302" s="19" t="n"/>
      <c r="HB302" s="19" t="n"/>
      <c r="HD302" s="5">
        <f>C302</f>
        <v/>
      </c>
      <c r="HH302" s="19" t="n"/>
      <c r="HI302" s="19" t="n"/>
      <c r="HJ302" s="19" t="n"/>
      <c r="HL302" s="5">
        <f>C302</f>
        <v/>
      </c>
      <c r="HP302" s="19" t="n"/>
      <c r="HQ302" s="19" t="n"/>
      <c r="HR302" s="19" t="n"/>
      <c r="HT302" s="5">
        <f>C302</f>
        <v/>
      </c>
      <c r="HX302" s="19" t="n"/>
      <c r="HY302" s="19" t="n"/>
      <c r="HZ302" s="19" t="n"/>
      <c r="IB302" s="5">
        <f>C302</f>
        <v/>
      </c>
      <c r="IG302" s="19" t="n"/>
      <c r="IH302" s="19" t="n"/>
      <c r="IJ302" s="5">
        <f>C302</f>
        <v/>
      </c>
      <c r="IN302" s="19" t="n"/>
      <c r="IO302" s="19" t="n"/>
      <c r="IP302" s="19" t="n"/>
      <c r="IR302" s="5">
        <f>C302</f>
        <v/>
      </c>
      <c r="IV302" s="19" t="n"/>
      <c r="IW302" s="19" t="n"/>
      <c r="IX302" s="19" t="n"/>
      <c r="IZ302" s="5">
        <f>C302</f>
        <v/>
      </c>
      <c r="JD302" s="19" t="n"/>
      <c r="JE302" s="19" t="n"/>
      <c r="JF302" s="19" t="n"/>
      <c r="JH302" s="5">
        <f>C302</f>
        <v/>
      </c>
      <c r="JL302" s="19" t="n"/>
      <c r="JM302" s="19" t="n"/>
      <c r="JN302" s="19" t="n"/>
      <c r="JO302" s="19" t="n"/>
      <c r="JP302" s="5">
        <f>C302</f>
        <v/>
      </c>
      <c r="JT302" s="19" t="n"/>
      <c r="JU302" s="19" t="n"/>
      <c r="JV302" s="19" t="n"/>
      <c r="JW302" s="19" t="n"/>
      <c r="JX302" s="5">
        <f>C302</f>
        <v/>
      </c>
      <c r="KB302" s="19" t="n"/>
      <c r="KC302" s="19" t="n"/>
      <c r="KD302" s="19" t="n"/>
      <c r="KE302" s="19" t="n"/>
      <c r="KF302" s="5">
        <f>C302</f>
        <v/>
      </c>
      <c r="KG302" s="19" t="n"/>
      <c r="KH302" s="19" t="n"/>
      <c r="KJ302" s="19" t="n"/>
      <c r="KK302" s="19" t="n"/>
      <c r="KL302" s="19" t="n"/>
      <c r="KM302" s="19" t="n"/>
      <c r="KN302" s="5">
        <f>C302</f>
        <v/>
      </c>
      <c r="KR302" s="19" t="n"/>
      <c r="KS302" s="19" t="n"/>
      <c r="KT302" s="19" t="n"/>
      <c r="KV302" s="5">
        <f>C302</f>
        <v/>
      </c>
      <c r="KZ302" s="19" t="n"/>
      <c r="LA302" s="19" t="n"/>
      <c r="LB302" s="19" t="n"/>
      <c r="LD302" s="5">
        <f>C302</f>
        <v/>
      </c>
      <c r="LH302" s="19" t="n"/>
      <c r="LI302" s="19" t="n"/>
      <c r="LJ302" s="19" t="n"/>
      <c r="LL302" s="5">
        <f>C302</f>
        <v/>
      </c>
      <c r="LM302" s="633" t="n"/>
      <c r="LP302" s="19" t="n"/>
      <c r="LQ302" s="19" t="n"/>
      <c r="LR302" s="19" t="n"/>
      <c r="LT302" s="5">
        <f>C302</f>
        <v/>
      </c>
      <c r="LX302" s="19" t="n"/>
      <c r="LY302" s="19" t="n"/>
      <c r="LZ302" s="19" t="n"/>
      <c r="MB302" s="5">
        <f>C302</f>
        <v/>
      </c>
      <c r="MF302" s="19" t="n"/>
      <c r="MG302" s="19" t="n"/>
      <c r="MH302" s="19" t="n"/>
      <c r="MK302" s="5">
        <f>C302</f>
        <v/>
      </c>
      <c r="MM302" s="24" t="n"/>
      <c r="MO302" s="19" t="n"/>
      <c r="MP302" s="19" t="n"/>
      <c r="MQ302" s="19" t="n"/>
      <c r="MR302" s="19" t="n"/>
      <c r="MS302" s="19" t="n"/>
      <c r="MT302" s="25">
        <f>C302</f>
        <v/>
      </c>
      <c r="MX302" s="19" t="n"/>
      <c r="MY302" s="19" t="n"/>
      <c r="MZ302" s="19" t="n"/>
      <c r="NA302" s="19" t="n"/>
      <c r="NB302" s="19" t="n"/>
      <c r="NC302" s="5">
        <f>C302</f>
        <v/>
      </c>
      <c r="NG302" s="19" t="n"/>
      <c r="NH302" s="19" t="n"/>
      <c r="NI302" s="19" t="n"/>
      <c r="NJ302" s="19" t="n"/>
      <c r="NK302" s="19" t="n"/>
      <c r="NM302" s="5">
        <f>C302</f>
        <v/>
      </c>
      <c r="NQ302" s="19" t="n"/>
      <c r="NR302" s="19" t="n"/>
      <c r="NU302" s="5">
        <f>C302</f>
        <v/>
      </c>
      <c r="NY302" s="19" t="n"/>
      <c r="NZ302" s="19" t="n"/>
      <c r="OC302" s="5">
        <f>C302</f>
        <v/>
      </c>
      <c r="OG302" s="19" t="n"/>
      <c r="OH302" s="19" t="n"/>
      <c r="OI302" s="19" t="n"/>
      <c r="OK302" s="5">
        <f>C302</f>
        <v/>
      </c>
      <c r="OO302" s="19" t="n"/>
      <c r="OP302" s="19" t="n"/>
      <c r="OQ302" s="19" t="n"/>
      <c r="OT302" s="25">
        <f>OK302</f>
        <v/>
      </c>
      <c r="OX302" s="19" t="n"/>
    </row>
    <row r="303" ht="21" customFormat="1" customHeight="1" s="5">
      <c r="A303" s="631" t="n"/>
      <c r="B303" s="631" t="n"/>
      <c r="C303" s="735" t="inlineStr">
        <is>
          <t>2024//1//31</t>
        </is>
      </c>
      <c r="D303" s="605" t="n">
        <v>4692648.77</v>
      </c>
      <c r="E303" s="597" t="n"/>
      <c r="F303" s="601">
        <f>(D303-D304)/D304</f>
        <v/>
      </c>
      <c r="G303" s="601" t="n"/>
      <c r="H303" s="526" t="n"/>
      <c r="I303" s="629" t="n"/>
      <c r="J303" s="629" t="n"/>
      <c r="K303" s="605">
        <f>C303</f>
        <v/>
      </c>
      <c r="L303" s="605" t="n">
        <v>5332430.74</v>
      </c>
      <c r="M303" s="597" t="n"/>
      <c r="N303" s="601">
        <f>(L303-L304)/L304</f>
        <v/>
      </c>
      <c r="O303" s="601" t="n"/>
      <c r="P303" s="526" t="n"/>
      <c r="Q303" s="629" t="n"/>
      <c r="R303" s="630" t="n"/>
      <c r="S303" s="605">
        <f>C303</f>
        <v/>
      </c>
      <c r="T303" s="605" t="n">
        <v>4192446.68</v>
      </c>
      <c r="U303" s="597" t="n"/>
      <c r="V303" s="599">
        <f>(T303-T304)/T304</f>
        <v/>
      </c>
      <c r="W303" s="599" t="n"/>
      <c r="X303" s="526" t="n"/>
      <c r="Y303" s="629" t="n"/>
      <c r="Z303" s="630" t="n"/>
      <c r="AA303" s="605">
        <f>S303</f>
        <v/>
      </c>
      <c r="AB303" s="605" t="n">
        <v>820136.86</v>
      </c>
      <c r="AC303" s="597" t="n"/>
      <c r="AD303" s="601">
        <f>(AB303-AB304)/AB304</f>
        <v/>
      </c>
      <c r="AE303" s="601" t="n"/>
      <c r="AF303" s="526" t="n"/>
      <c r="AG303" s="629" t="n"/>
      <c r="AH303" s="630" t="n"/>
      <c r="AI303" s="605">
        <f>C303</f>
        <v/>
      </c>
      <c r="AJ303" s="605" t="n">
        <v>299821.76</v>
      </c>
      <c r="AK303" s="362" t="n"/>
      <c r="AL303" s="599">
        <f>(AJ303-AJ304)/AJ304</f>
        <v/>
      </c>
      <c r="AM303" s="599" t="n"/>
      <c r="AN303" s="526" t="n"/>
      <c r="AO303" s="526" t="n"/>
      <c r="AP303" s="523" t="n"/>
      <c r="AQ303" s="555">
        <f>C303</f>
        <v/>
      </c>
      <c r="AR303" s="611" t="n">
        <v>653000</v>
      </c>
      <c r="AS303" s="611" t="n"/>
      <c r="AT303" s="526">
        <f>(AR303-AR304)/AR304</f>
        <v/>
      </c>
      <c r="AU303" s="611" t="n">
        <v>162.44</v>
      </c>
      <c r="AV303" s="613" t="n">
        <v>-0.059</v>
      </c>
      <c r="AW303" s="526" t="n"/>
      <c r="AX303" s="523" t="n"/>
      <c r="AY303" s="523" t="n"/>
      <c r="AZ303" s="523">
        <f>C303</f>
        <v/>
      </c>
      <c r="BA303" s="523" t="n"/>
      <c r="BB303" s="523" t="n"/>
      <c r="BC303" s="523" t="n"/>
      <c r="BD303" s="526" t="n"/>
      <c r="BE303" s="526" t="n"/>
      <c r="BF303" s="526" t="n"/>
      <c r="BG303" s="631" t="n"/>
      <c r="BH303" s="5">
        <f>C303</f>
        <v/>
      </c>
      <c r="BL303" s="19" t="n"/>
      <c r="BM303" s="19" t="n"/>
      <c r="BN303" s="19" t="n"/>
      <c r="BP303" s="5">
        <f>C303</f>
        <v/>
      </c>
      <c r="BQ303" s="633" t="n"/>
      <c r="BT303" s="19" t="n"/>
      <c r="BU303" s="19" t="n"/>
      <c r="BV303" s="19" t="n"/>
      <c r="BX303" s="5">
        <f>C303</f>
        <v/>
      </c>
      <c r="CB303" s="19" t="n"/>
      <c r="CC303" s="19" t="n"/>
      <c r="CD303" s="19" t="n"/>
      <c r="CF303" s="5">
        <f>C303</f>
        <v/>
      </c>
      <c r="CJ303" s="19" t="n"/>
      <c r="CK303" s="19" t="n"/>
      <c r="CL303" s="19" t="n"/>
      <c r="CN303" s="5">
        <f>C303</f>
        <v/>
      </c>
      <c r="CR303" s="19" t="n"/>
      <c r="CS303" s="19" t="n"/>
      <c r="CT303" s="19" t="n"/>
      <c r="CV303" s="5">
        <f>C303</f>
        <v/>
      </c>
      <c r="CZ303" s="19" t="n"/>
      <c r="DA303" s="19" t="n"/>
      <c r="DB303" s="19" t="n"/>
      <c r="DC303" s="23" t="n"/>
      <c r="DD303" s="5">
        <f>C303</f>
        <v/>
      </c>
      <c r="DH303" s="19" t="n"/>
      <c r="DI303" s="19" t="n"/>
      <c r="DJ303" s="19" t="n"/>
      <c r="DL303" s="5">
        <f>C303</f>
        <v/>
      </c>
      <c r="DP303" s="19" t="n"/>
      <c r="DQ303" s="19" t="n"/>
      <c r="DR303" s="19" t="n"/>
      <c r="DT303" s="5">
        <f>C303</f>
        <v/>
      </c>
      <c r="DX303" s="19" t="n"/>
      <c r="DY303" s="19" t="n"/>
      <c r="DZ303" s="19" t="n"/>
      <c r="EB303" s="5">
        <f>C303</f>
        <v/>
      </c>
      <c r="EF303" s="19" t="n"/>
      <c r="EG303" s="19" t="n"/>
      <c r="EH303" s="19" t="n"/>
      <c r="EJ303" s="5">
        <f>C303</f>
        <v/>
      </c>
      <c r="EN303" s="19" t="n"/>
      <c r="EO303" s="19" t="n"/>
      <c r="EP303" s="19" t="n"/>
      <c r="EQ303" s="19" t="n"/>
      <c r="ER303" s="5">
        <f>C303</f>
        <v/>
      </c>
      <c r="ES303" s="19" t="n"/>
      <c r="ET303" s="19" t="n"/>
      <c r="EU303" s="19" t="n"/>
      <c r="EV303" s="19" t="n"/>
      <c r="EW303" s="19" t="n"/>
      <c r="EX303" s="19" t="n"/>
      <c r="EZ303" s="5">
        <f>C303</f>
        <v/>
      </c>
      <c r="FD303" s="19" t="n"/>
      <c r="FE303" s="19" t="n"/>
      <c r="FF303" s="19" t="n"/>
      <c r="FG303" s="19" t="n"/>
      <c r="FH303" s="5">
        <f>C303</f>
        <v/>
      </c>
      <c r="FI303" s="633" t="n"/>
      <c r="FL303" s="19" t="n"/>
      <c r="FM303" s="19" t="n"/>
      <c r="FN303" s="19" t="n"/>
      <c r="FP303" s="5">
        <f>C303</f>
        <v/>
      </c>
      <c r="FT303" s="19" t="n"/>
      <c r="FU303" s="19" t="n"/>
      <c r="FV303" s="19" t="n"/>
      <c r="FX303" s="5">
        <f>C303</f>
        <v/>
      </c>
      <c r="GB303" s="19" t="n"/>
      <c r="GC303" s="19" t="n"/>
      <c r="GD303" s="19" t="n"/>
      <c r="GF303" s="5">
        <f>C303</f>
        <v/>
      </c>
      <c r="GJ303" s="19" t="n"/>
      <c r="GK303" s="19" t="n"/>
      <c r="GL303" s="19" t="n"/>
      <c r="GN303" s="5">
        <f>C303</f>
        <v/>
      </c>
      <c r="GR303" s="19" t="n"/>
      <c r="GS303" s="19" t="n"/>
      <c r="GT303" s="19" t="n"/>
      <c r="GV303" s="5">
        <f>C303</f>
        <v/>
      </c>
      <c r="GZ303" s="19" t="n"/>
      <c r="HA303" s="19" t="n"/>
      <c r="HB303" s="19" t="n"/>
      <c r="HD303" s="5">
        <f>C303</f>
        <v/>
      </c>
      <c r="HH303" s="19" t="n"/>
      <c r="HI303" s="19" t="n"/>
      <c r="HJ303" s="19" t="n"/>
      <c r="HL303" s="5">
        <f>C303</f>
        <v/>
      </c>
      <c r="HP303" s="19" t="n"/>
      <c r="HQ303" s="19" t="n"/>
      <c r="HR303" s="19" t="n"/>
      <c r="HT303" s="5">
        <f>C303</f>
        <v/>
      </c>
      <c r="HX303" s="19" t="n"/>
      <c r="HY303" s="19" t="n"/>
      <c r="HZ303" s="19" t="n"/>
      <c r="IB303" s="5">
        <f>C303</f>
        <v/>
      </c>
      <c r="IG303" s="19" t="n"/>
      <c r="IH303" s="19" t="n"/>
      <c r="IJ303" s="5">
        <f>C303</f>
        <v/>
      </c>
      <c r="IN303" s="19" t="n"/>
      <c r="IO303" s="19" t="n"/>
      <c r="IP303" s="19" t="n"/>
      <c r="IR303" s="5">
        <f>C303</f>
        <v/>
      </c>
      <c r="IV303" s="19" t="n"/>
      <c r="IW303" s="19" t="n"/>
      <c r="IX303" s="19" t="n"/>
      <c r="IZ303" s="5">
        <f>C303</f>
        <v/>
      </c>
      <c r="JD303" s="19" t="n"/>
      <c r="JE303" s="19" t="n"/>
      <c r="JF303" s="19" t="n"/>
      <c r="JH303" s="5">
        <f>C303</f>
        <v/>
      </c>
      <c r="JL303" s="19" t="n"/>
      <c r="JM303" s="19" t="n"/>
      <c r="JN303" s="19" t="n"/>
      <c r="JO303" s="19" t="n"/>
      <c r="JP303" s="5">
        <f>C303</f>
        <v/>
      </c>
      <c r="JT303" s="19" t="n"/>
      <c r="JU303" s="19" t="n"/>
      <c r="JV303" s="19" t="n"/>
      <c r="JW303" s="19" t="n"/>
      <c r="JX303" s="5">
        <f>C303</f>
        <v/>
      </c>
      <c r="KB303" s="19" t="n"/>
      <c r="KC303" s="19" t="n"/>
      <c r="KD303" s="19" t="n"/>
      <c r="KE303" s="19" t="n"/>
      <c r="KF303" s="5">
        <f>C303</f>
        <v/>
      </c>
      <c r="KG303" s="19" t="n"/>
      <c r="KH303" s="19" t="n"/>
      <c r="KJ303" s="19" t="n"/>
      <c r="KK303" s="19" t="n"/>
      <c r="KL303" s="19" t="n"/>
      <c r="KM303" s="19" t="n"/>
      <c r="KN303" s="5">
        <f>C303</f>
        <v/>
      </c>
      <c r="KR303" s="19" t="n"/>
      <c r="KS303" s="19" t="n"/>
      <c r="KT303" s="19" t="n"/>
      <c r="KV303" s="5">
        <f>C303</f>
        <v/>
      </c>
      <c r="KZ303" s="19" t="n"/>
      <c r="LA303" s="19" t="n"/>
      <c r="LB303" s="19" t="n"/>
      <c r="LD303" s="5">
        <f>C303</f>
        <v/>
      </c>
      <c r="LH303" s="19" t="n"/>
      <c r="LI303" s="19" t="n"/>
      <c r="LJ303" s="19" t="n"/>
      <c r="LL303" s="5">
        <f>C303</f>
        <v/>
      </c>
      <c r="LM303" s="633" t="n"/>
      <c r="LP303" s="19" t="n"/>
      <c r="LQ303" s="19" t="n"/>
      <c r="LR303" s="19" t="n"/>
      <c r="LT303" s="5">
        <f>C303</f>
        <v/>
      </c>
      <c r="LX303" s="19" t="n"/>
      <c r="LY303" s="19" t="n"/>
      <c r="LZ303" s="19" t="n"/>
      <c r="MB303" s="5">
        <f>C303</f>
        <v/>
      </c>
      <c r="MF303" s="19" t="n"/>
      <c r="MG303" s="19" t="n"/>
      <c r="MH303" s="19" t="n"/>
      <c r="MK303" s="5">
        <f>C303</f>
        <v/>
      </c>
      <c r="MM303" s="24" t="n"/>
      <c r="MO303" s="19" t="n"/>
      <c r="MP303" s="19" t="n"/>
      <c r="MQ303" s="19" t="n"/>
      <c r="MR303" s="19" t="n"/>
      <c r="MS303" s="19" t="n"/>
      <c r="MT303" s="25">
        <f>C303</f>
        <v/>
      </c>
      <c r="MX303" s="19" t="n"/>
      <c r="MY303" s="19" t="n"/>
      <c r="MZ303" s="19" t="n"/>
      <c r="NA303" s="19" t="n"/>
      <c r="NB303" s="19" t="n"/>
      <c r="NC303" s="5">
        <f>C303</f>
        <v/>
      </c>
      <c r="NG303" s="19" t="n"/>
      <c r="NH303" s="19" t="n"/>
      <c r="NI303" s="19" t="n"/>
      <c r="NJ303" s="19" t="n"/>
      <c r="NK303" s="19" t="n"/>
      <c r="NM303" s="5">
        <f>C303</f>
        <v/>
      </c>
      <c r="NQ303" s="19" t="n"/>
      <c r="NR303" s="19" t="n"/>
      <c r="NU303" s="5">
        <f>C303</f>
        <v/>
      </c>
      <c r="NY303" s="19" t="n"/>
      <c r="NZ303" s="19" t="n"/>
      <c r="OC303" s="5">
        <f>C303</f>
        <v/>
      </c>
      <c r="OG303" s="19" t="n"/>
      <c r="OH303" s="19" t="n"/>
      <c r="OI303" s="19" t="n"/>
      <c r="OK303" s="5">
        <f>C303</f>
        <v/>
      </c>
      <c r="OO303" s="19" t="n"/>
      <c r="OP303" s="19" t="n"/>
      <c r="OQ303" s="19" t="n"/>
      <c r="OT303" s="25">
        <f>OK303</f>
        <v/>
      </c>
      <c r="OX303" s="19" t="n"/>
    </row>
    <row r="304" ht="21" customFormat="1" customHeight="1" s="5">
      <c r="A304" s="631" t="n"/>
      <c r="B304" s="631" t="n"/>
      <c r="C304" s="735" t="inlineStr">
        <is>
          <t>2023//12//29</t>
        </is>
      </c>
      <c r="D304" s="605" t="n">
        <v>3744408.77</v>
      </c>
      <c r="E304" s="597" t="n"/>
      <c r="F304" s="601">
        <f>(D304-D305)/D305</f>
        <v/>
      </c>
      <c r="G304" s="601" t="n"/>
      <c r="H304" s="526" t="n"/>
      <c r="I304" s="629" t="n"/>
      <c r="J304" s="629" t="n"/>
      <c r="K304" s="605">
        <f>C304</f>
        <v/>
      </c>
      <c r="L304" s="605" t="n">
        <v>2836830.74</v>
      </c>
      <c r="M304" s="597" t="n"/>
      <c r="N304" s="601">
        <f>(L304-L305)/L305</f>
        <v/>
      </c>
      <c r="O304" s="601" t="n"/>
      <c r="P304" s="526" t="n"/>
      <c r="Q304" s="629" t="n"/>
      <c r="R304" s="630" t="n"/>
      <c r="S304" s="605">
        <f>C304</f>
        <v/>
      </c>
      <c r="T304" s="605" t="n">
        <v>3396756.68</v>
      </c>
      <c r="U304" s="597" t="n"/>
      <c r="V304" s="599">
        <f>(T304-T305)/T305</f>
        <v/>
      </c>
      <c r="W304" s="599" t="n"/>
      <c r="X304" s="526" t="n"/>
      <c r="Y304" s="629" t="n"/>
      <c r="Z304" s="630" t="n"/>
      <c r="AA304" s="605">
        <f>S304</f>
        <v/>
      </c>
      <c r="AB304" s="605" t="n">
        <v>846256.86</v>
      </c>
      <c r="AC304" s="597" t="n"/>
      <c r="AD304" s="601">
        <f>(AB304-AB305)/AB305</f>
        <v/>
      </c>
      <c r="AE304" s="601" t="n"/>
      <c r="AF304" s="526" t="n"/>
      <c r="AG304" s="629" t="n"/>
      <c r="AH304" s="630" t="n"/>
      <c r="AI304" s="605">
        <f>C304</f>
        <v/>
      </c>
      <c r="AJ304" s="605" t="n">
        <v>386721.76</v>
      </c>
      <c r="AK304" s="362" t="n"/>
      <c r="AL304" s="599">
        <f>(AJ304-AJ305)/AJ305</f>
        <v/>
      </c>
      <c r="AM304" s="599" t="n"/>
      <c r="AN304" s="526" t="n"/>
      <c r="AO304" s="526" t="n"/>
      <c r="AP304" s="523" t="n"/>
      <c r="AQ304" s="555">
        <f>C304</f>
        <v/>
      </c>
      <c r="AR304" s="611" t="n">
        <v>732400</v>
      </c>
      <c r="AS304" s="611" t="n"/>
      <c r="AT304" s="526">
        <f>(AR304-AR305)/AR305</f>
        <v/>
      </c>
      <c r="AU304" s="611" t="n">
        <v>172.61</v>
      </c>
      <c r="AV304" s="613" t="n">
        <v>-0.0419</v>
      </c>
      <c r="AW304" s="526" t="n"/>
      <c r="AX304" s="523" t="n"/>
      <c r="AY304" s="523" t="n"/>
      <c r="AZ304" s="523">
        <f>C304</f>
        <v/>
      </c>
      <c r="BA304" s="523" t="n"/>
      <c r="BB304" s="523" t="n"/>
      <c r="BC304" s="523" t="n"/>
      <c r="BD304" s="526" t="n"/>
      <c r="BE304" s="526" t="n"/>
      <c r="BF304" s="526" t="n"/>
      <c r="BG304" s="631" t="n"/>
      <c r="BH304" s="5">
        <f>C304</f>
        <v/>
      </c>
      <c r="BL304" s="19" t="n"/>
      <c r="BM304" s="19" t="n"/>
      <c r="BN304" s="19" t="n"/>
      <c r="BP304" s="5">
        <f>C304</f>
        <v/>
      </c>
      <c r="BQ304" s="633" t="n"/>
      <c r="BT304" s="19" t="n"/>
      <c r="BU304" s="19" t="n"/>
      <c r="BV304" s="19" t="n"/>
      <c r="BX304" s="5">
        <f>C304</f>
        <v/>
      </c>
      <c r="CB304" s="19" t="n"/>
      <c r="CC304" s="19" t="n"/>
      <c r="CD304" s="19" t="n"/>
      <c r="CF304" s="5">
        <f>C304</f>
        <v/>
      </c>
      <c r="CJ304" s="19" t="n"/>
      <c r="CK304" s="19" t="n"/>
      <c r="CL304" s="19" t="n"/>
      <c r="CN304" s="5">
        <f>C304</f>
        <v/>
      </c>
      <c r="CR304" s="19" t="n"/>
      <c r="CS304" s="19" t="n"/>
      <c r="CT304" s="19" t="n"/>
      <c r="CV304" s="5">
        <f>C304</f>
        <v/>
      </c>
      <c r="CZ304" s="19" t="n"/>
      <c r="DA304" s="19" t="n"/>
      <c r="DB304" s="19" t="n"/>
      <c r="DC304" s="23" t="n"/>
      <c r="DD304" s="5">
        <f>C304</f>
        <v/>
      </c>
      <c r="DH304" s="19" t="n"/>
      <c r="DI304" s="19" t="n"/>
      <c r="DJ304" s="19" t="n"/>
      <c r="DL304" s="5">
        <f>C304</f>
        <v/>
      </c>
      <c r="DP304" s="19" t="n"/>
      <c r="DQ304" s="19" t="n"/>
      <c r="DR304" s="19" t="n"/>
      <c r="DT304" s="5">
        <f>C304</f>
        <v/>
      </c>
      <c r="DX304" s="19" t="n"/>
      <c r="DY304" s="19" t="n"/>
      <c r="DZ304" s="19" t="n"/>
      <c r="EB304" s="5">
        <f>C304</f>
        <v/>
      </c>
      <c r="EF304" s="19" t="n"/>
      <c r="EG304" s="19" t="n"/>
      <c r="EH304" s="19" t="n"/>
      <c r="EJ304" s="5">
        <f>C304</f>
        <v/>
      </c>
      <c r="EN304" s="19" t="n"/>
      <c r="EO304" s="19" t="n"/>
      <c r="EP304" s="19" t="n"/>
      <c r="EQ304" s="19" t="n"/>
      <c r="ER304" s="5">
        <f>C304</f>
        <v/>
      </c>
      <c r="ES304" s="19" t="n"/>
      <c r="ET304" s="19" t="n"/>
      <c r="EU304" s="19" t="n"/>
      <c r="EV304" s="19" t="n"/>
      <c r="EW304" s="19" t="n"/>
      <c r="EX304" s="19" t="n"/>
      <c r="EZ304" s="5">
        <f>C304</f>
        <v/>
      </c>
      <c r="FD304" s="19" t="n"/>
      <c r="FE304" s="19" t="n"/>
      <c r="FF304" s="19" t="n"/>
      <c r="FG304" s="19" t="n"/>
      <c r="FH304" s="5">
        <f>C304</f>
        <v/>
      </c>
      <c r="FI304" s="633" t="n"/>
      <c r="FL304" s="19" t="n"/>
      <c r="FM304" s="19" t="n"/>
      <c r="FN304" s="19" t="n"/>
      <c r="FP304" s="5">
        <f>C304</f>
        <v/>
      </c>
      <c r="FT304" s="19" t="n"/>
      <c r="FU304" s="19" t="n"/>
      <c r="FV304" s="19" t="n"/>
      <c r="FX304" s="5">
        <f>C304</f>
        <v/>
      </c>
      <c r="GB304" s="19" t="n"/>
      <c r="GC304" s="19" t="n"/>
      <c r="GD304" s="19" t="n"/>
      <c r="GF304" s="5">
        <f>C304</f>
        <v/>
      </c>
      <c r="GJ304" s="19" t="n"/>
      <c r="GK304" s="19" t="n"/>
      <c r="GL304" s="19" t="n"/>
      <c r="GN304" s="5">
        <f>C304</f>
        <v/>
      </c>
      <c r="GR304" s="19" t="n"/>
      <c r="GS304" s="19" t="n"/>
      <c r="GT304" s="19" t="n"/>
      <c r="GV304" s="5">
        <f>C304</f>
        <v/>
      </c>
      <c r="GZ304" s="19" t="n"/>
      <c r="HA304" s="19" t="n"/>
      <c r="HB304" s="19" t="n"/>
      <c r="HD304" s="5">
        <f>C304</f>
        <v/>
      </c>
      <c r="HH304" s="19" t="n"/>
      <c r="HI304" s="19" t="n"/>
      <c r="HJ304" s="19" t="n"/>
      <c r="HL304" s="5">
        <f>C304</f>
        <v/>
      </c>
      <c r="HP304" s="19" t="n"/>
      <c r="HQ304" s="19" t="n"/>
      <c r="HR304" s="19" t="n"/>
      <c r="HT304" s="5">
        <f>C304</f>
        <v/>
      </c>
      <c r="HX304" s="19" t="n"/>
      <c r="HY304" s="19" t="n"/>
      <c r="HZ304" s="19" t="n"/>
      <c r="IB304" s="5">
        <f>C304</f>
        <v/>
      </c>
      <c r="IG304" s="19" t="n"/>
      <c r="IH304" s="19" t="n"/>
      <c r="IJ304" s="5">
        <f>C304</f>
        <v/>
      </c>
      <c r="IN304" s="19" t="n"/>
      <c r="IO304" s="19" t="n"/>
      <c r="IP304" s="19" t="n"/>
      <c r="IR304" s="5">
        <f>C304</f>
        <v/>
      </c>
      <c r="IV304" s="19" t="n"/>
      <c r="IW304" s="19" t="n"/>
      <c r="IX304" s="19" t="n"/>
      <c r="IZ304" s="5">
        <f>C304</f>
        <v/>
      </c>
      <c r="JD304" s="19" t="n"/>
      <c r="JE304" s="19" t="n"/>
      <c r="JF304" s="19" t="n"/>
      <c r="JH304" s="5">
        <f>C304</f>
        <v/>
      </c>
      <c r="JL304" s="19" t="n"/>
      <c r="JM304" s="19" t="n"/>
      <c r="JN304" s="19" t="n"/>
      <c r="JO304" s="19" t="n"/>
      <c r="JP304" s="5">
        <f>C304</f>
        <v/>
      </c>
      <c r="JT304" s="19" t="n"/>
      <c r="JU304" s="19" t="n"/>
      <c r="JV304" s="19" t="n"/>
      <c r="JW304" s="19" t="n"/>
      <c r="JX304" s="5">
        <f>C304</f>
        <v/>
      </c>
      <c r="KB304" s="19" t="n"/>
      <c r="KC304" s="19" t="n"/>
      <c r="KD304" s="19" t="n"/>
      <c r="KE304" s="19" t="n"/>
      <c r="KF304" s="5">
        <f>C304</f>
        <v/>
      </c>
      <c r="KG304" s="19" t="n"/>
      <c r="KH304" s="19" t="n"/>
      <c r="KJ304" s="19" t="n"/>
      <c r="KK304" s="19" t="n"/>
      <c r="KL304" s="19" t="n"/>
      <c r="KM304" s="19" t="n"/>
      <c r="KN304" s="5">
        <f>C304</f>
        <v/>
      </c>
      <c r="KR304" s="19" t="n"/>
      <c r="KS304" s="19" t="n"/>
      <c r="KT304" s="19" t="n"/>
      <c r="KV304" s="5">
        <f>C304</f>
        <v/>
      </c>
      <c r="KZ304" s="19" t="n"/>
      <c r="LA304" s="19" t="n"/>
      <c r="LB304" s="19" t="n"/>
      <c r="LD304" s="5">
        <f>C304</f>
        <v/>
      </c>
      <c r="LH304" s="19" t="n"/>
      <c r="LI304" s="19" t="n"/>
      <c r="LJ304" s="19" t="n"/>
      <c r="LL304" s="5">
        <f>C304</f>
        <v/>
      </c>
      <c r="LM304" s="633" t="n"/>
      <c r="LP304" s="19" t="n"/>
      <c r="LQ304" s="19" t="n"/>
      <c r="LR304" s="19" t="n"/>
      <c r="LT304" s="5">
        <f>C304</f>
        <v/>
      </c>
      <c r="LX304" s="19" t="n"/>
      <c r="LY304" s="19" t="n"/>
      <c r="LZ304" s="19" t="n"/>
      <c r="MB304" s="5">
        <f>C304</f>
        <v/>
      </c>
      <c r="MF304" s="19" t="n"/>
      <c r="MG304" s="19" t="n"/>
      <c r="MH304" s="19" t="n"/>
      <c r="MK304" s="5">
        <f>C304</f>
        <v/>
      </c>
      <c r="MM304" s="24" t="n"/>
      <c r="MO304" s="19" t="n"/>
      <c r="MP304" s="19" t="n"/>
      <c r="MQ304" s="19" t="n"/>
      <c r="MR304" s="19" t="n"/>
      <c r="MS304" s="19" t="n"/>
      <c r="MT304" s="25">
        <f>C304</f>
        <v/>
      </c>
      <c r="MX304" s="19" t="n"/>
      <c r="MY304" s="19" t="n"/>
      <c r="MZ304" s="19" t="n"/>
      <c r="NA304" s="19" t="n"/>
      <c r="NB304" s="19" t="n"/>
      <c r="NC304" s="5">
        <f>C304</f>
        <v/>
      </c>
      <c r="NG304" s="19" t="n"/>
      <c r="NH304" s="19" t="n"/>
      <c r="NI304" s="19" t="n"/>
      <c r="NJ304" s="19" t="n"/>
      <c r="NK304" s="19" t="n"/>
      <c r="NM304" s="5">
        <f>C304</f>
        <v/>
      </c>
      <c r="NQ304" s="19" t="n"/>
      <c r="NR304" s="19" t="n"/>
      <c r="NU304" s="5">
        <f>C304</f>
        <v/>
      </c>
      <c r="NY304" s="19" t="n"/>
      <c r="NZ304" s="19" t="n"/>
      <c r="OC304" s="5">
        <f>C304</f>
        <v/>
      </c>
      <c r="OG304" s="19" t="n"/>
      <c r="OH304" s="19" t="n"/>
      <c r="OI304" s="19" t="n"/>
      <c r="OK304" s="5">
        <f>C304</f>
        <v/>
      </c>
      <c r="OO304" s="19" t="n"/>
      <c r="OP304" s="19" t="n"/>
      <c r="OQ304" s="19" t="n"/>
      <c r="OT304" s="25">
        <f>OK304</f>
        <v/>
      </c>
      <c r="OX304" s="19" t="n"/>
    </row>
    <row r="305" ht="21" customFormat="1" customHeight="1" s="5">
      <c r="A305" s="631" t="n"/>
      <c r="B305" s="631" t="n"/>
      <c r="C305" s="735" t="inlineStr">
        <is>
          <t>2023//11//30</t>
        </is>
      </c>
      <c r="D305" s="605" t="n">
        <v>3210528.77</v>
      </c>
      <c r="E305" s="597" t="n"/>
      <c r="F305" s="601">
        <f>(D305-D306)/D306</f>
        <v/>
      </c>
      <c r="G305" s="601" t="n"/>
      <c r="H305" s="526" t="n"/>
      <c r="I305" s="629" t="n"/>
      <c r="J305" s="629" t="n"/>
      <c r="K305" s="605">
        <f>C305</f>
        <v/>
      </c>
      <c r="L305" s="605" t="n">
        <v>2245430.74</v>
      </c>
      <c r="M305" s="597" t="n"/>
      <c r="N305" s="601">
        <f>(L305-L306)/L306</f>
        <v/>
      </c>
      <c r="O305" s="601" t="n"/>
      <c r="P305" s="526" t="n"/>
      <c r="Q305" s="629" t="n"/>
      <c r="R305" s="630" t="n"/>
      <c r="S305" s="605">
        <f>C305</f>
        <v/>
      </c>
      <c r="T305" s="605" t="n">
        <v>2903916.68</v>
      </c>
      <c r="U305" s="597" t="n"/>
      <c r="V305" s="599">
        <f>(T305-T306)/T306</f>
        <v/>
      </c>
      <c r="W305" s="599" t="n"/>
      <c r="X305" s="526" t="n"/>
      <c r="Y305" s="629" t="n"/>
      <c r="Z305" s="630" t="n"/>
      <c r="AA305" s="605">
        <f>S305</f>
        <v/>
      </c>
      <c r="AB305" s="605" t="n">
        <v>748656.86</v>
      </c>
      <c r="AC305" s="597" t="n"/>
      <c r="AD305" s="601">
        <f>(AB305-AB306)/AB306</f>
        <v/>
      </c>
      <c r="AE305" s="601" t="n"/>
      <c r="AF305" s="526" t="n"/>
      <c r="AG305" s="629" t="n"/>
      <c r="AH305" s="630" t="n"/>
      <c r="AI305" s="605">
        <f>C305</f>
        <v/>
      </c>
      <c r="AJ305" s="605" t="n">
        <v>312721.76</v>
      </c>
      <c r="AK305" s="362" t="n"/>
      <c r="AL305" s="599">
        <f>(AJ305-AJ306)/AJ306</f>
        <v/>
      </c>
      <c r="AM305" s="599" t="n"/>
      <c r="AN305" s="526" t="n"/>
      <c r="AO305" s="526" t="n"/>
      <c r="AP305" s="523" t="n"/>
      <c r="AQ305" s="555">
        <f>C305</f>
        <v/>
      </c>
      <c r="AR305" s="611" t="n">
        <v>1000800</v>
      </c>
      <c r="AS305" s="611" t="n"/>
      <c r="AT305" s="526">
        <f>(AR305-AR306)/AR306</f>
        <v/>
      </c>
      <c r="AU305" s="611" t="n">
        <v>180.17</v>
      </c>
      <c r="AV305" s="613" t="n">
        <v>0.07679999999999999</v>
      </c>
      <c r="AW305" s="526" t="n"/>
      <c r="AX305" s="523" t="n"/>
      <c r="AY305" s="523" t="n"/>
      <c r="AZ305" s="523">
        <f>C305</f>
        <v/>
      </c>
      <c r="BA305" s="523" t="n"/>
      <c r="BB305" s="523" t="n"/>
      <c r="BC305" s="523" t="n"/>
      <c r="BD305" s="526" t="n"/>
      <c r="BE305" s="526" t="n"/>
      <c r="BF305" s="526" t="n"/>
      <c r="BG305" s="631" t="n"/>
      <c r="BH305" s="5">
        <f>C305</f>
        <v/>
      </c>
      <c r="BL305" s="19" t="n"/>
      <c r="BM305" s="19" t="n"/>
      <c r="BN305" s="19" t="n"/>
      <c r="BP305" s="5">
        <f>C305</f>
        <v/>
      </c>
      <c r="BQ305" s="633" t="n"/>
      <c r="BT305" s="19" t="n"/>
      <c r="BU305" s="19" t="n"/>
      <c r="BV305" s="19" t="n"/>
      <c r="BX305" s="5">
        <f>C305</f>
        <v/>
      </c>
      <c r="CB305" s="19" t="n"/>
      <c r="CC305" s="19" t="n"/>
      <c r="CD305" s="19" t="n"/>
      <c r="CF305" s="5">
        <f>C305</f>
        <v/>
      </c>
      <c r="CJ305" s="19" t="n"/>
      <c r="CK305" s="19" t="n"/>
      <c r="CL305" s="19" t="n"/>
      <c r="CN305" s="5">
        <f>C305</f>
        <v/>
      </c>
      <c r="CR305" s="19" t="n"/>
      <c r="CS305" s="19" t="n"/>
      <c r="CT305" s="19" t="n"/>
      <c r="CV305" s="5">
        <f>C305</f>
        <v/>
      </c>
      <c r="CZ305" s="19" t="n"/>
      <c r="DA305" s="19" t="n"/>
      <c r="DB305" s="19" t="n"/>
      <c r="DC305" s="23" t="n"/>
      <c r="DD305" s="5">
        <f>C305</f>
        <v/>
      </c>
      <c r="DH305" s="19" t="n"/>
      <c r="DI305" s="19" t="n"/>
      <c r="DJ305" s="19" t="n"/>
      <c r="DL305" s="5">
        <f>C305</f>
        <v/>
      </c>
      <c r="DP305" s="19" t="n"/>
      <c r="DQ305" s="19" t="n"/>
      <c r="DR305" s="19" t="n"/>
      <c r="DT305" s="5">
        <f>C305</f>
        <v/>
      </c>
      <c r="DX305" s="19" t="n"/>
      <c r="DY305" s="19" t="n"/>
      <c r="DZ305" s="19" t="n"/>
      <c r="EB305" s="5">
        <f>C305</f>
        <v/>
      </c>
      <c r="EF305" s="19" t="n"/>
      <c r="EG305" s="19" t="n"/>
      <c r="EH305" s="19" t="n"/>
      <c r="EJ305" s="5">
        <f>C305</f>
        <v/>
      </c>
      <c r="EN305" s="19" t="n"/>
      <c r="EO305" s="19" t="n"/>
      <c r="EP305" s="19" t="n"/>
      <c r="EQ305" s="19" t="n"/>
      <c r="ER305" s="5">
        <f>C305</f>
        <v/>
      </c>
      <c r="ES305" s="19" t="n"/>
      <c r="ET305" s="19" t="n"/>
      <c r="EU305" s="19" t="n"/>
      <c r="EV305" s="19" t="n"/>
      <c r="EW305" s="19" t="n"/>
      <c r="EX305" s="19" t="n"/>
      <c r="EZ305" s="5">
        <f>C305</f>
        <v/>
      </c>
      <c r="FD305" s="19" t="n"/>
      <c r="FE305" s="19" t="n"/>
      <c r="FF305" s="19" t="n"/>
      <c r="FG305" s="19" t="n"/>
      <c r="FH305" s="5">
        <f>C305</f>
        <v/>
      </c>
      <c r="FI305" s="633" t="n"/>
      <c r="FL305" s="19" t="n"/>
      <c r="FM305" s="19" t="n"/>
      <c r="FN305" s="19" t="n"/>
      <c r="FP305" s="5">
        <f>C305</f>
        <v/>
      </c>
      <c r="FT305" s="19" t="n"/>
      <c r="FU305" s="19" t="n"/>
      <c r="FV305" s="19" t="n"/>
      <c r="FX305" s="5">
        <f>C305</f>
        <v/>
      </c>
      <c r="GB305" s="19" t="n"/>
      <c r="GC305" s="19" t="n"/>
      <c r="GD305" s="19" t="n"/>
      <c r="GF305" s="5">
        <f>C305</f>
        <v/>
      </c>
      <c r="GJ305" s="19" t="n"/>
      <c r="GK305" s="19" t="n"/>
      <c r="GL305" s="19" t="n"/>
      <c r="GN305" s="5">
        <f>C305</f>
        <v/>
      </c>
      <c r="GR305" s="19" t="n"/>
      <c r="GS305" s="19" t="n"/>
      <c r="GT305" s="19" t="n"/>
      <c r="GV305" s="5">
        <f>C305</f>
        <v/>
      </c>
      <c r="GZ305" s="19" t="n"/>
      <c r="HA305" s="19" t="n"/>
      <c r="HB305" s="19" t="n"/>
      <c r="HD305" s="5">
        <f>C305</f>
        <v/>
      </c>
      <c r="HH305" s="19" t="n"/>
      <c r="HI305" s="19" t="n"/>
      <c r="HJ305" s="19" t="n"/>
      <c r="HL305" s="5">
        <f>C305</f>
        <v/>
      </c>
      <c r="HP305" s="19" t="n"/>
      <c r="HQ305" s="19" t="n"/>
      <c r="HR305" s="19" t="n"/>
      <c r="HT305" s="5">
        <f>C305</f>
        <v/>
      </c>
      <c r="HX305" s="19" t="n"/>
      <c r="HY305" s="19" t="n"/>
      <c r="HZ305" s="19" t="n"/>
      <c r="IB305" s="5">
        <f>C305</f>
        <v/>
      </c>
      <c r="IG305" s="19" t="n"/>
      <c r="IH305" s="19" t="n"/>
      <c r="IJ305" s="5">
        <f>C305</f>
        <v/>
      </c>
      <c r="IN305" s="19" t="n"/>
      <c r="IO305" s="19" t="n"/>
      <c r="IP305" s="19" t="n"/>
      <c r="IR305" s="5">
        <f>C305</f>
        <v/>
      </c>
      <c r="IV305" s="19" t="n"/>
      <c r="IW305" s="19" t="n"/>
      <c r="IX305" s="19" t="n"/>
      <c r="IZ305" s="5">
        <f>C305</f>
        <v/>
      </c>
      <c r="JD305" s="19" t="n"/>
      <c r="JE305" s="19" t="n"/>
      <c r="JF305" s="19" t="n"/>
      <c r="JH305" s="5">
        <f>C305</f>
        <v/>
      </c>
      <c r="JL305" s="19" t="n"/>
      <c r="JM305" s="19" t="n"/>
      <c r="JN305" s="19" t="n"/>
      <c r="JO305" s="19" t="n"/>
      <c r="JP305" s="5">
        <f>C305</f>
        <v/>
      </c>
      <c r="JT305" s="19" t="n"/>
      <c r="JU305" s="19" t="n"/>
      <c r="JV305" s="19" t="n"/>
      <c r="JW305" s="19" t="n"/>
      <c r="JX305" s="5">
        <f>C305</f>
        <v/>
      </c>
      <c r="KB305" s="19" t="n"/>
      <c r="KC305" s="19" t="n"/>
      <c r="KD305" s="19" t="n"/>
      <c r="KE305" s="19" t="n"/>
      <c r="KF305" s="5">
        <f>C305</f>
        <v/>
      </c>
      <c r="KG305" s="19" t="n"/>
      <c r="KH305" s="19" t="n"/>
      <c r="KJ305" s="19" t="n"/>
      <c r="KK305" s="19" t="n"/>
      <c r="KL305" s="19" t="n"/>
      <c r="KM305" s="19" t="n"/>
      <c r="KN305" s="5">
        <f>C305</f>
        <v/>
      </c>
      <c r="KR305" s="19" t="n"/>
      <c r="KS305" s="19" t="n"/>
      <c r="KT305" s="19" t="n"/>
      <c r="KV305" s="5">
        <f>C305</f>
        <v/>
      </c>
      <c r="KZ305" s="19" t="n"/>
      <c r="LA305" s="19" t="n"/>
      <c r="LB305" s="19" t="n"/>
      <c r="LD305" s="5">
        <f>C305</f>
        <v/>
      </c>
      <c r="LH305" s="19" t="n"/>
      <c r="LI305" s="19" t="n"/>
      <c r="LJ305" s="19" t="n"/>
      <c r="LL305" s="5">
        <f>C305</f>
        <v/>
      </c>
      <c r="LM305" s="633" t="n"/>
      <c r="LP305" s="19" t="n"/>
      <c r="LQ305" s="19" t="n"/>
      <c r="LR305" s="19" t="n"/>
      <c r="LT305" s="5">
        <f>C305</f>
        <v/>
      </c>
      <c r="LX305" s="19" t="n"/>
      <c r="LY305" s="19" t="n"/>
      <c r="LZ305" s="19" t="n"/>
      <c r="MB305" s="5">
        <f>C305</f>
        <v/>
      </c>
      <c r="MF305" s="19" t="n"/>
      <c r="MG305" s="19" t="n"/>
      <c r="MH305" s="19" t="n"/>
      <c r="MK305" s="5">
        <f>C305</f>
        <v/>
      </c>
      <c r="MM305" s="24" t="n"/>
      <c r="MO305" s="19" t="n"/>
      <c r="MP305" s="19" t="n"/>
      <c r="MQ305" s="19" t="n"/>
      <c r="MR305" s="19" t="n"/>
      <c r="MS305" s="19" t="n"/>
      <c r="MT305" s="25">
        <f>C305</f>
        <v/>
      </c>
      <c r="MX305" s="19" t="n"/>
      <c r="MY305" s="19" t="n"/>
      <c r="MZ305" s="19" t="n"/>
      <c r="NA305" s="19" t="n"/>
      <c r="NB305" s="19" t="n"/>
      <c r="NC305" s="5">
        <f>C305</f>
        <v/>
      </c>
      <c r="NG305" s="19" t="n"/>
      <c r="NH305" s="19" t="n"/>
      <c r="NI305" s="19" t="n"/>
      <c r="NJ305" s="19" t="n"/>
      <c r="NK305" s="19" t="n"/>
      <c r="NM305" s="5">
        <f>C305</f>
        <v/>
      </c>
      <c r="NQ305" s="19" t="n"/>
      <c r="NR305" s="19" t="n"/>
      <c r="NU305" s="5">
        <f>C305</f>
        <v/>
      </c>
      <c r="NY305" s="19" t="n"/>
      <c r="NZ305" s="19" t="n"/>
      <c r="OC305" s="5">
        <f>C305</f>
        <v/>
      </c>
      <c r="OG305" s="19" t="n"/>
      <c r="OH305" s="19" t="n"/>
      <c r="OI305" s="19" t="n"/>
      <c r="OK305" s="5">
        <f>C305</f>
        <v/>
      </c>
      <c r="OO305" s="19" t="n"/>
      <c r="OP305" s="19" t="n"/>
      <c r="OQ305" s="19" t="n"/>
      <c r="OT305" s="25">
        <f>OK305</f>
        <v/>
      </c>
      <c r="OX305" s="19" t="n"/>
    </row>
    <row r="306" ht="21" customFormat="1" customHeight="1" s="5">
      <c r="A306" s="631" t="n"/>
      <c r="B306" s="631" t="n"/>
      <c r="C306" s="735" t="inlineStr">
        <is>
          <t>2023//10//31</t>
        </is>
      </c>
      <c r="D306" s="605" t="n">
        <v>3335898.77</v>
      </c>
      <c r="E306" s="597" t="n"/>
      <c r="F306" s="601">
        <f>(D306-D307)/D307</f>
        <v/>
      </c>
      <c r="G306" s="601" t="n"/>
      <c r="H306" s="526" t="n"/>
      <c r="I306" s="629" t="n"/>
      <c r="J306" s="629" t="n"/>
      <c r="K306" s="605">
        <f>C306</f>
        <v/>
      </c>
      <c r="L306" s="605" t="n">
        <v>2111430.74</v>
      </c>
      <c r="M306" s="597" t="n"/>
      <c r="N306" s="601">
        <f>(L306-L307)/L307</f>
        <v/>
      </c>
      <c r="O306" s="601" t="n"/>
      <c r="P306" s="526" t="n"/>
      <c r="Q306" s="629" t="n"/>
      <c r="R306" s="630" t="n"/>
      <c r="S306" s="605">
        <f>C306</f>
        <v/>
      </c>
      <c r="T306" s="605" t="n">
        <v>2452116.68</v>
      </c>
      <c r="U306" s="597" t="n"/>
      <c r="V306" s="599">
        <f>(T306-T307)/T307</f>
        <v/>
      </c>
      <c r="W306" s="599" t="n"/>
      <c r="X306" s="526" t="n"/>
      <c r="Y306" s="629" t="n"/>
      <c r="Z306" s="630" t="n"/>
      <c r="AA306" s="605">
        <f>S306</f>
        <v/>
      </c>
      <c r="AB306" s="605" t="n">
        <v>857736.86</v>
      </c>
      <c r="AC306" s="597" t="n"/>
      <c r="AD306" s="601">
        <f>(AB306-AB307)/AB307</f>
        <v/>
      </c>
      <c r="AE306" s="601" t="n"/>
      <c r="AF306" s="526" t="n"/>
      <c r="AG306" s="629" t="n"/>
      <c r="AH306" s="630" t="n"/>
      <c r="AI306" s="605">
        <f>C306</f>
        <v/>
      </c>
      <c r="AJ306" s="605" t="n">
        <v>364921.76</v>
      </c>
      <c r="AK306" s="362" t="n"/>
      <c r="AL306" s="599">
        <f>(AJ306-AJ307)/AJ307</f>
        <v/>
      </c>
      <c r="AM306" s="599" t="n"/>
      <c r="AN306" s="526" t="n"/>
      <c r="AO306" s="526" t="n"/>
      <c r="AP306" s="523" t="n"/>
      <c r="AQ306" s="555">
        <f>C306</f>
        <v/>
      </c>
      <c r="AR306" s="611" t="n">
        <v>966900</v>
      </c>
      <c r="AS306" s="611" t="n"/>
      <c r="AT306" s="526">
        <f>(AR306-AR307)/AR307</f>
        <v/>
      </c>
      <c r="AU306" s="611" t="n">
        <v>167.31</v>
      </c>
      <c r="AV306" s="613" t="n">
        <v>-0.1331</v>
      </c>
      <c r="AW306" s="526" t="n"/>
      <c r="AX306" s="523" t="n"/>
      <c r="AY306" s="523" t="n"/>
      <c r="AZ306" s="523">
        <f>C306</f>
        <v/>
      </c>
      <c r="BA306" s="523" t="n"/>
      <c r="BB306" s="523" t="n"/>
      <c r="BC306" s="523" t="n"/>
      <c r="BD306" s="526" t="n"/>
      <c r="BE306" s="526" t="n"/>
      <c r="BF306" s="526" t="n"/>
      <c r="BG306" s="631" t="n"/>
      <c r="BH306" s="5">
        <f>C306</f>
        <v/>
      </c>
      <c r="BL306" s="19" t="n"/>
      <c r="BM306" s="19" t="n"/>
      <c r="BN306" s="19" t="n"/>
      <c r="BP306" s="5">
        <f>C306</f>
        <v/>
      </c>
      <c r="BQ306" s="633" t="n"/>
      <c r="BT306" s="19" t="n"/>
      <c r="BU306" s="19" t="n"/>
      <c r="BV306" s="19" t="n"/>
      <c r="BX306" s="5">
        <f>C306</f>
        <v/>
      </c>
      <c r="CB306" s="19" t="n"/>
      <c r="CC306" s="19" t="n"/>
      <c r="CD306" s="19" t="n"/>
      <c r="CF306" s="5">
        <f>C306</f>
        <v/>
      </c>
      <c r="CJ306" s="19" t="n"/>
      <c r="CK306" s="19" t="n"/>
      <c r="CL306" s="19" t="n"/>
      <c r="CN306" s="5">
        <f>C306</f>
        <v/>
      </c>
      <c r="CR306" s="19" t="n"/>
      <c r="CS306" s="19" t="n"/>
      <c r="CT306" s="19" t="n"/>
      <c r="CV306" s="5">
        <f>C306</f>
        <v/>
      </c>
      <c r="CZ306" s="19" t="n"/>
      <c r="DA306" s="19" t="n"/>
      <c r="DB306" s="19" t="n"/>
      <c r="DC306" s="23" t="n"/>
      <c r="DD306" s="5">
        <f>C306</f>
        <v/>
      </c>
      <c r="DH306" s="19" t="n"/>
      <c r="DI306" s="19" t="n"/>
      <c r="DJ306" s="19" t="n"/>
      <c r="DL306" s="5">
        <f>C306</f>
        <v/>
      </c>
      <c r="DP306" s="19" t="n"/>
      <c r="DQ306" s="19" t="n"/>
      <c r="DR306" s="19" t="n"/>
      <c r="DT306" s="5">
        <f>C306</f>
        <v/>
      </c>
      <c r="DX306" s="19" t="n"/>
      <c r="DY306" s="19" t="n"/>
      <c r="DZ306" s="19" t="n"/>
      <c r="EB306" s="5">
        <f>C306</f>
        <v/>
      </c>
      <c r="EF306" s="19" t="n"/>
      <c r="EG306" s="19" t="n"/>
      <c r="EH306" s="19" t="n"/>
      <c r="EJ306" s="5">
        <f>C306</f>
        <v/>
      </c>
      <c r="EN306" s="19" t="n"/>
      <c r="EO306" s="19" t="n"/>
      <c r="EP306" s="19" t="n"/>
      <c r="EQ306" s="19" t="n"/>
      <c r="ER306" s="5">
        <f>C306</f>
        <v/>
      </c>
      <c r="ES306" s="19" t="n"/>
      <c r="ET306" s="19" t="n"/>
      <c r="EU306" s="19" t="n"/>
      <c r="EV306" s="19" t="n"/>
      <c r="EW306" s="19" t="n"/>
      <c r="EX306" s="19" t="n"/>
      <c r="EZ306" s="5">
        <f>C306</f>
        <v/>
      </c>
      <c r="FD306" s="19" t="n"/>
      <c r="FE306" s="19" t="n"/>
      <c r="FF306" s="19" t="n"/>
      <c r="FG306" s="19" t="n"/>
      <c r="FH306" s="5">
        <f>C306</f>
        <v/>
      </c>
      <c r="FI306" s="633" t="n"/>
      <c r="FL306" s="19" t="n"/>
      <c r="FM306" s="19" t="n"/>
      <c r="FN306" s="19" t="n"/>
      <c r="FP306" s="5">
        <f>C306</f>
        <v/>
      </c>
      <c r="FT306" s="19" t="n"/>
      <c r="FU306" s="19" t="n"/>
      <c r="FV306" s="19" t="n"/>
      <c r="FX306" s="5">
        <f>C306</f>
        <v/>
      </c>
      <c r="GB306" s="19" t="n"/>
      <c r="GC306" s="19" t="n"/>
      <c r="GD306" s="19" t="n"/>
      <c r="GF306" s="5">
        <f>C306</f>
        <v/>
      </c>
      <c r="GJ306" s="19" t="n"/>
      <c r="GK306" s="19" t="n"/>
      <c r="GL306" s="19" t="n"/>
      <c r="GN306" s="5">
        <f>C306</f>
        <v/>
      </c>
      <c r="GR306" s="19" t="n"/>
      <c r="GS306" s="19" t="n"/>
      <c r="GT306" s="19" t="n"/>
      <c r="GV306" s="5">
        <f>C306</f>
        <v/>
      </c>
      <c r="GZ306" s="19" t="n"/>
      <c r="HA306" s="19" t="n"/>
      <c r="HB306" s="19" t="n"/>
      <c r="HD306" s="5">
        <f>C306</f>
        <v/>
      </c>
      <c r="HH306" s="19" t="n"/>
      <c r="HI306" s="19" t="n"/>
      <c r="HJ306" s="19" t="n"/>
      <c r="HL306" s="5">
        <f>C306</f>
        <v/>
      </c>
      <c r="HP306" s="19" t="n"/>
      <c r="HQ306" s="19" t="n"/>
      <c r="HR306" s="19" t="n"/>
      <c r="HT306" s="5">
        <f>C306</f>
        <v/>
      </c>
      <c r="HX306" s="19" t="n"/>
      <c r="HY306" s="19" t="n"/>
      <c r="HZ306" s="19" t="n"/>
      <c r="IB306" s="5">
        <f>C306</f>
        <v/>
      </c>
      <c r="IG306" s="19" t="n"/>
      <c r="IH306" s="19" t="n"/>
      <c r="IJ306" s="5">
        <f>C306</f>
        <v/>
      </c>
      <c r="IN306" s="19" t="n"/>
      <c r="IO306" s="19" t="n"/>
      <c r="IP306" s="19" t="n"/>
      <c r="IR306" s="5">
        <f>C306</f>
        <v/>
      </c>
      <c r="IV306" s="19" t="n"/>
      <c r="IW306" s="19" t="n"/>
      <c r="IX306" s="19" t="n"/>
      <c r="IZ306" s="5">
        <f>C306</f>
        <v/>
      </c>
      <c r="JD306" s="19" t="n"/>
      <c r="JE306" s="19" t="n"/>
      <c r="JF306" s="19" t="n"/>
      <c r="JH306" s="5">
        <f>C306</f>
        <v/>
      </c>
      <c r="JL306" s="19" t="n"/>
      <c r="JM306" s="19" t="n"/>
      <c r="JN306" s="19" t="n"/>
      <c r="JO306" s="19" t="n"/>
      <c r="JP306" s="5">
        <f>C306</f>
        <v/>
      </c>
      <c r="JT306" s="19" t="n"/>
      <c r="JU306" s="19" t="n"/>
      <c r="JV306" s="19" t="n"/>
      <c r="JW306" s="19" t="n"/>
      <c r="JX306" s="5">
        <f>C306</f>
        <v/>
      </c>
      <c r="KB306" s="19" t="n"/>
      <c r="KC306" s="19" t="n"/>
      <c r="KD306" s="19" t="n"/>
      <c r="KE306" s="19" t="n"/>
      <c r="KF306" s="5">
        <f>C306</f>
        <v/>
      </c>
      <c r="KG306" s="19" t="n"/>
      <c r="KH306" s="19" t="n"/>
      <c r="KJ306" s="19" t="n"/>
      <c r="KK306" s="19" t="n"/>
      <c r="KL306" s="19" t="n"/>
      <c r="KM306" s="19" t="n"/>
      <c r="KN306" s="5">
        <f>C306</f>
        <v/>
      </c>
      <c r="KR306" s="19" t="n"/>
      <c r="KS306" s="19" t="n"/>
      <c r="KT306" s="19" t="n"/>
      <c r="KV306" s="5">
        <f>C306</f>
        <v/>
      </c>
      <c r="KZ306" s="19" t="n"/>
      <c r="LA306" s="19" t="n"/>
      <c r="LB306" s="19" t="n"/>
      <c r="LD306" s="5">
        <f>C306</f>
        <v/>
      </c>
      <c r="LH306" s="19" t="n"/>
      <c r="LI306" s="19" t="n"/>
      <c r="LJ306" s="19" t="n"/>
      <c r="LL306" s="5">
        <f>C306</f>
        <v/>
      </c>
      <c r="LM306" s="633" t="n"/>
      <c r="LP306" s="19" t="n"/>
      <c r="LQ306" s="19" t="n"/>
      <c r="LR306" s="19" t="n"/>
      <c r="LT306" s="5">
        <f>C306</f>
        <v/>
      </c>
      <c r="LX306" s="19" t="n"/>
      <c r="LY306" s="19" t="n"/>
      <c r="LZ306" s="19" t="n"/>
      <c r="MB306" s="5">
        <f>C306</f>
        <v/>
      </c>
      <c r="MF306" s="19" t="n"/>
      <c r="MG306" s="19" t="n"/>
      <c r="MH306" s="19" t="n"/>
      <c r="MK306" s="5">
        <f>C306</f>
        <v/>
      </c>
      <c r="MM306" s="24" t="n"/>
      <c r="MO306" s="19" t="n"/>
      <c r="MP306" s="19" t="n"/>
      <c r="MQ306" s="19" t="n"/>
      <c r="MR306" s="19" t="n"/>
      <c r="MS306" s="19" t="n"/>
      <c r="MT306" s="25">
        <f>C306</f>
        <v/>
      </c>
      <c r="MX306" s="19" t="n"/>
      <c r="MY306" s="19" t="n"/>
      <c r="MZ306" s="19" t="n"/>
      <c r="NA306" s="19" t="n"/>
      <c r="NB306" s="19" t="n"/>
      <c r="NC306" s="5">
        <f>C306</f>
        <v/>
      </c>
      <c r="NG306" s="19" t="n"/>
      <c r="NH306" s="19" t="n"/>
      <c r="NI306" s="19" t="n"/>
      <c r="NJ306" s="19" t="n"/>
      <c r="NK306" s="19" t="n"/>
      <c r="NM306" s="5">
        <f>C306</f>
        <v/>
      </c>
      <c r="NQ306" s="19" t="n"/>
      <c r="NR306" s="19" t="n"/>
      <c r="NU306" s="5">
        <f>C306</f>
        <v/>
      </c>
      <c r="NY306" s="19" t="n"/>
      <c r="NZ306" s="19" t="n"/>
      <c r="OC306" s="5">
        <f>C306</f>
        <v/>
      </c>
      <c r="OG306" s="19" t="n"/>
      <c r="OH306" s="19" t="n"/>
      <c r="OI306" s="19" t="n"/>
      <c r="OK306" s="5">
        <f>C306</f>
        <v/>
      </c>
      <c r="OO306" s="19" t="n"/>
      <c r="OP306" s="19" t="n"/>
      <c r="OQ306" s="19" t="n"/>
      <c r="OT306" s="25">
        <f>OK306</f>
        <v/>
      </c>
      <c r="OX306" s="19" t="n"/>
    </row>
    <row r="307" ht="21" customFormat="1" customHeight="1" s="5">
      <c r="A307" s="631" t="n"/>
      <c r="B307" s="631" t="n"/>
      <c r="C307" s="735" t="inlineStr">
        <is>
          <t>2023//9//28</t>
        </is>
      </c>
      <c r="D307" s="605" t="n">
        <v>3191628.77</v>
      </c>
      <c r="E307" s="597" t="n"/>
      <c r="F307" s="601">
        <f>(D307-D308)/D308</f>
        <v/>
      </c>
      <c r="G307" s="601" t="n"/>
      <c r="H307" s="526" t="n"/>
      <c r="I307" s="629" t="n"/>
      <c r="J307" s="629" t="n"/>
      <c r="K307" s="605">
        <f>C307</f>
        <v/>
      </c>
      <c r="L307" s="605" t="n">
        <v>1635630.74</v>
      </c>
      <c r="M307" s="597" t="n"/>
      <c r="N307" s="601">
        <f>(L307-L308)/L308</f>
        <v/>
      </c>
      <c r="O307" s="601" t="n"/>
      <c r="P307" s="526" t="n"/>
      <c r="Q307" s="629" t="n"/>
      <c r="R307" s="630" t="n"/>
      <c r="S307" s="605">
        <f>C307</f>
        <v/>
      </c>
      <c r="T307" s="605" t="n">
        <v>2488836.68</v>
      </c>
      <c r="U307" s="597" t="n"/>
      <c r="V307" s="599">
        <f>(T307-T308)/T308</f>
        <v/>
      </c>
      <c r="W307" s="599" t="n"/>
      <c r="X307" s="526" t="n"/>
      <c r="Y307" s="629" t="n"/>
      <c r="Z307" s="630" t="n"/>
      <c r="AA307" s="605">
        <f>S307</f>
        <v/>
      </c>
      <c r="AB307" s="605" t="n">
        <v>995336.86</v>
      </c>
      <c r="AC307" s="597" t="n"/>
      <c r="AD307" s="601">
        <f>(AB307-AB308)/AB308</f>
        <v/>
      </c>
      <c r="AE307" s="601" t="n"/>
      <c r="AF307" s="526" t="n"/>
      <c r="AG307" s="629" t="n"/>
      <c r="AH307" s="630" t="n"/>
      <c r="AI307" s="605">
        <f>C307</f>
        <v/>
      </c>
      <c r="AJ307" s="605" t="n">
        <v>495021.76</v>
      </c>
      <c r="AK307" s="362" t="n"/>
      <c r="AL307" s="599">
        <f>(AJ307-AJ308)/AJ308</f>
        <v/>
      </c>
      <c r="AM307" s="599" t="n"/>
      <c r="AN307" s="526" t="n"/>
      <c r="AO307" s="526" t="n"/>
      <c r="AP307" s="523" t="n"/>
      <c r="AQ307" s="555">
        <f>C307</f>
        <v/>
      </c>
      <c r="AR307" s="611" t="n">
        <v>1231800</v>
      </c>
      <c r="AS307" s="611" t="n"/>
      <c r="AT307" s="526">
        <f>(AR307-AR308)/AR308</f>
        <v/>
      </c>
      <c r="AU307" s="611" t="n">
        <v>193.01</v>
      </c>
      <c r="AV307" s="613" t="n">
        <v>-0.1603</v>
      </c>
      <c r="AW307" s="526" t="n"/>
      <c r="AX307" s="523" t="n"/>
      <c r="AY307" s="523" t="n"/>
      <c r="AZ307" s="523">
        <f>C307</f>
        <v/>
      </c>
      <c r="BA307" s="523" t="n"/>
      <c r="BB307" s="523" t="n"/>
      <c r="BC307" s="523" t="n"/>
      <c r="BD307" s="526" t="n"/>
      <c r="BE307" s="526" t="n"/>
      <c r="BF307" s="526" t="n"/>
      <c r="BG307" s="631" t="n"/>
      <c r="BH307" s="5">
        <f>C307</f>
        <v/>
      </c>
      <c r="BL307" s="19" t="n"/>
      <c r="BM307" s="19" t="n"/>
      <c r="BN307" s="19" t="n"/>
      <c r="BP307" s="5">
        <f>C307</f>
        <v/>
      </c>
      <c r="BQ307" s="633" t="n"/>
      <c r="BT307" s="19" t="n"/>
      <c r="BU307" s="19" t="n"/>
      <c r="BV307" s="19" t="n"/>
      <c r="BX307" s="5">
        <f>C307</f>
        <v/>
      </c>
      <c r="CB307" s="19" t="n"/>
      <c r="CC307" s="19" t="n"/>
      <c r="CD307" s="19" t="n"/>
      <c r="CF307" s="5">
        <f>C307</f>
        <v/>
      </c>
      <c r="CJ307" s="19" t="n"/>
      <c r="CK307" s="19" t="n"/>
      <c r="CL307" s="19" t="n"/>
      <c r="CN307" s="5">
        <f>C307</f>
        <v/>
      </c>
      <c r="CR307" s="19" t="n"/>
      <c r="CS307" s="19" t="n"/>
      <c r="CT307" s="19" t="n"/>
      <c r="CV307" s="5">
        <f>C307</f>
        <v/>
      </c>
      <c r="CZ307" s="19" t="n"/>
      <c r="DA307" s="19" t="n"/>
      <c r="DB307" s="19" t="n"/>
      <c r="DC307" s="23" t="n"/>
      <c r="DD307" s="5">
        <f>C307</f>
        <v/>
      </c>
      <c r="DH307" s="19" t="n"/>
      <c r="DI307" s="19" t="n"/>
      <c r="DJ307" s="19" t="n"/>
      <c r="DL307" s="5">
        <f>C307</f>
        <v/>
      </c>
      <c r="DP307" s="19" t="n"/>
      <c r="DQ307" s="19" t="n"/>
      <c r="DR307" s="19" t="n"/>
      <c r="DT307" s="5">
        <f>C307</f>
        <v/>
      </c>
      <c r="DX307" s="19" t="n"/>
      <c r="DY307" s="19" t="n"/>
      <c r="DZ307" s="19" t="n"/>
      <c r="EB307" s="5">
        <f>C307</f>
        <v/>
      </c>
      <c r="EF307" s="19" t="n"/>
      <c r="EG307" s="19" t="n"/>
      <c r="EH307" s="19" t="n"/>
      <c r="EJ307" s="5">
        <f>C307</f>
        <v/>
      </c>
      <c r="EN307" s="19" t="n"/>
      <c r="EO307" s="19" t="n"/>
      <c r="EP307" s="19" t="n"/>
      <c r="EQ307" s="19" t="n"/>
      <c r="ER307" s="5">
        <f>C307</f>
        <v/>
      </c>
      <c r="ES307" s="19" t="n"/>
      <c r="ET307" s="19" t="n"/>
      <c r="EU307" s="19" t="n"/>
      <c r="EV307" s="19" t="n"/>
      <c r="EW307" s="19" t="n"/>
      <c r="EX307" s="19" t="n"/>
      <c r="EZ307" s="5">
        <f>C307</f>
        <v/>
      </c>
      <c r="FD307" s="19" t="n"/>
      <c r="FE307" s="19" t="n"/>
      <c r="FF307" s="19" t="n"/>
      <c r="FG307" s="19" t="n"/>
      <c r="FH307" s="5">
        <f>C307</f>
        <v/>
      </c>
      <c r="FI307" s="633" t="n"/>
      <c r="FL307" s="19" t="n"/>
      <c r="FM307" s="19" t="n"/>
      <c r="FN307" s="19" t="n"/>
      <c r="FP307" s="5">
        <f>C307</f>
        <v/>
      </c>
      <c r="FT307" s="19" t="n"/>
      <c r="FU307" s="19" t="n"/>
      <c r="FV307" s="19" t="n"/>
      <c r="FX307" s="5">
        <f>C307</f>
        <v/>
      </c>
      <c r="GB307" s="19" t="n"/>
      <c r="GC307" s="19" t="n"/>
      <c r="GD307" s="19" t="n"/>
      <c r="GF307" s="5">
        <f>C307</f>
        <v/>
      </c>
      <c r="GJ307" s="19" t="n"/>
      <c r="GK307" s="19" t="n"/>
      <c r="GL307" s="19" t="n"/>
      <c r="GN307" s="5">
        <f>C307</f>
        <v/>
      </c>
      <c r="GR307" s="19" t="n"/>
      <c r="GS307" s="19" t="n"/>
      <c r="GT307" s="19" t="n"/>
      <c r="GV307" s="5">
        <f>C307</f>
        <v/>
      </c>
      <c r="GZ307" s="19" t="n"/>
      <c r="HA307" s="19" t="n"/>
      <c r="HB307" s="19" t="n"/>
      <c r="HD307" s="5">
        <f>C307</f>
        <v/>
      </c>
      <c r="HH307" s="19" t="n"/>
      <c r="HI307" s="19" t="n"/>
      <c r="HJ307" s="19" t="n"/>
      <c r="HL307" s="5">
        <f>C307</f>
        <v/>
      </c>
      <c r="HP307" s="19" t="n"/>
      <c r="HQ307" s="19" t="n"/>
      <c r="HR307" s="19" t="n"/>
      <c r="HT307" s="5">
        <f>C307</f>
        <v/>
      </c>
      <c r="HX307" s="19" t="n"/>
      <c r="HY307" s="19" t="n"/>
      <c r="HZ307" s="19" t="n"/>
      <c r="IB307" s="5">
        <f>C307</f>
        <v/>
      </c>
      <c r="IG307" s="19" t="n"/>
      <c r="IH307" s="19" t="n"/>
      <c r="IJ307" s="5">
        <f>C307</f>
        <v/>
      </c>
      <c r="IN307" s="19" t="n"/>
      <c r="IO307" s="19" t="n"/>
      <c r="IP307" s="19" t="n"/>
      <c r="IR307" s="5">
        <f>C307</f>
        <v/>
      </c>
      <c r="IV307" s="19" t="n"/>
      <c r="IW307" s="19" t="n"/>
      <c r="IX307" s="19" t="n"/>
      <c r="IZ307" s="5">
        <f>C307</f>
        <v/>
      </c>
      <c r="JD307" s="19" t="n"/>
      <c r="JE307" s="19" t="n"/>
      <c r="JF307" s="19" t="n"/>
      <c r="JH307" s="5">
        <f>C307</f>
        <v/>
      </c>
      <c r="JL307" s="19" t="n"/>
      <c r="JM307" s="19" t="n"/>
      <c r="JN307" s="19" t="n"/>
      <c r="JO307" s="19" t="n"/>
      <c r="JP307" s="5">
        <f>C307</f>
        <v/>
      </c>
      <c r="JT307" s="19" t="n"/>
      <c r="JU307" s="19" t="n"/>
      <c r="JV307" s="19" t="n"/>
      <c r="JW307" s="19" t="n"/>
      <c r="JX307" s="5">
        <f>C307</f>
        <v/>
      </c>
      <c r="KB307" s="19" t="n"/>
      <c r="KC307" s="19" t="n"/>
      <c r="KD307" s="19" t="n"/>
      <c r="KE307" s="19" t="n"/>
      <c r="KF307" s="5">
        <f>C307</f>
        <v/>
      </c>
      <c r="KG307" s="19" t="n"/>
      <c r="KH307" s="19" t="n"/>
      <c r="KJ307" s="19" t="n"/>
      <c r="KK307" s="19" t="n"/>
      <c r="KL307" s="19" t="n"/>
      <c r="KM307" s="19" t="n"/>
      <c r="KN307" s="5">
        <f>C307</f>
        <v/>
      </c>
      <c r="KR307" s="19" t="n"/>
      <c r="KS307" s="19" t="n"/>
      <c r="KT307" s="19" t="n"/>
      <c r="KV307" s="5">
        <f>C307</f>
        <v/>
      </c>
      <c r="KZ307" s="19" t="n"/>
      <c r="LA307" s="19" t="n"/>
      <c r="LB307" s="19" t="n"/>
      <c r="LD307" s="5">
        <f>C307</f>
        <v/>
      </c>
      <c r="LH307" s="19" t="n"/>
      <c r="LI307" s="19" t="n"/>
      <c r="LJ307" s="19" t="n"/>
      <c r="LL307" s="5">
        <f>C307</f>
        <v/>
      </c>
      <c r="LM307" s="633" t="n"/>
      <c r="LP307" s="19" t="n"/>
      <c r="LQ307" s="19" t="n"/>
      <c r="LR307" s="19" t="n"/>
      <c r="LT307" s="5">
        <f>C307</f>
        <v/>
      </c>
      <c r="LX307" s="19" t="n"/>
      <c r="LY307" s="19" t="n"/>
      <c r="LZ307" s="19" t="n"/>
      <c r="MB307" s="5">
        <f>C307</f>
        <v/>
      </c>
      <c r="MF307" s="19" t="n"/>
      <c r="MG307" s="19" t="n"/>
      <c r="MH307" s="19" t="n"/>
      <c r="MK307" s="5">
        <f>C307</f>
        <v/>
      </c>
      <c r="MM307" s="24" t="n"/>
      <c r="MO307" s="19" t="n"/>
      <c r="MP307" s="19" t="n"/>
      <c r="MQ307" s="19" t="n"/>
      <c r="MR307" s="19" t="n"/>
      <c r="MS307" s="19" t="n"/>
      <c r="MT307" s="25">
        <f>C307</f>
        <v/>
      </c>
      <c r="MX307" s="19" t="n"/>
      <c r="MY307" s="19" t="n"/>
      <c r="MZ307" s="19" t="n"/>
      <c r="NA307" s="19" t="n"/>
      <c r="NB307" s="19" t="n"/>
      <c r="NC307" s="5">
        <f>C307</f>
        <v/>
      </c>
      <c r="NG307" s="19" t="n"/>
      <c r="NH307" s="19" t="n"/>
      <c r="NI307" s="19" t="n"/>
      <c r="NJ307" s="19" t="n"/>
      <c r="NK307" s="19" t="n"/>
      <c r="NM307" s="5">
        <f>C307</f>
        <v/>
      </c>
      <c r="NQ307" s="19" t="n"/>
      <c r="NR307" s="19" t="n"/>
      <c r="NU307" s="5">
        <f>C307</f>
        <v/>
      </c>
      <c r="NY307" s="19" t="n"/>
      <c r="NZ307" s="19" t="n"/>
      <c r="OC307" s="5">
        <f>C307</f>
        <v/>
      </c>
      <c r="OG307" s="19" t="n"/>
      <c r="OH307" s="19" t="n"/>
      <c r="OI307" s="19" t="n"/>
      <c r="OK307" s="5">
        <f>C307</f>
        <v/>
      </c>
      <c r="OO307" s="19" t="n"/>
      <c r="OP307" s="19" t="n"/>
      <c r="OQ307" s="19" t="n"/>
      <c r="OT307" s="25">
        <f>OK307</f>
        <v/>
      </c>
      <c r="OX307" s="19" t="n"/>
    </row>
    <row r="308" ht="21" customFormat="1" customHeight="1" s="5">
      <c r="A308" s="631" t="n"/>
      <c r="B308" s="631" t="n"/>
      <c r="C308" s="735" t="inlineStr">
        <is>
          <t>2023//8//31</t>
        </is>
      </c>
      <c r="D308" s="605" t="n">
        <v>3135648.77</v>
      </c>
      <c r="E308" s="597" t="n"/>
      <c r="F308" s="601">
        <f>(D308-D309)/D309</f>
        <v/>
      </c>
      <c r="G308" s="601" t="n"/>
      <c r="H308" s="526" t="n"/>
      <c r="I308" s="629" t="n"/>
      <c r="J308" s="629" t="n"/>
      <c r="K308" s="605">
        <f>C308</f>
        <v/>
      </c>
      <c r="L308" s="605" t="n">
        <v>1597830.74</v>
      </c>
      <c r="M308" s="597" t="n"/>
      <c r="N308" s="601">
        <f>(L308-L309)/L309</f>
        <v/>
      </c>
      <c r="O308" s="601" t="n"/>
      <c r="P308" s="526" t="n"/>
      <c r="Q308" s="629" t="n"/>
      <c r="R308" s="630" t="n"/>
      <c r="S308" s="605">
        <f>C308</f>
        <v/>
      </c>
      <c r="T308" s="605" t="n">
        <v>2474796.68</v>
      </c>
      <c r="U308" s="597" t="n"/>
      <c r="V308" s="599">
        <f>(T308-T309)/T309</f>
        <v/>
      </c>
      <c r="W308" s="599" t="n"/>
      <c r="X308" s="526" t="n"/>
      <c r="Y308" s="629" t="n"/>
      <c r="Z308" s="630" t="n"/>
      <c r="AA308" s="605">
        <f>S308</f>
        <v/>
      </c>
      <c r="AB308" s="605" t="n">
        <v>987616.86</v>
      </c>
      <c r="AC308" s="597" t="n"/>
      <c r="AD308" s="601">
        <f>(AB308-AB309)/AB309</f>
        <v/>
      </c>
      <c r="AE308" s="601" t="n"/>
      <c r="AF308" s="526" t="n"/>
      <c r="AG308" s="629" t="n"/>
      <c r="AH308" s="630" t="n"/>
      <c r="AI308" s="605">
        <f>C308</f>
        <v/>
      </c>
      <c r="AJ308" s="605" t="n">
        <v>514221.76</v>
      </c>
      <c r="AK308" s="362" t="n"/>
      <c r="AL308" s="599">
        <f>(AJ308-AJ309)/AJ309</f>
        <v/>
      </c>
      <c r="AM308" s="599" t="n"/>
      <c r="AN308" s="526" t="n"/>
      <c r="AO308" s="526" t="n"/>
      <c r="AP308" s="523" t="n"/>
      <c r="AQ308" s="555">
        <f>C308</f>
        <v/>
      </c>
      <c r="AR308" s="611" t="n">
        <v>1579300</v>
      </c>
      <c r="AS308" s="611" t="n"/>
      <c r="AT308" s="526">
        <f>(AR308-AR309)/AR309</f>
        <v/>
      </c>
      <c r="AU308" s="611" t="n">
        <v>229.86</v>
      </c>
      <c r="AV308" s="613" t="n">
        <v>0</v>
      </c>
      <c r="AW308" s="526" t="n"/>
      <c r="AX308" s="523" t="n"/>
      <c r="AY308" s="523" t="n"/>
      <c r="AZ308" s="523">
        <f>C308</f>
        <v/>
      </c>
      <c r="BA308" s="523" t="n"/>
      <c r="BB308" s="523" t="n"/>
      <c r="BC308" s="523" t="n"/>
      <c r="BD308" s="526" t="n"/>
      <c r="BE308" s="526" t="n"/>
      <c r="BF308" s="526" t="n"/>
      <c r="BG308" s="631" t="n"/>
      <c r="BH308" s="5">
        <f>C308</f>
        <v/>
      </c>
      <c r="BL308" s="19" t="n"/>
      <c r="BM308" s="19" t="n"/>
      <c r="BN308" s="19" t="n"/>
      <c r="BP308" s="5">
        <f>C308</f>
        <v/>
      </c>
      <c r="BQ308" s="633" t="n"/>
      <c r="BT308" s="19" t="n"/>
      <c r="BU308" s="19" t="n"/>
      <c r="BV308" s="19" t="n"/>
      <c r="BX308" s="5">
        <f>C308</f>
        <v/>
      </c>
      <c r="CB308" s="19" t="n"/>
      <c r="CC308" s="19" t="n"/>
      <c r="CD308" s="19" t="n"/>
      <c r="CF308" s="5">
        <f>C308</f>
        <v/>
      </c>
      <c r="CJ308" s="19" t="n"/>
      <c r="CK308" s="19" t="n"/>
      <c r="CL308" s="19" t="n"/>
      <c r="CN308" s="5">
        <f>C308</f>
        <v/>
      </c>
      <c r="CR308" s="19" t="n"/>
      <c r="CS308" s="19" t="n"/>
      <c r="CT308" s="19" t="n"/>
      <c r="CV308" s="5">
        <f>C308</f>
        <v/>
      </c>
      <c r="CZ308" s="19" t="n"/>
      <c r="DA308" s="19" t="n"/>
      <c r="DB308" s="19" t="n"/>
      <c r="DC308" s="23" t="n"/>
      <c r="DD308" s="5">
        <f>C308</f>
        <v/>
      </c>
      <c r="DH308" s="19" t="n"/>
      <c r="DI308" s="19" t="n"/>
      <c r="DJ308" s="19" t="n"/>
      <c r="DL308" s="5">
        <f>C308</f>
        <v/>
      </c>
      <c r="DP308" s="19" t="n"/>
      <c r="DQ308" s="19" t="n"/>
      <c r="DR308" s="19" t="n"/>
      <c r="DT308" s="5">
        <f>C308</f>
        <v/>
      </c>
      <c r="DX308" s="19" t="n"/>
      <c r="DY308" s="19" t="n"/>
      <c r="DZ308" s="19" t="n"/>
      <c r="EB308" s="5">
        <f>C308</f>
        <v/>
      </c>
      <c r="EF308" s="19" t="n"/>
      <c r="EG308" s="19" t="n"/>
      <c r="EH308" s="19" t="n"/>
      <c r="EJ308" s="5">
        <f>C308</f>
        <v/>
      </c>
      <c r="EN308" s="19" t="n"/>
      <c r="EO308" s="19" t="n"/>
      <c r="EP308" s="19" t="n"/>
      <c r="EQ308" s="19" t="n"/>
      <c r="ER308" s="5">
        <f>C308</f>
        <v/>
      </c>
      <c r="ES308" s="19" t="n"/>
      <c r="ET308" s="19" t="n"/>
      <c r="EU308" s="19" t="n"/>
      <c r="EV308" s="19" t="n"/>
      <c r="EW308" s="19" t="n"/>
      <c r="EX308" s="19" t="n"/>
      <c r="EZ308" s="5">
        <f>C308</f>
        <v/>
      </c>
      <c r="FD308" s="19" t="n"/>
      <c r="FE308" s="19" t="n"/>
      <c r="FF308" s="19" t="n"/>
      <c r="FG308" s="19" t="n"/>
      <c r="FH308" s="5">
        <f>C308</f>
        <v/>
      </c>
      <c r="FI308" s="633" t="n"/>
      <c r="FL308" s="19" t="n"/>
      <c r="FM308" s="19" t="n"/>
      <c r="FN308" s="19" t="n"/>
      <c r="FP308" s="5">
        <f>C308</f>
        <v/>
      </c>
      <c r="FT308" s="19" t="n"/>
      <c r="FU308" s="19" t="n"/>
      <c r="FV308" s="19" t="n"/>
      <c r="FX308" s="5">
        <f>C308</f>
        <v/>
      </c>
      <c r="GB308" s="19" t="n"/>
      <c r="GC308" s="19" t="n"/>
      <c r="GD308" s="19" t="n"/>
      <c r="GF308" s="5">
        <f>C308</f>
        <v/>
      </c>
      <c r="GJ308" s="19" t="n"/>
      <c r="GK308" s="19" t="n"/>
      <c r="GL308" s="19" t="n"/>
      <c r="GN308" s="5">
        <f>C308</f>
        <v/>
      </c>
      <c r="GR308" s="19" t="n"/>
      <c r="GS308" s="19" t="n"/>
      <c r="GT308" s="19" t="n"/>
      <c r="GV308" s="5">
        <f>C308</f>
        <v/>
      </c>
      <c r="GZ308" s="19" t="n"/>
      <c r="HA308" s="19" t="n"/>
      <c r="HB308" s="19" t="n"/>
      <c r="HD308" s="5">
        <f>C308</f>
        <v/>
      </c>
      <c r="HH308" s="19" t="n"/>
      <c r="HI308" s="19" t="n"/>
      <c r="HJ308" s="19" t="n"/>
      <c r="HL308" s="5">
        <f>C308</f>
        <v/>
      </c>
      <c r="HP308" s="19" t="n"/>
      <c r="HQ308" s="19" t="n"/>
      <c r="HR308" s="19" t="n"/>
      <c r="HT308" s="5">
        <f>C308</f>
        <v/>
      </c>
      <c r="HX308" s="19" t="n"/>
      <c r="HY308" s="19" t="n"/>
      <c r="HZ308" s="19" t="n"/>
      <c r="IB308" s="5">
        <f>C308</f>
        <v/>
      </c>
      <c r="IG308" s="19" t="n"/>
      <c r="IH308" s="19" t="n"/>
      <c r="IJ308" s="5">
        <f>C308</f>
        <v/>
      </c>
      <c r="IN308" s="19" t="n"/>
      <c r="IO308" s="19" t="n"/>
      <c r="IP308" s="19" t="n"/>
      <c r="IR308" s="5">
        <f>C308</f>
        <v/>
      </c>
      <c r="IV308" s="19" t="n"/>
      <c r="IW308" s="19" t="n"/>
      <c r="IX308" s="19" t="n"/>
      <c r="IZ308" s="5">
        <f>C308</f>
        <v/>
      </c>
      <c r="JD308" s="19" t="n"/>
      <c r="JE308" s="19" t="n"/>
      <c r="JF308" s="19" t="n"/>
      <c r="JH308" s="5">
        <f>C308</f>
        <v/>
      </c>
      <c r="JL308" s="19" t="n"/>
      <c r="JM308" s="19" t="n"/>
      <c r="JN308" s="19" t="n"/>
      <c r="JO308" s="19" t="n"/>
      <c r="JP308" s="5">
        <f>C308</f>
        <v/>
      </c>
      <c r="JT308" s="19" t="n"/>
      <c r="JU308" s="19" t="n"/>
      <c r="JV308" s="19" t="n"/>
      <c r="JW308" s="19" t="n"/>
      <c r="JX308" s="5">
        <f>C308</f>
        <v/>
      </c>
      <c r="KB308" s="19" t="n"/>
      <c r="KC308" s="19" t="n"/>
      <c r="KD308" s="19" t="n"/>
      <c r="KE308" s="19" t="n"/>
      <c r="KF308" s="5">
        <f>C308</f>
        <v/>
      </c>
      <c r="KG308" s="19" t="n"/>
      <c r="KH308" s="19" t="n"/>
      <c r="KJ308" s="19" t="n"/>
      <c r="KK308" s="19" t="n"/>
      <c r="KL308" s="19" t="n"/>
      <c r="KM308" s="19" t="n"/>
      <c r="KN308" s="5">
        <f>C308</f>
        <v/>
      </c>
      <c r="KR308" s="19" t="n"/>
      <c r="KS308" s="19" t="n"/>
      <c r="KT308" s="19" t="n"/>
      <c r="KV308" s="5">
        <f>C308</f>
        <v/>
      </c>
      <c r="KZ308" s="19" t="n"/>
      <c r="LA308" s="19" t="n"/>
      <c r="LB308" s="19" t="n"/>
      <c r="LD308" s="5">
        <f>C308</f>
        <v/>
      </c>
      <c r="LH308" s="19" t="n"/>
      <c r="LI308" s="19" t="n"/>
      <c r="LJ308" s="19" t="n"/>
      <c r="LL308" s="5">
        <f>C308</f>
        <v/>
      </c>
      <c r="LM308" s="633" t="n"/>
      <c r="LP308" s="19" t="n"/>
      <c r="LQ308" s="19" t="n"/>
      <c r="LR308" s="19" t="n"/>
      <c r="LT308" s="5">
        <f>C308</f>
        <v/>
      </c>
      <c r="LX308" s="19" t="n"/>
      <c r="LY308" s="19" t="n"/>
      <c r="LZ308" s="19" t="n"/>
      <c r="MB308" s="5">
        <f>C308</f>
        <v/>
      </c>
      <c r="MF308" s="19" t="n"/>
      <c r="MG308" s="19" t="n"/>
      <c r="MH308" s="19" t="n"/>
      <c r="MK308" s="5">
        <f>C308</f>
        <v/>
      </c>
      <c r="MM308" s="24" t="n"/>
      <c r="MO308" s="19" t="n"/>
      <c r="MP308" s="19" t="n"/>
      <c r="MQ308" s="19" t="n"/>
      <c r="MR308" s="19" t="n"/>
      <c r="MS308" s="19" t="n"/>
      <c r="MT308" s="25">
        <f>C308</f>
        <v/>
      </c>
      <c r="MX308" s="19" t="n"/>
      <c r="MY308" s="19" t="n"/>
      <c r="MZ308" s="19" t="n"/>
      <c r="NA308" s="19" t="n"/>
      <c r="NB308" s="19" t="n"/>
      <c r="NC308" s="5">
        <f>C308</f>
        <v/>
      </c>
      <c r="NG308" s="19" t="n"/>
      <c r="NH308" s="19" t="n"/>
      <c r="NI308" s="19" t="n"/>
      <c r="NJ308" s="19" t="n"/>
      <c r="NK308" s="19" t="n"/>
      <c r="NM308" s="5">
        <f>C308</f>
        <v/>
      </c>
      <c r="NQ308" s="19" t="n"/>
      <c r="NR308" s="19" t="n"/>
      <c r="NU308" s="5">
        <f>C308</f>
        <v/>
      </c>
      <c r="NY308" s="19" t="n"/>
      <c r="NZ308" s="19" t="n"/>
      <c r="OC308" s="5">
        <f>C308</f>
        <v/>
      </c>
      <c r="OG308" s="19" t="n"/>
      <c r="OH308" s="19" t="n"/>
      <c r="OI308" s="19" t="n"/>
      <c r="OK308" s="5">
        <f>C308</f>
        <v/>
      </c>
      <c r="OO308" s="19" t="n"/>
      <c r="OP308" s="19" t="n"/>
      <c r="OQ308" s="19" t="n"/>
      <c r="OT308" s="25">
        <f>OK308</f>
        <v/>
      </c>
      <c r="OX308" s="19" t="n"/>
    </row>
    <row r="309" ht="21" customFormat="1" customHeight="1" s="5">
      <c r="A309" s="631" t="n"/>
      <c r="B309" s="631" t="n"/>
      <c r="C309" s="735" t="inlineStr">
        <is>
          <t>2023//7//31</t>
        </is>
      </c>
      <c r="D309" s="605" t="n">
        <v>2244828.77</v>
      </c>
      <c r="E309" s="597" t="n"/>
      <c r="F309" s="601">
        <f>(D309-D310)/D310</f>
        <v/>
      </c>
      <c r="G309" s="601" t="n"/>
      <c r="H309" s="526" t="n"/>
      <c r="I309" s="629" t="n"/>
      <c r="J309" s="629" t="n"/>
      <c r="K309" s="605">
        <f>C309</f>
        <v/>
      </c>
      <c r="L309" s="605" t="n">
        <v>1196430.74</v>
      </c>
      <c r="M309" s="597" t="n"/>
      <c r="N309" s="601">
        <f>(L309-L310)/L310</f>
        <v/>
      </c>
      <c r="O309" s="601" t="n"/>
      <c r="P309" s="526" t="n"/>
      <c r="Q309" s="629" t="n"/>
      <c r="R309" s="630" t="n"/>
      <c r="S309" s="605">
        <f>C309</f>
        <v/>
      </c>
      <c r="T309" s="605" t="n">
        <v>2115426.68</v>
      </c>
      <c r="U309" s="597" t="n"/>
      <c r="V309" s="599">
        <f>(T309-T310)/T310</f>
        <v/>
      </c>
      <c r="W309" s="599" t="n"/>
      <c r="X309" s="526" t="n"/>
      <c r="Y309" s="629" t="n"/>
      <c r="Z309" s="630" t="n"/>
      <c r="AA309" s="605">
        <f>S309</f>
        <v/>
      </c>
      <c r="AB309" s="605" t="n">
        <v>796216.86</v>
      </c>
      <c r="AC309" s="597" t="n"/>
      <c r="AD309" s="601">
        <f>(AB309-AB310)/AB310</f>
        <v/>
      </c>
      <c r="AE309" s="601" t="n"/>
      <c r="AF309" s="526" t="n"/>
      <c r="AG309" s="629" t="n"/>
      <c r="AH309" s="630" t="n"/>
      <c r="AI309" s="605">
        <f>C309</f>
        <v/>
      </c>
      <c r="AJ309" s="605" t="n">
        <v>473721.76</v>
      </c>
      <c r="AK309" s="362" t="n"/>
      <c r="AL309" s="599">
        <f>(AJ309-AJ310)/AJ310</f>
        <v/>
      </c>
      <c r="AM309" s="599" t="n"/>
      <c r="AN309" s="526" t="n"/>
      <c r="AO309" s="526" t="n"/>
      <c r="AP309" s="523" t="n"/>
      <c r="AQ309" s="555">
        <f>C309</f>
        <v/>
      </c>
      <c r="AR309" s="611" t="e">
        <v>#VALUE!</v>
      </c>
      <c r="AS309" s="611" t="n"/>
      <c r="AT309" s="526">
        <f>(AR309-AR310)/AR310</f>
        <v/>
      </c>
      <c r="AU309" s="611" t="n">
        <v>229.87</v>
      </c>
      <c r="AV309" s="613" t="n">
        <v>0.0977</v>
      </c>
      <c r="AW309" s="526" t="n"/>
      <c r="AX309" s="523" t="n"/>
      <c r="AY309" s="523" t="n"/>
      <c r="AZ309" s="523">
        <f>C309</f>
        <v/>
      </c>
      <c r="BA309" s="523" t="n"/>
      <c r="BB309" s="523" t="n"/>
      <c r="BC309" s="523" t="n"/>
      <c r="BD309" s="526" t="n"/>
      <c r="BE309" s="526" t="n"/>
      <c r="BF309" s="526" t="n"/>
      <c r="BG309" s="631" t="n"/>
      <c r="BH309" s="5">
        <f>C309</f>
        <v/>
      </c>
      <c r="BL309" s="19" t="n"/>
      <c r="BM309" s="19" t="n"/>
      <c r="BN309" s="19" t="n"/>
      <c r="BP309" s="5">
        <f>C309</f>
        <v/>
      </c>
      <c r="BQ309" s="633" t="n"/>
      <c r="BT309" s="19" t="n"/>
      <c r="BU309" s="19" t="n"/>
      <c r="BV309" s="19" t="n"/>
      <c r="BX309" s="5">
        <f>C309</f>
        <v/>
      </c>
      <c r="CB309" s="19" t="n"/>
      <c r="CC309" s="19" t="n"/>
      <c r="CD309" s="19" t="n"/>
      <c r="CF309" s="5">
        <f>C309</f>
        <v/>
      </c>
      <c r="CJ309" s="19" t="n"/>
      <c r="CK309" s="19" t="n"/>
      <c r="CL309" s="19" t="n"/>
      <c r="CN309" s="5">
        <f>C309</f>
        <v/>
      </c>
      <c r="CR309" s="19" t="n"/>
      <c r="CS309" s="19" t="n"/>
      <c r="CT309" s="19" t="n"/>
      <c r="CV309" s="5">
        <f>C309</f>
        <v/>
      </c>
      <c r="CZ309" s="19" t="n"/>
      <c r="DA309" s="19" t="n"/>
      <c r="DB309" s="19" t="n"/>
      <c r="DC309" s="23" t="n"/>
      <c r="DD309" s="5">
        <f>C309</f>
        <v/>
      </c>
      <c r="DH309" s="19" t="n"/>
      <c r="DI309" s="19" t="n"/>
      <c r="DJ309" s="19" t="n"/>
      <c r="DL309" s="5">
        <f>C309</f>
        <v/>
      </c>
      <c r="DP309" s="19" t="n"/>
      <c r="DQ309" s="19" t="n"/>
      <c r="DR309" s="19" t="n"/>
      <c r="DT309" s="5">
        <f>C309</f>
        <v/>
      </c>
      <c r="DX309" s="19" t="n"/>
      <c r="DY309" s="19" t="n"/>
      <c r="DZ309" s="19" t="n"/>
      <c r="EB309" s="5">
        <f>C309</f>
        <v/>
      </c>
      <c r="EF309" s="19" t="n"/>
      <c r="EG309" s="19" t="n"/>
      <c r="EH309" s="19" t="n"/>
      <c r="EJ309" s="5">
        <f>C309</f>
        <v/>
      </c>
      <c r="EN309" s="19" t="n"/>
      <c r="EO309" s="19" t="n"/>
      <c r="EP309" s="19" t="n"/>
      <c r="EQ309" s="19" t="n"/>
      <c r="ER309" s="5">
        <f>C309</f>
        <v/>
      </c>
      <c r="ES309" s="19" t="n"/>
      <c r="ET309" s="19" t="n"/>
      <c r="EU309" s="19" t="n"/>
      <c r="EV309" s="19" t="n"/>
      <c r="EW309" s="19" t="n"/>
      <c r="EX309" s="19" t="n"/>
      <c r="EZ309" s="5">
        <f>C309</f>
        <v/>
      </c>
      <c r="FD309" s="19" t="n"/>
      <c r="FE309" s="19" t="n"/>
      <c r="FF309" s="19" t="n"/>
      <c r="FG309" s="19" t="n"/>
      <c r="FH309" s="5">
        <f>C309</f>
        <v/>
      </c>
      <c r="FI309" s="633" t="n"/>
      <c r="FL309" s="19" t="n"/>
      <c r="FM309" s="19" t="n"/>
      <c r="FN309" s="19" t="n"/>
      <c r="FP309" s="5">
        <f>C309</f>
        <v/>
      </c>
      <c r="FT309" s="19" t="n"/>
      <c r="FU309" s="19" t="n"/>
      <c r="FV309" s="19" t="n"/>
      <c r="FX309" s="5">
        <f>C309</f>
        <v/>
      </c>
      <c r="GB309" s="19" t="n"/>
      <c r="GC309" s="19" t="n"/>
      <c r="GD309" s="19" t="n"/>
      <c r="GF309" s="5">
        <f>C309</f>
        <v/>
      </c>
      <c r="GJ309" s="19" t="n"/>
      <c r="GK309" s="19" t="n"/>
      <c r="GL309" s="19" t="n"/>
      <c r="GN309" s="5">
        <f>C309</f>
        <v/>
      </c>
      <c r="GR309" s="19" t="n"/>
      <c r="GS309" s="19" t="n"/>
      <c r="GT309" s="19" t="n"/>
      <c r="GV309" s="5">
        <f>C309</f>
        <v/>
      </c>
      <c r="GZ309" s="19" t="n"/>
      <c r="HA309" s="19" t="n"/>
      <c r="HB309" s="19" t="n"/>
      <c r="HD309" s="5">
        <f>C309</f>
        <v/>
      </c>
      <c r="HH309" s="19" t="n"/>
      <c r="HI309" s="19" t="n"/>
      <c r="HJ309" s="19" t="n"/>
      <c r="HL309" s="5">
        <f>C309</f>
        <v/>
      </c>
      <c r="HP309" s="19" t="n"/>
      <c r="HQ309" s="19" t="n"/>
      <c r="HR309" s="19" t="n"/>
      <c r="HT309" s="5">
        <f>C309</f>
        <v/>
      </c>
      <c r="HX309" s="19" t="n"/>
      <c r="HY309" s="19" t="n"/>
      <c r="HZ309" s="19" t="n"/>
      <c r="IB309" s="5">
        <f>C309</f>
        <v/>
      </c>
      <c r="IG309" s="19" t="n"/>
      <c r="IH309" s="19" t="n"/>
      <c r="IJ309" s="5">
        <f>C309</f>
        <v/>
      </c>
      <c r="IN309" s="19" t="n"/>
      <c r="IO309" s="19" t="n"/>
      <c r="IP309" s="19" t="n"/>
      <c r="IR309" s="5">
        <f>C309</f>
        <v/>
      </c>
      <c r="IV309" s="19" t="n"/>
      <c r="IW309" s="19" t="n"/>
      <c r="IX309" s="19" t="n"/>
      <c r="IZ309" s="5">
        <f>C309</f>
        <v/>
      </c>
      <c r="JD309" s="19" t="n"/>
      <c r="JE309" s="19" t="n"/>
      <c r="JF309" s="19" t="n"/>
      <c r="JH309" s="5">
        <f>C309</f>
        <v/>
      </c>
      <c r="JL309" s="19" t="n"/>
      <c r="JM309" s="19" t="n"/>
      <c r="JN309" s="19" t="n"/>
      <c r="JO309" s="19" t="n"/>
      <c r="JP309" s="5">
        <f>C309</f>
        <v/>
      </c>
      <c r="JT309" s="19" t="n"/>
      <c r="JU309" s="19" t="n"/>
      <c r="JV309" s="19" t="n"/>
      <c r="JW309" s="19" t="n"/>
      <c r="JX309" s="5">
        <f>C309</f>
        <v/>
      </c>
      <c r="KB309" s="19" t="n"/>
      <c r="KC309" s="19" t="n"/>
      <c r="KD309" s="19" t="n"/>
      <c r="KE309" s="19" t="n"/>
      <c r="KF309" s="5">
        <f>C309</f>
        <v/>
      </c>
      <c r="KG309" s="19" t="n"/>
      <c r="KH309" s="19" t="n"/>
      <c r="KJ309" s="19" t="n"/>
      <c r="KK309" s="19" t="n"/>
      <c r="KL309" s="19" t="n"/>
      <c r="KM309" s="19" t="n"/>
      <c r="KN309" s="5">
        <f>C309</f>
        <v/>
      </c>
      <c r="KR309" s="19" t="n"/>
      <c r="KS309" s="19" t="n"/>
      <c r="KT309" s="19" t="n"/>
      <c r="KV309" s="5">
        <f>C309</f>
        <v/>
      </c>
      <c r="KZ309" s="19" t="n"/>
      <c r="LA309" s="19" t="n"/>
      <c r="LB309" s="19" t="n"/>
      <c r="LD309" s="5">
        <f>C309</f>
        <v/>
      </c>
      <c r="LH309" s="19" t="n"/>
      <c r="LI309" s="19" t="n"/>
      <c r="LJ309" s="19" t="n"/>
      <c r="LL309" s="5">
        <f>C309</f>
        <v/>
      </c>
      <c r="LM309" s="633" t="n"/>
      <c r="LP309" s="19" t="n"/>
      <c r="LQ309" s="19" t="n"/>
      <c r="LR309" s="19" t="n"/>
      <c r="LT309" s="5">
        <f>C309</f>
        <v/>
      </c>
      <c r="LX309" s="19" t="n"/>
      <c r="LY309" s="19" t="n"/>
      <c r="LZ309" s="19" t="n"/>
      <c r="MB309" s="5">
        <f>C309</f>
        <v/>
      </c>
      <c r="MF309" s="19" t="n"/>
      <c r="MG309" s="19" t="n"/>
      <c r="MH309" s="19" t="n"/>
      <c r="MK309" s="5">
        <f>C309</f>
        <v/>
      </c>
      <c r="MM309" s="24" t="n"/>
      <c r="MO309" s="19" t="n"/>
      <c r="MP309" s="19" t="n"/>
      <c r="MQ309" s="19" t="n"/>
      <c r="MR309" s="19" t="n"/>
      <c r="MS309" s="19" t="n"/>
      <c r="MT309" s="25">
        <f>C309</f>
        <v/>
      </c>
      <c r="MX309" s="19" t="n"/>
      <c r="MY309" s="19" t="n"/>
      <c r="MZ309" s="19" t="n"/>
      <c r="NA309" s="19" t="n"/>
      <c r="NB309" s="19" t="n"/>
      <c r="NC309" s="5">
        <f>C309</f>
        <v/>
      </c>
      <c r="NG309" s="19" t="n"/>
      <c r="NH309" s="19" t="n"/>
      <c r="NI309" s="19" t="n"/>
      <c r="NJ309" s="19" t="n"/>
      <c r="NK309" s="19" t="n"/>
      <c r="NM309" s="5">
        <f>C309</f>
        <v/>
      </c>
      <c r="NQ309" s="19" t="n"/>
      <c r="NR309" s="19" t="n"/>
      <c r="NU309" s="5">
        <f>C309</f>
        <v/>
      </c>
      <c r="NY309" s="19" t="n"/>
      <c r="NZ309" s="19" t="n"/>
      <c r="OC309" s="5">
        <f>C309</f>
        <v/>
      </c>
      <c r="OG309" s="19" t="n"/>
      <c r="OH309" s="19" t="n"/>
      <c r="OI309" s="19" t="n"/>
      <c r="OK309" s="5">
        <f>C309</f>
        <v/>
      </c>
      <c r="OO309" s="19" t="n"/>
      <c r="OP309" s="19" t="n"/>
      <c r="OQ309" s="19" t="n"/>
      <c r="OT309" s="25">
        <f>OK309</f>
        <v/>
      </c>
      <c r="OX309" s="19" t="n"/>
    </row>
    <row r="310" ht="21" customFormat="1" customHeight="1" s="5">
      <c r="A310" s="631" t="n"/>
      <c r="B310" s="631" t="n"/>
      <c r="C310" s="735" t="inlineStr">
        <is>
          <t>2023//6//30</t>
        </is>
      </c>
      <c r="D310" s="605" t="n">
        <v>1852158.77</v>
      </c>
      <c r="E310" s="597" t="n"/>
      <c r="F310" s="601">
        <f>(D310-D311)/D311</f>
        <v/>
      </c>
      <c r="G310" s="601" t="n"/>
      <c r="H310" s="526" t="n"/>
      <c r="I310" s="629" t="n"/>
      <c r="J310" s="629" t="n"/>
      <c r="K310" s="605">
        <f>C310</f>
        <v/>
      </c>
      <c r="L310" s="605" t="n">
        <v>973830.74</v>
      </c>
      <c r="M310" s="597" t="n"/>
      <c r="N310" s="601">
        <f>(L310-L311)/L311</f>
        <v/>
      </c>
      <c r="O310" s="601" t="n"/>
      <c r="P310" s="526" t="n"/>
      <c r="Q310" s="629" t="n"/>
      <c r="R310" s="630" t="n"/>
      <c r="S310" s="605">
        <f>C310</f>
        <v/>
      </c>
      <c r="T310" s="605" t="n">
        <v>2268606.68</v>
      </c>
      <c r="U310" s="597" t="n"/>
      <c r="V310" s="599">
        <f>(T310-T311)/T311</f>
        <v/>
      </c>
      <c r="W310" s="599" t="n"/>
      <c r="X310" s="526" t="n"/>
      <c r="Y310" s="629" t="n"/>
      <c r="Z310" s="630" t="n"/>
      <c r="AA310" s="605">
        <f>S310</f>
        <v/>
      </c>
      <c r="AB310" s="605" t="n">
        <v>794896.86</v>
      </c>
      <c r="AC310" s="597" t="n"/>
      <c r="AD310" s="601">
        <f>(AB310-AB311)/AB311</f>
        <v/>
      </c>
      <c r="AE310" s="601" t="n"/>
      <c r="AF310" s="526" t="n"/>
      <c r="AG310" s="629" t="n"/>
      <c r="AH310" s="630" t="n"/>
      <c r="AI310" s="605">
        <f>C310</f>
        <v/>
      </c>
      <c r="AJ310" s="605" t="n">
        <v>369921.76</v>
      </c>
      <c r="AK310" s="362" t="n"/>
      <c r="AL310" s="599">
        <f>(AJ310-AJ311)/AJ311</f>
        <v/>
      </c>
      <c r="AM310" s="599" t="n"/>
      <c r="AN310" s="526" t="n"/>
      <c r="AO310" s="526" t="n"/>
      <c r="AP310" s="523" t="n"/>
      <c r="AQ310" s="555">
        <f>C310</f>
        <v/>
      </c>
      <c r="AR310" s="611" t="n">
        <v>1292300</v>
      </c>
      <c r="AS310" s="611" t="n"/>
      <c r="AT310" s="526">
        <f>(AR310-AR311)/AR311</f>
        <v/>
      </c>
      <c r="AU310" s="611" t="n">
        <v>209.42</v>
      </c>
      <c r="AV310" s="613" t="n">
        <v>0.1266</v>
      </c>
      <c r="AW310" s="526" t="n"/>
      <c r="AX310" s="523" t="n"/>
      <c r="AY310" s="523" t="n"/>
      <c r="AZ310" s="523">
        <f>C310</f>
        <v/>
      </c>
      <c r="BA310" s="523" t="n"/>
      <c r="BB310" s="523" t="n"/>
      <c r="BC310" s="523" t="n"/>
      <c r="BD310" s="526" t="n"/>
      <c r="BE310" s="526" t="n"/>
      <c r="BF310" s="526" t="n"/>
      <c r="BG310" s="631" t="n"/>
      <c r="BH310" s="5">
        <f>C310</f>
        <v/>
      </c>
      <c r="BL310" s="19" t="n"/>
      <c r="BM310" s="19" t="n"/>
      <c r="BN310" s="19" t="n"/>
      <c r="BP310" s="5">
        <f>C310</f>
        <v/>
      </c>
      <c r="BQ310" s="633" t="n"/>
      <c r="BT310" s="19" t="n"/>
      <c r="BU310" s="19" t="n"/>
      <c r="BV310" s="19" t="n"/>
      <c r="BX310" s="5">
        <f>C310</f>
        <v/>
      </c>
      <c r="CB310" s="19" t="n"/>
      <c r="CC310" s="19" t="n"/>
      <c r="CD310" s="19" t="n"/>
      <c r="CF310" s="5">
        <f>C310</f>
        <v/>
      </c>
      <c r="CJ310" s="19" t="n"/>
      <c r="CK310" s="19" t="n"/>
      <c r="CL310" s="19" t="n"/>
      <c r="CN310" s="5">
        <f>C310</f>
        <v/>
      </c>
      <c r="CR310" s="19" t="n"/>
      <c r="CS310" s="19" t="n"/>
      <c r="CT310" s="19" t="n"/>
      <c r="CV310" s="5">
        <f>C310</f>
        <v/>
      </c>
      <c r="CZ310" s="19" t="n"/>
      <c r="DA310" s="19" t="n"/>
      <c r="DB310" s="19" t="n"/>
      <c r="DC310" s="23" t="n"/>
      <c r="DD310" s="5">
        <f>C310</f>
        <v/>
      </c>
      <c r="DH310" s="19" t="n"/>
      <c r="DI310" s="19" t="n"/>
      <c r="DJ310" s="19" t="n"/>
      <c r="DL310" s="5">
        <f>C310</f>
        <v/>
      </c>
      <c r="DP310" s="19" t="n"/>
      <c r="DQ310" s="19" t="n"/>
      <c r="DR310" s="19" t="n"/>
      <c r="DT310" s="5">
        <f>C310</f>
        <v/>
      </c>
      <c r="DX310" s="19" t="n"/>
      <c r="DY310" s="19" t="n"/>
      <c r="DZ310" s="19" t="n"/>
      <c r="EB310" s="5">
        <f>C310</f>
        <v/>
      </c>
      <c r="EF310" s="19" t="n"/>
      <c r="EG310" s="19" t="n"/>
      <c r="EH310" s="19" t="n"/>
      <c r="EJ310" s="5">
        <f>C310</f>
        <v/>
      </c>
      <c r="EN310" s="19" t="n"/>
      <c r="EO310" s="19" t="n"/>
      <c r="EP310" s="19" t="n"/>
      <c r="EQ310" s="19" t="n"/>
      <c r="ER310" s="5">
        <f>C310</f>
        <v/>
      </c>
      <c r="ES310" s="19" t="n"/>
      <c r="ET310" s="19" t="n"/>
      <c r="EU310" s="19" t="n"/>
      <c r="EV310" s="19" t="n"/>
      <c r="EW310" s="19" t="n"/>
      <c r="EX310" s="19" t="n"/>
      <c r="EZ310" s="5">
        <f>C310</f>
        <v/>
      </c>
      <c r="FD310" s="19" t="n"/>
      <c r="FE310" s="19" t="n"/>
      <c r="FF310" s="19" t="n"/>
      <c r="FG310" s="19" t="n"/>
      <c r="FH310" s="5">
        <f>C310</f>
        <v/>
      </c>
      <c r="FI310" s="633" t="n"/>
      <c r="FL310" s="19" t="n"/>
      <c r="FM310" s="19" t="n"/>
      <c r="FN310" s="19" t="n"/>
      <c r="FP310" s="5">
        <f>C310</f>
        <v/>
      </c>
      <c r="FT310" s="19" t="n"/>
      <c r="FU310" s="19" t="n"/>
      <c r="FV310" s="19" t="n"/>
      <c r="FX310" s="5">
        <f>C310</f>
        <v/>
      </c>
      <c r="GB310" s="19" t="n"/>
      <c r="GC310" s="19" t="n"/>
      <c r="GD310" s="19" t="n"/>
      <c r="GF310" s="5">
        <f>C310</f>
        <v/>
      </c>
      <c r="GJ310" s="19" t="n"/>
      <c r="GK310" s="19" t="n"/>
      <c r="GL310" s="19" t="n"/>
      <c r="GN310" s="5">
        <f>C310</f>
        <v/>
      </c>
      <c r="GR310" s="19" t="n"/>
      <c r="GS310" s="19" t="n"/>
      <c r="GT310" s="19" t="n"/>
      <c r="GV310" s="5">
        <f>C310</f>
        <v/>
      </c>
      <c r="GZ310" s="19" t="n"/>
      <c r="HA310" s="19" t="n"/>
      <c r="HB310" s="19" t="n"/>
      <c r="HD310" s="5">
        <f>C310</f>
        <v/>
      </c>
      <c r="HH310" s="19" t="n"/>
      <c r="HI310" s="19" t="n"/>
      <c r="HJ310" s="19" t="n"/>
      <c r="HL310" s="5">
        <f>C310</f>
        <v/>
      </c>
      <c r="HP310" s="19" t="n"/>
      <c r="HQ310" s="19" t="n"/>
      <c r="HR310" s="19" t="n"/>
      <c r="HT310" s="5">
        <f>C310</f>
        <v/>
      </c>
      <c r="HX310" s="19" t="n"/>
      <c r="HY310" s="19" t="n"/>
      <c r="HZ310" s="19" t="n"/>
      <c r="IB310" s="5">
        <f>C310</f>
        <v/>
      </c>
      <c r="IG310" s="19" t="n"/>
      <c r="IH310" s="19" t="n"/>
      <c r="IJ310" s="5">
        <f>C310</f>
        <v/>
      </c>
      <c r="IN310" s="19" t="n"/>
      <c r="IO310" s="19" t="n"/>
      <c r="IP310" s="19" t="n"/>
      <c r="IR310" s="5">
        <f>C310</f>
        <v/>
      </c>
      <c r="IV310" s="19" t="n"/>
      <c r="IW310" s="19" t="n"/>
      <c r="IX310" s="19" t="n"/>
      <c r="IZ310" s="5">
        <f>C310</f>
        <v/>
      </c>
      <c r="JD310" s="19" t="n"/>
      <c r="JE310" s="19" t="n"/>
      <c r="JF310" s="19" t="n"/>
      <c r="JH310" s="5">
        <f>C310</f>
        <v/>
      </c>
      <c r="JL310" s="19" t="n"/>
      <c r="JM310" s="19" t="n"/>
      <c r="JN310" s="19" t="n"/>
      <c r="JO310" s="19" t="n"/>
      <c r="JP310" s="5">
        <f>C310</f>
        <v/>
      </c>
      <c r="JT310" s="19" t="n"/>
      <c r="JU310" s="19" t="n"/>
      <c r="JV310" s="19" t="n"/>
      <c r="JW310" s="19" t="n"/>
      <c r="JX310" s="5">
        <f>C310</f>
        <v/>
      </c>
      <c r="KB310" s="19" t="n"/>
      <c r="KC310" s="19" t="n"/>
      <c r="KD310" s="19" t="n"/>
      <c r="KE310" s="19" t="n"/>
      <c r="KF310" s="5">
        <f>C310</f>
        <v/>
      </c>
      <c r="KG310" s="19" t="n"/>
      <c r="KH310" s="19" t="n"/>
      <c r="KJ310" s="19" t="n"/>
      <c r="KK310" s="19" t="n"/>
      <c r="KL310" s="19" t="n"/>
      <c r="KM310" s="19" t="n"/>
      <c r="KN310" s="5">
        <f>C310</f>
        <v/>
      </c>
      <c r="KR310" s="19" t="n"/>
      <c r="KS310" s="19" t="n"/>
      <c r="KT310" s="19" t="n"/>
      <c r="KV310" s="5">
        <f>C310</f>
        <v/>
      </c>
      <c r="KZ310" s="19" t="n"/>
      <c r="LA310" s="19" t="n"/>
      <c r="LB310" s="19" t="n"/>
      <c r="LD310" s="5">
        <f>C310</f>
        <v/>
      </c>
      <c r="LH310" s="19" t="n"/>
      <c r="LI310" s="19" t="n"/>
      <c r="LJ310" s="19" t="n"/>
      <c r="LL310" s="5">
        <f>C310</f>
        <v/>
      </c>
      <c r="LM310" s="633" t="n"/>
      <c r="LP310" s="19" t="n"/>
      <c r="LQ310" s="19" t="n"/>
      <c r="LR310" s="19" t="n"/>
      <c r="LT310" s="5">
        <f>C310</f>
        <v/>
      </c>
      <c r="LX310" s="19" t="n"/>
      <c r="LY310" s="19" t="n"/>
      <c r="LZ310" s="19" t="n"/>
      <c r="MB310" s="5">
        <f>C310</f>
        <v/>
      </c>
      <c r="MF310" s="19" t="n"/>
      <c r="MG310" s="19" t="n"/>
      <c r="MH310" s="19" t="n"/>
      <c r="MK310" s="5">
        <f>C310</f>
        <v/>
      </c>
      <c r="MM310" s="24" t="n"/>
      <c r="MO310" s="19" t="n"/>
      <c r="MP310" s="19" t="n"/>
      <c r="MQ310" s="19" t="n"/>
      <c r="MR310" s="19" t="n"/>
      <c r="MS310" s="19" t="n"/>
      <c r="MT310" s="25">
        <f>C310</f>
        <v/>
      </c>
      <c r="MX310" s="19" t="n"/>
      <c r="MY310" s="19" t="n"/>
      <c r="MZ310" s="19" t="n"/>
      <c r="NA310" s="19" t="n"/>
      <c r="NB310" s="19" t="n"/>
      <c r="NC310" s="5">
        <f>C310</f>
        <v/>
      </c>
      <c r="NG310" s="19" t="n"/>
      <c r="NH310" s="19" t="n"/>
      <c r="NI310" s="19" t="n"/>
      <c r="NJ310" s="19" t="n"/>
      <c r="NK310" s="19" t="n"/>
      <c r="NM310" s="5">
        <f>C310</f>
        <v/>
      </c>
      <c r="NQ310" s="19" t="n"/>
      <c r="NR310" s="19" t="n"/>
      <c r="NU310" s="5">
        <f>C310</f>
        <v/>
      </c>
      <c r="NY310" s="19" t="n"/>
      <c r="NZ310" s="19" t="n"/>
      <c r="OC310" s="5">
        <f>C310</f>
        <v/>
      </c>
      <c r="OG310" s="19" t="n"/>
      <c r="OH310" s="19" t="n"/>
      <c r="OI310" s="19" t="n"/>
      <c r="OK310" s="5">
        <f>C310</f>
        <v/>
      </c>
      <c r="OO310" s="19" t="n"/>
      <c r="OP310" s="19" t="n"/>
      <c r="OQ310" s="19" t="n"/>
      <c r="OT310" s="25">
        <f>OK310</f>
        <v/>
      </c>
      <c r="OX310" s="19" t="n"/>
    </row>
    <row r="311" ht="21" customFormat="1" customHeight="1" s="5">
      <c r="A311" s="631" t="n"/>
      <c r="B311" s="631" t="n"/>
      <c r="C311" s="735" t="inlineStr">
        <is>
          <t>2023//5//31</t>
        </is>
      </c>
      <c r="D311" s="605" t="n">
        <v>1735428.77</v>
      </c>
      <c r="E311" s="597" t="n"/>
      <c r="F311" s="601">
        <f>(D311-D312)/D312</f>
        <v/>
      </c>
      <c r="G311" s="601" t="n"/>
      <c r="H311" s="526" t="n"/>
      <c r="I311" s="629" t="n"/>
      <c r="J311" s="629" t="n"/>
      <c r="K311" s="605">
        <f>C311</f>
        <v/>
      </c>
      <c r="L311" s="605" t="n">
        <v>888830.74</v>
      </c>
      <c r="M311" s="597" t="n"/>
      <c r="N311" s="601">
        <f>(L311-L312)/L312</f>
        <v/>
      </c>
      <c r="O311" s="601" t="n"/>
      <c r="P311" s="526" t="n"/>
      <c r="Q311" s="629" t="n"/>
      <c r="R311" s="630" t="n"/>
      <c r="S311" s="605">
        <f>C311</f>
        <v/>
      </c>
      <c r="T311" s="605" t="n">
        <v>2091756.68</v>
      </c>
      <c r="U311" s="597" t="n"/>
      <c r="V311" s="599">
        <f>(T311-T312)/T312</f>
        <v/>
      </c>
      <c r="W311" s="599" t="n"/>
      <c r="X311" s="526" t="n"/>
      <c r="Y311" s="629" t="n"/>
      <c r="Z311" s="630" t="n"/>
      <c r="AA311" s="605">
        <f>S311</f>
        <v/>
      </c>
      <c r="AB311" s="605" t="n">
        <v>768736.86</v>
      </c>
      <c r="AC311" s="597" t="n"/>
      <c r="AD311" s="601">
        <f>(AB311-AB312)/AB312</f>
        <v/>
      </c>
      <c r="AE311" s="601" t="n"/>
      <c r="AF311" s="526" t="n"/>
      <c r="AG311" s="629" t="n"/>
      <c r="AH311" s="630" t="n"/>
      <c r="AI311" s="605">
        <f>C311</f>
        <v/>
      </c>
      <c r="AJ311" s="605" t="n">
        <v>374921.76</v>
      </c>
      <c r="AK311" s="362" t="n"/>
      <c r="AL311" s="599">
        <f>(AJ311-AJ312)/AJ312</f>
        <v/>
      </c>
      <c r="AM311" s="599" t="n"/>
      <c r="AN311" s="526" t="n"/>
      <c r="AO311" s="526" t="n"/>
      <c r="AP311" s="523" t="n"/>
      <c r="AQ311" s="555">
        <f>C311</f>
        <v/>
      </c>
      <c r="AR311" s="611" t="n">
        <v>1550000</v>
      </c>
      <c r="AS311" s="611" t="n"/>
      <c r="AT311" s="526">
        <f>(AR311-AR312)/AR312</f>
        <v/>
      </c>
      <c r="AU311" s="611" t="n">
        <v>185.89</v>
      </c>
      <c r="AV311" s="613" t="n">
        <v>0.09370000000000001</v>
      </c>
      <c r="AW311" s="526" t="n"/>
      <c r="AX311" s="523" t="n"/>
      <c r="AY311" s="523" t="n"/>
      <c r="AZ311" s="523">
        <f>C311</f>
        <v/>
      </c>
      <c r="BA311" s="523" t="n"/>
      <c r="BB311" s="523" t="n"/>
      <c r="BC311" s="523" t="n"/>
      <c r="BD311" s="526" t="n"/>
      <c r="BE311" s="526" t="n"/>
      <c r="BF311" s="526" t="n"/>
      <c r="BG311" s="631" t="n"/>
      <c r="BH311" s="5">
        <f>C311</f>
        <v/>
      </c>
      <c r="BL311" s="19" t="n"/>
      <c r="BM311" s="19" t="n"/>
      <c r="BN311" s="19" t="n"/>
      <c r="BP311" s="5">
        <f>C311</f>
        <v/>
      </c>
      <c r="BQ311" s="633" t="n"/>
      <c r="BT311" s="19" t="n"/>
      <c r="BU311" s="19" t="n"/>
      <c r="BV311" s="19" t="n"/>
      <c r="BX311" s="5">
        <f>C311</f>
        <v/>
      </c>
      <c r="CB311" s="19" t="n"/>
      <c r="CC311" s="19" t="n"/>
      <c r="CD311" s="19" t="n"/>
      <c r="CF311" s="5">
        <f>C311</f>
        <v/>
      </c>
      <c r="CJ311" s="19" t="n"/>
      <c r="CK311" s="19" t="n"/>
      <c r="CL311" s="19" t="n"/>
      <c r="CN311" s="5">
        <f>C311</f>
        <v/>
      </c>
      <c r="CR311" s="19" t="n"/>
      <c r="CS311" s="19" t="n"/>
      <c r="CT311" s="19" t="n"/>
      <c r="CV311" s="5">
        <f>C311</f>
        <v/>
      </c>
      <c r="CZ311" s="19" t="n"/>
      <c r="DA311" s="19" t="n"/>
      <c r="DB311" s="19" t="n"/>
      <c r="DC311" s="23" t="n"/>
      <c r="DD311" s="5">
        <f>C311</f>
        <v/>
      </c>
      <c r="DH311" s="19" t="n"/>
      <c r="DI311" s="19" t="n"/>
      <c r="DJ311" s="19" t="n"/>
      <c r="DL311" s="5">
        <f>C311</f>
        <v/>
      </c>
      <c r="DP311" s="19" t="n"/>
      <c r="DQ311" s="19" t="n"/>
      <c r="DR311" s="19" t="n"/>
      <c r="DT311" s="5">
        <f>C311</f>
        <v/>
      </c>
      <c r="DX311" s="19" t="n"/>
      <c r="DY311" s="19" t="n"/>
      <c r="DZ311" s="19" t="n"/>
      <c r="EB311" s="5">
        <f>C311</f>
        <v/>
      </c>
      <c r="EF311" s="19" t="n"/>
      <c r="EG311" s="19" t="n"/>
      <c r="EH311" s="19" t="n"/>
      <c r="EJ311" s="5">
        <f>C311</f>
        <v/>
      </c>
      <c r="EN311" s="19" t="n"/>
      <c r="EO311" s="19" t="n"/>
      <c r="EP311" s="19" t="n"/>
      <c r="EQ311" s="19" t="n"/>
      <c r="ER311" s="5">
        <f>C311</f>
        <v/>
      </c>
      <c r="ES311" s="19" t="n"/>
      <c r="ET311" s="19" t="n"/>
      <c r="EU311" s="19" t="n"/>
      <c r="EV311" s="19" t="n"/>
      <c r="EW311" s="19" t="n"/>
      <c r="EX311" s="19" t="n"/>
      <c r="EZ311" s="5">
        <f>C311</f>
        <v/>
      </c>
      <c r="FD311" s="19" t="n"/>
      <c r="FE311" s="19" t="n"/>
      <c r="FF311" s="19" t="n"/>
      <c r="FG311" s="19" t="n"/>
      <c r="FH311" s="5">
        <f>C311</f>
        <v/>
      </c>
      <c r="FI311" s="633" t="n"/>
      <c r="FL311" s="19" t="n"/>
      <c r="FM311" s="19" t="n"/>
      <c r="FN311" s="19" t="n"/>
      <c r="FP311" s="5">
        <f>C311</f>
        <v/>
      </c>
      <c r="FT311" s="19" t="n"/>
      <c r="FU311" s="19" t="n"/>
      <c r="FV311" s="19" t="n"/>
      <c r="FX311" s="5">
        <f>C311</f>
        <v/>
      </c>
      <c r="GB311" s="19" t="n"/>
      <c r="GC311" s="19" t="n"/>
      <c r="GD311" s="19" t="n"/>
      <c r="GF311" s="5">
        <f>C311</f>
        <v/>
      </c>
      <c r="GJ311" s="19" t="n"/>
      <c r="GK311" s="19" t="n"/>
      <c r="GL311" s="19" t="n"/>
      <c r="GN311" s="5">
        <f>C311</f>
        <v/>
      </c>
      <c r="GR311" s="19" t="n"/>
      <c r="GS311" s="19" t="n"/>
      <c r="GT311" s="19" t="n"/>
      <c r="GV311" s="5">
        <f>C311</f>
        <v/>
      </c>
      <c r="GZ311" s="19" t="n"/>
      <c r="HA311" s="19" t="n"/>
      <c r="HB311" s="19" t="n"/>
      <c r="HD311" s="5">
        <f>C311</f>
        <v/>
      </c>
      <c r="HH311" s="19" t="n"/>
      <c r="HI311" s="19" t="n"/>
      <c r="HJ311" s="19" t="n"/>
      <c r="HL311" s="5">
        <f>C311</f>
        <v/>
      </c>
      <c r="HP311" s="19" t="n"/>
      <c r="HQ311" s="19" t="n"/>
      <c r="HR311" s="19" t="n"/>
      <c r="HT311" s="5">
        <f>C311</f>
        <v/>
      </c>
      <c r="HX311" s="19" t="n"/>
      <c r="HY311" s="19" t="n"/>
      <c r="HZ311" s="19" t="n"/>
      <c r="IB311" s="5">
        <f>C311</f>
        <v/>
      </c>
      <c r="IG311" s="19" t="n"/>
      <c r="IH311" s="19" t="n"/>
      <c r="IJ311" s="5">
        <f>C311</f>
        <v/>
      </c>
      <c r="IN311" s="19" t="n"/>
      <c r="IO311" s="19" t="n"/>
      <c r="IP311" s="19" t="n"/>
      <c r="IR311" s="5">
        <f>C311</f>
        <v/>
      </c>
      <c r="IV311" s="19" t="n"/>
      <c r="IW311" s="19" t="n"/>
      <c r="IX311" s="19" t="n"/>
      <c r="IZ311" s="5">
        <f>C311</f>
        <v/>
      </c>
      <c r="JD311" s="19" t="n"/>
      <c r="JE311" s="19" t="n"/>
      <c r="JF311" s="19" t="n"/>
      <c r="JH311" s="5">
        <f>C311</f>
        <v/>
      </c>
      <c r="JL311" s="19" t="n"/>
      <c r="JM311" s="19" t="n"/>
      <c r="JN311" s="19" t="n"/>
      <c r="JO311" s="19" t="n"/>
      <c r="JP311" s="5">
        <f>C311</f>
        <v/>
      </c>
      <c r="JT311" s="19" t="n"/>
      <c r="JU311" s="19" t="n"/>
      <c r="JV311" s="19" t="n"/>
      <c r="JW311" s="19" t="n"/>
      <c r="JX311" s="5">
        <f>C311</f>
        <v/>
      </c>
      <c r="KB311" s="19" t="n"/>
      <c r="KC311" s="19" t="n"/>
      <c r="KD311" s="19" t="n"/>
      <c r="KE311" s="19" t="n"/>
      <c r="KF311" s="5">
        <f>C311</f>
        <v/>
      </c>
      <c r="KG311" s="19" t="n"/>
      <c r="KH311" s="19" t="n"/>
      <c r="KJ311" s="19" t="n"/>
      <c r="KK311" s="19" t="n"/>
      <c r="KL311" s="19" t="n"/>
      <c r="KM311" s="19" t="n"/>
      <c r="KN311" s="5">
        <f>C311</f>
        <v/>
      </c>
      <c r="KR311" s="19" t="n"/>
      <c r="KS311" s="19" t="n"/>
      <c r="KT311" s="19" t="n"/>
      <c r="KV311" s="5">
        <f>C311</f>
        <v/>
      </c>
      <c r="KZ311" s="19" t="n"/>
      <c r="LA311" s="19" t="n"/>
      <c r="LB311" s="19" t="n"/>
      <c r="LD311" s="5">
        <f>C311</f>
        <v/>
      </c>
      <c r="LH311" s="19" t="n"/>
      <c r="LI311" s="19" t="n"/>
      <c r="LJ311" s="19" t="n"/>
      <c r="LL311" s="5">
        <f>C311</f>
        <v/>
      </c>
      <c r="LM311" s="633" t="n"/>
      <c r="LP311" s="19" t="n"/>
      <c r="LQ311" s="19" t="n"/>
      <c r="LR311" s="19" t="n"/>
      <c r="LT311" s="5">
        <f>C311</f>
        <v/>
      </c>
      <c r="LX311" s="19" t="n"/>
      <c r="LY311" s="19" t="n"/>
      <c r="LZ311" s="19" t="n"/>
      <c r="MB311" s="5">
        <f>C311</f>
        <v/>
      </c>
      <c r="MF311" s="19" t="n"/>
      <c r="MG311" s="19" t="n"/>
      <c r="MH311" s="19" t="n"/>
      <c r="MK311" s="5">
        <f>C311</f>
        <v/>
      </c>
      <c r="MM311" s="24" t="n"/>
      <c r="MO311" s="19" t="n"/>
      <c r="MP311" s="19" t="n"/>
      <c r="MQ311" s="19" t="n"/>
      <c r="MR311" s="19" t="n"/>
      <c r="MS311" s="19" t="n"/>
      <c r="MT311" s="25">
        <f>C311</f>
        <v/>
      </c>
      <c r="MX311" s="19" t="n"/>
      <c r="MY311" s="19" t="n"/>
      <c r="MZ311" s="19" t="n"/>
      <c r="NA311" s="19" t="n"/>
      <c r="NB311" s="19" t="n"/>
      <c r="NC311" s="5">
        <f>C311</f>
        <v/>
      </c>
      <c r="NG311" s="19" t="n"/>
      <c r="NH311" s="19" t="n"/>
      <c r="NI311" s="19" t="n"/>
      <c r="NJ311" s="19" t="n"/>
      <c r="NK311" s="19" t="n"/>
      <c r="NM311" s="5">
        <f>C311</f>
        <v/>
      </c>
      <c r="NQ311" s="19" t="n"/>
      <c r="NR311" s="19" t="n"/>
      <c r="NU311" s="5">
        <f>C311</f>
        <v/>
      </c>
      <c r="NY311" s="19" t="n"/>
      <c r="NZ311" s="19" t="n"/>
      <c r="OC311" s="5">
        <f>C311</f>
        <v/>
      </c>
      <c r="OG311" s="19" t="n"/>
      <c r="OH311" s="19" t="n"/>
      <c r="OI311" s="19" t="n"/>
      <c r="OK311" s="5">
        <f>C311</f>
        <v/>
      </c>
      <c r="OO311" s="19" t="n"/>
      <c r="OP311" s="19" t="n"/>
      <c r="OQ311" s="19" t="n"/>
      <c r="OT311" s="25">
        <f>OK311</f>
        <v/>
      </c>
      <c r="OX311" s="19" t="n"/>
    </row>
    <row r="312" ht="21" customFormat="1" customHeight="1" s="5">
      <c r="A312" s="631" t="n"/>
      <c r="B312" s="631" t="n"/>
      <c r="C312" s="735" t="inlineStr">
        <is>
          <t>2023//4//28</t>
        </is>
      </c>
      <c r="D312" s="605" t="n">
        <v>1681248.77</v>
      </c>
      <c r="E312" s="597" t="n"/>
      <c r="F312" s="601">
        <f>(D312-D313)/D313</f>
        <v/>
      </c>
      <c r="G312" s="601" t="n"/>
      <c r="H312" s="526" t="n"/>
      <c r="I312" s="629" t="n"/>
      <c r="J312" s="629" t="n"/>
      <c r="K312" s="605">
        <f>C312</f>
        <v/>
      </c>
      <c r="L312" s="605" t="n">
        <v>824830.74</v>
      </c>
      <c r="M312" s="597" t="n"/>
      <c r="N312" s="601">
        <f>(L312-L313)/L313</f>
        <v/>
      </c>
      <c r="O312" s="601" t="n"/>
      <c r="P312" s="526" t="n"/>
      <c r="Q312" s="629" t="n"/>
      <c r="R312" s="630" t="n"/>
      <c r="S312" s="605">
        <f>C312</f>
        <v/>
      </c>
      <c r="T312" s="605" t="n">
        <v>1989156.68</v>
      </c>
      <c r="U312" s="597" t="n"/>
      <c r="V312" s="599">
        <f>(T312-T313)/T313</f>
        <v/>
      </c>
      <c r="W312" s="599" t="n"/>
      <c r="X312" s="526" t="n"/>
      <c r="Y312" s="629" t="n"/>
      <c r="Z312" s="630" t="n"/>
      <c r="AA312" s="605">
        <f>S312</f>
        <v/>
      </c>
      <c r="AB312" s="605" t="n">
        <v>760336.86</v>
      </c>
      <c r="AC312" s="597" t="n"/>
      <c r="AD312" s="601">
        <f>(AB312-AB313)/AB313</f>
        <v/>
      </c>
      <c r="AE312" s="601" t="n"/>
      <c r="AF312" s="526" t="n"/>
      <c r="AG312" s="629" t="n"/>
      <c r="AH312" s="630" t="n"/>
      <c r="AI312" s="605">
        <f>C312</f>
        <v/>
      </c>
      <c r="AJ312" s="605" t="n">
        <v>410821.76</v>
      </c>
      <c r="AK312" s="362" t="n"/>
      <c r="AL312" s="599">
        <f>(AJ312-AJ313)/AJ313</f>
        <v/>
      </c>
      <c r="AM312" s="599" t="n"/>
      <c r="AN312" s="526" t="n"/>
      <c r="AO312" s="526" t="n"/>
      <c r="AP312" s="523" t="n"/>
      <c r="AQ312" s="555">
        <f>C312</f>
        <v/>
      </c>
      <c r="AR312" s="611" t="n">
        <v>1263500</v>
      </c>
      <c r="AS312" s="611" t="n"/>
      <c r="AT312" s="526">
        <f>(AR312-AR313)/AR313</f>
        <v/>
      </c>
      <c r="AU312" s="611" t="n">
        <v>169.96</v>
      </c>
      <c r="AV312" s="613" t="n">
        <v>0.3078</v>
      </c>
      <c r="AW312" s="526" t="n"/>
      <c r="AX312" s="523" t="n"/>
      <c r="AY312" s="523" t="n"/>
      <c r="AZ312" s="523">
        <f>C312</f>
        <v/>
      </c>
      <c r="BA312" s="523" t="n"/>
      <c r="BB312" s="523" t="n"/>
      <c r="BC312" s="523" t="n"/>
      <c r="BD312" s="526" t="n"/>
      <c r="BE312" s="526" t="n"/>
      <c r="BF312" s="526" t="n"/>
      <c r="BG312" s="631" t="n"/>
      <c r="BH312" s="5">
        <f>C312</f>
        <v/>
      </c>
      <c r="BL312" s="19" t="n"/>
      <c r="BM312" s="19" t="n"/>
      <c r="BN312" s="19" t="n"/>
      <c r="BP312" s="5">
        <f>C312</f>
        <v/>
      </c>
      <c r="BQ312" s="633" t="n"/>
      <c r="BT312" s="19" t="n"/>
      <c r="BU312" s="19" t="n"/>
      <c r="BV312" s="19" t="n"/>
      <c r="BX312" s="5">
        <f>C312</f>
        <v/>
      </c>
      <c r="CB312" s="19" t="n"/>
      <c r="CC312" s="19" t="n"/>
      <c r="CD312" s="19" t="n"/>
      <c r="CF312" s="5">
        <f>C312</f>
        <v/>
      </c>
      <c r="CJ312" s="19" t="n"/>
      <c r="CK312" s="19" t="n"/>
      <c r="CL312" s="19" t="n"/>
      <c r="CN312" s="5">
        <f>C312</f>
        <v/>
      </c>
      <c r="CR312" s="19" t="n"/>
      <c r="CS312" s="19" t="n"/>
      <c r="CT312" s="19" t="n"/>
      <c r="CV312" s="5">
        <f>C312</f>
        <v/>
      </c>
      <c r="CZ312" s="19" t="n"/>
      <c r="DA312" s="19" t="n"/>
      <c r="DB312" s="19" t="n"/>
      <c r="DC312" s="23" t="n"/>
      <c r="DD312" s="5">
        <f>C312</f>
        <v/>
      </c>
      <c r="DH312" s="19" t="n"/>
      <c r="DI312" s="19" t="n"/>
      <c r="DJ312" s="19" t="n"/>
      <c r="DL312" s="5">
        <f>C312</f>
        <v/>
      </c>
      <c r="DP312" s="19" t="n"/>
      <c r="DQ312" s="19" t="n"/>
      <c r="DR312" s="19" t="n"/>
      <c r="DT312" s="5">
        <f>C312</f>
        <v/>
      </c>
      <c r="DX312" s="19" t="n"/>
      <c r="DY312" s="19" t="n"/>
      <c r="DZ312" s="19" t="n"/>
      <c r="EB312" s="5">
        <f>C312</f>
        <v/>
      </c>
      <c r="EF312" s="19" t="n"/>
      <c r="EG312" s="19" t="n"/>
      <c r="EH312" s="19" t="n"/>
      <c r="EJ312" s="5">
        <f>C312</f>
        <v/>
      </c>
      <c r="EN312" s="19" t="n"/>
      <c r="EO312" s="19" t="n"/>
      <c r="EP312" s="19" t="n"/>
      <c r="EQ312" s="19" t="n"/>
      <c r="ER312" s="5">
        <f>C312</f>
        <v/>
      </c>
      <c r="ES312" s="19" t="n"/>
      <c r="ET312" s="19" t="n"/>
      <c r="EU312" s="19" t="n"/>
      <c r="EV312" s="19" t="n"/>
      <c r="EW312" s="19" t="n"/>
      <c r="EX312" s="19" t="n"/>
      <c r="EZ312" s="5">
        <f>C312</f>
        <v/>
      </c>
      <c r="FD312" s="19" t="n"/>
      <c r="FE312" s="19" t="n"/>
      <c r="FF312" s="19" t="n"/>
      <c r="FG312" s="19" t="n"/>
      <c r="FH312" s="5">
        <f>C312</f>
        <v/>
      </c>
      <c r="FI312" s="633" t="n"/>
      <c r="FL312" s="19" t="n"/>
      <c r="FM312" s="19" t="n"/>
      <c r="FN312" s="19" t="n"/>
      <c r="FP312" s="5">
        <f>C312</f>
        <v/>
      </c>
      <c r="FT312" s="19" t="n"/>
      <c r="FU312" s="19" t="n"/>
      <c r="FV312" s="19" t="n"/>
      <c r="FX312" s="5">
        <f>C312</f>
        <v/>
      </c>
      <c r="GB312" s="19" t="n"/>
      <c r="GC312" s="19" t="n"/>
      <c r="GD312" s="19" t="n"/>
      <c r="GF312" s="5">
        <f>C312</f>
        <v/>
      </c>
      <c r="GJ312" s="19" t="n"/>
      <c r="GK312" s="19" t="n"/>
      <c r="GL312" s="19" t="n"/>
      <c r="GN312" s="5">
        <f>C312</f>
        <v/>
      </c>
      <c r="GR312" s="19" t="n"/>
      <c r="GS312" s="19" t="n"/>
      <c r="GT312" s="19" t="n"/>
      <c r="GV312" s="5">
        <f>C312</f>
        <v/>
      </c>
      <c r="GZ312" s="19" t="n"/>
      <c r="HA312" s="19" t="n"/>
      <c r="HB312" s="19" t="n"/>
      <c r="HD312" s="5">
        <f>C312</f>
        <v/>
      </c>
      <c r="HH312" s="19" t="n"/>
      <c r="HI312" s="19" t="n"/>
      <c r="HJ312" s="19" t="n"/>
      <c r="HL312" s="5">
        <f>C312</f>
        <v/>
      </c>
      <c r="HP312" s="19" t="n"/>
      <c r="HQ312" s="19" t="n"/>
      <c r="HR312" s="19" t="n"/>
      <c r="HT312" s="5">
        <f>C312</f>
        <v/>
      </c>
      <c r="HX312" s="19" t="n"/>
      <c r="HY312" s="19" t="n"/>
      <c r="HZ312" s="19" t="n"/>
      <c r="IB312" s="5">
        <f>C312</f>
        <v/>
      </c>
      <c r="IG312" s="19" t="n"/>
      <c r="IH312" s="19" t="n"/>
      <c r="IJ312" s="5">
        <f>C312</f>
        <v/>
      </c>
      <c r="IN312" s="19" t="n"/>
      <c r="IO312" s="19" t="n"/>
      <c r="IP312" s="19" t="n"/>
      <c r="IR312" s="5">
        <f>C312</f>
        <v/>
      </c>
      <c r="IV312" s="19" t="n"/>
      <c r="IW312" s="19" t="n"/>
      <c r="IX312" s="19" t="n"/>
      <c r="IZ312" s="5">
        <f>C312</f>
        <v/>
      </c>
      <c r="JD312" s="19" t="n"/>
      <c r="JE312" s="19" t="n"/>
      <c r="JF312" s="19" t="n"/>
      <c r="JH312" s="5">
        <f>C312</f>
        <v/>
      </c>
      <c r="JL312" s="19" t="n"/>
      <c r="JM312" s="19" t="n"/>
      <c r="JN312" s="19" t="n"/>
      <c r="JO312" s="19" t="n"/>
      <c r="JP312" s="5">
        <f>C312</f>
        <v/>
      </c>
      <c r="JT312" s="19" t="n"/>
      <c r="JU312" s="19" t="n"/>
      <c r="JV312" s="19" t="n"/>
      <c r="JW312" s="19" t="n"/>
      <c r="JX312" s="5">
        <f>C312</f>
        <v/>
      </c>
      <c r="KB312" s="19" t="n"/>
      <c r="KC312" s="19" t="n"/>
      <c r="KD312" s="19" t="n"/>
      <c r="KE312" s="19" t="n"/>
      <c r="KF312" s="5">
        <f>C312</f>
        <v/>
      </c>
      <c r="KG312" s="19" t="n"/>
      <c r="KH312" s="19" t="n"/>
      <c r="KJ312" s="19" t="n"/>
      <c r="KK312" s="19" t="n"/>
      <c r="KL312" s="19" t="n"/>
      <c r="KM312" s="19" t="n"/>
      <c r="KN312" s="5">
        <f>C312</f>
        <v/>
      </c>
      <c r="KR312" s="19" t="n"/>
      <c r="KS312" s="19" t="n"/>
      <c r="KT312" s="19" t="n"/>
      <c r="KV312" s="5">
        <f>C312</f>
        <v/>
      </c>
      <c r="KZ312" s="19" t="n"/>
      <c r="LA312" s="19" t="n"/>
      <c r="LB312" s="19" t="n"/>
      <c r="LD312" s="5">
        <f>C312</f>
        <v/>
      </c>
      <c r="LH312" s="19" t="n"/>
      <c r="LI312" s="19" t="n"/>
      <c r="LJ312" s="19" t="n"/>
      <c r="LL312" s="5">
        <f>C312</f>
        <v/>
      </c>
      <c r="LM312" s="633" t="n"/>
      <c r="LP312" s="19" t="n"/>
      <c r="LQ312" s="19" t="n"/>
      <c r="LR312" s="19" t="n"/>
      <c r="LT312" s="5">
        <f>C312</f>
        <v/>
      </c>
      <c r="LX312" s="19" t="n"/>
      <c r="LY312" s="19" t="n"/>
      <c r="LZ312" s="19" t="n"/>
      <c r="MB312" s="5">
        <f>C312</f>
        <v/>
      </c>
      <c r="MF312" s="19" t="n"/>
      <c r="MG312" s="19" t="n"/>
      <c r="MH312" s="19" t="n"/>
      <c r="MK312" s="5">
        <f>C312</f>
        <v/>
      </c>
      <c r="MM312" s="24" t="n"/>
      <c r="MO312" s="19" t="n"/>
      <c r="MP312" s="19" t="n"/>
      <c r="MQ312" s="19" t="n"/>
      <c r="MR312" s="19" t="n"/>
      <c r="MS312" s="19" t="n"/>
      <c r="MT312" s="25">
        <f>C312</f>
        <v/>
      </c>
      <c r="MX312" s="19" t="n"/>
      <c r="MY312" s="19" t="n"/>
      <c r="MZ312" s="19" t="n"/>
      <c r="NA312" s="19" t="n"/>
      <c r="NB312" s="19" t="n"/>
      <c r="NC312" s="5">
        <f>C312</f>
        <v/>
      </c>
      <c r="NG312" s="19" t="n"/>
      <c r="NH312" s="19" t="n"/>
      <c r="NI312" s="19" t="n"/>
      <c r="NJ312" s="19" t="n"/>
      <c r="NK312" s="19" t="n"/>
      <c r="NM312" s="5">
        <f>C312</f>
        <v/>
      </c>
      <c r="NQ312" s="19" t="n"/>
      <c r="NR312" s="19" t="n"/>
      <c r="NU312" s="5">
        <f>C312</f>
        <v/>
      </c>
      <c r="NY312" s="19" t="n"/>
      <c r="NZ312" s="19" t="n"/>
      <c r="OC312" s="5">
        <f>C312</f>
        <v/>
      </c>
      <c r="OG312" s="19" t="n"/>
      <c r="OH312" s="19" t="n"/>
      <c r="OI312" s="19" t="n"/>
      <c r="OK312" s="5">
        <f>C312</f>
        <v/>
      </c>
      <c r="OO312" s="19" t="n"/>
      <c r="OP312" s="19" t="n"/>
      <c r="OQ312" s="19" t="n"/>
      <c r="OT312" s="25">
        <f>OK312</f>
        <v/>
      </c>
      <c r="OX312" s="19" t="n"/>
    </row>
    <row r="313" ht="21" customFormat="1" customHeight="1" s="5">
      <c r="A313" s="631" t="n"/>
      <c r="B313" s="631" t="n"/>
      <c r="C313" s="735" t="inlineStr">
        <is>
          <t>2023//3//31</t>
        </is>
      </c>
      <c r="D313" s="605" t="n">
        <v>1657668.77</v>
      </c>
      <c r="E313" s="597" t="n"/>
      <c r="F313" s="601">
        <f>(D313-D314)/D314</f>
        <v/>
      </c>
      <c r="G313" s="601" t="n"/>
      <c r="H313" s="526" t="n"/>
      <c r="I313" s="629" t="n"/>
      <c r="J313" s="629" t="n"/>
      <c r="K313" s="605">
        <f>C313</f>
        <v/>
      </c>
      <c r="L313" s="605" t="n">
        <v>833230.74</v>
      </c>
      <c r="M313" s="597" t="n"/>
      <c r="N313" s="601">
        <f>(L313-L314)/L314</f>
        <v/>
      </c>
      <c r="O313" s="601" t="n"/>
      <c r="P313" s="526" t="n"/>
      <c r="Q313" s="629" t="n"/>
      <c r="R313" s="630" t="n"/>
      <c r="S313" s="605">
        <f>C313</f>
        <v/>
      </c>
      <c r="T313" s="605" t="n">
        <v>2023986.68</v>
      </c>
      <c r="U313" s="597" t="n"/>
      <c r="V313" s="599">
        <f>(T313-T314)/T314</f>
        <v/>
      </c>
      <c r="W313" s="599" t="n"/>
      <c r="X313" s="526" t="n"/>
      <c r="Y313" s="629" t="n"/>
      <c r="Z313" s="630" t="n"/>
      <c r="AA313" s="605">
        <f>S313</f>
        <v/>
      </c>
      <c r="AB313" s="605" t="n">
        <v>784976.86</v>
      </c>
      <c r="AC313" s="597" t="n"/>
      <c r="AD313" s="601">
        <f>(AB313-AB314)/AB314</f>
        <v/>
      </c>
      <c r="AE313" s="601" t="n"/>
      <c r="AF313" s="526" t="n"/>
      <c r="AG313" s="629" t="n"/>
      <c r="AH313" s="630" t="n"/>
      <c r="AI313" s="605">
        <f>C313</f>
        <v/>
      </c>
      <c r="AJ313" s="605" t="n">
        <v>360621.76</v>
      </c>
      <c r="AK313" s="362" t="n"/>
      <c r="AL313" s="599">
        <f>(AJ313-AJ314)/AJ314</f>
        <v/>
      </c>
      <c r="AM313" s="599" t="n"/>
      <c r="AN313" s="526" t="n"/>
      <c r="AO313" s="526" t="n"/>
      <c r="AP313" s="523" t="n"/>
      <c r="AQ313" s="555">
        <f>C313</f>
        <v/>
      </c>
      <c r="AR313" s="611" t="n">
        <v>852800</v>
      </c>
      <c r="AS313" s="611" t="n"/>
      <c r="AT313" s="526">
        <f>(AR313-AR314)/AR314</f>
        <v/>
      </c>
      <c r="AU313" s="611" t="n">
        <v>129.96</v>
      </c>
      <c r="AV313" s="613" t="n">
        <v>0</v>
      </c>
      <c r="AW313" s="526" t="n"/>
      <c r="AX313" s="523" t="n"/>
      <c r="AY313" s="523" t="n"/>
      <c r="AZ313" s="523">
        <f>C313</f>
        <v/>
      </c>
      <c r="BA313" s="523" t="n"/>
      <c r="BB313" s="523" t="n"/>
      <c r="BC313" s="523" t="n"/>
      <c r="BD313" s="526" t="n"/>
      <c r="BE313" s="526" t="n"/>
      <c r="BF313" s="526" t="n"/>
      <c r="BG313" s="631" t="n"/>
      <c r="BH313" s="5">
        <f>C313</f>
        <v/>
      </c>
      <c r="BL313" s="19" t="n"/>
      <c r="BM313" s="19" t="n"/>
      <c r="BN313" s="19" t="n"/>
      <c r="BP313" s="5">
        <f>C313</f>
        <v/>
      </c>
      <c r="BQ313" s="633" t="n"/>
      <c r="BT313" s="19" t="n"/>
      <c r="BU313" s="19" t="n"/>
      <c r="BV313" s="19" t="n"/>
      <c r="BX313" s="5">
        <f>C313</f>
        <v/>
      </c>
      <c r="CB313" s="19" t="n"/>
      <c r="CC313" s="19" t="n"/>
      <c r="CD313" s="19" t="n"/>
      <c r="CF313" s="5">
        <f>C313</f>
        <v/>
      </c>
      <c r="CJ313" s="19" t="n"/>
      <c r="CK313" s="19" t="n"/>
      <c r="CL313" s="19" t="n"/>
      <c r="CN313" s="5">
        <f>C313</f>
        <v/>
      </c>
      <c r="CR313" s="19" t="n"/>
      <c r="CS313" s="19" t="n"/>
      <c r="CT313" s="19" t="n"/>
      <c r="CV313" s="5">
        <f>C313</f>
        <v/>
      </c>
      <c r="CZ313" s="19" t="n"/>
      <c r="DA313" s="19" t="n"/>
      <c r="DB313" s="19" t="n"/>
      <c r="DC313" s="23" t="n"/>
      <c r="DD313" s="5">
        <f>C313</f>
        <v/>
      </c>
      <c r="DH313" s="19" t="n"/>
      <c r="DI313" s="19" t="n"/>
      <c r="DJ313" s="19" t="n"/>
      <c r="DL313" s="5">
        <f>C313</f>
        <v/>
      </c>
      <c r="DP313" s="19" t="n"/>
      <c r="DQ313" s="19" t="n"/>
      <c r="DR313" s="19" t="n"/>
      <c r="DT313" s="5">
        <f>C313</f>
        <v/>
      </c>
      <c r="DX313" s="19" t="n"/>
      <c r="DY313" s="19" t="n"/>
      <c r="DZ313" s="19" t="n"/>
      <c r="EB313" s="5">
        <f>C313</f>
        <v/>
      </c>
      <c r="EF313" s="19" t="n"/>
      <c r="EG313" s="19" t="n"/>
      <c r="EH313" s="19" t="n"/>
      <c r="EJ313" s="5">
        <f>C313</f>
        <v/>
      </c>
      <c r="EN313" s="19" t="n"/>
      <c r="EO313" s="19" t="n"/>
      <c r="EP313" s="19" t="n"/>
      <c r="EQ313" s="19" t="n"/>
      <c r="ER313" s="5">
        <f>C313</f>
        <v/>
      </c>
      <c r="ES313" s="19" t="n"/>
      <c r="ET313" s="19" t="n"/>
      <c r="EU313" s="19" t="n"/>
      <c r="EV313" s="19" t="n"/>
      <c r="EW313" s="19" t="n"/>
      <c r="EX313" s="19" t="n"/>
      <c r="EZ313" s="5">
        <f>C313</f>
        <v/>
      </c>
      <c r="FD313" s="19" t="n"/>
      <c r="FE313" s="19" t="n"/>
      <c r="FF313" s="19" t="n"/>
      <c r="FG313" s="19" t="n"/>
      <c r="FH313" s="5">
        <f>C313</f>
        <v/>
      </c>
      <c r="FI313" s="633" t="n"/>
      <c r="FL313" s="19" t="n"/>
      <c r="FM313" s="19" t="n"/>
      <c r="FN313" s="19" t="n"/>
      <c r="FP313" s="5">
        <f>C313</f>
        <v/>
      </c>
      <c r="FT313" s="19" t="n"/>
      <c r="FU313" s="19" t="n"/>
      <c r="FV313" s="19" t="n"/>
      <c r="FX313" s="5">
        <f>C313</f>
        <v/>
      </c>
      <c r="GB313" s="19" t="n"/>
      <c r="GC313" s="19" t="n"/>
      <c r="GD313" s="19" t="n"/>
      <c r="GF313" s="5">
        <f>C313</f>
        <v/>
      </c>
      <c r="GJ313" s="19" t="n"/>
      <c r="GK313" s="19" t="n"/>
      <c r="GL313" s="19" t="n"/>
      <c r="GN313" s="5">
        <f>C313</f>
        <v/>
      </c>
      <c r="GR313" s="19" t="n"/>
      <c r="GS313" s="19" t="n"/>
      <c r="GT313" s="19" t="n"/>
      <c r="GV313" s="5">
        <f>C313</f>
        <v/>
      </c>
      <c r="GZ313" s="19" t="n"/>
      <c r="HA313" s="19" t="n"/>
      <c r="HB313" s="19" t="n"/>
      <c r="HD313" s="5">
        <f>C313</f>
        <v/>
      </c>
      <c r="HH313" s="19" t="n"/>
      <c r="HI313" s="19" t="n"/>
      <c r="HJ313" s="19" t="n"/>
      <c r="HL313" s="5">
        <f>C313</f>
        <v/>
      </c>
      <c r="HP313" s="19" t="n"/>
      <c r="HQ313" s="19" t="n"/>
      <c r="HR313" s="19" t="n"/>
      <c r="HT313" s="5">
        <f>C313</f>
        <v/>
      </c>
      <c r="HX313" s="19" t="n"/>
      <c r="HY313" s="19" t="n"/>
      <c r="HZ313" s="19" t="n"/>
      <c r="IB313" s="5">
        <f>C313</f>
        <v/>
      </c>
      <c r="IG313" s="19" t="n"/>
      <c r="IH313" s="19" t="n"/>
      <c r="IJ313" s="5">
        <f>C313</f>
        <v/>
      </c>
      <c r="IN313" s="19" t="n"/>
      <c r="IO313" s="19" t="n"/>
      <c r="IP313" s="19" t="n"/>
      <c r="IR313" s="5">
        <f>C313</f>
        <v/>
      </c>
      <c r="IV313" s="19" t="n"/>
      <c r="IW313" s="19" t="n"/>
      <c r="IX313" s="19" t="n"/>
      <c r="IZ313" s="5">
        <f>C313</f>
        <v/>
      </c>
      <c r="JD313" s="19" t="n"/>
      <c r="JE313" s="19" t="n"/>
      <c r="JF313" s="19" t="n"/>
      <c r="JH313" s="5">
        <f>C313</f>
        <v/>
      </c>
      <c r="JL313" s="19" t="n"/>
      <c r="JM313" s="19" t="n"/>
      <c r="JN313" s="19" t="n"/>
      <c r="JO313" s="19" t="n"/>
      <c r="JP313" s="5">
        <f>C313</f>
        <v/>
      </c>
      <c r="JT313" s="19" t="n"/>
      <c r="JU313" s="19" t="n"/>
      <c r="JV313" s="19" t="n"/>
      <c r="JW313" s="19" t="n"/>
      <c r="JX313" s="5">
        <f>C313</f>
        <v/>
      </c>
      <c r="KB313" s="19" t="n"/>
      <c r="KC313" s="19" t="n"/>
      <c r="KD313" s="19" t="n"/>
      <c r="KE313" s="19" t="n"/>
      <c r="KF313" s="5">
        <f>C313</f>
        <v/>
      </c>
      <c r="KG313" s="19" t="n"/>
      <c r="KH313" s="19" t="n"/>
      <c r="KJ313" s="19" t="n"/>
      <c r="KK313" s="19" t="n"/>
      <c r="KL313" s="19" t="n"/>
      <c r="KM313" s="19" t="n"/>
      <c r="KN313" s="5">
        <f>C313</f>
        <v/>
      </c>
      <c r="KR313" s="19" t="n"/>
      <c r="KS313" s="19" t="n"/>
      <c r="KT313" s="19" t="n"/>
      <c r="KV313" s="5">
        <f>C313</f>
        <v/>
      </c>
      <c r="KZ313" s="19" t="n"/>
      <c r="LA313" s="19" t="n"/>
      <c r="LB313" s="19" t="n"/>
      <c r="LD313" s="5">
        <f>C313</f>
        <v/>
      </c>
      <c r="LH313" s="19" t="n"/>
      <c r="LI313" s="19" t="n"/>
      <c r="LJ313" s="19" t="n"/>
      <c r="LL313" s="5">
        <f>C313</f>
        <v/>
      </c>
      <c r="LM313" s="633" t="n"/>
      <c r="LP313" s="19" t="n"/>
      <c r="LQ313" s="19" t="n"/>
      <c r="LR313" s="19" t="n"/>
      <c r="LT313" s="5">
        <f>C313</f>
        <v/>
      </c>
      <c r="LX313" s="19" t="n"/>
      <c r="LY313" s="19" t="n"/>
      <c r="LZ313" s="19" t="n"/>
      <c r="MB313" s="5">
        <f>C313</f>
        <v/>
      </c>
      <c r="MF313" s="19" t="n"/>
      <c r="MG313" s="19" t="n"/>
      <c r="MH313" s="19" t="n"/>
      <c r="MK313" s="5">
        <f>C313</f>
        <v/>
      </c>
      <c r="MM313" s="24" t="n"/>
      <c r="MO313" s="19" t="n"/>
      <c r="MP313" s="19" t="n"/>
      <c r="MQ313" s="19" t="n"/>
      <c r="MR313" s="19" t="n"/>
      <c r="MS313" s="19" t="n"/>
      <c r="MT313" s="25">
        <f>C313</f>
        <v/>
      </c>
      <c r="MX313" s="19" t="n"/>
      <c r="MY313" s="19" t="n"/>
      <c r="MZ313" s="19" t="n"/>
      <c r="NA313" s="19" t="n"/>
      <c r="NB313" s="19" t="n"/>
      <c r="NC313" s="5">
        <f>C313</f>
        <v/>
      </c>
      <c r="NG313" s="19" t="n"/>
      <c r="NH313" s="19" t="n"/>
      <c r="NI313" s="19" t="n"/>
      <c r="NJ313" s="19" t="n"/>
      <c r="NK313" s="19" t="n"/>
      <c r="NM313" s="5">
        <f>C313</f>
        <v/>
      </c>
      <c r="NQ313" s="19" t="n"/>
      <c r="NR313" s="19" t="n"/>
      <c r="NU313" s="5">
        <f>C313</f>
        <v/>
      </c>
      <c r="NY313" s="19" t="n"/>
      <c r="NZ313" s="19" t="n"/>
      <c r="OC313" s="5">
        <f>C313</f>
        <v/>
      </c>
      <c r="OG313" s="19" t="n"/>
      <c r="OH313" s="19" t="n"/>
      <c r="OI313" s="19" t="n"/>
      <c r="OK313" s="5">
        <f>C313</f>
        <v/>
      </c>
      <c r="OO313" s="19" t="n"/>
      <c r="OP313" s="19" t="n"/>
      <c r="OQ313" s="19" t="n"/>
      <c r="OT313" s="25">
        <f>OK313</f>
        <v/>
      </c>
      <c r="OX313" s="19" t="n"/>
    </row>
    <row r="314" ht="21" customFormat="1" customHeight="1" s="5">
      <c r="A314" s="631" t="n"/>
      <c r="B314" s="631" t="n"/>
      <c r="C314" s="735" t="inlineStr">
        <is>
          <t>2023//2//28</t>
        </is>
      </c>
      <c r="D314" s="605" t="n">
        <v>1724268.77</v>
      </c>
      <c r="E314" s="597" t="n"/>
      <c r="F314" s="601">
        <f>(D314-D315)/D315</f>
        <v/>
      </c>
      <c r="G314" s="601" t="n"/>
      <c r="H314" s="526" t="n"/>
      <c r="I314" s="629" t="n"/>
      <c r="J314" s="629" t="n"/>
      <c r="K314" s="605">
        <f>C314</f>
        <v/>
      </c>
      <c r="L314" s="605" t="n">
        <v>827230.74</v>
      </c>
      <c r="M314" s="597" t="n"/>
      <c r="N314" s="601">
        <f>(L314-L315)/L315</f>
        <v/>
      </c>
      <c r="O314" s="601" t="n"/>
      <c r="P314" s="526" t="n"/>
      <c r="Q314" s="629" t="n"/>
      <c r="R314" s="630" t="n"/>
      <c r="S314" s="605">
        <f>C314</f>
        <v/>
      </c>
      <c r="T314" s="605" t="n">
        <v>2099226.68</v>
      </c>
      <c r="U314" s="597" t="n"/>
      <c r="V314" s="599">
        <f>(T314-T315)/T315</f>
        <v/>
      </c>
      <c r="W314" s="599" t="n"/>
      <c r="X314" s="526" t="n"/>
      <c r="Y314" s="629" t="n"/>
      <c r="Z314" s="630" t="n"/>
      <c r="AA314" s="605">
        <f>S314</f>
        <v/>
      </c>
      <c r="AB314" s="605" t="n">
        <v>774256.86</v>
      </c>
      <c r="AC314" s="597" t="n"/>
      <c r="AD314" s="601">
        <f>(AB314-AB315)/AB315</f>
        <v/>
      </c>
      <c r="AE314" s="601" t="n"/>
      <c r="AF314" s="526" t="n"/>
      <c r="AG314" s="629" t="n"/>
      <c r="AH314" s="630" t="n"/>
      <c r="AI314" s="605">
        <f>C314</f>
        <v/>
      </c>
      <c r="AJ314" s="605" t="n">
        <v>366821.76</v>
      </c>
      <c r="AK314" s="362" t="n"/>
      <c r="AL314" s="599">
        <f>(AJ314-AJ315)/AJ315</f>
        <v/>
      </c>
      <c r="AM314" s="599" t="n"/>
      <c r="AN314" s="526" t="n"/>
      <c r="AO314" s="526" t="n"/>
      <c r="AP314" s="523" t="n"/>
      <c r="AQ314" s="555">
        <f>C314</f>
        <v/>
      </c>
      <c r="AR314" s="611" t="e">
        <v>#VALUE!</v>
      </c>
      <c r="AS314" s="611" t="n"/>
      <c r="AT314" s="526">
        <f>(AR314-AR315)/AR315</f>
        <v/>
      </c>
      <c r="AU314" s="611" t="n">
        <v>129.96</v>
      </c>
      <c r="AV314" s="613" t="n">
        <v>0.2977</v>
      </c>
      <c r="AW314" s="526" t="n"/>
      <c r="AX314" s="523" t="n"/>
      <c r="AY314" s="523" t="n"/>
      <c r="AZ314" s="523">
        <f>C314</f>
        <v/>
      </c>
      <c r="BA314" s="523" t="n"/>
      <c r="BB314" s="523" t="n"/>
      <c r="BC314" s="523" t="n"/>
      <c r="BD314" s="526" t="n"/>
      <c r="BE314" s="526" t="n"/>
      <c r="BF314" s="526" t="n"/>
      <c r="BG314" s="631" t="n"/>
      <c r="BH314" s="5">
        <f>C314</f>
        <v/>
      </c>
      <c r="BL314" s="19" t="n"/>
      <c r="BM314" s="19" t="n"/>
      <c r="BN314" s="19" t="n"/>
      <c r="BP314" s="5">
        <f>C314</f>
        <v/>
      </c>
      <c r="BQ314" s="633" t="n"/>
      <c r="BT314" s="19" t="n"/>
      <c r="BU314" s="19" t="n"/>
      <c r="BV314" s="19" t="n"/>
      <c r="BX314" s="5">
        <f>C314</f>
        <v/>
      </c>
      <c r="CB314" s="19" t="n"/>
      <c r="CC314" s="19" t="n"/>
      <c r="CD314" s="19" t="n"/>
      <c r="CF314" s="5">
        <f>C314</f>
        <v/>
      </c>
      <c r="CJ314" s="19" t="n"/>
      <c r="CK314" s="19" t="n"/>
      <c r="CL314" s="19" t="n"/>
      <c r="CN314" s="5">
        <f>C314</f>
        <v/>
      </c>
      <c r="CR314" s="19" t="n"/>
      <c r="CS314" s="19" t="n"/>
      <c r="CT314" s="19" t="n"/>
      <c r="CV314" s="5">
        <f>C314</f>
        <v/>
      </c>
      <c r="CZ314" s="19" t="n"/>
      <c r="DA314" s="19" t="n"/>
      <c r="DB314" s="19" t="n"/>
      <c r="DC314" s="23" t="n"/>
      <c r="DD314" s="5">
        <f>C314</f>
        <v/>
      </c>
      <c r="DH314" s="19" t="n"/>
      <c r="DI314" s="19" t="n"/>
      <c r="DJ314" s="19" t="n"/>
      <c r="DL314" s="5">
        <f>C314</f>
        <v/>
      </c>
      <c r="DP314" s="19" t="n"/>
      <c r="DQ314" s="19" t="n"/>
      <c r="DR314" s="19" t="n"/>
      <c r="DT314" s="5">
        <f>C314</f>
        <v/>
      </c>
      <c r="DX314" s="19" t="n"/>
      <c r="DY314" s="19" t="n"/>
      <c r="DZ314" s="19" t="n"/>
      <c r="EB314" s="5">
        <f>C314</f>
        <v/>
      </c>
      <c r="EF314" s="19" t="n"/>
      <c r="EG314" s="19" t="n"/>
      <c r="EH314" s="19" t="n"/>
      <c r="EJ314" s="5">
        <f>C314</f>
        <v/>
      </c>
      <c r="EN314" s="19" t="n"/>
      <c r="EO314" s="19" t="n"/>
      <c r="EP314" s="19" t="n"/>
      <c r="EQ314" s="19" t="n"/>
      <c r="ER314" s="5">
        <f>C314</f>
        <v/>
      </c>
      <c r="ES314" s="19" t="n"/>
      <c r="ET314" s="19" t="n"/>
      <c r="EU314" s="19" t="n"/>
      <c r="EV314" s="19" t="n"/>
      <c r="EW314" s="19" t="n"/>
      <c r="EX314" s="19" t="n"/>
      <c r="EZ314" s="5">
        <f>C314</f>
        <v/>
      </c>
      <c r="FD314" s="19" t="n"/>
      <c r="FE314" s="19" t="n"/>
      <c r="FF314" s="19" t="n"/>
      <c r="FG314" s="19" t="n"/>
      <c r="FH314" s="5">
        <f>C314</f>
        <v/>
      </c>
      <c r="FI314" s="633" t="n"/>
      <c r="FL314" s="19" t="n"/>
      <c r="FM314" s="19" t="n"/>
      <c r="FN314" s="19" t="n"/>
      <c r="FP314" s="5">
        <f>C314</f>
        <v/>
      </c>
      <c r="FT314" s="19" t="n"/>
      <c r="FU314" s="19" t="n"/>
      <c r="FV314" s="19" t="n"/>
      <c r="FX314" s="5">
        <f>C314</f>
        <v/>
      </c>
      <c r="GB314" s="19" t="n"/>
      <c r="GC314" s="19" t="n"/>
      <c r="GD314" s="19" t="n"/>
      <c r="GF314" s="5">
        <f>C314</f>
        <v/>
      </c>
      <c r="GJ314" s="19" t="n"/>
      <c r="GK314" s="19" t="n"/>
      <c r="GL314" s="19" t="n"/>
      <c r="GN314" s="5">
        <f>C314</f>
        <v/>
      </c>
      <c r="GR314" s="19" t="n"/>
      <c r="GS314" s="19" t="n"/>
      <c r="GT314" s="19" t="n"/>
      <c r="GV314" s="5">
        <f>C314</f>
        <v/>
      </c>
      <c r="GZ314" s="19" t="n"/>
      <c r="HA314" s="19" t="n"/>
      <c r="HB314" s="19" t="n"/>
      <c r="HD314" s="5">
        <f>C314</f>
        <v/>
      </c>
      <c r="HH314" s="19" t="n"/>
      <c r="HI314" s="19" t="n"/>
      <c r="HJ314" s="19" t="n"/>
      <c r="HL314" s="5">
        <f>C314</f>
        <v/>
      </c>
      <c r="HP314" s="19" t="n"/>
      <c r="HQ314" s="19" t="n"/>
      <c r="HR314" s="19" t="n"/>
      <c r="HT314" s="5">
        <f>C314</f>
        <v/>
      </c>
      <c r="HX314" s="19" t="n"/>
      <c r="HY314" s="19" t="n"/>
      <c r="HZ314" s="19" t="n"/>
      <c r="IB314" s="5">
        <f>C314</f>
        <v/>
      </c>
      <c r="IG314" s="19" t="n"/>
      <c r="IH314" s="19" t="n"/>
      <c r="IJ314" s="5">
        <f>C314</f>
        <v/>
      </c>
      <c r="IN314" s="19" t="n"/>
      <c r="IO314" s="19" t="n"/>
      <c r="IP314" s="19" t="n"/>
      <c r="IR314" s="5">
        <f>C314</f>
        <v/>
      </c>
      <c r="IV314" s="19" t="n"/>
      <c r="IW314" s="19" t="n"/>
      <c r="IX314" s="19" t="n"/>
      <c r="IZ314" s="5">
        <f>C314</f>
        <v/>
      </c>
      <c r="JD314" s="19" t="n"/>
      <c r="JE314" s="19" t="n"/>
      <c r="JF314" s="19" t="n"/>
      <c r="JH314" s="5">
        <f>C314</f>
        <v/>
      </c>
      <c r="JL314" s="19" t="n"/>
      <c r="JM314" s="19" t="n"/>
      <c r="JN314" s="19" t="n"/>
      <c r="JO314" s="19" t="n"/>
      <c r="JP314" s="5">
        <f>C314</f>
        <v/>
      </c>
      <c r="JT314" s="19" t="n"/>
      <c r="JU314" s="19" t="n"/>
      <c r="JV314" s="19" t="n"/>
      <c r="JW314" s="19" t="n"/>
      <c r="JX314" s="5">
        <f>C314</f>
        <v/>
      </c>
      <c r="KB314" s="19" t="n"/>
      <c r="KC314" s="19" t="n"/>
      <c r="KD314" s="19" t="n"/>
      <c r="KE314" s="19" t="n"/>
      <c r="KF314" s="5">
        <f>C314</f>
        <v/>
      </c>
      <c r="KG314" s="19" t="n"/>
      <c r="KH314" s="19" t="n"/>
      <c r="KJ314" s="19" t="n"/>
      <c r="KK314" s="19" t="n"/>
      <c r="KL314" s="19" t="n"/>
      <c r="KM314" s="19" t="n"/>
      <c r="KN314" s="5">
        <f>C314</f>
        <v/>
      </c>
      <c r="KR314" s="19" t="n"/>
      <c r="KS314" s="19" t="n"/>
      <c r="KT314" s="19" t="n"/>
      <c r="KV314" s="5">
        <f>C314</f>
        <v/>
      </c>
      <c r="KZ314" s="19" t="n"/>
      <c r="LA314" s="19" t="n"/>
      <c r="LB314" s="19" t="n"/>
      <c r="LD314" s="5">
        <f>C314</f>
        <v/>
      </c>
      <c r="LH314" s="19" t="n"/>
      <c r="LI314" s="19" t="n"/>
      <c r="LJ314" s="19" t="n"/>
      <c r="LL314" s="5">
        <f>C314</f>
        <v/>
      </c>
      <c r="LM314" s="633" t="n"/>
      <c r="LP314" s="19" t="n"/>
      <c r="LQ314" s="19" t="n"/>
      <c r="LR314" s="19" t="n"/>
      <c r="LT314" s="5">
        <f>C314</f>
        <v/>
      </c>
      <c r="LX314" s="19" t="n"/>
      <c r="LY314" s="19" t="n"/>
      <c r="LZ314" s="19" t="n"/>
      <c r="MB314" s="5">
        <f>C314</f>
        <v/>
      </c>
      <c r="MF314" s="19" t="n"/>
      <c r="MG314" s="19" t="n"/>
      <c r="MH314" s="19" t="n"/>
      <c r="MK314" s="5">
        <f>C314</f>
        <v/>
      </c>
      <c r="MM314" s="24" t="n"/>
      <c r="MO314" s="19" t="n"/>
      <c r="MP314" s="19" t="n"/>
      <c r="MQ314" s="19" t="n"/>
      <c r="MR314" s="19" t="n"/>
      <c r="MS314" s="19" t="n"/>
      <c r="MT314" s="25">
        <f>C314</f>
        <v/>
      </c>
      <c r="MX314" s="19" t="n"/>
      <c r="MY314" s="19" t="n"/>
      <c r="MZ314" s="19" t="n"/>
      <c r="NA314" s="19" t="n"/>
      <c r="NB314" s="19" t="n"/>
      <c r="NC314" s="5">
        <f>C314</f>
        <v/>
      </c>
      <c r="NG314" s="19" t="n"/>
      <c r="NH314" s="19" t="n"/>
      <c r="NI314" s="19" t="n"/>
      <c r="NJ314" s="19" t="n"/>
      <c r="NK314" s="19" t="n"/>
      <c r="NM314" s="5">
        <f>C314</f>
        <v/>
      </c>
      <c r="NQ314" s="19" t="n"/>
      <c r="NR314" s="19" t="n"/>
      <c r="NU314" s="5">
        <f>C314</f>
        <v/>
      </c>
      <c r="NY314" s="19" t="n"/>
      <c r="NZ314" s="19" t="n"/>
      <c r="OC314" s="5">
        <f>C314</f>
        <v/>
      </c>
      <c r="OG314" s="19" t="n"/>
      <c r="OH314" s="19" t="n"/>
      <c r="OI314" s="19" t="n"/>
      <c r="OK314" s="5">
        <f>C314</f>
        <v/>
      </c>
      <c r="OO314" s="19" t="n"/>
      <c r="OP314" s="19" t="n"/>
      <c r="OQ314" s="19" t="n"/>
      <c r="OT314" s="25">
        <f>OK314</f>
        <v/>
      </c>
      <c r="OX314" s="19" t="n"/>
    </row>
    <row r="315" ht="21" customFormat="1" customHeight="1" s="5">
      <c r="A315" s="631" t="n"/>
      <c r="B315" s="631" t="n"/>
      <c r="C315" s="735" t="inlineStr">
        <is>
          <t>2023//1//31</t>
        </is>
      </c>
      <c r="D315" s="605" t="n">
        <v>2089398.77</v>
      </c>
      <c r="E315" s="597" t="n"/>
      <c r="F315" s="601">
        <f>(D315-D316)/D316</f>
        <v/>
      </c>
      <c r="G315" s="601" t="n"/>
      <c r="H315" s="526" t="n"/>
      <c r="I315" s="629" t="n"/>
      <c r="J315" s="629" t="n"/>
      <c r="K315" s="605">
        <f>C315</f>
        <v/>
      </c>
      <c r="L315" s="605" t="n">
        <v>878030.74</v>
      </c>
      <c r="M315" s="597" t="n"/>
      <c r="N315" s="601">
        <f>(L315-L316)/L316</f>
        <v/>
      </c>
      <c r="O315" s="601" t="n"/>
      <c r="P315" s="526" t="n"/>
      <c r="Q315" s="629" t="n"/>
      <c r="R315" s="630" t="n"/>
      <c r="S315" s="605">
        <f>C315</f>
        <v/>
      </c>
      <c r="T315" s="605" t="n">
        <v>2161056.68</v>
      </c>
      <c r="U315" s="597" t="n"/>
      <c r="V315" s="599">
        <f>(T315-T316)/T316</f>
        <v/>
      </c>
      <c r="W315" s="599" t="n"/>
      <c r="X315" s="526" t="n"/>
      <c r="Y315" s="629" t="n"/>
      <c r="Z315" s="630" t="n"/>
      <c r="AA315" s="605">
        <f>S315</f>
        <v/>
      </c>
      <c r="AB315" s="605" t="n">
        <v>1088336.86</v>
      </c>
      <c r="AC315" s="597" t="n"/>
      <c r="AD315" s="601">
        <f>(AB315-AB316)/AB316</f>
        <v/>
      </c>
      <c r="AE315" s="601" t="n"/>
      <c r="AF315" s="526" t="n"/>
      <c r="AG315" s="629" t="n"/>
      <c r="AH315" s="630" t="n"/>
      <c r="AI315" s="605">
        <f>C315</f>
        <v/>
      </c>
      <c r="AJ315" s="605" t="n">
        <v>588921.76</v>
      </c>
      <c r="AK315" s="362" t="n"/>
      <c r="AL315" s="599" t="n"/>
      <c r="AM315" s="599" t="n"/>
      <c r="AN315" s="526" t="n"/>
      <c r="AO315" s="526" t="n"/>
      <c r="AP315" s="523" t="n"/>
      <c r="AQ315" s="555">
        <f>C315</f>
        <v/>
      </c>
      <c r="AR315" s="611" t="n">
        <v>559000</v>
      </c>
      <c r="AS315" s="611" t="n"/>
      <c r="AT315" s="526">
        <f>(AR315-AR316)/AR316</f>
        <v/>
      </c>
      <c r="AU315" s="611" t="n">
        <v>100.15</v>
      </c>
      <c r="AV315" s="613" t="n">
        <v>0.9387</v>
      </c>
      <c r="AW315" s="526" t="n"/>
      <c r="AX315" s="523" t="n"/>
      <c r="AY315" s="523" t="n"/>
      <c r="AZ315" s="523">
        <f>C315</f>
        <v/>
      </c>
      <c r="BA315" s="523" t="n"/>
      <c r="BB315" s="523" t="n"/>
      <c r="BC315" s="523" t="n"/>
      <c r="BD315" s="526" t="n"/>
      <c r="BE315" s="526" t="n"/>
      <c r="BF315" s="526" t="n"/>
      <c r="BG315" s="631" t="n"/>
      <c r="BH315" s="5">
        <f>C315</f>
        <v/>
      </c>
      <c r="BL315" s="19" t="n"/>
      <c r="BM315" s="19" t="n"/>
      <c r="BN315" s="19" t="n"/>
      <c r="BP315" s="5">
        <f>C315</f>
        <v/>
      </c>
      <c r="BQ315" s="633" t="n"/>
      <c r="BT315" s="19" t="n"/>
      <c r="BU315" s="19" t="n"/>
      <c r="BV315" s="19" t="n"/>
      <c r="BX315" s="5">
        <f>C315</f>
        <v/>
      </c>
      <c r="CB315" s="19" t="n"/>
      <c r="CC315" s="19" t="n"/>
      <c r="CD315" s="19" t="n"/>
      <c r="CF315" s="5">
        <f>C315</f>
        <v/>
      </c>
      <c r="CJ315" s="19" t="n"/>
      <c r="CK315" s="19" t="n"/>
      <c r="CL315" s="19" t="n"/>
      <c r="CN315" s="5">
        <f>C315</f>
        <v/>
      </c>
      <c r="CR315" s="19" t="n"/>
      <c r="CS315" s="19" t="n"/>
      <c r="CT315" s="19" t="n"/>
      <c r="CV315" s="5">
        <f>C315</f>
        <v/>
      </c>
      <c r="CZ315" s="19" t="n"/>
      <c r="DA315" s="19" t="n"/>
      <c r="DB315" s="19" t="n"/>
      <c r="DC315" s="23" t="n"/>
      <c r="DD315" s="5">
        <f>C315</f>
        <v/>
      </c>
      <c r="DH315" s="19" t="n"/>
      <c r="DI315" s="19" t="n"/>
      <c r="DJ315" s="19" t="n"/>
      <c r="DL315" s="5">
        <f>C315</f>
        <v/>
      </c>
      <c r="DP315" s="19" t="n"/>
      <c r="DQ315" s="19" t="n"/>
      <c r="DR315" s="19" t="n"/>
      <c r="DT315" s="5">
        <f>C315</f>
        <v/>
      </c>
      <c r="DX315" s="19" t="n"/>
      <c r="DY315" s="19" t="n"/>
      <c r="DZ315" s="19" t="n"/>
      <c r="EB315" s="5">
        <f>C315</f>
        <v/>
      </c>
      <c r="EF315" s="19" t="n"/>
      <c r="EG315" s="19" t="n"/>
      <c r="EH315" s="19" t="n"/>
      <c r="EJ315" s="5">
        <f>C315</f>
        <v/>
      </c>
      <c r="EN315" s="19" t="n"/>
      <c r="EO315" s="19" t="n"/>
      <c r="EP315" s="19" t="n"/>
      <c r="EQ315" s="19" t="n"/>
      <c r="ER315" s="5">
        <f>C315</f>
        <v/>
      </c>
      <c r="ES315" s="19" t="n"/>
      <c r="ET315" s="19" t="n"/>
      <c r="EU315" s="19" t="n"/>
      <c r="EV315" s="19" t="n"/>
      <c r="EW315" s="19" t="n"/>
      <c r="EX315" s="19" t="n"/>
      <c r="EZ315" s="5">
        <f>C315</f>
        <v/>
      </c>
      <c r="FD315" s="19" t="n"/>
      <c r="FE315" s="19" t="n"/>
      <c r="FF315" s="19" t="n"/>
      <c r="FG315" s="19" t="n"/>
      <c r="FH315" s="5">
        <f>C315</f>
        <v/>
      </c>
      <c r="FI315" s="633" t="n"/>
      <c r="FL315" s="19" t="n"/>
      <c r="FM315" s="19" t="n"/>
      <c r="FN315" s="19" t="n"/>
      <c r="FP315" s="5">
        <f>C315</f>
        <v/>
      </c>
      <c r="FT315" s="19" t="n"/>
      <c r="FU315" s="19" t="n"/>
      <c r="FV315" s="19" t="n"/>
      <c r="FX315" s="5">
        <f>C315</f>
        <v/>
      </c>
      <c r="GB315" s="19" t="n"/>
      <c r="GC315" s="19" t="n"/>
      <c r="GD315" s="19" t="n"/>
      <c r="GF315" s="5">
        <f>C315</f>
        <v/>
      </c>
      <c r="GJ315" s="19" t="n"/>
      <c r="GK315" s="19" t="n"/>
      <c r="GL315" s="19" t="n"/>
      <c r="GN315" s="5">
        <f>C315</f>
        <v/>
      </c>
      <c r="GR315" s="19" t="n"/>
      <c r="GS315" s="19" t="n"/>
      <c r="GT315" s="19" t="n"/>
      <c r="GV315" s="5">
        <f>C315</f>
        <v/>
      </c>
      <c r="GZ315" s="19" t="n"/>
      <c r="HA315" s="19" t="n"/>
      <c r="HB315" s="19" t="n"/>
      <c r="HD315" s="5">
        <f>C315</f>
        <v/>
      </c>
      <c r="HH315" s="19" t="n"/>
      <c r="HI315" s="19" t="n"/>
      <c r="HJ315" s="19" t="n"/>
      <c r="HL315" s="5">
        <f>C315</f>
        <v/>
      </c>
      <c r="HP315" s="19" t="n"/>
      <c r="HQ315" s="19" t="n"/>
      <c r="HR315" s="19" t="n"/>
      <c r="HT315" s="5">
        <f>C315</f>
        <v/>
      </c>
      <c r="HX315" s="19" t="n"/>
      <c r="HY315" s="19" t="n"/>
      <c r="HZ315" s="19" t="n"/>
      <c r="IB315" s="5">
        <f>C315</f>
        <v/>
      </c>
      <c r="IG315" s="19" t="n"/>
      <c r="IH315" s="19" t="n"/>
      <c r="IJ315" s="5">
        <f>C315</f>
        <v/>
      </c>
      <c r="IN315" s="19" t="n"/>
      <c r="IO315" s="19" t="n"/>
      <c r="IP315" s="19" t="n"/>
      <c r="IR315" s="5">
        <f>C315</f>
        <v/>
      </c>
      <c r="IV315" s="19" t="n"/>
      <c r="IW315" s="19" t="n"/>
      <c r="IX315" s="19" t="n"/>
      <c r="IZ315" s="5">
        <f>C315</f>
        <v/>
      </c>
      <c r="JD315" s="19" t="n"/>
      <c r="JE315" s="19" t="n"/>
      <c r="JF315" s="19" t="n"/>
      <c r="JH315" s="5">
        <f>C315</f>
        <v/>
      </c>
      <c r="JL315" s="19" t="n"/>
      <c r="JM315" s="19" t="n"/>
      <c r="JN315" s="19" t="n"/>
      <c r="JO315" s="19" t="n"/>
      <c r="JP315" s="5">
        <f>C315</f>
        <v/>
      </c>
      <c r="JT315" s="19" t="n"/>
      <c r="JU315" s="19" t="n"/>
      <c r="JV315" s="19" t="n"/>
      <c r="JW315" s="19" t="n"/>
      <c r="JX315" s="5">
        <f>C315</f>
        <v/>
      </c>
      <c r="KB315" s="19" t="n"/>
      <c r="KC315" s="19" t="n"/>
      <c r="KD315" s="19" t="n"/>
      <c r="KE315" s="19" t="n"/>
      <c r="KF315" s="5">
        <f>C315</f>
        <v/>
      </c>
      <c r="KG315" s="19" t="n"/>
      <c r="KH315" s="19" t="n"/>
      <c r="KJ315" s="19" t="n"/>
      <c r="KK315" s="19" t="n"/>
      <c r="KL315" s="19" t="n"/>
      <c r="KM315" s="19" t="n"/>
      <c r="KN315" s="5">
        <f>C315</f>
        <v/>
      </c>
      <c r="KR315" s="19" t="n"/>
      <c r="KS315" s="19" t="n"/>
      <c r="KT315" s="19" t="n"/>
      <c r="KV315" s="5">
        <f>C315</f>
        <v/>
      </c>
      <c r="KZ315" s="19" t="n"/>
      <c r="LA315" s="19" t="n"/>
      <c r="LB315" s="19" t="n"/>
      <c r="LD315" s="5">
        <f>C315</f>
        <v/>
      </c>
      <c r="LH315" s="19" t="n"/>
      <c r="LI315" s="19" t="n"/>
      <c r="LJ315" s="19" t="n"/>
      <c r="LL315" s="5">
        <f>C315</f>
        <v/>
      </c>
      <c r="LM315" s="633" t="n"/>
      <c r="LP315" s="19" t="n"/>
      <c r="LQ315" s="19" t="n"/>
      <c r="LR315" s="19" t="n"/>
      <c r="LT315" s="5">
        <f>C315</f>
        <v/>
      </c>
      <c r="LX315" s="19" t="n"/>
      <c r="LY315" s="19" t="n"/>
      <c r="LZ315" s="19" t="n"/>
      <c r="MB315" s="5">
        <f>C315</f>
        <v/>
      </c>
      <c r="MF315" s="19" t="n"/>
      <c r="MG315" s="19" t="n"/>
      <c r="MH315" s="19" t="n"/>
      <c r="MK315" s="5">
        <f>C315</f>
        <v/>
      </c>
      <c r="MM315" s="24" t="n"/>
      <c r="MO315" s="19" t="n"/>
      <c r="MP315" s="19" t="n"/>
      <c r="MQ315" s="19" t="n"/>
      <c r="MR315" s="19" t="n"/>
      <c r="MS315" s="19" t="n"/>
      <c r="MT315" s="25">
        <f>C315</f>
        <v/>
      </c>
      <c r="MX315" s="19" t="n"/>
      <c r="MY315" s="19" t="n"/>
      <c r="MZ315" s="19" t="n"/>
      <c r="NA315" s="19" t="n"/>
      <c r="NB315" s="19" t="n"/>
      <c r="NC315" s="5">
        <f>C315</f>
        <v/>
      </c>
      <c r="NG315" s="19" t="n"/>
      <c r="NH315" s="19" t="n"/>
      <c r="NI315" s="19" t="n"/>
      <c r="NJ315" s="19" t="n"/>
      <c r="NK315" s="19" t="n"/>
      <c r="NM315" s="5">
        <f>C315</f>
        <v/>
      </c>
      <c r="NQ315" s="19" t="n"/>
      <c r="NR315" s="19" t="n"/>
      <c r="NU315" s="5">
        <f>C315</f>
        <v/>
      </c>
      <c r="NY315" s="19" t="n"/>
      <c r="NZ315" s="19" t="n"/>
      <c r="OC315" s="5">
        <f>C315</f>
        <v/>
      </c>
      <c r="OG315" s="19" t="n"/>
      <c r="OH315" s="19" t="n"/>
      <c r="OI315" s="19" t="n"/>
      <c r="OK315" s="5">
        <f>C315</f>
        <v/>
      </c>
      <c r="OO315" s="19" t="n"/>
      <c r="OP315" s="19" t="n"/>
      <c r="OQ315" s="19" t="n"/>
      <c r="OT315" s="25">
        <f>OK315</f>
        <v/>
      </c>
      <c r="OX315" s="19" t="n"/>
    </row>
    <row r="316" ht="21" customFormat="1" customHeight="1" s="5">
      <c r="A316" s="631" t="n"/>
      <c r="B316" s="631" t="n"/>
      <c r="C316" s="735" t="inlineStr">
        <is>
          <t>2022//12//30</t>
        </is>
      </c>
      <c r="D316" s="605" t="n">
        <v>1969158.77</v>
      </c>
      <c r="E316" s="597" t="n"/>
      <c r="F316" s="601">
        <f>(D316-D317)/D317</f>
        <v/>
      </c>
      <c r="G316" s="601" t="n"/>
      <c r="H316" s="526" t="n"/>
      <c r="I316" s="629" t="n"/>
      <c r="J316" s="629" t="n"/>
      <c r="K316" s="605">
        <f>C316</f>
        <v/>
      </c>
      <c r="L316" s="605" t="n">
        <v>862630.74</v>
      </c>
      <c r="M316" s="597" t="n"/>
      <c r="N316" s="601">
        <f>(L316-L317)/L317</f>
        <v/>
      </c>
      <c r="O316" s="601" t="n"/>
      <c r="P316" s="526" t="n"/>
      <c r="Q316" s="629" t="n"/>
      <c r="R316" s="630" t="n"/>
      <c r="S316" s="605">
        <f>C316</f>
        <v/>
      </c>
      <c r="T316" s="605" t="n">
        <v>2202366.68</v>
      </c>
      <c r="U316" s="597" t="n"/>
      <c r="V316" s="599" t="n"/>
      <c r="W316" s="599" t="n"/>
      <c r="X316" s="526" t="n"/>
      <c r="Y316" s="629" t="n"/>
      <c r="Z316" s="630" t="n"/>
      <c r="AA316" s="605">
        <f>S316</f>
        <v/>
      </c>
      <c r="AB316" s="605" t="n">
        <v>1025136.86</v>
      </c>
      <c r="AC316" s="597" t="n"/>
      <c r="AD316" s="601" t="n"/>
      <c r="AE316" s="601" t="n"/>
      <c r="AF316" s="526" t="n"/>
      <c r="AG316" s="629" t="n"/>
      <c r="AH316" s="630" t="n"/>
      <c r="AI316" s="605">
        <f>C316</f>
        <v/>
      </c>
      <c r="AJ316" s="597" t="n"/>
      <c r="AK316" s="362" t="n"/>
      <c r="AL316" s="599" t="n"/>
      <c r="AM316" s="599" t="n"/>
      <c r="AN316" s="526" t="n"/>
      <c r="AO316" s="526" t="n"/>
      <c r="AP316" s="523" t="n"/>
      <c r="AQ316" s="555">
        <f>C316</f>
        <v/>
      </c>
      <c r="AR316" s="611" t="n">
        <v>307300</v>
      </c>
      <c r="AS316" s="611" t="n"/>
      <c r="AT316" s="526">
        <f>(AR316-AR317)/AR317</f>
        <v/>
      </c>
      <c r="AU316" s="611" t="n">
        <v>51.66</v>
      </c>
      <c r="AV316" s="613" t="n">
        <v>-0.1139</v>
      </c>
      <c r="AW316" s="526" t="n"/>
      <c r="AX316" s="523" t="n"/>
      <c r="AY316" s="523" t="n"/>
      <c r="AZ316" s="523">
        <f>C316</f>
        <v/>
      </c>
      <c r="BA316" s="523" t="n"/>
      <c r="BB316" s="523" t="n"/>
      <c r="BC316" s="523" t="n"/>
      <c r="BD316" s="526" t="n"/>
      <c r="BE316" s="526" t="n"/>
      <c r="BF316" s="526" t="n"/>
      <c r="BG316" s="631" t="n"/>
      <c r="BH316" s="5">
        <f>C316</f>
        <v/>
      </c>
      <c r="BL316" s="19" t="n"/>
      <c r="BM316" s="19" t="n"/>
      <c r="BN316" s="19" t="n"/>
      <c r="BP316" s="5">
        <f>C316</f>
        <v/>
      </c>
      <c r="BQ316" s="633" t="n"/>
      <c r="BT316" s="19" t="n"/>
      <c r="BU316" s="19" t="n"/>
      <c r="BV316" s="19" t="n"/>
      <c r="BX316" s="5">
        <f>C316</f>
        <v/>
      </c>
      <c r="CB316" s="19" t="n"/>
      <c r="CC316" s="19" t="n"/>
      <c r="CD316" s="19" t="n"/>
      <c r="CF316" s="5">
        <f>C316</f>
        <v/>
      </c>
      <c r="CJ316" s="19" t="n"/>
      <c r="CK316" s="19" t="n"/>
      <c r="CL316" s="19" t="n"/>
      <c r="CN316" s="5">
        <f>C316</f>
        <v/>
      </c>
      <c r="CR316" s="19" t="n"/>
      <c r="CS316" s="19" t="n"/>
      <c r="CT316" s="19" t="n"/>
      <c r="CV316" s="5">
        <f>C316</f>
        <v/>
      </c>
      <c r="CZ316" s="19" t="n"/>
      <c r="DA316" s="19" t="n"/>
      <c r="DB316" s="19" t="n"/>
      <c r="DC316" s="23" t="n"/>
      <c r="DD316" s="5">
        <f>C316</f>
        <v/>
      </c>
      <c r="DH316" s="19" t="n"/>
      <c r="DI316" s="19" t="n"/>
      <c r="DJ316" s="19" t="n"/>
      <c r="DL316" s="5">
        <f>C316</f>
        <v/>
      </c>
      <c r="DP316" s="19" t="n"/>
      <c r="DQ316" s="19" t="n"/>
      <c r="DR316" s="19" t="n"/>
      <c r="DT316" s="5">
        <f>C316</f>
        <v/>
      </c>
      <c r="DX316" s="19" t="n"/>
      <c r="DY316" s="19" t="n"/>
      <c r="DZ316" s="19" t="n"/>
      <c r="EB316" s="5">
        <f>C316</f>
        <v/>
      </c>
      <c r="EF316" s="19" t="n"/>
      <c r="EG316" s="19" t="n"/>
      <c r="EH316" s="19" t="n"/>
      <c r="EJ316" s="5">
        <f>C316</f>
        <v/>
      </c>
      <c r="EN316" s="19" t="n"/>
      <c r="EO316" s="19" t="n"/>
      <c r="EP316" s="19" t="n"/>
      <c r="EQ316" s="19" t="n"/>
      <c r="ER316" s="5">
        <f>C316</f>
        <v/>
      </c>
      <c r="ES316" s="19" t="n"/>
      <c r="ET316" s="19" t="n"/>
      <c r="EU316" s="19" t="n"/>
      <c r="EV316" s="19" t="n"/>
      <c r="EW316" s="19" t="n"/>
      <c r="EX316" s="19" t="n"/>
      <c r="EZ316" s="5">
        <f>C316</f>
        <v/>
      </c>
      <c r="FD316" s="19" t="n"/>
      <c r="FE316" s="19" t="n"/>
      <c r="FF316" s="19" t="n"/>
      <c r="FG316" s="19" t="n"/>
      <c r="FH316" s="5">
        <f>C316</f>
        <v/>
      </c>
      <c r="FI316" s="633" t="n"/>
      <c r="FL316" s="19" t="n"/>
      <c r="FM316" s="19" t="n"/>
      <c r="FN316" s="19" t="n"/>
      <c r="FP316" s="5">
        <f>C316</f>
        <v/>
      </c>
      <c r="FT316" s="19" t="n"/>
      <c r="FU316" s="19" t="n"/>
      <c r="FV316" s="19" t="n"/>
      <c r="FX316" s="5">
        <f>C316</f>
        <v/>
      </c>
      <c r="GB316" s="19" t="n"/>
      <c r="GC316" s="19" t="n"/>
      <c r="GD316" s="19" t="n"/>
      <c r="GF316" s="5">
        <f>C316</f>
        <v/>
      </c>
      <c r="GJ316" s="19" t="n"/>
      <c r="GK316" s="19" t="n"/>
      <c r="GL316" s="19" t="n"/>
      <c r="GN316" s="5">
        <f>C316</f>
        <v/>
      </c>
      <c r="GR316" s="19" t="n"/>
      <c r="GS316" s="19" t="n"/>
      <c r="GT316" s="19" t="n"/>
      <c r="GV316" s="5">
        <f>C316</f>
        <v/>
      </c>
      <c r="GZ316" s="19" t="n"/>
      <c r="HA316" s="19" t="n"/>
      <c r="HB316" s="19" t="n"/>
      <c r="HD316" s="5">
        <f>C316</f>
        <v/>
      </c>
      <c r="HH316" s="19" t="n"/>
      <c r="HI316" s="19" t="n"/>
      <c r="HJ316" s="19" t="n"/>
      <c r="HL316" s="5">
        <f>C316</f>
        <v/>
      </c>
      <c r="HP316" s="19" t="n"/>
      <c r="HQ316" s="19" t="n"/>
      <c r="HR316" s="19" t="n"/>
      <c r="HT316" s="5">
        <f>C316</f>
        <v/>
      </c>
      <c r="HX316" s="19" t="n"/>
      <c r="HY316" s="19" t="n"/>
      <c r="HZ316" s="19" t="n"/>
      <c r="IB316" s="5">
        <f>C316</f>
        <v/>
      </c>
      <c r="IG316" s="19" t="n"/>
      <c r="IH316" s="19" t="n"/>
      <c r="IJ316" s="5">
        <f>C316</f>
        <v/>
      </c>
      <c r="IN316" s="19" t="n"/>
      <c r="IO316" s="19" t="n"/>
      <c r="IP316" s="19" t="n"/>
      <c r="IR316" s="5">
        <f>C316</f>
        <v/>
      </c>
      <c r="IV316" s="19" t="n"/>
      <c r="IW316" s="19" t="n"/>
      <c r="IX316" s="19" t="n"/>
      <c r="IZ316" s="5">
        <f>C316</f>
        <v/>
      </c>
      <c r="JD316" s="19" t="n"/>
      <c r="JE316" s="19" t="n"/>
      <c r="JF316" s="19" t="n"/>
      <c r="JH316" s="5">
        <f>C316</f>
        <v/>
      </c>
      <c r="JL316" s="19" t="n"/>
      <c r="JM316" s="19" t="n"/>
      <c r="JN316" s="19" t="n"/>
      <c r="JO316" s="19" t="n"/>
      <c r="JP316" s="5">
        <f>C316</f>
        <v/>
      </c>
      <c r="JT316" s="19" t="n"/>
      <c r="JU316" s="19" t="n"/>
      <c r="JV316" s="19" t="n"/>
      <c r="JW316" s="19" t="n"/>
      <c r="JX316" s="5">
        <f>C316</f>
        <v/>
      </c>
      <c r="KB316" s="19" t="n"/>
      <c r="KC316" s="19" t="n"/>
      <c r="KD316" s="19" t="n"/>
      <c r="KE316" s="19" t="n"/>
      <c r="KF316" s="5">
        <f>C316</f>
        <v/>
      </c>
      <c r="KG316" s="19" t="n"/>
      <c r="KH316" s="19" t="n"/>
      <c r="KJ316" s="19" t="n"/>
      <c r="KK316" s="19" t="n"/>
      <c r="KL316" s="19" t="n"/>
      <c r="KM316" s="19" t="n"/>
      <c r="KN316" s="5">
        <f>C316</f>
        <v/>
      </c>
      <c r="KR316" s="19" t="n"/>
      <c r="KS316" s="19" t="n"/>
      <c r="KT316" s="19" t="n"/>
      <c r="KV316" s="5">
        <f>C316</f>
        <v/>
      </c>
      <c r="KZ316" s="19" t="n"/>
      <c r="LA316" s="19" t="n"/>
      <c r="LB316" s="19" t="n"/>
      <c r="LD316" s="5">
        <f>C316</f>
        <v/>
      </c>
      <c r="LH316" s="19" t="n"/>
      <c r="LI316" s="19" t="n"/>
      <c r="LJ316" s="19" t="n"/>
      <c r="LL316" s="5">
        <f>C316</f>
        <v/>
      </c>
      <c r="LM316" s="633" t="n"/>
      <c r="LP316" s="19" t="n"/>
      <c r="LQ316" s="19" t="n"/>
      <c r="LR316" s="19" t="n"/>
      <c r="LT316" s="5">
        <f>C316</f>
        <v/>
      </c>
      <c r="LX316" s="19" t="n"/>
      <c r="LY316" s="19" t="n"/>
      <c r="LZ316" s="19" t="n"/>
      <c r="MB316" s="5">
        <f>C316</f>
        <v/>
      </c>
      <c r="MF316" s="19" t="n"/>
      <c r="MG316" s="19" t="n"/>
      <c r="MH316" s="19" t="n"/>
      <c r="MK316" s="5">
        <f>C316</f>
        <v/>
      </c>
      <c r="MM316" s="24" t="n"/>
      <c r="MO316" s="19" t="n"/>
      <c r="MP316" s="19" t="n"/>
      <c r="MQ316" s="19" t="n"/>
      <c r="MR316" s="19" t="n"/>
      <c r="MS316" s="19" t="n"/>
      <c r="MT316" s="25">
        <f>C316</f>
        <v/>
      </c>
      <c r="MX316" s="19" t="n"/>
      <c r="MY316" s="19" t="n"/>
      <c r="MZ316" s="19" t="n"/>
      <c r="NA316" s="19" t="n"/>
      <c r="NB316" s="19" t="n"/>
      <c r="NC316" s="5">
        <f>C316</f>
        <v/>
      </c>
      <c r="NG316" s="19" t="n"/>
      <c r="NH316" s="19" t="n"/>
      <c r="NI316" s="19" t="n"/>
      <c r="NJ316" s="19" t="n"/>
      <c r="NK316" s="19" t="n"/>
      <c r="NM316" s="5">
        <f>C316</f>
        <v/>
      </c>
      <c r="NQ316" s="19" t="n"/>
      <c r="NR316" s="19" t="n"/>
      <c r="NU316" s="5">
        <f>C316</f>
        <v/>
      </c>
      <c r="NY316" s="19" t="n"/>
      <c r="NZ316" s="19" t="n"/>
      <c r="OC316" s="5">
        <f>C316</f>
        <v/>
      </c>
      <c r="OG316" s="19" t="n"/>
      <c r="OH316" s="19" t="n"/>
      <c r="OI316" s="19" t="n"/>
      <c r="OK316" s="5">
        <f>C316</f>
        <v/>
      </c>
      <c r="OO316" s="19" t="n"/>
      <c r="OP316" s="19" t="n"/>
      <c r="OQ316" s="19" t="n"/>
      <c r="OT316" s="25">
        <f>OK316</f>
        <v/>
      </c>
      <c r="OX316" s="19" t="n"/>
    </row>
    <row r="317" ht="21" customFormat="1" customHeight="1" s="5">
      <c r="A317" s="631" t="n"/>
      <c r="B317" s="631" t="n"/>
      <c r="C317" s="731" t="inlineStr">
        <is>
          <t>2021//12//31</t>
        </is>
      </c>
      <c r="D317" s="523" t="n">
        <v>1134048.77</v>
      </c>
      <c r="E317" s="597" t="n"/>
      <c r="F317" s="601" t="n"/>
      <c r="G317" s="601" t="n"/>
      <c r="H317" s="526" t="n"/>
      <c r="I317" s="526" t="n"/>
      <c r="J317" s="526" t="n"/>
      <c r="K317" s="523">
        <f>C317</f>
        <v/>
      </c>
      <c r="L317" s="605" t="n">
        <v>448630.74</v>
      </c>
      <c r="M317" s="597" t="n"/>
      <c r="N317" s="601">
        <f>(L317-L318)/L318</f>
        <v/>
      </c>
      <c r="O317" s="601" t="n"/>
      <c r="P317" s="526" t="n"/>
      <c r="Q317" s="526" t="n"/>
      <c r="R317" s="604" t="n"/>
      <c r="S317" s="523">
        <f>C317</f>
        <v/>
      </c>
      <c r="T317" s="597" t="n"/>
      <c r="U317" s="597" t="n"/>
      <c r="V317" s="598" t="n"/>
      <c r="W317" s="599" t="n"/>
      <c r="X317" s="526" t="n"/>
      <c r="Y317" s="526" t="n"/>
      <c r="Z317" s="604" t="n"/>
      <c r="AA317" s="523">
        <f>S317</f>
        <v/>
      </c>
      <c r="AB317" s="597" t="n"/>
      <c r="AC317" s="597" t="n"/>
      <c r="AD317" s="600" t="n"/>
      <c r="AE317" s="601" t="n"/>
      <c r="AF317" s="526" t="n"/>
      <c r="AG317" s="526" t="n"/>
      <c r="AH317" s="604" t="n"/>
      <c r="AI317" s="523">
        <f>C317</f>
        <v/>
      </c>
      <c r="AJ317" s="597" t="n"/>
      <c r="AK317" s="362" t="n"/>
      <c r="AL317" s="599" t="n"/>
      <c r="AM317" s="599" t="n"/>
      <c r="AN317" s="526" t="n"/>
      <c r="AO317" s="526" t="n"/>
      <c r="AP317" s="523" t="n"/>
      <c r="AQ317" s="555">
        <f>C317</f>
        <v/>
      </c>
      <c r="AR317" s="611" t="n">
        <v>322900</v>
      </c>
      <c r="AS317" s="611" t="n"/>
      <c r="AT317" s="526">
        <f>(AR317-AR318)/AR318</f>
        <v/>
      </c>
      <c r="AU317" s="611" t="inlineStr">
        <is>
          <t>---</t>
        </is>
      </c>
      <c r="AV317" s="611" t="inlineStr">
        <is>
          <t>---</t>
        </is>
      </c>
      <c r="AW317" s="526" t="n"/>
      <c r="AX317" s="523" t="n"/>
      <c r="AY317" s="523" t="n"/>
      <c r="AZ317" s="523">
        <f>C317</f>
        <v/>
      </c>
      <c r="BA317" s="523" t="n"/>
      <c r="BB317" s="523" t="n"/>
      <c r="BC317" s="523" t="n"/>
      <c r="BD317" s="526" t="n"/>
      <c r="BE317" s="526" t="n"/>
      <c r="BF317" s="526" t="n"/>
      <c r="BG317" s="631" t="n"/>
      <c r="BH317" s="5">
        <f>C317</f>
        <v/>
      </c>
      <c r="BL317" s="19" t="n"/>
      <c r="BM317" s="19" t="n"/>
      <c r="BN317" s="19" t="n"/>
      <c r="BP317" s="5">
        <f>C317</f>
        <v/>
      </c>
      <c r="BQ317" s="633" t="n"/>
      <c r="BT317" s="19" t="n"/>
      <c r="BU317" s="19" t="n"/>
      <c r="BV317" s="19" t="n"/>
      <c r="BX317" s="5">
        <f>C317</f>
        <v/>
      </c>
      <c r="CB317" s="19" t="n"/>
      <c r="CC317" s="19" t="n"/>
      <c r="CD317" s="19" t="n"/>
      <c r="CF317" s="5">
        <f>C317</f>
        <v/>
      </c>
      <c r="CJ317" s="19" t="n"/>
      <c r="CK317" s="19" t="n"/>
      <c r="CL317" s="19" t="n"/>
      <c r="CN317" s="5">
        <f>C317</f>
        <v/>
      </c>
      <c r="CR317" s="19" t="n"/>
      <c r="CS317" s="19" t="n"/>
      <c r="CT317" s="19" t="n"/>
      <c r="CV317" s="5">
        <f>C317</f>
        <v/>
      </c>
      <c r="CZ317" s="19" t="n"/>
      <c r="DA317" s="19" t="n"/>
      <c r="DB317" s="19" t="n"/>
      <c r="DC317" s="23" t="n"/>
      <c r="DD317" s="5">
        <f>C317</f>
        <v/>
      </c>
      <c r="DH317" s="19" t="n"/>
      <c r="DI317" s="19" t="n"/>
      <c r="DJ317" s="19" t="n"/>
      <c r="DL317" s="5">
        <f>C317</f>
        <v/>
      </c>
      <c r="DP317" s="19" t="n"/>
      <c r="DQ317" s="19" t="n"/>
      <c r="DR317" s="19" t="n"/>
      <c r="DT317" s="5">
        <f>C317</f>
        <v/>
      </c>
      <c r="DX317" s="19" t="n"/>
      <c r="DY317" s="19" t="n"/>
      <c r="DZ317" s="19" t="n"/>
      <c r="EB317" s="5">
        <f>C317</f>
        <v/>
      </c>
      <c r="EF317" s="19" t="n"/>
      <c r="EG317" s="19" t="n"/>
      <c r="EH317" s="19" t="n"/>
      <c r="EJ317" s="5">
        <f>C317</f>
        <v/>
      </c>
      <c r="EN317" s="19" t="n"/>
      <c r="EO317" s="19" t="n"/>
      <c r="EP317" s="19" t="n"/>
      <c r="EQ317" s="19" t="n"/>
      <c r="ER317" s="5">
        <f>C317</f>
        <v/>
      </c>
      <c r="ES317" s="19" t="n"/>
      <c r="ET317" s="19" t="n"/>
      <c r="EU317" s="19" t="n"/>
      <c r="EV317" s="19" t="n"/>
      <c r="EW317" s="19" t="n"/>
      <c r="EX317" s="19" t="n"/>
      <c r="EZ317" s="5">
        <f>C317</f>
        <v/>
      </c>
      <c r="FD317" s="19" t="n"/>
      <c r="FE317" s="19" t="n"/>
      <c r="FF317" s="19" t="n"/>
      <c r="FG317" s="19" t="n"/>
      <c r="FH317" s="5">
        <f>C317</f>
        <v/>
      </c>
      <c r="FI317" s="633" t="n"/>
      <c r="FL317" s="19" t="n"/>
      <c r="FM317" s="19" t="n"/>
      <c r="FN317" s="19" t="n"/>
      <c r="FP317" s="5">
        <f>C317</f>
        <v/>
      </c>
      <c r="FT317" s="19" t="n"/>
      <c r="FU317" s="19" t="n"/>
      <c r="FV317" s="19" t="n"/>
      <c r="FX317" s="5">
        <f>C317</f>
        <v/>
      </c>
      <c r="GB317" s="19" t="n"/>
      <c r="GC317" s="19" t="n"/>
      <c r="GD317" s="19" t="n"/>
      <c r="GF317" s="5">
        <f>C317</f>
        <v/>
      </c>
      <c r="GJ317" s="19" t="n"/>
      <c r="GK317" s="19" t="n"/>
      <c r="GL317" s="19" t="n"/>
      <c r="GN317" s="5">
        <f>C317</f>
        <v/>
      </c>
      <c r="GR317" s="19" t="n"/>
      <c r="GS317" s="19" t="n"/>
      <c r="GT317" s="19" t="n"/>
      <c r="GV317" s="5">
        <f>C317</f>
        <v/>
      </c>
      <c r="GZ317" s="19" t="n"/>
      <c r="HA317" s="19" t="n"/>
      <c r="HB317" s="19" t="n"/>
      <c r="HD317" s="5">
        <f>C317</f>
        <v/>
      </c>
      <c r="HH317" s="19" t="n"/>
      <c r="HI317" s="19" t="n"/>
      <c r="HJ317" s="19" t="n"/>
      <c r="HL317" s="5">
        <f>C317</f>
        <v/>
      </c>
      <c r="HP317" s="19" t="n"/>
      <c r="HQ317" s="19" t="n"/>
      <c r="HR317" s="19" t="n"/>
      <c r="HT317" s="5">
        <f>C317</f>
        <v/>
      </c>
      <c r="HX317" s="19" t="n"/>
      <c r="HY317" s="19" t="n"/>
      <c r="HZ317" s="19" t="n"/>
      <c r="IB317" s="5">
        <f>C317</f>
        <v/>
      </c>
      <c r="IG317" s="19" t="n"/>
      <c r="IH317" s="19" t="n"/>
      <c r="IJ317" s="5">
        <f>C317</f>
        <v/>
      </c>
      <c r="IN317" s="19" t="n"/>
      <c r="IO317" s="19" t="n"/>
      <c r="IP317" s="19" t="n"/>
      <c r="IR317" s="5">
        <f>C317</f>
        <v/>
      </c>
      <c r="IV317" s="19" t="n"/>
      <c r="IW317" s="19" t="n"/>
      <c r="IX317" s="19" t="n"/>
      <c r="IZ317" s="5">
        <f>C317</f>
        <v/>
      </c>
      <c r="JD317" s="19" t="n"/>
      <c r="JE317" s="19" t="n"/>
      <c r="JF317" s="19" t="n"/>
      <c r="JH317" s="5">
        <f>C317</f>
        <v/>
      </c>
      <c r="JL317" s="19" t="n"/>
      <c r="JM317" s="19" t="n"/>
      <c r="JN317" s="19" t="n"/>
      <c r="JO317" s="19" t="n"/>
      <c r="JP317" s="5">
        <f>C317</f>
        <v/>
      </c>
      <c r="JT317" s="19" t="n"/>
      <c r="JU317" s="19" t="n"/>
      <c r="JV317" s="19" t="n"/>
      <c r="JW317" s="19" t="n"/>
      <c r="JX317" s="5">
        <f>C317</f>
        <v/>
      </c>
      <c r="KB317" s="19" t="n"/>
      <c r="KC317" s="19" t="n"/>
      <c r="KD317" s="19" t="n"/>
      <c r="KE317" s="19" t="n"/>
      <c r="KF317" s="5">
        <f>C317</f>
        <v/>
      </c>
      <c r="KG317" s="19" t="n"/>
      <c r="KH317" s="19" t="n"/>
      <c r="KJ317" s="19" t="n"/>
      <c r="KK317" s="19" t="n"/>
      <c r="KL317" s="19" t="n"/>
      <c r="KM317" s="19" t="n"/>
      <c r="KN317" s="5">
        <f>C317</f>
        <v/>
      </c>
      <c r="KR317" s="19" t="n"/>
      <c r="KS317" s="19" t="n"/>
      <c r="KT317" s="19" t="n"/>
      <c r="KV317" s="5">
        <f>C317</f>
        <v/>
      </c>
      <c r="KZ317" s="19" t="n"/>
      <c r="LA317" s="19" t="n"/>
      <c r="LB317" s="19" t="n"/>
      <c r="LD317" s="5">
        <f>C317</f>
        <v/>
      </c>
      <c r="LH317" s="19" t="n"/>
      <c r="LI317" s="19" t="n"/>
      <c r="LJ317" s="19" t="n"/>
      <c r="LL317" s="5">
        <f>C317</f>
        <v/>
      </c>
      <c r="LM317" s="633" t="n"/>
      <c r="LP317" s="19" t="n"/>
      <c r="LQ317" s="19" t="n"/>
      <c r="LR317" s="19" t="n"/>
      <c r="LT317" s="5">
        <f>C317</f>
        <v/>
      </c>
      <c r="LX317" s="19" t="n"/>
      <c r="LY317" s="19" t="n"/>
      <c r="LZ317" s="19" t="n"/>
      <c r="MB317" s="5">
        <f>C317</f>
        <v/>
      </c>
      <c r="MF317" s="19" t="n"/>
      <c r="MG317" s="19" t="n"/>
      <c r="MH317" s="19" t="n"/>
      <c r="MK317" s="5">
        <f>C317</f>
        <v/>
      </c>
      <c r="MM317" s="24" t="n"/>
      <c r="MO317" s="19" t="n"/>
      <c r="MP317" s="19" t="n"/>
      <c r="MQ317" s="19" t="n"/>
      <c r="MR317" s="19" t="n"/>
      <c r="MS317" s="19" t="n"/>
      <c r="MT317" s="25">
        <f>C317</f>
        <v/>
      </c>
      <c r="MX317" s="19" t="n"/>
      <c r="MY317" s="19" t="n"/>
      <c r="MZ317" s="19" t="n"/>
      <c r="NA317" s="19" t="n"/>
      <c r="NB317" s="19" t="n"/>
      <c r="NC317" s="5">
        <f>C317</f>
        <v/>
      </c>
      <c r="NG317" s="19" t="n"/>
      <c r="NH317" s="19" t="n"/>
      <c r="NI317" s="19" t="n"/>
      <c r="NJ317" s="19" t="n"/>
      <c r="NK317" s="19" t="n"/>
      <c r="NM317" s="5">
        <f>C317</f>
        <v/>
      </c>
      <c r="NQ317" s="19" t="n"/>
      <c r="NR317" s="19" t="n"/>
      <c r="NU317" s="5">
        <f>C317</f>
        <v/>
      </c>
      <c r="NY317" s="19" t="n"/>
      <c r="NZ317" s="19" t="n"/>
      <c r="OC317" s="5">
        <f>C317</f>
        <v/>
      </c>
      <c r="OG317" s="19" t="n"/>
      <c r="OH317" s="19" t="n"/>
      <c r="OI317" s="19" t="n"/>
      <c r="OK317" s="5">
        <f>C317</f>
        <v/>
      </c>
      <c r="OO317" s="19" t="n"/>
      <c r="OP317" s="19" t="n"/>
      <c r="OQ317" s="19" t="n"/>
      <c r="OT317" s="25">
        <f>OK317</f>
        <v/>
      </c>
      <c r="OX317" s="19" t="n"/>
    </row>
  </sheetData>
  <conditionalFormatting sqref="O2">
    <cfRule type="cellIs" priority="873" operator="between" dxfId="425">
      <formula>-10</formula>
      <formula>-0.1</formula>
    </cfRule>
    <cfRule type="cellIs" priority="874" operator="between" dxfId="426">
      <formula>0.1</formula>
      <formula>5</formula>
    </cfRule>
    <cfRule type="cellIs" priority="875" operator="between" dxfId="425">
      <formula>-0.2</formula>
      <formula>-0.05</formula>
    </cfRule>
    <cfRule type="cellIs" priority="876" operator="between" dxfId="426">
      <formula>0.05</formula>
      <formula>1.5</formula>
    </cfRule>
    <cfRule type="cellIs" priority="877" operator="lessThan" dxfId="427">
      <formula>0</formula>
    </cfRule>
    <cfRule type="cellIs" priority="878" operator="greaterThan" dxfId="428">
      <formula>0</formula>
    </cfRule>
  </conditionalFormatting>
  <conditionalFormatting sqref="W2">
    <cfRule type="cellIs" priority="867" operator="between" dxfId="425">
      <formula>-10</formula>
      <formula>-0.1</formula>
    </cfRule>
    <cfRule type="cellIs" priority="868" operator="between" dxfId="426">
      <formula>0.1</formula>
      <formula>5</formula>
    </cfRule>
    <cfRule type="cellIs" priority="869" operator="between" dxfId="425">
      <formula>-0.2</formula>
      <formula>-0.05</formula>
    </cfRule>
    <cfRule type="cellIs" priority="870" operator="between" dxfId="426">
      <formula>0.05</formula>
      <formula>1.5</formula>
    </cfRule>
    <cfRule type="cellIs" priority="871" operator="lessThan" dxfId="427">
      <formula>0</formula>
    </cfRule>
    <cfRule type="cellIs" priority="872" operator="greaterThan" dxfId="428">
      <formula>0</formula>
    </cfRule>
  </conditionalFormatting>
  <conditionalFormatting sqref="AE2">
    <cfRule type="cellIs" priority="861" operator="between" dxfId="425">
      <formula>-10</formula>
      <formula>-0.1</formula>
    </cfRule>
    <cfRule type="cellIs" priority="862" operator="between" dxfId="426">
      <formula>0.1</formula>
      <formula>5</formula>
    </cfRule>
    <cfRule type="cellIs" priority="863" operator="between" dxfId="425">
      <formula>-0.2</formula>
      <formula>-0.05</formula>
    </cfRule>
    <cfRule type="cellIs" priority="864" operator="between" dxfId="426">
      <formula>0.05</formula>
      <formula>1.5</formula>
    </cfRule>
    <cfRule type="cellIs" priority="865" operator="lessThan" dxfId="427">
      <formula>0</formula>
    </cfRule>
    <cfRule type="cellIs" priority="866" operator="greaterThan" dxfId="428">
      <formula>0</formula>
    </cfRule>
  </conditionalFormatting>
  <conditionalFormatting sqref="AM2">
    <cfRule type="cellIs" priority="855" operator="between" dxfId="425">
      <formula>-10</formula>
      <formula>-0.1</formula>
    </cfRule>
    <cfRule type="cellIs" priority="856" operator="between" dxfId="426">
      <formula>0.1</formula>
      <formula>5</formula>
    </cfRule>
    <cfRule type="cellIs" priority="857" operator="between" dxfId="425">
      <formula>-0.2</formula>
      <formula>-0.05</formula>
    </cfRule>
    <cfRule type="cellIs" priority="858" operator="between" dxfId="426">
      <formula>0.05</formula>
      <formula>1.5</formula>
    </cfRule>
    <cfRule type="cellIs" priority="859" operator="lessThan" dxfId="427">
      <formula>0</formula>
    </cfRule>
    <cfRule type="cellIs" priority="860" operator="greaterThan" dxfId="428">
      <formula>0</formula>
    </cfRule>
  </conditionalFormatting>
  <conditionalFormatting sqref="AU2">
    <cfRule type="cellIs" priority="849" operator="between" dxfId="425">
      <formula>-10</formula>
      <formula>-0.1</formula>
    </cfRule>
    <cfRule type="cellIs" priority="850" operator="between" dxfId="426">
      <formula>0.1</formula>
      <formula>5</formula>
    </cfRule>
    <cfRule type="cellIs" priority="851" operator="between" dxfId="425">
      <formula>-0.2</formula>
      <formula>-0.05</formula>
    </cfRule>
    <cfRule type="cellIs" priority="852" operator="between" dxfId="426">
      <formula>0.05</formula>
      <formula>1.5</formula>
    </cfRule>
    <cfRule type="cellIs" priority="853" operator="lessThan" dxfId="427">
      <formula>0</formula>
    </cfRule>
    <cfRule type="cellIs" priority="854" operator="greaterThan" dxfId="428">
      <formula>0</formula>
    </cfRule>
  </conditionalFormatting>
  <conditionalFormatting sqref="BD2">
    <cfRule type="cellIs" priority="825" operator="between" dxfId="425">
      <formula>-10</formula>
      <formula>-0.1</formula>
    </cfRule>
    <cfRule type="cellIs" priority="826" operator="between" dxfId="426">
      <formula>0.1</formula>
      <formula>5</formula>
    </cfRule>
    <cfRule type="cellIs" priority="827" operator="between" dxfId="425">
      <formula>-0.2</formula>
      <formula>-0.05</formula>
    </cfRule>
    <cfRule type="cellIs" priority="828" operator="between" dxfId="426">
      <formula>0.05</formula>
      <formula>1.5</formula>
    </cfRule>
    <cfRule type="cellIs" priority="829" operator="lessThan" dxfId="427">
      <formula>0</formula>
    </cfRule>
    <cfRule type="cellIs" priority="830" operator="greaterThan" dxfId="428">
      <formula>0</formula>
    </cfRule>
  </conditionalFormatting>
  <conditionalFormatting sqref="BL2">
    <cfRule type="cellIs" priority="808" operator="greaterThan" dxfId="428">
      <formula>0</formula>
    </cfRule>
    <cfRule type="cellIs" priority="807" operator="lessThan" dxfId="427">
      <formula>0</formula>
    </cfRule>
    <cfRule type="cellIs" priority="806" operator="between" dxfId="426">
      <formula>0.05</formula>
      <formula>1.5</formula>
    </cfRule>
    <cfRule type="cellIs" priority="805" operator="between" dxfId="425">
      <formula>-0.2</formula>
      <formula>-0.05</formula>
    </cfRule>
    <cfRule type="cellIs" priority="804" operator="between" dxfId="426">
      <formula>0.1</formula>
      <formula>5</formula>
    </cfRule>
    <cfRule type="cellIs" priority="803" operator="between" dxfId="425">
      <formula>-10</formula>
      <formula>-0.1</formula>
    </cfRule>
  </conditionalFormatting>
  <conditionalFormatting sqref="BT2">
    <cfRule type="cellIs" priority="802" operator="greaterThan" dxfId="428">
      <formula>0</formula>
    </cfRule>
    <cfRule type="cellIs" priority="801" operator="lessThan" dxfId="427">
      <formula>0</formula>
    </cfRule>
    <cfRule type="cellIs" priority="800" operator="between" dxfId="426">
      <formula>0.05</formula>
      <formula>1.5</formula>
    </cfRule>
    <cfRule type="cellIs" priority="799" operator="between" dxfId="425">
      <formula>-0.2</formula>
      <formula>-0.05</formula>
    </cfRule>
    <cfRule type="cellIs" priority="798" operator="between" dxfId="426">
      <formula>0.1</formula>
      <formula>5</formula>
    </cfRule>
    <cfRule type="cellIs" priority="797" operator="between" dxfId="425">
      <formula>-10</formula>
      <formula>-0.1</formula>
    </cfRule>
  </conditionalFormatting>
  <conditionalFormatting sqref="CB2">
    <cfRule type="cellIs" priority="796" operator="greaterThan" dxfId="428">
      <formula>0</formula>
    </cfRule>
    <cfRule type="cellIs" priority="795" operator="lessThan" dxfId="427">
      <formula>0</formula>
    </cfRule>
    <cfRule type="cellIs" priority="794" operator="between" dxfId="426">
      <formula>0.05</formula>
      <formula>1.5</formula>
    </cfRule>
    <cfRule type="cellIs" priority="793" operator="between" dxfId="425">
      <formula>-0.2</formula>
      <formula>-0.05</formula>
    </cfRule>
    <cfRule type="cellIs" priority="792" operator="between" dxfId="426">
      <formula>0.1</formula>
      <formula>5</formula>
    </cfRule>
    <cfRule type="cellIs" priority="791" operator="between" dxfId="425">
      <formula>-10</formula>
      <formula>-0.1</formula>
    </cfRule>
  </conditionalFormatting>
  <conditionalFormatting sqref="CJ2">
    <cfRule type="cellIs" priority="790" operator="greaterThan" dxfId="428">
      <formula>0</formula>
    </cfRule>
    <cfRule type="cellIs" priority="789" operator="lessThan" dxfId="427">
      <formula>0</formula>
    </cfRule>
    <cfRule type="cellIs" priority="788" operator="between" dxfId="426">
      <formula>0.05</formula>
      <formula>1.5</formula>
    </cfRule>
    <cfRule type="cellIs" priority="787" operator="between" dxfId="425">
      <formula>-0.2</formula>
      <formula>-0.05</formula>
    </cfRule>
    <cfRule type="cellIs" priority="786" operator="between" dxfId="426">
      <formula>0.1</formula>
      <formula>5</formula>
    </cfRule>
    <cfRule type="cellIs" priority="785" operator="between" dxfId="425">
      <formula>-10</formula>
      <formula>-0.1</formula>
    </cfRule>
  </conditionalFormatting>
  <conditionalFormatting sqref="CR2">
    <cfRule type="cellIs" priority="784" operator="greaterThan" dxfId="428">
      <formula>0</formula>
    </cfRule>
    <cfRule type="cellIs" priority="783" operator="lessThan" dxfId="427">
      <formula>0</formula>
    </cfRule>
    <cfRule type="cellIs" priority="782" operator="between" dxfId="426">
      <formula>0.05</formula>
      <formula>1.5</formula>
    </cfRule>
    <cfRule type="cellIs" priority="781" operator="between" dxfId="425">
      <formula>-0.2</formula>
      <formula>-0.05</formula>
    </cfRule>
    <cfRule type="cellIs" priority="780" operator="between" dxfId="426">
      <formula>0.1</formula>
      <formula>5</formula>
    </cfRule>
    <cfRule type="cellIs" priority="779" operator="between" dxfId="425">
      <formula>-10</formula>
      <formula>-0.1</formula>
    </cfRule>
  </conditionalFormatting>
  <conditionalFormatting sqref="CZ2">
    <cfRule type="cellIs" priority="778" operator="greaterThan" dxfId="428">
      <formula>0</formula>
    </cfRule>
    <cfRule type="cellIs" priority="777" operator="lessThan" dxfId="427">
      <formula>0</formula>
    </cfRule>
    <cfRule type="cellIs" priority="776" operator="between" dxfId="426">
      <formula>0.05</formula>
      <formula>1.5</formula>
    </cfRule>
    <cfRule type="cellIs" priority="775" operator="between" dxfId="425">
      <formula>-0.2</formula>
      <formula>-0.05</formula>
    </cfRule>
    <cfRule type="cellIs" priority="774" operator="between" dxfId="426">
      <formula>0.1</formula>
      <formula>5</formula>
    </cfRule>
    <cfRule type="cellIs" priority="773" operator="between" dxfId="425">
      <formula>-10</formula>
      <formula>-0.1</formula>
    </cfRule>
  </conditionalFormatting>
  <conditionalFormatting sqref="DH2">
    <cfRule type="cellIs" priority="772" operator="greaterThan" dxfId="428">
      <formula>0</formula>
    </cfRule>
    <cfRule type="cellIs" priority="771" operator="lessThan" dxfId="427">
      <formula>0</formula>
    </cfRule>
    <cfRule type="cellIs" priority="770" operator="between" dxfId="426">
      <formula>0.05</formula>
      <formula>1.5</formula>
    </cfRule>
    <cfRule type="cellIs" priority="769" operator="between" dxfId="425">
      <formula>-0.2</formula>
      <formula>-0.05</formula>
    </cfRule>
    <cfRule type="cellIs" priority="768" operator="between" dxfId="426">
      <formula>0.1</formula>
      <formula>5</formula>
    </cfRule>
    <cfRule type="cellIs" priority="767" operator="between" dxfId="425">
      <formula>-10</formula>
      <formula>-0.1</formula>
    </cfRule>
  </conditionalFormatting>
  <conditionalFormatting sqref="DP2">
    <cfRule type="cellIs" priority="766" operator="greaterThan" dxfId="428">
      <formula>0</formula>
    </cfRule>
    <cfRule type="cellIs" priority="765" operator="lessThan" dxfId="427">
      <formula>0</formula>
    </cfRule>
    <cfRule type="cellIs" priority="764" operator="between" dxfId="426">
      <formula>0.05</formula>
      <formula>1.5</formula>
    </cfRule>
    <cfRule type="cellIs" priority="763" operator="between" dxfId="425">
      <formula>-0.2</formula>
      <formula>-0.05</formula>
    </cfRule>
    <cfRule type="cellIs" priority="762" operator="between" dxfId="426">
      <formula>0.1</formula>
      <formula>5</formula>
    </cfRule>
    <cfRule type="cellIs" priority="761" operator="between" dxfId="425">
      <formula>-10</formula>
      <formula>-0.1</formula>
    </cfRule>
  </conditionalFormatting>
  <conditionalFormatting sqref="DX2">
    <cfRule type="cellIs" priority="760" operator="greaterThan" dxfId="428">
      <formula>0</formula>
    </cfRule>
    <cfRule type="cellIs" priority="759" operator="lessThan" dxfId="427">
      <formula>0</formula>
    </cfRule>
    <cfRule type="cellIs" priority="758" operator="between" dxfId="426">
      <formula>0.05</formula>
      <formula>1.5</formula>
    </cfRule>
    <cfRule type="cellIs" priority="757" operator="between" dxfId="425">
      <formula>-0.2</formula>
      <formula>-0.05</formula>
    </cfRule>
    <cfRule type="cellIs" priority="756" operator="between" dxfId="426">
      <formula>0.1</formula>
      <formula>5</formula>
    </cfRule>
    <cfRule type="cellIs" priority="755" operator="between" dxfId="425">
      <formula>-10</formula>
      <formula>-0.1</formula>
    </cfRule>
  </conditionalFormatting>
  <conditionalFormatting sqref="EF2">
    <cfRule type="cellIs" priority="754" operator="greaterThan" dxfId="428">
      <formula>0</formula>
    </cfRule>
    <cfRule type="cellIs" priority="753" operator="lessThan" dxfId="427">
      <formula>0</formula>
    </cfRule>
    <cfRule type="cellIs" priority="752" operator="between" dxfId="426">
      <formula>0.05</formula>
      <formula>1.5</formula>
    </cfRule>
    <cfRule type="cellIs" priority="751" operator="between" dxfId="425">
      <formula>-0.2</formula>
      <formula>-0.05</formula>
    </cfRule>
    <cfRule type="cellIs" priority="750" operator="between" dxfId="426">
      <formula>0.1</formula>
      <formula>5</formula>
    </cfRule>
    <cfRule type="cellIs" priority="749" operator="between" dxfId="425">
      <formula>-10</formula>
      <formula>-0.1</formula>
    </cfRule>
  </conditionalFormatting>
  <conditionalFormatting sqref="EN2">
    <cfRule type="cellIs" priority="748" operator="greaterThan" dxfId="428">
      <formula>0</formula>
    </cfRule>
    <cfRule type="cellIs" priority="747" operator="lessThan" dxfId="427">
      <formula>0</formula>
    </cfRule>
    <cfRule type="cellIs" priority="746" operator="between" dxfId="426">
      <formula>0.05</formula>
      <formula>1.5</formula>
    </cfRule>
    <cfRule type="cellIs" priority="745" operator="between" dxfId="425">
      <formula>-0.2</formula>
      <formula>-0.05</formula>
    </cfRule>
    <cfRule type="cellIs" priority="744" operator="between" dxfId="426">
      <formula>0.1</formula>
      <formula>5</formula>
    </cfRule>
    <cfRule type="cellIs" priority="743" operator="between" dxfId="425">
      <formula>-10</formula>
      <formula>-0.1</formula>
    </cfRule>
  </conditionalFormatting>
  <conditionalFormatting sqref="EV2">
    <cfRule type="cellIs" priority="742" operator="greaterThan" dxfId="428">
      <formula>0</formula>
    </cfRule>
    <cfRule type="cellIs" priority="741" operator="lessThan" dxfId="427">
      <formula>0</formula>
    </cfRule>
    <cfRule type="cellIs" priority="740" operator="between" dxfId="426">
      <formula>0.05</formula>
      <formula>1.5</formula>
    </cfRule>
    <cfRule type="cellIs" priority="739" operator="between" dxfId="425">
      <formula>-0.2</formula>
      <formula>-0.05</formula>
    </cfRule>
    <cfRule type="cellIs" priority="738" operator="between" dxfId="426">
      <formula>0.1</formula>
      <formula>5</formula>
    </cfRule>
    <cfRule type="cellIs" priority="737" operator="between" dxfId="425">
      <formula>-10</formula>
      <formula>-0.1</formula>
    </cfRule>
  </conditionalFormatting>
  <conditionalFormatting sqref="FD2">
    <cfRule type="cellIs" priority="736" operator="greaterThan" dxfId="428">
      <formula>0</formula>
    </cfRule>
    <cfRule type="cellIs" priority="735" operator="lessThan" dxfId="427">
      <formula>0</formula>
    </cfRule>
    <cfRule type="cellIs" priority="734" operator="between" dxfId="426">
      <formula>0.05</formula>
      <formula>1.5</formula>
    </cfRule>
    <cfRule type="cellIs" priority="733" operator="between" dxfId="425">
      <formula>-0.2</formula>
      <formula>-0.05</formula>
    </cfRule>
    <cfRule type="cellIs" priority="732" operator="between" dxfId="426">
      <formula>0.1</formula>
      <formula>5</formula>
    </cfRule>
    <cfRule type="cellIs" priority="731" operator="between" dxfId="425">
      <formula>-10</formula>
      <formula>-0.1</formula>
    </cfRule>
  </conditionalFormatting>
  <conditionalFormatting sqref="FL2">
    <cfRule type="cellIs" priority="730" operator="greaterThan" dxfId="428">
      <formula>0</formula>
    </cfRule>
    <cfRule type="cellIs" priority="729" operator="lessThan" dxfId="427">
      <formula>0</formula>
    </cfRule>
    <cfRule type="cellIs" priority="728" operator="between" dxfId="426">
      <formula>0.05</formula>
      <formula>1.5</formula>
    </cfRule>
    <cfRule type="cellIs" priority="727" operator="between" dxfId="425">
      <formula>-0.2</formula>
      <formula>-0.05</formula>
    </cfRule>
    <cfRule type="cellIs" priority="726" operator="between" dxfId="426">
      <formula>0.1</formula>
      <formula>5</formula>
    </cfRule>
    <cfRule type="cellIs" priority="725" operator="between" dxfId="425">
      <formula>-10</formula>
      <formula>-0.1</formula>
    </cfRule>
  </conditionalFormatting>
  <conditionalFormatting sqref="FT2">
    <cfRule type="cellIs" priority="724" operator="greaterThan" dxfId="428">
      <formula>0</formula>
    </cfRule>
    <cfRule type="cellIs" priority="723" operator="lessThan" dxfId="427">
      <formula>0</formula>
    </cfRule>
    <cfRule type="cellIs" priority="722" operator="between" dxfId="426">
      <formula>0.05</formula>
      <formula>1.5</formula>
    </cfRule>
    <cfRule type="cellIs" priority="721" operator="between" dxfId="425">
      <formula>-0.2</formula>
      <formula>-0.05</formula>
    </cfRule>
    <cfRule type="cellIs" priority="720" operator="between" dxfId="426">
      <formula>0.1</formula>
      <formula>5</formula>
    </cfRule>
    <cfRule type="cellIs" priority="719" operator="between" dxfId="425">
      <formula>-10</formula>
      <formula>-0.1</formula>
    </cfRule>
  </conditionalFormatting>
  <conditionalFormatting sqref="GB2">
    <cfRule type="cellIs" priority="718" operator="greaterThan" dxfId="428">
      <formula>0</formula>
    </cfRule>
    <cfRule type="cellIs" priority="717" operator="lessThan" dxfId="427">
      <formula>0</formula>
    </cfRule>
    <cfRule type="cellIs" priority="716" operator="between" dxfId="426">
      <formula>0.05</formula>
      <formula>1.5</formula>
    </cfRule>
    <cfRule type="cellIs" priority="715" operator="between" dxfId="425">
      <formula>-0.2</formula>
      <formula>-0.05</formula>
    </cfRule>
    <cfRule type="cellIs" priority="714" operator="between" dxfId="426">
      <formula>0.1</formula>
      <formula>5</formula>
    </cfRule>
    <cfRule type="cellIs" priority="713" operator="between" dxfId="425">
      <formula>-10</formula>
      <formula>-0.1</formula>
    </cfRule>
  </conditionalFormatting>
  <conditionalFormatting sqref="GJ2">
    <cfRule type="cellIs" priority="712" operator="greaterThan" dxfId="428">
      <formula>0</formula>
    </cfRule>
    <cfRule type="cellIs" priority="711" operator="lessThan" dxfId="427">
      <formula>0</formula>
    </cfRule>
    <cfRule type="cellIs" priority="710" operator="between" dxfId="426">
      <formula>0.05</formula>
      <formula>1.5</formula>
    </cfRule>
    <cfRule type="cellIs" priority="709" operator="between" dxfId="425">
      <formula>-0.2</formula>
      <formula>-0.05</formula>
    </cfRule>
    <cfRule type="cellIs" priority="708" operator="between" dxfId="426">
      <formula>0.1</formula>
      <formula>5</formula>
    </cfRule>
    <cfRule type="cellIs" priority="707" operator="between" dxfId="425">
      <formula>-10</formula>
      <formula>-0.1</formula>
    </cfRule>
  </conditionalFormatting>
  <conditionalFormatting sqref="GR2">
    <cfRule type="cellIs" priority="706" operator="greaterThan" dxfId="428">
      <formula>0</formula>
    </cfRule>
    <cfRule type="cellIs" priority="705" operator="lessThan" dxfId="427">
      <formula>0</formula>
    </cfRule>
    <cfRule type="cellIs" priority="704" operator="between" dxfId="426">
      <formula>0.05</formula>
      <formula>1.5</formula>
    </cfRule>
    <cfRule type="cellIs" priority="703" operator="between" dxfId="425">
      <formula>-0.2</formula>
      <formula>-0.05</formula>
    </cfRule>
    <cfRule type="cellIs" priority="702" operator="between" dxfId="426">
      <formula>0.1</formula>
      <formula>5</formula>
    </cfRule>
    <cfRule type="cellIs" priority="701" operator="between" dxfId="425">
      <formula>-10</formula>
      <formula>-0.1</formula>
    </cfRule>
  </conditionalFormatting>
  <conditionalFormatting sqref="GZ2">
    <cfRule type="cellIs" priority="700" operator="greaterThan" dxfId="428">
      <formula>0</formula>
    </cfRule>
    <cfRule type="cellIs" priority="699" operator="lessThan" dxfId="427">
      <formula>0</formula>
    </cfRule>
    <cfRule type="cellIs" priority="698" operator="between" dxfId="426">
      <formula>0.05</formula>
      <formula>1.5</formula>
    </cfRule>
    <cfRule type="cellIs" priority="697" operator="between" dxfId="425">
      <formula>-0.2</formula>
      <formula>-0.05</formula>
    </cfRule>
    <cfRule type="cellIs" priority="696" operator="between" dxfId="426">
      <formula>0.1</formula>
      <formula>5</formula>
    </cfRule>
    <cfRule type="cellIs" priority="695" operator="between" dxfId="425">
      <formula>-10</formula>
      <formula>-0.1</formula>
    </cfRule>
  </conditionalFormatting>
  <conditionalFormatting sqref="HH2">
    <cfRule type="cellIs" priority="694" operator="greaterThan" dxfId="428">
      <formula>0</formula>
    </cfRule>
    <cfRule type="cellIs" priority="693" operator="lessThan" dxfId="427">
      <formula>0</formula>
    </cfRule>
    <cfRule type="cellIs" priority="692" operator="between" dxfId="426">
      <formula>0.05</formula>
      <formula>1.5</formula>
    </cfRule>
    <cfRule type="cellIs" priority="691" operator="between" dxfId="425">
      <formula>-0.2</formula>
      <formula>-0.05</formula>
    </cfRule>
    <cfRule type="cellIs" priority="690" operator="between" dxfId="426">
      <formula>0.1</formula>
      <formula>5</formula>
    </cfRule>
    <cfRule type="cellIs" priority="689" operator="between" dxfId="425">
      <formula>-10</formula>
      <formula>-0.1</formula>
    </cfRule>
  </conditionalFormatting>
  <conditionalFormatting sqref="HP2">
    <cfRule type="cellIs" priority="688" operator="greaterThan" dxfId="428">
      <formula>0</formula>
    </cfRule>
    <cfRule type="cellIs" priority="687" operator="lessThan" dxfId="427">
      <formula>0</formula>
    </cfRule>
    <cfRule type="cellIs" priority="686" operator="between" dxfId="426">
      <formula>0.05</formula>
      <formula>1.5</formula>
    </cfRule>
    <cfRule type="cellIs" priority="685" operator="between" dxfId="425">
      <formula>-0.2</formula>
      <formula>-0.05</formula>
    </cfRule>
    <cfRule type="cellIs" priority="684" operator="between" dxfId="426">
      <formula>0.1</formula>
      <formula>5</formula>
    </cfRule>
    <cfRule type="cellIs" priority="683" operator="between" dxfId="425">
      <formula>-10</formula>
      <formula>-0.1</formula>
    </cfRule>
  </conditionalFormatting>
  <conditionalFormatting sqref="HX2">
    <cfRule type="cellIs" priority="682" operator="greaterThan" dxfId="428">
      <formula>0</formula>
    </cfRule>
    <cfRule type="cellIs" priority="681" operator="lessThan" dxfId="427">
      <formula>0</formula>
    </cfRule>
    <cfRule type="cellIs" priority="680" operator="between" dxfId="426">
      <formula>0.05</formula>
      <formula>1.5</formula>
    </cfRule>
    <cfRule type="cellIs" priority="679" operator="between" dxfId="425">
      <formula>-0.2</formula>
      <formula>-0.05</formula>
    </cfRule>
    <cfRule type="cellIs" priority="678" operator="between" dxfId="426">
      <formula>0.1</formula>
      <formula>5</formula>
    </cfRule>
    <cfRule type="cellIs" priority="677" operator="between" dxfId="425">
      <formula>-10</formula>
      <formula>-0.1</formula>
    </cfRule>
  </conditionalFormatting>
  <conditionalFormatting sqref="IF2">
    <cfRule type="cellIs" priority="676" operator="greaterThan" dxfId="428">
      <formula>0</formula>
    </cfRule>
    <cfRule type="cellIs" priority="675" operator="lessThan" dxfId="427">
      <formula>0</formula>
    </cfRule>
    <cfRule type="cellIs" priority="674" operator="between" dxfId="426">
      <formula>0.05</formula>
      <formula>1.5</formula>
    </cfRule>
    <cfRule type="cellIs" priority="673" operator="between" dxfId="425">
      <formula>-0.2</formula>
      <formula>-0.05</formula>
    </cfRule>
    <cfRule type="cellIs" priority="672" operator="between" dxfId="426">
      <formula>0.1</formula>
      <formula>5</formula>
    </cfRule>
    <cfRule type="cellIs" priority="671" operator="between" dxfId="425">
      <formula>-10</formula>
      <formula>-0.1</formula>
    </cfRule>
  </conditionalFormatting>
  <conditionalFormatting sqref="IN2">
    <cfRule type="cellIs" priority="670" operator="greaterThan" dxfId="428">
      <formula>0</formula>
    </cfRule>
    <cfRule type="cellIs" priority="669" operator="lessThan" dxfId="427">
      <formula>0</formula>
    </cfRule>
    <cfRule type="cellIs" priority="668" operator="between" dxfId="426">
      <formula>0.05</formula>
      <formula>1.5</formula>
    </cfRule>
    <cfRule type="cellIs" priority="667" operator="between" dxfId="425">
      <formula>-0.2</formula>
      <formula>-0.05</formula>
    </cfRule>
    <cfRule type="cellIs" priority="666" operator="between" dxfId="426">
      <formula>0.1</formula>
      <formula>5</formula>
    </cfRule>
    <cfRule type="cellIs" priority="665" operator="between" dxfId="425">
      <formula>-10</formula>
      <formula>-0.1</formula>
    </cfRule>
  </conditionalFormatting>
  <conditionalFormatting sqref="IV2">
    <cfRule type="cellIs" priority="664" operator="greaterThan" dxfId="428">
      <formula>0</formula>
    </cfRule>
    <cfRule type="cellIs" priority="663" operator="lessThan" dxfId="427">
      <formula>0</formula>
    </cfRule>
    <cfRule type="cellIs" priority="662" operator="between" dxfId="426">
      <formula>0.05</formula>
      <formula>1.5</formula>
    </cfRule>
    <cfRule type="cellIs" priority="661" operator="between" dxfId="425">
      <formula>-0.2</formula>
      <formula>-0.05</formula>
    </cfRule>
    <cfRule type="cellIs" priority="660" operator="between" dxfId="426">
      <formula>0.1</formula>
      <formula>5</formula>
    </cfRule>
    <cfRule type="cellIs" priority="659" operator="between" dxfId="425">
      <formula>-10</formula>
      <formula>-0.1</formula>
    </cfRule>
  </conditionalFormatting>
  <conditionalFormatting sqref="JD2">
    <cfRule type="cellIs" priority="658" operator="greaterThan" dxfId="428">
      <formula>0</formula>
    </cfRule>
    <cfRule type="cellIs" priority="657" operator="lessThan" dxfId="427">
      <formula>0</formula>
    </cfRule>
    <cfRule type="cellIs" priority="656" operator="between" dxfId="426">
      <formula>0.05</formula>
      <formula>1.5</formula>
    </cfRule>
    <cfRule type="cellIs" priority="655" operator="between" dxfId="425">
      <formula>-0.2</formula>
      <formula>-0.05</formula>
    </cfRule>
    <cfRule type="cellIs" priority="654" operator="between" dxfId="426">
      <formula>0.1</formula>
      <formula>5</formula>
    </cfRule>
    <cfRule type="cellIs" priority="653" operator="between" dxfId="425">
      <formula>-10</formula>
      <formula>-0.1</formula>
    </cfRule>
  </conditionalFormatting>
  <conditionalFormatting sqref="JL2">
    <cfRule type="cellIs" priority="652" operator="greaterThan" dxfId="428">
      <formula>0</formula>
    </cfRule>
    <cfRule type="cellIs" priority="651" operator="lessThan" dxfId="427">
      <formula>0</formula>
    </cfRule>
    <cfRule type="cellIs" priority="650" operator="between" dxfId="426">
      <formula>0.05</formula>
      <formula>1.5</formula>
    </cfRule>
    <cfRule type="cellIs" priority="649" operator="between" dxfId="425">
      <formula>-0.2</formula>
      <formula>-0.05</formula>
    </cfRule>
    <cfRule type="cellIs" priority="648" operator="between" dxfId="426">
      <formula>0.1</formula>
      <formula>5</formula>
    </cfRule>
    <cfRule type="cellIs" priority="647" operator="between" dxfId="425">
      <formula>-10</formula>
      <formula>-0.1</formula>
    </cfRule>
  </conditionalFormatting>
  <conditionalFormatting sqref="JT2">
    <cfRule type="cellIs" priority="646" operator="greaterThan" dxfId="428">
      <formula>0</formula>
    </cfRule>
    <cfRule type="cellIs" priority="645" operator="lessThan" dxfId="427">
      <formula>0</formula>
    </cfRule>
    <cfRule type="cellIs" priority="644" operator="between" dxfId="426">
      <formula>0.05</formula>
      <formula>1.5</formula>
    </cfRule>
    <cfRule type="cellIs" priority="643" operator="between" dxfId="425">
      <formula>-0.2</formula>
      <formula>-0.05</formula>
    </cfRule>
    <cfRule type="cellIs" priority="642" operator="between" dxfId="426">
      <formula>0.1</formula>
      <formula>5</formula>
    </cfRule>
    <cfRule type="cellIs" priority="641" operator="between" dxfId="425">
      <formula>-10</formula>
      <formula>-0.1</formula>
    </cfRule>
  </conditionalFormatting>
  <conditionalFormatting sqref="KB2">
    <cfRule type="cellIs" priority="640" operator="greaterThan" dxfId="428">
      <formula>0</formula>
    </cfRule>
    <cfRule type="cellIs" priority="639" operator="lessThan" dxfId="427">
      <formula>0</formula>
    </cfRule>
    <cfRule type="cellIs" priority="638" operator="between" dxfId="426">
      <formula>0.05</formula>
      <formula>1.5</formula>
    </cfRule>
    <cfRule type="cellIs" priority="637" operator="between" dxfId="425">
      <formula>-0.2</formula>
      <formula>-0.05</formula>
    </cfRule>
    <cfRule type="cellIs" priority="636" operator="between" dxfId="426">
      <formula>0.1</formula>
      <formula>5</formula>
    </cfRule>
    <cfRule type="cellIs" priority="635" operator="between" dxfId="425">
      <formula>-10</formula>
      <formula>-0.1</formula>
    </cfRule>
  </conditionalFormatting>
  <conditionalFormatting sqref="KJ2">
    <cfRule type="cellIs" priority="634" operator="greaterThan" dxfId="428">
      <formula>0</formula>
    </cfRule>
    <cfRule type="cellIs" priority="633" operator="lessThan" dxfId="427">
      <formula>0</formula>
    </cfRule>
    <cfRule type="cellIs" priority="632" operator="between" dxfId="426">
      <formula>0.05</formula>
      <formula>1.5</formula>
    </cfRule>
    <cfRule type="cellIs" priority="631" operator="between" dxfId="425">
      <formula>-0.2</formula>
      <formula>-0.05</formula>
    </cfRule>
    <cfRule type="cellIs" priority="630" operator="between" dxfId="426">
      <formula>0.1</formula>
      <formula>5</formula>
    </cfRule>
    <cfRule type="cellIs" priority="629" operator="between" dxfId="425">
      <formula>-10</formula>
      <formula>-0.1</formula>
    </cfRule>
  </conditionalFormatting>
  <conditionalFormatting sqref="KR2">
    <cfRule type="cellIs" priority="628" operator="greaterThan" dxfId="428">
      <formula>0</formula>
    </cfRule>
    <cfRule type="cellIs" priority="627" operator="lessThan" dxfId="427">
      <formula>0</formula>
    </cfRule>
    <cfRule type="cellIs" priority="626" operator="between" dxfId="426">
      <formula>0.05</formula>
      <formula>1.5</formula>
    </cfRule>
    <cfRule type="cellIs" priority="625" operator="between" dxfId="425">
      <formula>-0.2</formula>
      <formula>-0.05</formula>
    </cfRule>
    <cfRule type="cellIs" priority="624" operator="between" dxfId="426">
      <formula>0.1</formula>
      <formula>5</formula>
    </cfRule>
    <cfRule type="cellIs" priority="623" operator="between" dxfId="425">
      <formula>-10</formula>
      <formula>-0.1</formula>
    </cfRule>
  </conditionalFormatting>
  <conditionalFormatting sqref="KZ2">
    <cfRule type="cellIs" priority="622" operator="greaterThan" dxfId="428">
      <formula>0</formula>
    </cfRule>
    <cfRule type="cellIs" priority="621" operator="lessThan" dxfId="427">
      <formula>0</formula>
    </cfRule>
    <cfRule type="cellIs" priority="620" operator="between" dxfId="426">
      <formula>0.05</formula>
      <formula>1.5</formula>
    </cfRule>
    <cfRule type="cellIs" priority="619" operator="between" dxfId="425">
      <formula>-0.2</formula>
      <formula>-0.05</formula>
    </cfRule>
    <cfRule type="cellIs" priority="618" operator="between" dxfId="426">
      <formula>0.1</formula>
      <formula>5</formula>
    </cfRule>
    <cfRule type="cellIs" priority="617" operator="between" dxfId="425">
      <formula>-10</formula>
      <formula>-0.1</formula>
    </cfRule>
  </conditionalFormatting>
  <conditionalFormatting sqref="LH2">
    <cfRule type="cellIs" priority="616" operator="greaterThan" dxfId="428">
      <formula>0</formula>
    </cfRule>
    <cfRule type="cellIs" priority="615" operator="lessThan" dxfId="427">
      <formula>0</formula>
    </cfRule>
    <cfRule type="cellIs" priority="614" operator="between" dxfId="426">
      <formula>0.05</formula>
      <formula>1.5</formula>
    </cfRule>
    <cfRule type="cellIs" priority="613" operator="between" dxfId="425">
      <formula>-0.2</formula>
      <formula>-0.05</formula>
    </cfRule>
    <cfRule type="cellIs" priority="612" operator="between" dxfId="426">
      <formula>0.1</formula>
      <formula>5</formula>
    </cfRule>
    <cfRule type="cellIs" priority="611" operator="between" dxfId="425">
      <formula>-10</formula>
      <formula>-0.1</formula>
    </cfRule>
  </conditionalFormatting>
  <conditionalFormatting sqref="LP2">
    <cfRule type="cellIs" priority="610" operator="greaterThan" dxfId="428">
      <formula>0</formula>
    </cfRule>
    <cfRule type="cellIs" priority="609" operator="lessThan" dxfId="427">
      <formula>0</formula>
    </cfRule>
    <cfRule type="cellIs" priority="608" operator="between" dxfId="426">
      <formula>0.05</formula>
      <formula>1.5</formula>
    </cfRule>
    <cfRule type="cellIs" priority="607" operator="between" dxfId="425">
      <formula>-0.2</formula>
      <formula>-0.05</formula>
    </cfRule>
    <cfRule type="cellIs" priority="606" operator="between" dxfId="426">
      <formula>0.1</formula>
      <formula>5</formula>
    </cfRule>
    <cfRule type="cellIs" priority="605" operator="between" dxfId="425">
      <formula>-10</formula>
      <formula>-0.1</formula>
    </cfRule>
  </conditionalFormatting>
  <conditionalFormatting sqref="LX2">
    <cfRule type="cellIs" priority="604" operator="greaterThan" dxfId="428">
      <formula>0</formula>
    </cfRule>
    <cfRule type="cellIs" priority="603" operator="lessThan" dxfId="427">
      <formula>0</formula>
    </cfRule>
    <cfRule type="cellIs" priority="602" operator="between" dxfId="426">
      <formula>0.05</formula>
      <formula>1.5</formula>
    </cfRule>
    <cfRule type="cellIs" priority="601" operator="between" dxfId="425">
      <formula>-0.2</formula>
      <formula>-0.05</formula>
    </cfRule>
    <cfRule type="cellIs" priority="600" operator="between" dxfId="426">
      <formula>0.1</formula>
      <formula>5</formula>
    </cfRule>
    <cfRule type="cellIs" priority="599" operator="between" dxfId="425">
      <formula>-10</formula>
      <formula>-0.1</formula>
    </cfRule>
  </conditionalFormatting>
  <conditionalFormatting sqref="MF2">
    <cfRule type="cellIs" priority="598" operator="greaterThan" dxfId="428">
      <formula>0</formula>
    </cfRule>
    <cfRule type="cellIs" priority="597" operator="lessThan" dxfId="427">
      <formula>0</formula>
    </cfRule>
    <cfRule type="cellIs" priority="596" operator="between" dxfId="426">
      <formula>0.05</formula>
      <formula>1.5</formula>
    </cfRule>
    <cfRule type="cellIs" priority="595" operator="between" dxfId="425">
      <formula>-0.2</formula>
      <formula>-0.05</formula>
    </cfRule>
    <cfRule type="cellIs" priority="594" operator="between" dxfId="426">
      <formula>0.1</formula>
      <formula>5</formula>
    </cfRule>
    <cfRule type="cellIs" priority="593" operator="between" dxfId="425">
      <formula>-10</formula>
      <formula>-0.1</formula>
    </cfRule>
  </conditionalFormatting>
  <conditionalFormatting sqref="MO2">
    <cfRule type="cellIs" priority="592" operator="greaterThan" dxfId="428">
      <formula>0</formula>
    </cfRule>
    <cfRule type="cellIs" priority="591" operator="lessThan" dxfId="427">
      <formula>0</formula>
    </cfRule>
    <cfRule type="cellIs" priority="590" operator="between" dxfId="426">
      <formula>0.05</formula>
      <formula>1.5</formula>
    </cfRule>
    <cfRule type="cellIs" priority="589" operator="between" dxfId="425">
      <formula>-0.2</formula>
      <formula>-0.05</formula>
    </cfRule>
    <cfRule type="cellIs" priority="588" operator="between" dxfId="426">
      <formula>0.1</formula>
      <formula>5</formula>
    </cfRule>
    <cfRule type="cellIs" priority="587" operator="between" dxfId="425">
      <formula>-10</formula>
      <formula>-0.1</formula>
    </cfRule>
  </conditionalFormatting>
  <conditionalFormatting sqref="MX2">
    <cfRule type="cellIs" priority="586" operator="greaterThan" dxfId="428">
      <formula>0</formula>
    </cfRule>
    <cfRule type="cellIs" priority="585" operator="lessThan" dxfId="427">
      <formula>0</formula>
    </cfRule>
    <cfRule type="cellIs" priority="584" operator="between" dxfId="426">
      <formula>0.05</formula>
      <formula>1.5</formula>
    </cfRule>
    <cfRule type="cellIs" priority="583" operator="between" dxfId="425">
      <formula>-0.2</formula>
      <formula>-0.05</formula>
    </cfRule>
    <cfRule type="cellIs" priority="582" operator="between" dxfId="426">
      <formula>0.1</formula>
      <formula>5</formula>
    </cfRule>
    <cfRule type="cellIs" priority="581" operator="between" dxfId="425">
      <formula>-10</formula>
      <formula>-0.1</formula>
    </cfRule>
  </conditionalFormatting>
  <conditionalFormatting sqref="NG2">
    <cfRule type="cellIs" priority="580" operator="greaterThan" dxfId="428">
      <formula>0</formula>
    </cfRule>
    <cfRule type="cellIs" priority="579" operator="lessThan" dxfId="427">
      <formula>0</formula>
    </cfRule>
    <cfRule type="cellIs" priority="578" operator="between" dxfId="426">
      <formula>0.05</formula>
      <formula>1.5</formula>
    </cfRule>
    <cfRule type="cellIs" priority="577" operator="between" dxfId="425">
      <formula>-0.2</formula>
      <formula>-0.05</formula>
    </cfRule>
    <cfRule type="cellIs" priority="576" operator="between" dxfId="426">
      <formula>0.1</formula>
      <formula>5</formula>
    </cfRule>
    <cfRule type="cellIs" priority="575" operator="between" dxfId="425">
      <formula>-10</formula>
      <formula>-0.1</formula>
    </cfRule>
  </conditionalFormatting>
  <conditionalFormatting sqref="NQ2">
    <cfRule type="cellIs" priority="574" operator="greaterThan" dxfId="428">
      <formula>0</formula>
    </cfRule>
    <cfRule type="cellIs" priority="573" operator="lessThan" dxfId="427">
      <formula>0</formula>
    </cfRule>
    <cfRule type="cellIs" priority="572" operator="between" dxfId="426">
      <formula>0.05</formula>
      <formula>1.5</formula>
    </cfRule>
    <cfRule type="cellIs" priority="571" operator="between" dxfId="425">
      <formula>-0.2</formula>
      <formula>-0.05</formula>
    </cfRule>
    <cfRule type="cellIs" priority="570" operator="between" dxfId="426">
      <formula>0.1</formula>
      <formula>5</formula>
    </cfRule>
    <cfRule type="cellIs" priority="569" operator="between" dxfId="425">
      <formula>-10</formula>
      <formula>-0.1</formula>
    </cfRule>
  </conditionalFormatting>
  <conditionalFormatting sqref="NY2">
    <cfRule type="cellIs" priority="568" operator="greaterThan" dxfId="428">
      <formula>0</formula>
    </cfRule>
    <cfRule type="cellIs" priority="567" operator="lessThan" dxfId="427">
      <formula>0</formula>
    </cfRule>
    <cfRule type="cellIs" priority="566" operator="between" dxfId="426">
      <formula>0.05</formula>
      <formula>1.5</formula>
    </cfRule>
    <cfRule type="cellIs" priority="565" operator="between" dxfId="425">
      <formula>-0.2</formula>
      <formula>-0.05</formula>
    </cfRule>
    <cfRule type="cellIs" priority="564" operator="between" dxfId="426">
      <formula>0.1</formula>
      <formula>5</formula>
    </cfRule>
    <cfRule type="cellIs" priority="563" operator="between" dxfId="425">
      <formula>-10</formula>
      <formula>-0.1</formula>
    </cfRule>
  </conditionalFormatting>
  <conditionalFormatting sqref="OG2">
    <cfRule type="cellIs" priority="562" operator="greaterThan" dxfId="428">
      <formula>0</formula>
    </cfRule>
    <cfRule type="cellIs" priority="561" operator="lessThan" dxfId="427">
      <formula>0</formula>
    </cfRule>
    <cfRule type="cellIs" priority="560" operator="between" dxfId="426">
      <formula>0.05</formula>
      <formula>1.5</formula>
    </cfRule>
    <cfRule type="cellIs" priority="559" operator="between" dxfId="425">
      <formula>-0.2</formula>
      <formula>-0.05</formula>
    </cfRule>
    <cfRule type="cellIs" priority="558" operator="between" dxfId="426">
      <formula>0.1</formula>
      <formula>5</formula>
    </cfRule>
    <cfRule type="cellIs" priority="557" operator="between" dxfId="425">
      <formula>-10</formula>
      <formula>-0.1</formula>
    </cfRule>
  </conditionalFormatting>
  <conditionalFormatting sqref="OO2">
    <cfRule type="cellIs" priority="556" operator="greaterThan" dxfId="428">
      <formula>0</formula>
    </cfRule>
    <cfRule type="cellIs" priority="555" operator="lessThan" dxfId="427">
      <formula>0</formula>
    </cfRule>
    <cfRule type="cellIs" priority="554" operator="between" dxfId="426">
      <formula>0.05</formula>
      <formula>1.5</formula>
    </cfRule>
    <cfRule type="cellIs" priority="553" operator="between" dxfId="425">
      <formula>-0.2</formula>
      <formula>-0.05</formula>
    </cfRule>
    <cfRule type="cellIs" priority="552" operator="between" dxfId="426">
      <formula>0.1</formula>
      <formula>5</formula>
    </cfRule>
    <cfRule type="cellIs" priority="551" operator="between" dxfId="425">
      <formula>-10</formula>
      <formula>-0.1</formula>
    </cfRule>
  </conditionalFormatting>
  <conditionalFormatting sqref="DG5">
    <cfRule type="cellIs" priority="995" operator="lessThan" dxfId="427">
      <formula>0</formula>
    </cfRule>
    <cfRule type="cellIs" priority="996" operator="greaterThan" dxfId="428">
      <formula>0</formula>
    </cfRule>
  </conditionalFormatting>
  <conditionalFormatting sqref="OX10">
    <cfRule type="cellIs" priority="550" operator="greaterThan" dxfId="428">
      <formula>0</formula>
    </cfRule>
    <cfRule type="cellIs" priority="549" operator="lessThan" dxfId="427">
      <formula>0</formula>
    </cfRule>
    <cfRule type="cellIs" priority="548" operator="between" dxfId="426">
      <formula>0.1</formula>
      <formula>3</formula>
    </cfRule>
    <cfRule type="cellIs" priority="547" operator="between" dxfId="425">
      <formula>-3</formula>
      <formula>-0.1</formula>
    </cfRule>
  </conditionalFormatting>
  <conditionalFormatting sqref="NB11">
    <cfRule type="cellIs" priority="1062" operator="lessThan" dxfId="427">
      <formula>0</formula>
    </cfRule>
  </conditionalFormatting>
  <conditionalFormatting sqref="A16:XFD16">
    <cfRule type="cellIs" priority="434" operator="greaterThan" dxfId="428">
      <formula>0</formula>
    </cfRule>
    <cfRule type="cellIs" priority="433" operator="lessThan" dxfId="427">
      <formula>0</formula>
    </cfRule>
  </conditionalFormatting>
  <conditionalFormatting sqref="H21">
    <cfRule type="cellIs" priority="36" operator="greaterThan" dxfId="428">
      <formula>0</formula>
    </cfRule>
    <cfRule type="cellIs" priority="35" operator="lessThan" dxfId="427">
      <formula>0</formula>
    </cfRule>
    <cfRule type="cellIs" priority="34" operator="between" dxfId="425">
      <formula>-1</formula>
      <formula>-0.2</formula>
    </cfRule>
  </conditionalFormatting>
  <conditionalFormatting sqref="P21">
    <cfRule type="cellIs" priority="33" operator="greaterThan" dxfId="428">
      <formula>0</formula>
    </cfRule>
    <cfRule type="cellIs" priority="32" operator="lessThan" dxfId="427">
      <formula>0</formula>
    </cfRule>
    <cfRule type="cellIs" priority="31" operator="between" dxfId="425">
      <formula>-1</formula>
      <formula>-0.2</formula>
    </cfRule>
  </conditionalFormatting>
  <conditionalFormatting sqref="BC21:BD21">
    <cfRule type="cellIs" priority="24" operator="greaterThan" dxfId="428">
      <formula>0</formula>
    </cfRule>
    <cfRule type="cellIs" priority="23" operator="lessThan" dxfId="427">
      <formula>0</formula>
    </cfRule>
    <cfRule type="cellIs" priority="22" operator="between" dxfId="426">
      <formula>0.05</formula>
      <formula>2</formula>
    </cfRule>
    <cfRule type="cellIs" priority="21" operator="between" dxfId="425">
      <formula>-0.05</formula>
      <formula>-3</formula>
    </cfRule>
  </conditionalFormatting>
  <conditionalFormatting sqref="BF21">
    <cfRule type="cellIs" priority="20" operator="greaterThan" dxfId="428">
      <formula>0</formula>
    </cfRule>
    <cfRule type="cellIs" priority="19" operator="lessThan" dxfId="427">
      <formula>0</formula>
    </cfRule>
  </conditionalFormatting>
  <conditionalFormatting sqref="BM21">
    <cfRule type="cellIs" priority="97" operator="between" dxfId="429">
      <formula>1</formula>
      <formula>50</formula>
    </cfRule>
    <cfRule type="cellIs" priority="96" operator="between" dxfId="428">
      <formula>1</formula>
      <formula>50</formula>
    </cfRule>
    <cfRule type="cellIs" priority="95" operator="between" dxfId="430">
      <formula>1</formula>
      <formula>50</formula>
    </cfRule>
    <cfRule type="cellIs" priority="94" operator="between" dxfId="429">
      <formula>1</formula>
      <formula>30</formula>
    </cfRule>
  </conditionalFormatting>
  <conditionalFormatting sqref="CI21">
    <cfRule type="cellIs" priority="110" operator="lessThan" dxfId="425">
      <formula>0</formula>
    </cfRule>
  </conditionalFormatting>
  <conditionalFormatting sqref="CQ21">
    <cfRule type="cellIs" priority="105" operator="greaterThan" dxfId="428">
      <formula>0</formula>
    </cfRule>
    <cfRule type="cellIs" priority="104" operator="lessThan" dxfId="427">
      <formula>0</formula>
    </cfRule>
  </conditionalFormatting>
  <conditionalFormatting sqref="CR21">
    <cfRule type="cellIs" priority="109" operator="greaterThan" dxfId="431">
      <formula>0.1</formula>
    </cfRule>
    <cfRule type="cellIs" priority="108" operator="greaterThan" dxfId="426">
      <formula>0.2</formula>
    </cfRule>
    <cfRule type="cellIs" priority="107" operator="greaterThan" dxfId="428">
      <formula>0</formula>
    </cfRule>
    <cfRule type="cellIs" priority="106" operator="lessThan" dxfId="427">
      <formula>0</formula>
    </cfRule>
    <cfRule type="cellIs" priority="103" operator="between" dxfId="426">
      <formula>0.1</formula>
      <formula>3</formula>
    </cfRule>
    <cfRule type="cellIs" priority="102" operator="between" dxfId="425">
      <formula>-3</formula>
      <formula>-0.1</formula>
    </cfRule>
  </conditionalFormatting>
  <conditionalFormatting sqref="EU21">
    <cfRule type="cellIs" priority="88" operator="greaterThan" dxfId="428">
      <formula>0</formula>
    </cfRule>
    <cfRule type="cellIs" priority="87" operator="lessThan" dxfId="427">
      <formula>0</formula>
    </cfRule>
  </conditionalFormatting>
  <conditionalFormatting sqref="EV21">
    <cfRule type="cellIs" priority="86" operator="between" dxfId="426">
      <formula>0.5</formula>
      <formula>30</formula>
    </cfRule>
    <cfRule type="cellIs" priority="85" operator="between" dxfId="425">
      <formula>-3</formula>
      <formula>-0.5</formula>
    </cfRule>
    <cfRule type="cellIs" priority="84" operator="greaterThan" dxfId="428">
      <formula>0</formula>
    </cfRule>
    <cfRule type="cellIs" priority="79" operator="lessThan" dxfId="427">
      <formula>0</formula>
    </cfRule>
    <cfRule type="cellIs" priority="78" operator="between" dxfId="425">
      <formula>-0.05</formula>
      <formula>-3</formula>
    </cfRule>
    <cfRule type="cellIs" priority="77" operator="between" dxfId="426">
      <formula>0.1</formula>
      <formula>3</formula>
    </cfRule>
  </conditionalFormatting>
  <conditionalFormatting sqref="MN21:MO21">
    <cfRule type="cellIs" priority="83" operator="greaterThan" dxfId="428">
      <formula>0</formula>
    </cfRule>
    <cfRule type="cellIs" priority="82" operator="lessThan" dxfId="427">
      <formula>0</formula>
    </cfRule>
  </conditionalFormatting>
  <conditionalFormatting sqref="MO21">
    <cfRule type="cellIs" priority="81" operator="between" dxfId="426">
      <formula>0.5</formula>
      <formula>5</formula>
    </cfRule>
    <cfRule type="cellIs" priority="80" operator="between" dxfId="425">
      <formula>-5</formula>
      <formula>-0.5</formula>
    </cfRule>
  </conditionalFormatting>
  <conditionalFormatting sqref="MP21">
    <cfRule type="cellIs" priority="48" operator="greaterThan" dxfId="428">
      <formula>0</formula>
    </cfRule>
    <cfRule type="cellIs" priority="47" operator="lessThan" dxfId="427">
      <formula>0</formula>
    </cfRule>
    <cfRule type="cellIs" priority="46" operator="between" dxfId="426">
      <formula>0.08</formula>
      <formula>20</formula>
    </cfRule>
    <cfRule type="cellIs" priority="45" operator="between" dxfId="425">
      <formula>-0.08</formula>
      <formula>-5</formula>
    </cfRule>
  </conditionalFormatting>
  <conditionalFormatting sqref="MV21">
    <cfRule type="cellIs" priority="89" operator="lessThan" dxfId="427">
      <formula>0</formula>
    </cfRule>
  </conditionalFormatting>
  <conditionalFormatting sqref="MW21:MX21">
    <cfRule type="cellIs" priority="76" operator="greaterThan" dxfId="428">
      <formula>0</formula>
    </cfRule>
    <cfRule type="cellIs" priority="75" operator="lessThan" dxfId="427">
      <formula>0</formula>
    </cfRule>
    <cfRule type="cellIs" priority="74" operator="between" dxfId="425">
      <formula>-0.1</formula>
      <formula>-5</formula>
    </cfRule>
    <cfRule type="cellIs" priority="73" operator="between" dxfId="426">
      <formula>0.1</formula>
      <formula>5</formula>
    </cfRule>
  </conditionalFormatting>
  <conditionalFormatting sqref="MX21">
    <cfRule type="cellIs" priority="72" operator="between" dxfId="426">
      <formula>0.1</formula>
      <formula>20</formula>
    </cfRule>
  </conditionalFormatting>
  <conditionalFormatting sqref="MY21">
    <cfRule type="cellIs" priority="6" operator="greaterThan" dxfId="428">
      <formula>0</formula>
    </cfRule>
    <cfRule type="cellIs" priority="5" operator="lessThan" dxfId="427">
      <formula>0</formula>
    </cfRule>
  </conditionalFormatting>
  <conditionalFormatting sqref="NF21:NG21">
    <cfRule type="cellIs" priority="71" operator="greaterThan" dxfId="428">
      <formula>0</formula>
    </cfRule>
    <cfRule type="cellIs" priority="70" operator="lessThan" dxfId="427">
      <formula>0</formula>
    </cfRule>
  </conditionalFormatting>
  <conditionalFormatting sqref="NG21">
    <cfRule type="cellIs" priority="69" operator="between" dxfId="426">
      <formula>0.1</formula>
      <formula>20</formula>
    </cfRule>
    <cfRule type="cellIs" priority="68" operator="between" dxfId="425">
      <formula>-10</formula>
      <formula>-5</formula>
    </cfRule>
    <cfRule type="cellIs" priority="67" operator="between" dxfId="425">
      <formula>-0.1</formula>
      <formula>-5</formula>
    </cfRule>
  </conditionalFormatting>
  <conditionalFormatting sqref="NH21">
    <cfRule type="cellIs" priority="52" operator="greaterThan" dxfId="428">
      <formula>0</formula>
    </cfRule>
    <cfRule type="cellIs" priority="51" operator="lessThan" dxfId="427">
      <formula>0</formula>
    </cfRule>
    <cfRule type="cellIs" priority="50" operator="between" dxfId="426">
      <formula>0.08</formula>
      <formula>20</formula>
    </cfRule>
    <cfRule type="cellIs" priority="49" operator="between" dxfId="425">
      <formula>-0.08</formula>
      <formula>-5</formula>
    </cfRule>
  </conditionalFormatting>
  <conditionalFormatting sqref="NP21:NQ21">
    <cfRule type="cellIs" priority="56" operator="greaterThan" dxfId="428">
      <formula>0</formula>
    </cfRule>
    <cfRule type="cellIs" priority="55" operator="lessThan" dxfId="427">
      <formula>0</formula>
    </cfRule>
  </conditionalFormatting>
  <conditionalFormatting sqref="NQ21">
    <cfRule type="cellIs" priority="54" operator="between" dxfId="426">
      <formula>0.05</formula>
      <formula>20</formula>
    </cfRule>
    <cfRule type="cellIs" priority="53" operator="between" dxfId="425">
      <formula>-0.05</formula>
      <formula>-5</formula>
    </cfRule>
  </conditionalFormatting>
  <conditionalFormatting sqref="NS21">
    <cfRule type="cellIs" priority="12" operator="greaterThan" dxfId="428">
      <formula>0</formula>
    </cfRule>
    <cfRule type="cellIs" priority="11" operator="lessThan" dxfId="427">
      <formula>0</formula>
    </cfRule>
  </conditionalFormatting>
  <conditionalFormatting sqref="NX21:NY21">
    <cfRule type="cellIs" priority="60" operator="greaterThan" dxfId="428">
      <formula>0</formula>
    </cfRule>
    <cfRule type="cellIs" priority="59" operator="lessThan" dxfId="427">
      <formula>0</formula>
    </cfRule>
  </conditionalFormatting>
  <conditionalFormatting sqref="NY21">
    <cfRule type="cellIs" priority="58" operator="between" dxfId="426">
      <formula>0.05</formula>
      <formula>20</formula>
    </cfRule>
    <cfRule type="cellIs" priority="57" operator="between" dxfId="425">
      <formula>-0.05</formula>
      <formula>-5</formula>
    </cfRule>
  </conditionalFormatting>
  <conditionalFormatting sqref="NZ21">
    <cfRule type="cellIs" priority="44" operator="greaterThan" dxfId="428">
      <formula>0</formula>
    </cfRule>
    <cfRule type="cellIs" priority="43" operator="lessThan" dxfId="427">
      <formula>0</formula>
    </cfRule>
  </conditionalFormatting>
  <conditionalFormatting sqref="OA21">
    <cfRule type="cellIs" priority="10" operator="greaterThan" dxfId="428">
      <formula>0</formula>
    </cfRule>
    <cfRule type="cellIs" priority="9" operator="lessThan" dxfId="427">
      <formula>0</formula>
    </cfRule>
  </conditionalFormatting>
  <conditionalFormatting sqref="OP21">
    <cfRule type="cellIs" priority="4" operator="greaterThan" dxfId="428">
      <formula>0</formula>
    </cfRule>
    <cfRule type="cellIs" priority="3" operator="lessThan" dxfId="427">
      <formula>0</formula>
    </cfRule>
  </conditionalFormatting>
  <conditionalFormatting sqref="OW21:OX21">
    <cfRule type="cellIs" priority="8" operator="greaterThan" dxfId="428">
      <formula>0</formula>
    </cfRule>
    <cfRule type="cellIs" priority="7" operator="lessThan" dxfId="427">
      <formula>0</formula>
    </cfRule>
  </conditionalFormatting>
  <conditionalFormatting sqref="OY21">
    <cfRule type="cellIs" priority="2" operator="greaterThan" dxfId="428">
      <formula>0</formula>
    </cfRule>
    <cfRule type="cellIs" priority="1" operator="lessThan" dxfId="427">
      <formula>0</formula>
    </cfRule>
  </conditionalFormatting>
  <conditionalFormatting sqref="A3:A4">
    <cfRule type="cellIs" priority="893" operator="lessThan" dxfId="427">
      <formula>0</formula>
    </cfRule>
  </conditionalFormatting>
  <conditionalFormatting sqref="H187:H317">
    <cfRule type="cellIs" priority="364" operator="between" dxfId="425">
      <formula>-1</formula>
      <formula>-0.2</formula>
    </cfRule>
    <cfRule type="cellIs" priority="365" operator="lessThan" dxfId="427">
      <formula>0</formula>
    </cfRule>
    <cfRule type="cellIs" priority="366" operator="greaterThan" dxfId="428">
      <formula>0</formula>
    </cfRule>
  </conditionalFormatting>
  <conditionalFormatting sqref="M5:M9">
    <cfRule type="cellIs" priority="819" operator="lessThan" dxfId="427">
      <formula>0</formula>
    </cfRule>
    <cfRule type="cellIs" priority="820" operator="greaterThan" dxfId="428">
      <formula>0</formula>
    </cfRule>
  </conditionalFormatting>
  <conditionalFormatting sqref="P187:P317">
    <cfRule type="cellIs" priority="361" operator="between" dxfId="425">
      <formula>-1</formula>
      <formula>-0.2</formula>
    </cfRule>
    <cfRule type="cellIs" priority="362" operator="lessThan" dxfId="427">
      <formula>0</formula>
    </cfRule>
    <cfRule type="cellIs" priority="363" operator="greaterThan" dxfId="428">
      <formula>0</formula>
    </cfRule>
  </conditionalFormatting>
  <conditionalFormatting sqref="BF187:BF317">
    <cfRule type="cellIs" priority="349" operator="lessThan" dxfId="427">
      <formula>0</formula>
    </cfRule>
    <cfRule type="cellIs" priority="350" operator="greaterThan" dxfId="428">
      <formula>0</formula>
    </cfRule>
  </conditionalFormatting>
  <conditionalFormatting sqref="BM187:BM317">
    <cfRule type="cellIs" priority="423" operator="between" dxfId="429">
      <formula>1</formula>
      <formula>30</formula>
    </cfRule>
    <cfRule type="cellIs" priority="424" operator="between" dxfId="430">
      <formula>1</formula>
      <formula>50</formula>
    </cfRule>
    <cfRule type="cellIs" priority="425" operator="between" dxfId="428">
      <formula>1</formula>
      <formula>50</formula>
    </cfRule>
    <cfRule type="cellIs" priority="426" operator="between" dxfId="429">
      <formula>1</formula>
      <formula>50</formula>
    </cfRule>
  </conditionalFormatting>
  <conditionalFormatting sqref="CI77:CI146">
    <cfRule type="cellIs" priority="1359" operator="lessThan" dxfId="427">
      <formula>0</formula>
    </cfRule>
    <cfRule type="cellIs" priority="1360" operator="greaterThan" dxfId="426">
      <formula>0</formula>
    </cfRule>
    <cfRule type="cellIs" priority="1364" operator="greaterThan" dxfId="428">
      <formula>0</formula>
    </cfRule>
  </conditionalFormatting>
  <conditionalFormatting sqref="CJ77:CJ146">
    <cfRule type="cellIs" priority="1353" operator="greaterThan" dxfId="426">
      <formula>0.2</formula>
    </cfRule>
    <cfRule type="cellIs" priority="1361" operator="lessThan" dxfId="425">
      <formula>0</formula>
    </cfRule>
    <cfRule type="cellIs" priority="1362" operator="greaterThan" dxfId="426">
      <formula>0</formula>
    </cfRule>
    <cfRule type="cellIs" priority="1365" operator="greaterThan" dxfId="428">
      <formula>0</formula>
    </cfRule>
    <cfRule type="cellIs" priority="1366" operator="greaterThan" dxfId="429">
      <formula>0</formula>
    </cfRule>
  </conditionalFormatting>
  <conditionalFormatting sqref="CR187:CR317">
    <cfRule type="cellIs" priority="431" operator="between" dxfId="425">
      <formula>-3</formula>
      <formula>-0.1</formula>
    </cfRule>
    <cfRule type="cellIs" priority="432" operator="between" dxfId="426">
      <formula>0.1</formula>
      <formula>3</formula>
    </cfRule>
  </conditionalFormatting>
  <conditionalFormatting sqref="DH3:DH9">
    <cfRule type="cellIs" priority="1012" operator="between" dxfId="426">
      <formula>0.1</formula>
      <formula>10</formula>
    </cfRule>
  </conditionalFormatting>
  <conditionalFormatting sqref="DO4:DO9">
    <cfRule type="cellIs" priority="1013" operator="between" dxfId="425">
      <formula>-0.05</formula>
      <formula>-5</formula>
    </cfRule>
    <cfRule type="cellIs" priority="1014" operator="between" dxfId="426">
      <formula>0.05</formula>
      <formula>5</formula>
    </cfRule>
  </conditionalFormatting>
  <conditionalFormatting sqref="DO6:DO7">
    <cfRule type="cellIs" priority="993" operator="lessThan" dxfId="427">
      <formula>0</formula>
    </cfRule>
    <cfRule type="cellIs" priority="994" operator="greaterThan" dxfId="428">
      <formula>0</formula>
    </cfRule>
  </conditionalFormatting>
  <conditionalFormatting sqref="DP3:DP9">
    <cfRule type="cellIs" priority="1010" operator="between" dxfId="425">
      <formula>-0.1</formula>
      <formula>-5</formula>
    </cfRule>
    <cfRule type="cellIs" priority="1011" operator="between" dxfId="426">
      <formula>0.1</formula>
      <formula>10</formula>
    </cfRule>
  </conditionalFormatting>
  <conditionalFormatting sqref="DW3:DW9">
    <cfRule type="cellIs" priority="1008" operator="between" dxfId="425">
      <formula>-0.05</formula>
      <formula>-5</formula>
    </cfRule>
    <cfRule type="cellIs" priority="1009" operator="between" dxfId="426">
      <formula>0.05</formula>
      <formula>5</formula>
    </cfRule>
  </conditionalFormatting>
  <conditionalFormatting sqref="EE4:EE9">
    <cfRule type="cellIs" priority="1006" operator="between" dxfId="425">
      <formula>-0.05</formula>
      <formula>-5</formula>
    </cfRule>
    <cfRule type="cellIs" priority="1007" operator="between" dxfId="426">
      <formula>0.05</formula>
      <formula>5</formula>
    </cfRule>
  </conditionalFormatting>
  <conditionalFormatting sqref="EK3:EK9">
    <cfRule type="cellIs" priority="1306" operator="lessThan" dxfId="427">
      <formula>0</formula>
    </cfRule>
    <cfRule type="cellIs" priority="1307" operator="greaterThan" dxfId="428">
      <formula>0</formula>
    </cfRule>
  </conditionalFormatting>
  <conditionalFormatting sqref="EM3:EM9">
    <cfRule type="cellIs" priority="1004" operator="between" dxfId="425">
      <formula>-0.05</formula>
      <formula>-5</formula>
    </cfRule>
    <cfRule type="cellIs" priority="1005" operator="between" dxfId="426">
      <formula>0.05</formula>
      <formula>5</formula>
    </cfRule>
  </conditionalFormatting>
  <conditionalFormatting sqref="EN3:EN9">
    <cfRule type="cellIs" priority="1002" operator="between" dxfId="425">
      <formula>-0.1</formula>
      <formula>-5</formula>
    </cfRule>
    <cfRule type="cellIs" priority="1003" operator="between" dxfId="426">
      <formula>0.1</formula>
      <formula>8</formula>
    </cfRule>
  </conditionalFormatting>
  <conditionalFormatting sqref="EU187:EU317">
    <cfRule type="cellIs" priority="417" operator="lessThan" dxfId="427">
      <formula>0</formula>
    </cfRule>
    <cfRule type="cellIs" priority="418" operator="greaterThan" dxfId="428">
      <formula>0</formula>
    </cfRule>
  </conditionalFormatting>
  <conditionalFormatting sqref="EV10:EV11">
    <cfRule type="cellIs" priority="1325" operator="between" dxfId="425">
      <formula>-3</formula>
      <formula>-0.1</formula>
    </cfRule>
    <cfRule type="cellIs" priority="1326" operator="between" dxfId="426">
      <formula>0.1</formula>
      <formula>3</formula>
    </cfRule>
  </conditionalFormatting>
  <conditionalFormatting sqref="EV187:EV317">
    <cfRule type="cellIs" priority="407" operator="between" dxfId="426">
      <formula>0.1</formula>
      <formula>3</formula>
    </cfRule>
    <cfRule type="cellIs" priority="408" operator="between" dxfId="425">
      <formula>-0.05</formula>
      <formula>-3</formula>
    </cfRule>
    <cfRule type="cellIs" priority="409" operator="lessThan" dxfId="427">
      <formula>0</formula>
    </cfRule>
    <cfRule type="cellIs" priority="414" operator="greaterThan" dxfId="428">
      <formula>0</formula>
    </cfRule>
    <cfRule type="cellIs" priority="415" operator="between" dxfId="425">
      <formula>-3</formula>
      <formula>-0.5</formula>
    </cfRule>
    <cfRule type="cellIs" priority="416" operator="between" dxfId="426">
      <formula>0.5</formula>
      <formula>30</formula>
    </cfRule>
  </conditionalFormatting>
  <conditionalFormatting sqref="FB3:FB9">
    <cfRule type="cellIs" priority="975" operator="lessThan" dxfId="427">
      <formula>0</formula>
    </cfRule>
    <cfRule type="cellIs" priority="976" operator="greaterThan" dxfId="428">
      <formula>0</formula>
    </cfRule>
  </conditionalFormatting>
  <conditionalFormatting sqref="FC4:FC9">
    <cfRule type="cellIs" priority="1000" operator="between" dxfId="425">
      <formula>-0.05</formula>
      <formula>-5</formula>
    </cfRule>
    <cfRule type="cellIs" priority="1001" operator="between" dxfId="426">
      <formula>0.05</formula>
      <formula>5</formula>
    </cfRule>
  </conditionalFormatting>
  <conditionalFormatting sqref="GO3:GO9">
    <cfRule type="cellIs" priority="1304" operator="lessThan" dxfId="427">
      <formula>0</formula>
    </cfRule>
    <cfRule type="cellIs" priority="1305" operator="greaterThan" dxfId="428">
      <formula>0</formula>
    </cfRule>
  </conditionalFormatting>
  <conditionalFormatting sqref="GX3:GX9">
    <cfRule type="cellIs" priority="913" operator="lessThan" dxfId="427">
      <formula>0</formula>
    </cfRule>
    <cfRule type="cellIs" priority="914" operator="greaterThan" dxfId="428">
      <formula>0</formula>
    </cfRule>
  </conditionalFormatting>
  <conditionalFormatting sqref="HF3:HF9">
    <cfRule type="cellIs" priority="911" operator="lessThan" dxfId="427">
      <formula>0</formula>
    </cfRule>
    <cfRule type="cellIs" priority="912" operator="greaterThan" dxfId="428">
      <formula>0</formula>
    </cfRule>
  </conditionalFormatting>
  <conditionalFormatting sqref="JI3:JI9">
    <cfRule type="cellIs" priority="1110" operator="lessThan" dxfId="427">
      <formula>0</formula>
    </cfRule>
  </conditionalFormatting>
  <conditionalFormatting sqref="JJ3:JJ9">
    <cfRule type="cellIs" priority="973" operator="lessThan" dxfId="427">
      <formula>0</formula>
    </cfRule>
    <cfRule type="cellIs" priority="974" operator="greaterThan" dxfId="428">
      <formula>0</formula>
    </cfRule>
  </conditionalFormatting>
  <conditionalFormatting sqref="JS3:JS9">
    <cfRule type="cellIs" priority="1031" operator="between" dxfId="426">
      <formula>0.1</formula>
      <formula>10</formula>
    </cfRule>
    <cfRule type="cellIs" priority="1032" operator="between" dxfId="425">
      <formula>-0.1</formula>
      <formula>-2</formula>
    </cfRule>
  </conditionalFormatting>
  <conditionalFormatting sqref="JY3:JY9">
    <cfRule type="cellIs" priority="1109" operator="lessThan" dxfId="427">
      <formula>0</formula>
    </cfRule>
  </conditionalFormatting>
  <conditionalFormatting sqref="KG3:KG9">
    <cfRule type="cellIs" priority="1108" operator="lessThan" dxfId="427">
      <formula>0</formula>
    </cfRule>
  </conditionalFormatting>
  <conditionalFormatting sqref="LG3:LG9">
    <cfRule type="cellIs" priority="977" operator="between" dxfId="425">
      <formula>-0.08</formula>
      <formula>-5</formula>
    </cfRule>
    <cfRule type="cellIs" priority="978" operator="between" dxfId="426">
      <formula>0.08</formula>
      <formula>20</formula>
    </cfRule>
    <cfRule type="cellIs" priority="979" operator="lessThan" dxfId="427">
      <formula>0</formula>
    </cfRule>
    <cfRule type="cellIs" priority="980" operator="greaterThan" dxfId="428">
      <formula>0</formula>
    </cfRule>
    <cfRule type="cellIs" priority="1029" operator="between" dxfId="425">
      <formula>-0.06</formula>
      <formula>-5</formula>
    </cfRule>
    <cfRule type="cellIs" priority="1030" operator="between" dxfId="426">
      <formula>0.06</formula>
      <formula>5</formula>
    </cfRule>
  </conditionalFormatting>
  <conditionalFormatting sqref="LH3:LH9">
    <cfRule type="cellIs" priority="1027" operator="between" dxfId="425">
      <formula>-0.1</formula>
      <formula>-5</formula>
    </cfRule>
    <cfRule type="cellIs" priority="1028" operator="between" dxfId="426">
      <formula>0.1</formula>
      <formula>10</formula>
    </cfRule>
  </conditionalFormatting>
  <conditionalFormatting sqref="MO10:MO11">
    <cfRule type="cellIs" priority="1314" operator="between" dxfId="425">
      <formula>-3</formula>
      <formula>-0.1</formula>
    </cfRule>
    <cfRule type="cellIs" priority="1315" operator="between" dxfId="426">
      <formula>0.1</formula>
      <formula>3</formula>
    </cfRule>
  </conditionalFormatting>
  <conditionalFormatting sqref="MO187:MO317">
    <cfRule type="cellIs" priority="410" operator="between" dxfId="425">
      <formula>-5</formula>
      <formula>-0.5</formula>
    </cfRule>
    <cfRule type="cellIs" priority="411" operator="between" dxfId="426">
      <formula>0.5</formula>
      <formula>5</formula>
    </cfRule>
  </conditionalFormatting>
  <conditionalFormatting sqref="MP187:MP317">
    <cfRule type="cellIs" priority="375" operator="between" dxfId="425">
      <formula>-0.08</formula>
      <formula>-5</formula>
    </cfRule>
    <cfRule type="cellIs" priority="376" operator="between" dxfId="426">
      <formula>0.08</formula>
      <formula>20</formula>
    </cfRule>
    <cfRule type="cellIs" priority="377" operator="lessThan" dxfId="427">
      <formula>0</formula>
    </cfRule>
    <cfRule type="cellIs" priority="378" operator="greaterThan" dxfId="428">
      <formula>0</formula>
    </cfRule>
  </conditionalFormatting>
  <conditionalFormatting sqref="MW3:MW9">
    <cfRule type="cellIs" priority="1025" operator="between" dxfId="425">
      <formula>-0.1</formula>
      <formula>-5</formula>
    </cfRule>
    <cfRule type="cellIs" priority="1026" operator="between" dxfId="426">
      <formula>0.1</formula>
      <formula>20</formula>
    </cfRule>
  </conditionalFormatting>
  <conditionalFormatting sqref="MW10:MW11">
    <cfRule type="cellIs" priority="1100" operator="lessThan" dxfId="427">
      <formula>0</formula>
    </cfRule>
    <cfRule type="cellIs" priority="1101" operator="greaterThan" dxfId="428">
      <formula>0</formula>
    </cfRule>
  </conditionalFormatting>
  <conditionalFormatting sqref="MX10:MX11">
    <cfRule type="cellIs" priority="1096" operator="between" dxfId="425">
      <formula>-3</formula>
      <formula>-0.1</formula>
    </cfRule>
    <cfRule type="cellIs" priority="1097" operator="between" dxfId="426">
      <formula>0.1</formula>
      <formula>3</formula>
    </cfRule>
    <cfRule type="cellIs" priority="1098" operator="lessThan" dxfId="427">
      <formula>0</formula>
    </cfRule>
    <cfRule type="cellIs" priority="1099" operator="greaterThan" dxfId="428">
      <formula>0</formula>
    </cfRule>
  </conditionalFormatting>
  <conditionalFormatting sqref="MX197:MX317">
    <cfRule type="cellIs" priority="402" operator="between" dxfId="426">
      <formula>0.1</formula>
      <formula>20</formula>
    </cfRule>
  </conditionalFormatting>
  <conditionalFormatting sqref="NF3:NF9">
    <cfRule type="cellIs" priority="1023" operator="between" dxfId="425">
      <formula>-0.1</formula>
      <formula>-5</formula>
    </cfRule>
    <cfRule type="cellIs" priority="1024" operator="between" dxfId="426">
      <formula>0.1</formula>
      <formula>20</formula>
    </cfRule>
  </conditionalFormatting>
  <conditionalFormatting sqref="NF10:NF11">
    <cfRule type="cellIs" priority="1060" operator="lessThan" dxfId="427">
      <formula>0</formula>
    </cfRule>
    <cfRule type="cellIs" priority="1061" operator="greaterThan" dxfId="428">
      <formula>0</formula>
    </cfRule>
  </conditionalFormatting>
  <conditionalFormatting sqref="NG10:NG11">
    <cfRule type="cellIs" priority="1051" operator="between" dxfId="426">
      <formula>0.1</formula>
      <formula>20</formula>
    </cfRule>
    <cfRule type="cellIs" priority="1056" operator="between" dxfId="425">
      <formula>-3</formula>
      <formula>-0.1</formula>
    </cfRule>
    <cfRule type="cellIs" priority="1057" operator="between" dxfId="426">
      <formula>0.1</formula>
      <formula>3</formula>
    </cfRule>
    <cfRule type="cellIs" priority="1058" operator="lessThan" dxfId="427">
      <formula>0</formula>
    </cfRule>
    <cfRule type="cellIs" priority="1059" operator="greaterThan" dxfId="428">
      <formula>0</formula>
    </cfRule>
  </conditionalFormatting>
  <conditionalFormatting sqref="NG187:NG317">
    <cfRule type="cellIs" priority="397" operator="between" dxfId="425">
      <formula>-0.1</formula>
      <formula>-5</formula>
    </cfRule>
    <cfRule type="cellIs" priority="398" operator="between" dxfId="425">
      <formula>-10</formula>
      <formula>-5</formula>
    </cfRule>
    <cfRule type="cellIs" priority="399" operator="between" dxfId="426">
      <formula>0.1</formula>
      <formula>20</formula>
    </cfRule>
  </conditionalFormatting>
  <conditionalFormatting sqref="NH187:NH317">
    <cfRule type="cellIs" priority="379" operator="between" dxfId="425">
      <formula>-0.08</formula>
      <formula>-5</formula>
    </cfRule>
    <cfRule type="cellIs" priority="380" operator="between" dxfId="426">
      <formula>0.08</formula>
      <formula>20</formula>
    </cfRule>
    <cfRule type="cellIs" priority="381" operator="lessThan" dxfId="427">
      <formula>0</formula>
    </cfRule>
    <cfRule type="cellIs" priority="382" operator="greaterThan" dxfId="428">
      <formula>0</formula>
    </cfRule>
  </conditionalFormatting>
  <conditionalFormatting sqref="NP3:NP9">
    <cfRule type="cellIs" priority="915" operator="between" dxfId="425">
      <formula>-0.08</formula>
      <formula>-5</formula>
    </cfRule>
    <cfRule type="cellIs" priority="916" operator="between" dxfId="426">
      <formula>0.08</formula>
      <formula>20</formula>
    </cfRule>
  </conditionalFormatting>
  <conditionalFormatting sqref="NP10:NP11">
    <cfRule type="cellIs" priority="945" operator="lessThan" dxfId="427">
      <formula>0</formula>
    </cfRule>
    <cfRule type="cellIs" priority="946" operator="greaterThan" dxfId="428">
      <formula>0</formula>
    </cfRule>
  </conditionalFormatting>
  <conditionalFormatting sqref="NQ3:NQ9">
    <cfRule type="cellIs" priority="917" operator="between" dxfId="425">
      <formula>-0.16</formula>
      <formula>-5</formula>
    </cfRule>
    <cfRule type="cellIs" priority="918" operator="between" dxfId="426">
      <formula>0.16</formula>
      <formula>20</formula>
    </cfRule>
    <cfRule type="cellIs" priority="919" operator="lessThan" dxfId="427">
      <formula>0</formula>
    </cfRule>
    <cfRule type="cellIs" priority="920" operator="greaterThan" dxfId="428">
      <formula>0</formula>
    </cfRule>
  </conditionalFormatting>
  <conditionalFormatting sqref="NQ10:NQ11">
    <cfRule type="cellIs" priority="931" operator="between" dxfId="425">
      <formula>-0.1</formula>
      <formula>-3</formula>
    </cfRule>
    <cfRule type="cellIs" priority="932" operator="between" dxfId="426">
      <formula>0.1</formula>
      <formula>20</formula>
    </cfRule>
    <cfRule type="cellIs" priority="933" operator="between" dxfId="425">
      <formula>-10</formula>
      <formula>-5</formula>
    </cfRule>
    <cfRule type="cellIs" priority="934" operator="between" dxfId="426">
      <formula>0.1</formula>
      <formula>5</formula>
    </cfRule>
    <cfRule type="cellIs" priority="941" operator="between" dxfId="425">
      <formula>-3</formula>
      <formula>-0.1</formula>
    </cfRule>
    <cfRule type="cellIs" priority="942" operator="between" dxfId="426">
      <formula>0.1</formula>
      <formula>3</formula>
    </cfRule>
    <cfRule type="cellIs" priority="943" operator="lessThan" dxfId="427">
      <formula>0</formula>
    </cfRule>
    <cfRule type="cellIs" priority="944" operator="greaterThan" dxfId="428">
      <formula>0</formula>
    </cfRule>
  </conditionalFormatting>
  <conditionalFormatting sqref="NQ187:NQ317">
    <cfRule type="cellIs" priority="383" operator="between" dxfId="425">
      <formula>-0.05</formula>
      <formula>-5</formula>
    </cfRule>
    <cfRule type="cellIs" priority="384" operator="between" dxfId="426">
      <formula>0.05</formula>
      <formula>20</formula>
    </cfRule>
  </conditionalFormatting>
  <conditionalFormatting sqref="NS187:NS317">
    <cfRule type="cellIs" priority="341" operator="lessThan" dxfId="427">
      <formula>0</formula>
    </cfRule>
    <cfRule type="cellIs" priority="342" operator="greaterThan" dxfId="428">
      <formula>0</formula>
    </cfRule>
  </conditionalFormatting>
  <conditionalFormatting sqref="NX3:NX9">
    <cfRule type="cellIs" priority="947" operator="between" dxfId="425">
      <formula>-0.08</formula>
      <formula>-5</formula>
    </cfRule>
    <cfRule type="cellIs" priority="948" operator="between" dxfId="426">
      <formula>0.08</formula>
      <formula>20</formula>
    </cfRule>
  </conditionalFormatting>
  <conditionalFormatting sqref="NY3:NY9">
    <cfRule type="cellIs" priority="949" operator="between" dxfId="425">
      <formula>-0.16</formula>
      <formula>-5</formula>
    </cfRule>
    <cfRule type="cellIs" priority="950" operator="between" dxfId="426">
      <formula>0.16</formula>
      <formula>20</formula>
    </cfRule>
  </conditionalFormatting>
  <conditionalFormatting sqref="NY10:NY11">
    <cfRule type="cellIs" priority="961" operator="between" dxfId="425">
      <formula>-3</formula>
      <formula>-0.1</formula>
    </cfRule>
    <cfRule type="cellIs" priority="962" operator="between" dxfId="426">
      <formula>0.1</formula>
      <formula>3</formula>
    </cfRule>
  </conditionalFormatting>
  <conditionalFormatting sqref="NY187:NY317">
    <cfRule type="cellIs" priority="387" operator="between" dxfId="425">
      <formula>-0.05</formula>
      <formula>-5</formula>
    </cfRule>
    <cfRule type="cellIs" priority="388" operator="between" dxfId="426">
      <formula>0.05</formula>
      <formula>20</formula>
    </cfRule>
  </conditionalFormatting>
  <conditionalFormatting sqref="NZ187:NZ317">
    <cfRule type="cellIs" priority="373" operator="lessThan" dxfId="427">
      <formula>0</formula>
    </cfRule>
    <cfRule type="cellIs" priority="374" operator="greaterThan" dxfId="428">
      <formula>0</formula>
    </cfRule>
  </conditionalFormatting>
  <conditionalFormatting sqref="OA187:OA317">
    <cfRule type="cellIs" priority="339" operator="lessThan" dxfId="427">
      <formula>0</formula>
    </cfRule>
    <cfRule type="cellIs" priority="340" operator="greaterThan" dxfId="428">
      <formula>0</formula>
    </cfRule>
  </conditionalFormatting>
  <conditionalFormatting sqref="OD3:OD9">
    <cfRule type="cellIs" priority="1106" operator="lessThan" dxfId="427">
      <formula>0</formula>
    </cfRule>
    <cfRule type="cellIs" priority="1107" operator="greaterThan" dxfId="428">
      <formula>0</formula>
    </cfRule>
  </conditionalFormatting>
  <conditionalFormatting sqref="OL3:OL9">
    <cfRule type="cellIs" priority="1104" operator="lessThan" dxfId="427">
      <formula>0</formula>
    </cfRule>
    <cfRule type="cellIs" priority="1105" operator="greaterThan" dxfId="428">
      <formula>0</formula>
    </cfRule>
  </conditionalFormatting>
  <conditionalFormatting sqref="F1:G1 F10:G11 F13:G13 F14:G14 F15:G15 F16:G17 F18:G18 F19:G19 F20:G20 F22:G22 F23:G23 F24:G24 F25:G25 F26:G26 F27:G27 F28:G28 F29:G29 F30:G30 F31:G31 F32:G32 F33:G33 F34:G34 F35:G35 F36:G36 F37:G37 F38:G38 F39:G39 F40:G40 F41:G41 F42:G51 F52:G52 F53:G53 F54:G54 F55:G55 F56:G56 F57:G57 F58:G58 F59:G59 F60:G60 F61:G147 G2 G6:G7 G8:G9 N1:O1 N10:O11 N13:O13 N14:O14 N15:O15 N16:O17 N18:O18 N19:O19 N20:O20 N22:O22 N23:O23 N24:O24 N25:O25 N26:O26 N27:O27 N28:O28 N29:O29 N30:O30 N31:O31 N32:O32 N33:O33 N34:O34 N35:O35 N36:O36 N37:O37 N38:O38 N39:O39 N40:O40 N41:O41 N42:O51 N52:O52 N53:O53 N54:O54 N55:O55 N56:O56 N57:O57 N58:O58 N59:O59 N60:O60 N61:O147 O6:O7 O8:O9 V1:W1 V10:W11 V13:W13 V14:W14 V15:W15 V16:W17 V18:W18 V19:W19 V20:W20 V22:W22 V23:W23 V24:W24 V25:W25 V26:W26 V27:W27 V28:W28 V29:W29 V30:W30 V31:W31 V32:W32 V33:W33 V34:W34 V35:W35 V36:W36 V37:W37 V38:W38 V39:W39 V40:W40 V41:W41 V42:W51 V52:W52 V53:W53 V54:W54 V55:W55 V56:W56 V57:W57 V58:W58 V59:W59 V60:W60 V61:W147 W6:W7 W8:W9 AD1:AE1 AD10:AE11 AD13:AE13 AD14:AE14 AD15:AE15 AD16:AE17 AD18:AE18 AD19:AE19 AD20:AE20 AD22:AE22 AD23:AE23 AD24:AE24 AD25:AE25 AD26:AE26 AD27:AE27 AD28:AE28 AD29:AE29 AD30:AE30 AD31:AE31 AD32:AE32 AD33:AE33 AD34:AE34 AD35:AE35 AD36:AE36 AD37:AE37 AD38:AE38 AD39:AE39 AD40:AE40 AD41:AE41 AD42:AE51 AD52:AE52 AD53:AE53 AD54:AE54 AD55:AE55 AD56:AE56 AD57:AE57 AD58:AE58 AD59:AE59 AD60:AE60 AD61:AE147 AE6:AE7 AE8:AE9 AL1:AM1 AL10:AM11 AL13:AM13 AL14:AM14 AL15:AM15 AL16:AM17 AL18:AM18 AL19:AM19 AL20:AM20 AL22:AM22 AL23:AM23 AL24:AM24 AL25:AM25 AL26:AM26 AL27:AM27 AL28:AM28 AL29:AM29 AL30:AM30 AL31:AM31 AL32:AM32 AL33:AM33 AL34:AM34 AL35:AM35 AL36:AM36 AL37:AM37 AL38:AM38 AL39:AM39 AL40:AM40 AL41:AM41 AL42:AM51 AL52:AM52 AL53:AM53 AL54:AM54 AL55:AM55 AL56:AM56 AL57:AM57 AL58:AM58 AL59:AM59 AL60:AM60 AL61:AM147 AM6:AM7 AM8:AM9 AT1:AU1 AT10:AU11 AT13:AU13 AT14:AU14 AT15:AU15 AT16:AU17 AT18:AU18 AT19:AU19 AT20:AU20 AT22:AU22 AT23:AU23 AT24:AU24 AT25:AU25 AT26:AU26 AT27:AU27 AT28:AU28 AT29:AU29 AT30:AU30 AT31:AU31 AT32:AU32 AT33:AU33 AT34:AU34 AT35:AU35 AT36:AU36 AT37:AU37 AT38:AU38 AT39:AU39 AT40:AU40 AT41:AU41 AT42:AU51 AT52:AU52 AT53:AU53 AT54:AU54 AT55:AU55 AT56:AU56 AT57:AU57 AT58:AU58 AT59:AU59 AT60:AU60 AT61:AU147 AU6:AU7 AU8:AU9">
    <cfRule type="cellIs" priority="898" operator="lessThan" dxfId="427">
      <formula>0</formula>
    </cfRule>
    <cfRule type="cellIs" priority="899" operator="greaterThan" dxfId="428">
      <formula>0</formula>
    </cfRule>
  </conditionalFormatting>
  <conditionalFormatting sqref="G1 G2 G6:G7 G8:G9 G10:G11 G13 G14 G15 G16:G17 G18 G19 G20 G22 G23 G24 G25 G26 G27 G28 G29 G30 G31 G32 G33 G34 G35 G36 G37 G38 G39 G40 G41 G42:G51 G52 G53 G54 G55 G56 G57 G58 G59 G60 G61:G147 O1 O6:O7 O8:O9 O10:O11 O13 O14 O15 O16:O17 O18 O19 O20 O22 O23 O24 O25 O26 O27 O28 O29 O30 O31 O32 O33 O34 O35 O36 O37 O38 O39 O40 O41 O42:O51 O52 O53 O54 O55 O56 O57 O58 O59 O60 O61:O147 W1 W6:W7 W8:W9 W10:W11 W13 W14 W15 W16:W17 W18 W19 W20 W22 W23 W24 W25 W26 W27 W28 W29 W30 W31 W32 W33 W34 W35 W36 W37 W38 W39 W40 W41 W42:W51 W52 W53 W54 W55 W56 W57 W58 W59 W60 W61:W147 AE1 AE6:AE7 AE8:AE9 AE10:AE11 AE13 AE14 AE15 AE16:AE17 AE18 AE19 AE20 AE22 AE23 AE24 AE25 AE26 AE27 AE28 AE29 AE30 AE31 AE32 AE33 AE34 AE35 AE36 AE37 AE38 AE39 AE40 AE41 AE42:AE51 AE52 AE53 AE54 AE55 AE56 AE57 AE58 AE59 AE60 AE61:AE147 AM1 AM6:AM7 AM8:AM9 AM10:AM11 AM13 AM14 AM15 AM16:AM17 AM18 AM19 AM20 AM22 AM23 AM24 AM25 AM26 AM27 AM28 AM29 AM30 AM31 AM32 AM33 AM34 AM35 AM36 AM37 AM38 AM39 AM40 AM41 AM42:AM51 AM52 AM53 AM54 AM55 AM56 AM57 AM58 AM59 AM60 AM61:AM147 AU1 AU6:AU7 AU8:AU9 AU10:AU11 AU13 AU14 AU15 AU16:AU17 AU18 AU19 AU20 AU22 AU23 AU24 AU25 AU26 AU27 AU28 AU29 AU30 AU31 AU32 AU33 AU34 AU35 AU36 AU37 AU38 AU39 AU40 AU41 AU42:AU51 AU52 AU53 AU54 AU55 AU56 AU57 AU58 AU59 AU60 AU61:AU147">
    <cfRule type="cellIs" priority="896" operator="between" dxfId="425">
      <formula>-0.2</formula>
      <formula>-0.05</formula>
    </cfRule>
    <cfRule type="cellIs" priority="897" operator="between" dxfId="426">
      <formula>0.05</formula>
      <formula>1.5</formula>
    </cfRule>
  </conditionalFormatting>
  <conditionalFormatting sqref="G1:H1 G2:H2 G3:H4 G5:H5 G6:H7 G8:H9 G10:H11 G13:H13 G14:H14 G15:H15 G16:H17 G18:H18 G19:H19 G20:H20 G22:H22 G23:H23 G24:H24 G25:H25 G26:H26 G27:H27 G28:H28 G29:H29 G30:H30 G31:H31 G32:H32 G33:H33 G34:H34 G35:H35 G36:H36 G37:H37 G38:H38 G39:H39 G40:H40 G41:H41 G42:H51 G52:H52 G53:H53 G54:H54 G55:H55 G56:H56 G57:H57 G58:H58 G59:H59 G60:H60 G61:H147 O1:P1 O3:P4 O5:P5 O6:P7 O8:P9 O10:P11 O13:P13 O14:P14 O15:P15 O16:P17 O18:P18 O19:P19 O20:P20 O22:P22 O23:P23 O24:P24 O25:P25 O26:P26 O27:P27 O28:P28 O29:P29 O30:P30 O31:P31 O32:P32 O33:P33 O34:P34 O35:P35 O36:P36 O37:P37 O38:P38 O39:P39 O40:P40 O41:P41 O42:P51 O52:P52 O53:P53 O54:P54 O55:P55 O56:P56 O57:P57 O58:P58 O59:P59 O60:P60 O61:P147 P2 W1:X1 W3:X4 W5:X5 W6:X7 W8:X9 W10:X11 W13:X13 W14:X14 W15:X15 W16:X17 W18:X18 W19:X19 W20:X20 W22:X22 W23:X23 W24:X24 W25:X25 W26:X26 W27:X27 W28:X28 W29:X29 W30:X30 W31:X31 W32:X32 W33:X33 W34:X34 W35:X35 W36:X36 W37:X37 W38:X38 W39:X39 W40:X40 W41:X41 W42:X51 W52:X52 W53:X53 W54:X54 W55:X55 W56:X56 W57:X57 W58:X58 W59:X59 W60:X60 W61:X147 X2 AE1:AF1 AE3:AF4 AE5:AF5 AE6:AF7 AE8:AF9 AE10:AF11 AE13:AF13 AE14:AF14 AE15:AF15 AE16:AF17 AE18:AF18 AE19:AF19 AE20:AF20 AE22:AF22 AE23:AF23 AE24:AF24 AE25:AF25 AE26:AF26 AE27:AF27 AE28:AF28 AE29:AF29 AE30:AF30 AE31:AF31 AE32:AF32 AE33:AF33 AE34:AF34 AE35:AF35 AE36:AF36 AE37:AF37 AE38:AF38 AE39:AF39 AE40:AF40 AE41:AF41 AE42:AF51 AE52:AF52 AE53:AF53 AE54:AF54 AE55:AF55 AE56:AF56 AE57:AF57 AE58:AF58 AE59:AF59 AE60:AF60 AE61:AF147 AF2 AM1:AN1 AM3:AN4 AM5:AN5 AM6:AN7 AM8:AN9 AM10:AN11 AM13:AN13 AM14:AN14 AM15:AN15 AM16:AN17 AM18:AN18 AM19:AN19 AM20:AN20 AM22:AN22 AM23:AN23 AM24:AN24 AM25:AN25 AM26:AN26 AM27:AN27 AM28:AN28 AM29:AN29 AM30:AN30 AM31:AN31 AM32:AN32 AM33:AN33 AM34:AN34 AM35:AN35 AM36:AN36 AM37:AN37 AM38:AN38 AM39:AN39 AM40:AN40 AM41:AN41 AM42:AN51 AM52:AN52 AM53:AN53 AM54:AN54 AM55:AN55 AM56:AN56 AM57:AN57 AM58:AN58 AM59:AN59 AM60:AN60 AM61:AN147 AN2 AU1:AV1 AU3:AV4 AU5:AV5 AU6:AV7 AU8:AV9 AU10:AV11 AU13:AV13 AU14:AV14 AU15:AV15 AU16:AV17 AU18:AV18 AU19:AV19 AU20:AV20 AU22:AV22 AU23:AV23 AU24:AV24 AU25:AV25 AU26:AV26 AU27:AV27 AU28:AV28 AU29:AV29 AU30:AV30 AU31:AV31 AU32:AV32 AU33:AV33 AU34:AV34 AU35:AV35 AU36:AV36 AU37:AV37 AU38:AV38 AU39:AV39 AU40:AV40 AU41:AV41 AU42:AV51 AU52:AV52 AU53:AV53 AU54:AV54 AU55:AV55 AU56:AV56 AU57:AV57 AU58:AV58 AU59:AV59 AU60:AV60 AU61:AV147 AV2">
    <cfRule type="cellIs" priority="879" operator="between" dxfId="425">
      <formula>-10</formula>
      <formula>-0.1</formula>
    </cfRule>
    <cfRule type="cellIs" priority="880" operator="between" dxfId="426">
      <formula>0.1</formula>
      <formula>5</formula>
    </cfRule>
  </conditionalFormatting>
  <conditionalFormatting sqref="H1:I1 H2:I2 H3:I3 H4:I4 H5:I5 H6:I6 H7:I7 H8:I9 H10:I11 H13:I13 H14:I14 H15:I15 H16:I17 H18:I18 H19:I20 H22:I22 H23:I32 H33:I36 H37:I40 H41:I41 H42:I51 H52:I147 P1:Q1 P2:Q2 P3:Q3 P4:Q4 P5:Q5 P6:Q6 P7:Q7 P8:Q9 P10:Q11 P13:Q13 P14:Q14 P15:Q15 P16:Q17 P18:Q18 P19:Q20 P22:Q22 P23:Q32 P33:Q36 P37:Q40 P41:Q41 P42:Q51 P52:Q147 X1:Y1 X2:Y2 X3:Y3 X4:Y4 X5:Y5 X6:Y6 X7:Y7 X8:Y9 X10:Y11 X13:Y13 X14:Y14 X15:Y15 X16:Y17 X18:Y18 X19:Y20 X22:Y22 X23:Y32 X33:Y36 X37:Y40 X41:Y41 X42:Y51 X52:Y147 AF1:AG1 AF2:AG2 AF3:AG3 AF4:AG4 AF5:AG5 AF6:AG6 AF7:AG7 AF8:AG9 AF10:AG11 AF13:AG13 AF14:AG14 AF15:AG15 AF16:AG17 AF18:AG18 AF19:AG20 AF22:AG22 AF23:AG32 AF33:AG36 AF37:AG40 AF41:AG41 AF42:AG51 AF52:AG147 AN1:AO1 AN2:AO2 AN3:AO3 AN4:AO4 AN5:AO5 AN6:AO6 AN7:AO7 AN8:AO9 AN10:AO11 AN13:AO13 AN14:AO14 AN15:AO15 AN16:AO17 AN18:AO18 AN19:AO20 AN22:AO22 AN23:AO32 AN33:AO36 AN37:AO40 AN41:AO41 AN42:AO51 AN52:AO147 AV1:AW1 AV2:AW2 AV3:AW3 AV4:AW4 AV5:AW5 AV6:AW6 AV7:AW7 AV8:AW9 AV10:AW11 AV13:AW13 AV14:AW14 AV15:AW15 AV16:AW17 AV18:AW18 AV19:AW20 AV22:AW22 AV23:AW32 AV33:AW36 AV37:AW40 AV41:AW41 AV42:AW51 AV52:AW147 BE1:BF1 BE2 BE3 BE4 BE5 BE6:BF6 BE7:BF7 BE8:BF9 BE10:BF12 BE13:BF13 BE14:BF14 BE15:BF15 BE16:BF17 BE18:BF18 BE19:BF20 BE22:BF22 BE23:BF32 BE33:BF36 BE37:BF40 BE41:BF41 BE42:BF51 BE52:BF147">
    <cfRule type="cellIs" priority="817" operator="lessThan" dxfId="427">
      <formula>0</formula>
    </cfRule>
    <cfRule type="cellIs" priority="818" operator="greaterThan" dxfId="428">
      <formula>0</formula>
    </cfRule>
  </conditionalFormatting>
  <conditionalFormatting sqref="H1:H2 H6:H7 H8:H9 H10:H11 H13 H14 H15 H16:H17 H18 H19:H20 H22 H23:H32 H33:H36 H37:H40 H41 H42:H51 H52:H60 H61:H147 P1:P2 P6:P7 P8:P9 P10:P11 P13 P14 P15 P16:P17 P18 P19:P20 P22 P23:P32 P33:P36 P37:P40 P41 P42:P51 P52:P60 P61:P147 X1:X2 X6:X7 X8:X9 X10:X11 X13 X14 X15 X16:X17 X18 X19:X20 X22 X23:X32 X33:X36 X37:X40 X41 X42:X51 X52:X60 X61:X147 AF1:AF2 AF6:AF7 AF8:AF9 AF10:AF11 AF13 AF14 AF15 AF16:AF17 AF18 AF19:AF20 AF22 AF23:AF32 AF33:AF36 AF37:AF40 AF41 AF42:AF51 AF52:AF60 AF61:AF147 AN1:AN2 AN6:AN7 AN8:AN9 AN10:AN11 AN13 AN14 AN15 AN16:AN17 AN18 AN19:AN20 AN22 AN23:AN32 AN33:AN36 AN37:AN40 AN41 AN42:AN51 AN52:AN60 AN61:AN147 AV1:AV2 AV6:AV7 AV8:AV9 AV10:AV11 AV13 AV14 AV15 AV16:AV17 AV18 AV19:AV20 AV22 AV23:AV32 AV33:AV36 AV37:AV40 AV41 AV42:AV51 AV52:AV60 AV61:AV147">
    <cfRule type="cellIs" priority="894" operator="lessThan" dxfId="425">
      <formula>-0.5</formula>
    </cfRule>
    <cfRule type="cellIs" priority="895" operator="greaterThan" dxfId="426">
      <formula>0.5</formula>
    </cfRule>
  </conditionalFormatting>
  <conditionalFormatting sqref="H1:H2 H3:H4 H5 H6:H7 H8:H9 H10:H11 H13 H14 H15 H16:H17 H18 H19:H20 H22 H23:H32 H33:H36 H37:H40 H41 H42:H51 H52:H147 P1:P2 P3:P4 P5 P6:P7 P8:P9 P10:P11 P13 P14 P15 P16:P17 P18 P19:P20 P22 P23:P32 P33:P36 P37:P40 P41 P42:P51 P52:P147 X1:X2 X3:X4 X5 X6:X7 X8:X9 X10:X11 X13 X14 X15 X16:X17 X18 X19:X20 X22 X23:X32 X33:X36 X37:X40 X41 X42:X51 X52:X147 AF1:AF2 AF3:AF4 AF5 AF6:AF7 AF8:AF9 AF10:AF11 AF13 AF14 AF15 AF16:AF17 AF18 AF19:AF20 AF22 AF23:AF32 AF33:AF36 AF37:AF40 AF41 AF42:AF51 AF52:AF147 AN1:AN2 AN3:AN4 AN5 AN6:AN7 AN8:AN9 AN10:AN11 AN13 AN14 AN15 AN16:AN17 AN18 AN19:AN20 AN22 AN23:AN32 AN33:AN36 AN37:AN40 AN41 AN42:AN51 AN52:AN147 AV1:AV2 AV3:AV4 AV5 AV6:AV7 AV8:AV9 AV10:AV11 AV13 AV14 AV15 AV16:AV17 AV18 AV19:AV20 AV22 AV23:AV32 AV33:AV36 AV37:AV40 AV41 AV42:AV51 AV52:AV147 BE1:BE2 BE3:BE4 BE5 BE6:BE7 BE8:BE9 BE10:BE12 BE13 BE14 BE15 BE16:BE17 BE18 BE19:BE20 BE22 BE23:BE32 BE33:BE36 BE37:BE40 BE41 BE42:BE51 BE52:BE147">
    <cfRule type="cellIs" priority="815" operator="between" dxfId="425">
      <formula>-0.08</formula>
      <formula>-5</formula>
    </cfRule>
    <cfRule type="cellIs" priority="816" operator="between" dxfId="426">
      <formula>0.08</formula>
      <formula>10</formula>
    </cfRule>
  </conditionalFormatting>
  <conditionalFormatting sqref="H1:H11 H13:H20 H22:H147">
    <cfRule type="cellIs" priority="888" operator="between" dxfId="425">
      <formula>-1</formula>
      <formula>-0.2</formula>
    </cfRule>
    <cfRule type="cellIs" priority="889" operator="lessThan" dxfId="427">
      <formula>0</formula>
    </cfRule>
    <cfRule type="cellIs" priority="890" operator="greaterThan" dxfId="428">
      <formula>0</formula>
    </cfRule>
  </conditionalFormatting>
  <conditionalFormatting sqref="I1:I2 I3:I4 I5 I6:I7 I8:I9 I10:I11 I13 I14 I15 I16:I17 I18 I19:I20 I22 I23:I32 I33:I36 I37:I40 I41 I42:I51 I52:I147 Q1:Q2 Q3:Q4 Q5 Q6:Q7 Q8:Q9 Q10:Q11 Q13 Q14 Q15 Q16:Q17 Q18 Q19:Q20 Q22 Q23:Q32 Q33:Q36 Q37:Q40 Q41 Q42:Q51 Q52:Q147 Y1:Y2 Y3:Y4 Y5 Y6:Y7 Y8:Y9 Y10:Y11 Y13 Y14 Y15 Y16:Y17 Y18 Y19:Y20 Y22 Y23:Y32 Y33:Y36 Y37:Y40 Y41 Y42:Y51 Y52:Y147 AG1:AG2 AG3:AG4 AG5 AG6:AG7 AG8:AG9 AG10:AG11 AG13 AG14 AG15 AG16:AG17 AG18 AG19:AG20 AG22 AG23:AG32 AG33:AG36 AG37:AG40 AG41 AG42:AG51 AG52:AG147 AO1:AO2 AO3:AO4 AO5 AO6:AO7 AO8:AO9 AO10:AO11 AO13 AO14 AO15 AO16:AO17 AO18 AO19:AO20 AO22 AO23:AO32 AO33:AO36 AO37:AO40 AO41 AO42:AO51 AO52:AO147 AW1:AW2 AW3:AW4 AW5 AW6:AW7 AW8:AW9 AW10:AW11 AW13 AW14 AW15 AW16:AW17 AW18 AW19:AW20 AW22 AW23:AW32 AW33:AW36 AW37:AW40 AW41 AW42:AW51 AW52:AW147">
    <cfRule type="cellIs" priority="813" operator="between" dxfId="425">
      <formula>-0.16</formula>
      <formula>-5</formula>
    </cfRule>
    <cfRule type="cellIs" priority="814" operator="between" dxfId="426">
      <formula>0.16</formula>
      <formula>10</formula>
    </cfRule>
  </conditionalFormatting>
  <conditionalFormatting sqref="P1:P11 P13:P20 P22:P147">
    <cfRule type="cellIs" priority="885" operator="between" dxfId="425">
      <formula>-1</formula>
      <formula>-0.2</formula>
    </cfRule>
    <cfRule type="cellIs" priority="886" operator="lessThan" dxfId="427">
      <formula>0</formula>
    </cfRule>
    <cfRule type="cellIs" priority="887" operator="greaterThan" dxfId="428">
      <formula>0</formula>
    </cfRule>
  </conditionalFormatting>
  <conditionalFormatting sqref="X1:X2 X3:X4 X5 X6:X7 X8:X9 X10:X11 X13 X14 X15 X16:X17 X18 X19:X20 X22 X23:X32 X33:X36 X37:X40 X41 X42:X51 X52:X60 X61:X147 AF1:AF2 AF3:AF4 AF5 AF6:AF7 AF8:AF9 AF10:AF11 AF13 AF14 AF15 AF16:AF17 AF18 AF19:AF20 AF22 AF23:AF32 AF33:AF36 AF37:AF40 AF41 AF42:AF51 AF52:AF60 AF61:AF147 AN1:AN2 AN3:AN4 AN5 AN6:AN7 AN8:AN9 AN10:AN11 AN13 AN14 AN15 AN16:AN17 AN18 AN19:AN20 AN22 AN23:AN32 AN33:AN36 AN37:AN40 AN41 AN42:AN51 AN52:AN60 AN61:AN147 AV1:AV2 AV3:AV4 AV5 AV6:AV7 AV8:AV9 AV10:AV11 AV13 AV14 AV15 AV16:AV17 AV18 AV19:AV20 AV22 AV23:AV32 AV33:AV36 AV37:AV40 AV41 AV42:AV51 AV52:AV60 AV61:AV147">
    <cfRule type="cellIs" priority="881" operator="between" dxfId="426">
      <formula>0.2</formula>
      <formula>50</formula>
    </cfRule>
    <cfRule type="cellIs" priority="882" operator="between" dxfId="425">
      <formula>-1</formula>
      <formula>-0.2</formula>
    </cfRule>
    <cfRule type="cellIs" priority="883" operator="lessThan" dxfId="427">
      <formula>0</formula>
    </cfRule>
    <cfRule type="cellIs" priority="884" operator="greaterThan" dxfId="428">
      <formula>0</formula>
    </cfRule>
  </conditionalFormatting>
  <conditionalFormatting sqref="BC1:BD1 BC3:BD11 BC13:BD20 BC22:BD147">
    <cfRule type="cellIs" priority="831" operator="between" dxfId="425">
      <formula>-0.05</formula>
      <formula>-3</formula>
    </cfRule>
    <cfRule type="cellIs" priority="832" operator="between" dxfId="426">
      <formula>0.05</formula>
      <formula>2</formula>
    </cfRule>
    <cfRule type="cellIs" priority="833" operator="lessThan" dxfId="427">
      <formula>0</formula>
    </cfRule>
    <cfRule type="cellIs" priority="834" operator="greaterThan" dxfId="428">
      <formula>0</formula>
    </cfRule>
  </conditionalFormatting>
  <conditionalFormatting sqref="BF1 BF6:BF20 BF22:BF147">
    <cfRule type="cellIs" priority="821" operator="lessThan" dxfId="427">
      <formula>0</formula>
    </cfRule>
    <cfRule type="cellIs" priority="822" operator="greaterThan" dxfId="428">
      <formula>0</formula>
    </cfRule>
  </conditionalFormatting>
  <conditionalFormatting sqref="BK1:BL1 BK3:BL4 BK5 BK6:BK7 BK8 BK9 BK10:BL12 BK13:BL13 BK14:BL14 BK15:BL15 BK16:BL17 BK18:BL18 BK19:BL20 BK22:BL22 BK23:BL147 BS1:BT1 BS3:BT4 BS5 BS6:BS7 BS8 BS9 BS10:BT12 BS13:BT13 BS14:BT14 BS15:BT15 BS16:BT17 BS18:BT18 BS19:BT20 BS22:BT22 BS23:BT147 CA1:CB1 CA3:CB4 CA5 CA6:CA7 CA8 CA9 CA10:CB12 CA13:CB13 CA14:CB14 CA15:CB15 CA16:CB17 CA18:CB18 CA19:CB20 CA22:CB22 CA23:CB147 CI1:CJ1 CI3:CJ4 CI5 CI6:CI7 CI8 CI9 CI10:CJ12 CI13:CJ13 CI14:CJ14 CI15:CJ15 CI16:CJ17 CI18:CJ18 CI19:CJ20 CI22:CJ22 CI23:CJ147 CQ1:CR1 CQ3:CR4 CQ5 CQ6:CQ7 CQ8 CQ9 CQ10:CR12 CQ13:CR13 CQ14:CR14 CQ15:CR15 CQ16:CR17 CQ18:CR18 CQ19:CR20 CQ22:CR22 CQ23:CR147 CY1:CZ1 CY3:CZ4 CY5 CY6:CY7 CY10:CZ12 CY13:CZ13 CY14:CZ14 CY15:CZ15 CY16:CZ17 CY18:CZ18 CY19:CZ20 CY22:CZ22 CY23:CZ147 DG1:DH1 DG3:DH4 DG6:DG7 DG10:DH12 DG13:DH13 DG14:DH14 DG15:DH15 DG16:DH17 DG18:DH18 DG19:DH20 DG22:DH22 DG23:DH147 DO1:DP1 DO3:DP4 DO5 DO6:DO7 DO10:DP12 DO13:DP13 DO14:DP14 DO15:DP15 DO16:DP17 DO18:DP18 DO19:DP20 DO22:DP22 DO23:DP147 DW1:DX1 DW3:DX4 DW5 DW6:DW7 DW10:DX12 DW13:DX13 DW14:DX14 DW15:DX15 DW16:DX17 DW18:DX18 DW19:DX20 DW22:DX22 DW23:DX147 EE1:EF1 EE3:EF4 EE5 EE6:EE7 EE10:EF12 EE13:EF13 EE14:EF14 EE15:EF15 EE16:EF17 EE18:EF18 EE19:EF20 EE22:EF22 EE23:EF147 EM1:EN1 EM3:EN4 EM5 EM6:EM7 EM10:EN12 EM13:EN13 EM14:EN14 EM15:EN15 EM16:EN17 EM18:EN18 EM19:EN20 EM22:EN22 EM23:EN147 FC1:FD1 FC3:FD4 FC5 FC6:FC7 FC10:FD12 FC13:FD13 FC14:FD14 FC15:FD15 FC16:FD17 FC18:FD18 FC19:FD20 FC22:FD22 FC23:FD147 FK1:FL1 FK3:FL4 FK5 FK6:FK7 FK10:FL12 FK13:FL13 FK14:FL14 FK15:FL15 FK16:FL17 FK18:FL18 FK19:FL20 FK22:FL22 FK23:FL147 FS1:FT1 FS3:FT4 FS5 FS6:FS7 FS10:FT12 FS13:FT13 FS14:FT14 FS15:FT15 FS16:FT17 FS18:FT18 FS19:FT20 FS22:FT22 FS23:FT147 GA1:GB1 GA3:GB4 GA5 GA6:GA7 GA10:GB12 GA13:GB13 GA14:GB14 GA15:GB15 GA16:GB17 GA18:GB18 GA19:GB20 GA22:GB22 GA23:GB147 GI1:GJ1 GI3:GJ4 GI5 GI6:GI7 GI10:GJ12 GI13:GJ13 GI14:GJ14 GI15:GJ15 GI16:GJ17 GI18:GJ18 GI19:GJ20 GI22:GJ22 GI23:GJ147 GQ1:GR1 GQ3:GR4 GQ5 GQ6:GQ7 GQ10:GR12 GQ13:GR13 GQ14:GR14 GQ15:GR15 GQ16:GR17 GQ18:GR18 GQ19:GR20 GQ22:GR22 GQ23:GR147 GY1:GZ1 GY3:GZ4 GY5 GY6:GY7 GY8 GY10:GZ12 GY13:GZ13 GY14:GZ14 GY15:GZ15 GY16:GZ17 GY18:GZ18 GY19:GZ20 GY22:GZ22 GY23:GZ147 HG1:HH1 HG3:HH4 HG5 HG6:HG7 HG10:HH12 HG13:HH13 HG14:HH14 HG15:HH15 HG16:HH17 HG18:HH18 HG19:HH20 HG22:HH22 HG23:HH147 HO1:HP1 HO3:HP4 HO5 HO6:HO7 HO10:HP12 HO13:HP13 HO14:HP14 HO15:HP15 HO16:HP17 HO18:HP18 HO19:HP20 HO22:HP22 HO23:HP147 HW1:HX1 HW3:HX4 HW5 HW6:HW7 HW8 HW9 HW10:HX12 HW13:HX13 HW14:HX14 HW15:HX15 HW16:HX17 HW18:HX18 HW19:HX20 HW22:HX22 HW23:HX147 IE1:IF1 IE3:IF4 IE5 IE6:IE7 IE10:IF12 IE13:IF13 IE14:IF14 IE15:IF15 IE16:IF17 IE18:IF18 IE19:IF20 IE22:IF22 IE23:IF147 IM1:IN1 IM3:IN4 IM5 IM6:IM7 IM10:IN12 IM13:IN13 IM14:IN14 IM15:IN15 IM16:IN17 IM18:IN18 IM19:IN20 IM22:IN22 IM23:IN147 IU1:IV1 IU3:IV4 IU5 IU6:IU7 IU10:IV12 IU13:IV13 IU14:IV14 IU15:IV15 IU16:IV17 IU18:IV18 IU19:IV20 IU22:IV22 IU23:IV147 JC1:JD1 JC3:JD4 JC5 JC6:JC7 JC8 JC9 JC10:JD12 JC13:JD13 JC14:JD14 JC15:JD15 JC16:JD17 JC18:JD18 JC19:JD20 JC22:JD22 JC23:JD147 JK1:JL1 JK3:JL4 JK5 JK6:JK7 JK10:JL12 JK13:JL13 JK14:JL14 JK15:JL15 JK16:JL17 JK18:JL18 JK19:JL20 JK22:JL22 JK23:JL147 JS1:JT1 JS3:JT4 JS5 JS6:JS7 JS10:JT12 JS13:JT13 JS14:JT14 JS15:JT15 JS16:JT17 JS18:JT18 JS19:JT20 JS22:JT22 JS23:JT147 KA1:KB1 KA3:KB4 KA5 KA6:KA7 KA10:KB12 KA13:KB13 KA14:KB14 KA15:KB15 KA16:KB17 KA18:KB18 KA19:KB20 KA22:KB22 KA23:KB147 KI1:KJ1 KI3:KJ4 KI5 KI6:KI7 KI10:KJ12 KI13:KJ13 KI14:KJ14 KI15:KJ15 KI16:KJ17 KI18:KJ18 KI19:KJ20 KI22:KJ22 KI23:KJ147 KQ1:KR1 KQ3:KR4 KQ5 KQ6:KQ7 KQ10:KR12 KQ13:KR13 KQ14:KR14 KQ15:KR15 KQ16:KR17 KQ18:KR18 KQ19:KR20 KQ22:KR22 KQ23:KR147 KY1:KZ1 KY3:KZ4 KY5 KY6:KY7 KY10:KZ12 KY13:KZ13 KY14:KZ14 KY15:KZ15 KY16:KZ17 KY18:KZ18 KY19:KZ20 KY22:KZ22 KY23:KZ147 LG1:LH1 LG3:LH4 LG5 LG6:LG7 LG10:LH12 LG13:LH13 LG14:LH14 LG15:LH15 LG16:LH17 LG18:LH18 LG19:LH20 LG22:LH22 LG23:LH147 LO1:LP1 LO3:LP4 LO5 LO6:LO7 LO10:LP12 LO13:LP13 LO14:LP14 LO15:LP15 LO16:LP17 LO18:LP18 LO19:LP20 LO22:LP22 LO23:LP147 LW1:LX1 LW3:LX4 LW5 LW6:LW7 LW10:LX12 LW13:LX13 LW14:LX14 LW15:LX15 LW16:LX17 LW18:LX18 LW19:LX20 LW22:LX22 LW23:LX147 ME1:MF1 ME3:MF4 ME5 ME6:ME7 ME10:MF12 ME13:MF13 ME14:MF14 ME15:MF15 ME16:MF17 ME18:MF18 ME19:MF20 ME22:MF22 ME23:MF147 OF1:OG1 OF3:OG4 OF5 OF6:OF7 OF10:OG12 OF13:OG13 OF14:OG14 OF15:OG15 OF16:OG17 OF18:OG18 OF19:OG20 OF22:OG22 OF23:OG147 ON1:OO1 ON3:OO4 ON5 ON6:ON7 ON10:OO12 ON13:OO13 ON14:OO14 ON15:OO15 ON16:OO17 ON18:OO18 ON19:OO20 ON22:OO22 ON23:OO147">
    <cfRule type="cellIs" priority="1342" operator="lessThan" dxfId="427">
      <formula>0</formula>
    </cfRule>
    <cfRule type="cellIs" priority="1343" operator="greaterThan" dxfId="428">
      <formula>0</formula>
    </cfRule>
  </conditionalFormatting>
  <conditionalFormatting sqref="BL1 BL3:BL4 BL10:BL13 BL14 BL15 BL16:BL17 BL18 BL19:BL20 BL22 BL23:BL147 BT1 BT3:BT4 BT10:BT13 BT14 BT15 BT16:BT17 BT18 BT19:BT20 BT22 BT23:BT147 CB1 CB3:CB4 CB10:CB13 CB14 CB15 CB16:CB17 CB18 CB19:CB20 CB22 CB23:CB147 CJ1 CJ3:CJ4 CJ10:CJ13 CJ14 CJ15 CJ16:CJ17 CJ18 CJ19:CJ20 CJ22 CJ23:CJ147 CR1 CR3:CR4 CR10:CR13 CR14 CR15 CR16:CR17 CR18 CR19:CR20 CR22 CR23:CR147 CZ1 CZ3:CZ4 CZ10:CZ13 CZ14 CZ15 CZ16:CZ17 CZ18 CZ19:CZ20 CZ22 CZ23:CZ147 DH1 DH3:DH4 DH10:DH13 DH14 DH15 DH16:DH17 DH18 DH19:DH20 DH22 DH23:DH147 DP1 DP3:DP4 DP10:DP13 DP14 DP15 DP16:DP17 DP18 DP19:DP20 DP22 DP23:DP147 DX1 DX3:DX4 DX10:DX13 DX14 DX15 DX16:DX17 DX18 DX19:DX20 DX22 DX23:DX147 EF1 EF3:EF4 EF10:EF13 EF14 EF15 EF16:EF17 EF18 EF19:EF20 EF22 EF23:EF147 EN1 EN3:EN4 EN10:EN13 EN14 EN15 EN16:EN17 EN18 EN19:EN20 EN22 EN23:EN147 FD1 FD3:FD4 FD10:FD13 FD14 FD15 FD16:FD17 FD18 FD19:FD20 FD22 FD23:FD147 FL1 FL3:FL4 FL10:FL13 FL14 FL15 FL16:FL17 FL18 FL19:FL20 FL22 FL23:FL147 FT1 FT3:FT4 FT10:FT13 FT14 FT15 FT16:FT17 FT18 FT19:FT20 FT22 FT23:FT147 GB1 GB3:GB4 GB10:GB13 GB14 GB15 GB16:GB17 GB18 GB19:GB20 GB22 GB23:GB147 GJ1 GJ3:GJ4 GJ10:GJ13 GJ14 GJ15 GJ16:GJ17 GJ18 GJ19:GJ20 GJ22 GJ23:GJ147 GR1 GR3:GR4 GR10:GR13 GR14 GR15 GR16:GR17 GR18 GR19:GR20 GR22 GR23:GR147 GZ1 GZ3:GZ4 GZ10:GZ13 GZ14 GZ15 GZ16:GZ17 GZ18 GZ19:GZ20 GZ22 GZ23:GZ147 HH1 HH3:HH4 HH10:HH13 HH14 HH15 HH16:HH17 HH18 HH19:HH20 HH22 HH23:HH147 HP1 HP3:HP4 HP10:HP13 HP14 HP15 HP16:HP17 HP18 HP19:HP20 HP22 HP23:HP147 HX1 HX3:HX4 HX10:HX13 HX14 HX15 HX16:HX17 HX18 HX19:HX20 HX22 HX23:HX147 IF1 IF3:IF4 IF10:IF13 IF14 IF15 IF16:IF17 IF18 IF19:IF20 IF22 IF23:IF147 IN1 IN3:IN4 IN10:IN13 IN14 IN15 IN16:IN17 IN18 IN19:IN20 IN22 IN23:IN147 IV1 IV3:IV4 IV10:IV13 IV14 IV15 IV16:IV17 IV18 IV19:IV20 IV22 IV23:IV147 JD1 JD3:JD4 JD10:JD13 JD14 JD15 JD16:JD17 JD18 JD19:JD20 JD22 JD23:JD147 JL1 JL3:JL4 JL10:JL13 JL14 JL15 JL16:JL17 JL18 JL19:JL20 JL22 JL23:JL147 JT1 JT3:JT4 JT10:JT13 JT14 JT15 JT16:JT17 JT18 JT19:JT20 JT22 JT23:JT147 KB1 KB3:KB4 KB10:KB13 KB14 KB15 KB16:KB17 KB18 KB19:KB20 KB22 KB23:KB147 KJ1 KJ3:KJ4 KJ10:KJ13 KJ14 KJ15 KJ16:KJ17 KJ18 KJ19:KJ20 KJ22 KJ23:KJ147 KR1 KR3:KR4 KR10:KR13 KR14 KR15 KR16:KR17 KR18 KR19:KR20 KR22 KR23:KR147 KZ1 KZ3:KZ4 KZ10:KZ13 KZ14 KZ15 KZ16:KZ17 KZ18 KZ19:KZ20 KZ22 KZ23:KZ147 LH1 LH3:LH4 LH10:LH13 LH14 LH15 LH16:LH17 LH18 LH19:LH20 LH22 LH23:LH147 LP1 LP3:LP4 LP10:LP13 LP14 LP15 LP16:LP17 LP18 LP19:LP20 LP22 LP23:LP147 LX1 LX3:LX4 LX10:LX13 LX14 LX15 LX16:LX17 LX18 LX19:LX20 LX22 LX23:LX147 MF1 MF3:MF4 MF10:MF13 MF14 MF15 MF16:MF17 MF18 MF19:MF20 MF22 MF23:MF147 OG1 OG3:OG4 OG10:OG13 OG14 OG15 OG16:OG17 OG18 OG19:OG20 OG22 OG23:OG147 OO1 OO3:OO4 OO10:OO13 OO14 OO15 OO16:OO17 OO18 OO19:OO20 OO22 OO23:OO147">
    <cfRule type="cellIs" priority="1340" operator="between" dxfId="425">
      <formula>-3</formula>
      <formula>-0.1</formula>
    </cfRule>
    <cfRule type="cellIs" priority="1341" operator="between" dxfId="426">
      <formula>0.1</formula>
      <formula>3</formula>
    </cfRule>
  </conditionalFormatting>
  <conditionalFormatting sqref="BM1:BN1 BM2:BN5 BM6:BO6 BM7:BO9 BM10:BO12 BM13:BN14 BM15:BN15 BM16:BN17 BM18:BO20 BM22:BO44 BM45:BO101 BM102:BO104 BM105:BO108 BM109:BO111 BM112:BO115 BM116:BO117 BM118:BO147 BU1:BV1 BU2:BU5 BU6 BU7:BU9 BU10:BU12 BU13:BU14 BU15 BU16:BU17 BU18:BW20 BU22:BW44 BU45:BW101 BU102:BW104 BU105:BW108 BU109:BW111 BU112:BW115 BU116:BW117 BU118:BW147 BW6 BW7:BW9 BW10:BW12 CC1:CD1 CC2:CC5 CC6 CC7:CC9 CC10:CC12 CC13:CC14 CC15 CC16:CC17 CC18:CE20 CC22:CE44 CC45:CE101 CC102:CE104 CC105:CE108 CC109:CE111 CC112:CE115 CC116:CE117 CC118:CE147 CE6 CE7:CE9 CE10:CE12 CK1:CL1 CK2:CK5 CK6 CK7:CK9 CK10:CK12 CK13:CK14 CK15 CK16:CK17 CK18:CM20 CK22:CM44 CK45:CM101 CK102:CM104 CK105:CM108 CK109:CM111 CK112:CM115 CK116:CM117 CK118:CM147 CM6 CM7:CM9 CM10:CM12 CS1:CT1 CS2:CS5 CS6 CS7:CS9 CS10:CS12 CS13:CS14 CS15 CS16:CS17 CS18:CU20 CS22:CU44 CS45:CU101 CS102:CU104 CS105:CU108 CS109:CU111 CS112:CU115 CS116:CU117 CS118:CU147 CU6 CU7:CU9 CU10:CU12 DA1:DB1 DA2:DB5 DA6:DC6 DA7:DC9 DA10:DC12 DA13:DB14 DA15:DB15 DA16:DB17 DA18:DC20 DA22:DC44 DA45:DC101 DA102:DC104 DA105:DC108 DA109:DC111 DA112:DC115 DA116:DC117 DA118:DC147 DI1:DJ1 DI2:DI5 DI6 DI7:DI9 DI10:DI12 DI13:DI14 DI15 DI16:DI17 DI18:DK20 DI22:DK44 DI45:DK101 DI102:DK104 DI105:DK108 DI109:DK111 DI112:DK115 DI116:DK117 DI118:DK147 DK6 DK7:DK9 DK10:DK12 DQ1:DR1 DQ2:DQ5 DQ6 DQ7:DQ9 DQ10:DQ12 DQ13:DQ14 DQ15 DQ16:DQ17 DQ18:DS20 DQ22:DS44 DQ45:DS101 DQ102:DS104 DQ105:DS108 DQ109:DS111 DQ112:DS115 DQ116:DS117 DQ118:DS147 DS6 DS7:DS9 DS10:DS12 DY1:DZ1 DY2:DY5 DY6 DY7:DY9 DY10:DY12 DY13:DY14 DY15 DY16:DY17 DY18:EA20 DY22:EA44 DY45:EA101 DY102:EA104 DY105:EA108 DY109:EA111 DY112:EA115 DY116:EA117 DY118:EA147 EA6 EA7:EA9 EA10:EA12 EG1:EH1 EG2:EG5 EG6 EG7:EG9 EG10:EG12 EG13:EG14 EG15 EG16:EG17 EG18:EI20 EG22:EI44 EG45:EI101 EG102:EI104 EG105:EI108 EG109:EI111 EG112:EI115 EG116:EI117 EG118:EI147 EI6 EI7:EI9 EI10:EI12 EO1:EP1 EO2:EO5 EO6 EO7:EO9 EO10:EO12 EO13:EO14 EO15 EO16:EO17 EO18:EQ20 EO22:EQ44 EO45:EQ101 EO102:EQ104 EO105:EQ108 EO109:EQ111 EO112:EQ115 EO116:EQ117 EO118:EQ147 EQ6 EQ7:EQ9 EQ10:EQ12 EW1:EX1 EW2:EW5 EW6 EW7:EW9 EW10:EW12 EW13:EW14 EW15 EW16:EW17 EW18:EY20 EW22:EY44 EW45:EY101 EW102:EY104 EW105:EY108 EW109:EY111 EW112:EY115 EW116:EY117 EW118:EY147 EY6 EY7:EY9 EY10:EY12 FE1:FF1 FE2:FF5 FE6:FG6 FE7:FG9 FE10:FG12 FE13:FF14 FE15:FF15 FE16:FF17 FE18:FG20 FE22:FG44 FE45:FF101 FE102:FG104 FE105:FG108 FE109:FG111 FE112:FG115 FE116:FG117 FE118:FG147 FM1:FN1 FM2:FN5 FM6:FO6 FM7:FO9 FM10:FO12 FM13:FN14 FM15:FN15 FM16:FN17 FM18:FO20 FM22:FO44 FM45:FO101 FM102:FO104 FM105:FO108 FM109:FO111 FM112:FO115 FM116:FO117 FM118:FO147 FU1:FV1 FU2:FV5 FU6:FW6 FU7:FW9 FU10:FW12 FU13:FV14 FU15:FV15 FU16:FV17 FU18:FW20 FU22:FW44 FU45:FW101 FU102:FW104 FU105:FW108 FU109:FW111 FU112:FW115 FU116:FW117 FU118:FW147 GC1:GD1 GC2:GD5 GC6:GE6 GC7:GE9 GC10:GE12 GC13:GD14 GC15:GD15 GC16:GD17 GC18:GE20 GC22:GE44 GC45:GE101 GC102:GE104 GC105:GE108 GC109:GE111 GC112:GE115 GC116:GE117 GC118:GE147 GK1:GL1 GK2:GL5 GK6:GM6 GK7:GM9 GK10:GM12 GK13:GL14 GK15:GL15 GK16:GL17 GK18:GM20 GK22:GM44 GK45:GM101 GK102:GM104 GK105:GM108 GK109:GM111 GK112:GM115 GK116:GM117 GK118:GM147 GS1:GT1 GS2:GT5 GS6:GU6 GS7:GU9 GS10:GU12 GS13:GT14 GS15:GT15 GS16:GT17 GS18:GU20 GS22:GU44 GS45:GU101 GS102:GU104 GS105:GU108 GS109:GU111 GS112:GU115 GS116:GU117 GS118:GU147 HA1:HB1 HA2:HB5 HA6:HC6 HA7:HC9 HA10:HC12 HA13:HB14 HA15:HB15 HA16:HB17 HA18:HC20 HA22:HC44 HA45:HC101 HA102:HC104 HA105:HC108 HA109:HC111 HA112:HC115 HA116:HC117 HA118:HC147 HI1:HJ1 HI2:HJ5 HI6:HK6 HI7:HK9 HI10:HK12 HI13:HJ14 HI15:HJ15 HI16:HJ17 HI18:HK20 HI22:HK44 HI45:HK101 HI102:HK104 HI105:HK108 HI109:HK111 HI112:HK115 HI116:HK117 HI118:HK147 HQ1:HR1 HQ2:HR5 HQ6:HS6 HQ7:HS9 HQ10:HS12 HQ13:HR14 HQ15:HR15 HQ16:HR17 HQ18:HS20 HQ22:HS44 HQ45:HS101 HQ102:HS104 HQ105:HS108 HQ109:HS111 HQ112:HS115 HQ116:HS117 HQ118:HS147 HY1:HZ1 HY2:HZ5 HY6:IA6 HY7:IA9 HY10:IA12 HY13:HZ14 HY15:HZ15 HY16:HZ17 HY18:IA20 HY22:IA44 HY45:IA101 HY102:IA104 HY105:IA108 HY109:IA111 HY112:IA115 HY116:IA117 HY118:IA147 IG1:IH1 IG2:IH5 IG6:II6 IG7:II9 IG10:II12 IG13:IH14 IG15:IH15 IG16:IH17 IG18:II20 IG22:II44 IG45:II101 IG102:II104 IG105:II108 IG109:II111 IG112:II115 IG116:II117 IG118:II147 IO1:IP1 IO2:IP5 IO6:IQ6 IO7:IQ9 IO10:IQ12 IO13:IP14 IO15:IP15 IO16:IP17 IO18:IQ20 IO22:IQ44 IO45:IQ101 IO102:IQ104 IO105:IQ108 IO109:IQ111 IO112:IQ115 IO116:IQ117 IO118:IQ147 IW1:IX1 IW2:IX5 IW6:IY6 IW7:IY9 IW10:IY12 IW13:IX14 IW15:IX15 IW16:IX17 IW18:IY20 IW22:IY44 IW45:IY101 IW102:IY104 IW105:IY108 IW109:IY111 IW112:IY115 IW116:IY117 IW118:IY147 JE1:JF1 JE2:JF5 JE6:JG6 JE7:JG9 JE10:JG12 JE13:JF14 JE15:JF15 JE16:JF17 JE18:JG20 JE22:JG44 JE45:JG101 JE102:JG104 JE105:JG108 JE109:JG111 JE112:JG115 JE116:JG117 JE118:JG147 JM1:JN1 JM2:JN5 JM6:JN6 JM7:JO9 JM10:JO12 JM13:JN14 JM15:JN15 JM16:JN17 JM18:JO20 JM22:JO44 JM45:JN101 JM102:JN104 JM105:JN108 JM109:JO111 JM112:JO115 JM116:JO117 JM118:JO147 JU1:JV1 JU2:JV5 JU6:JW6 JU7:JW9 JU10:JW12 JU13:JV14 JU15:JV15 JU16:JV17 JU18:JW20 JU22:JW44 JU45:JV101 JU102:JV104 JU105:JW108 JU109:JW111 JU112:JW115 JU116:JW117 JU118:JW147 KC1:KD1 KC2:KD5 KC6:KE6 KC7:KE9 KC10:KE12 KC13:KD14 KC15:KD15 KC16:KD17 KC18:KE20 KC22:KE44 KC45:KD101 KC102:KD104 KC105:KD108 KC109:KD111 KC112:KD115 KC116:KD117 KC118:KE147 KK1:KL1 KK2:KL5 KK6:KM6 KK7:KM9 KK10:KM12 KK13:KL14 KK15:KL15 KK16:KL17 KK18:KM20 KK22:KM44 KK45:KM101 KK102:KM104 KK105:KM108 KK109:KM111 KK112:KM115 KK116:KM117 KK118:KM147 KS1:KT1 KS2:KT5 KS6:KU6 KS7:KU9 KS10:KU12 KS13:KT14 KS15:KT15 KS16:KT17 KS18:KU20 KS22:KU44 KS45:KU101 KS102:KU104 KS105:KU108 KS109:KU111 KS112:KU115 KS116:KU117 KS118:KU147 LA1:LB1 LA2:LB5 LA6:LC6 LA7:LC9 LA10:LC12 LA13:LB14 LA15:LB15 LA16:LB17 LA18:LC20 LA22:LC44 LA45:LC101 LA102:LC104 LA105:LC108 LA109:LC111 LA112:LC115 LA116:LC117 LA118:LC147 LI1:LJ1 LI2:LJ5 LI6:LK6 LI7:LK9 LI10:LK12 LI13:LJ14 LI15:LJ15 LI16:LJ17 LI18:LK20 LI22:LK44 LI45:LK101 LI102:LK104 LI105:LK108 LI109:LK111 LI112:LK115 LI116:LK117 LI118:LK147 LQ1:LR1 LQ2:LR5 LQ6:LS6 LQ7:LS9 LQ10:LS12 LQ13:LR14 LQ15:LR15 LQ16:LR17 LQ18:LS20 LQ22:LS44 LQ45:LS101 LQ102:LS104 LQ105:LS108 LQ109:LS111 LQ112:LS115 LQ116:LS117 LQ118:LS147 LY1:LZ1 LY2:LZ5 LY6:LZ6 LY7:MA9 LY10:MA12 LY13:LZ14 LY15:LZ15 LY16:LZ17 LY18:MA20 LY22:MA44 LY45:MA101 LY102:MA104 LY105:MA108 LY109:MA111 LY112:MA115 LY116:MA117 LY118:MA147 MG1:MI1 MG2:MI5 MG6:MJ6 MG7:MJ9 MG10:MJ12 MG13:MI14 MG15:MI15 MG16:MI17 MG18:MJ20 MG22:MJ44 MG45:MJ101 MG102:MJ104 MG105:MJ108 MG109:MJ111 MG112:MJ115 MG116:MJ117 MG118:MJ147 MQ1:MR1 MQ2:MR5 MQ6:MS6 MQ7:MS9 MQ10:MR12 MQ13:MR14 MQ15:MR15 MQ16:MR17 MQ18:MR20 MQ22:MR44 MQ45:MR101 MQ102:MR104 MQ105:MR108 MQ109:MR111 MQ112:MR115 MQ116:MS117 MQ118:MS147 MZ1:NA1 MZ2:NA5 MZ6:NA6 MZ7:NA9 MZ10:NA12 MZ13:NA14 MZ15:NA15 MZ16:NA17 MZ18:NA20 MZ22:NA44 MZ45:NA101 MZ102:NA104 MZ105:NA108 MZ109:NA111 MZ112:NA115 MZ116:NA117 MZ118:NA147 NI1:NK1 NI2:NK5 NI6:NK6 NI7:NK9 NI10:NK12 NI13:NK14 NI15:NK15 NI16:NK17 NI18:NK20 NI22:NK44 NI45:NK101 NI102:NK104 NI105:NK108 NI109:NK111 NI112:NK115 NI116:NK117 NI118:NK147 NR1:NS1 NR2:NS5 NR6:NT6 NR7:NT9 NR10:NR12 NR13:NR14 NR15 NR16:NR17 NR18:NR20 NR22:NR44 NR45:NR101 NR102:NR104 NR105:NR108 NR109:NR111 NR112:NT115 NR116:NT117 NR118:NT147 OH1:OI1 OH2:OI5 OH6:OJ6 OH7:OJ9 OH10:OJ12 OH13:OI14 OH15:OI15 OH16:OI17 OH18:OJ20 OH22:OJ44 OH45:OJ101 OH102:OJ104 OH105:OJ108 OH109:OJ111 OH112:OJ115 OH116:OJ117 OH118:OJ147">
    <cfRule type="cellIs" priority="1033" operator="lessThan" dxfId="427">
      <formula>0</formula>
    </cfRule>
    <cfRule type="cellIs" priority="1034" operator="greaterThan" dxfId="428">
      <formula>0</formula>
    </cfRule>
  </conditionalFormatting>
  <conditionalFormatting sqref="BM1:BM13 BM14 BM15 BM16:BM17 BM18:BM20 BM22:BM44 BM45:BM53 BM54:BM55 BM56:BM101 BM102:BM104 BM105:BM108 BM109:BM117 BM118:BM147 BU1:BU13 BU14 BU15 BU16:BU17 BU18:BU20 BU22:BU44 BU45:BU53 BU54:BW55 BU56:BU101 BU102:BU104 BU105:BU108 BU109:BU117 BU118:BU147 CC1:CC13 CC14 CC15 CC16:CC17 CC18:CC20 CC22:CC44 CC45:CC53 CC54:CC55 CC56:CC101 CC102:CC104 CC105:CC108 CC109:CC117 CC118:CC147 CK1:CK13 CK14 CK15 CK16:CK17 CK18:CK20 CK22:CK44 CK45:CK53 CK54:CK55 CK56:CK101 CK102:CK104 CK105:CK108 CK109:CK117 CK118:CK147 CS1:CS13 CS14 CS15 CS16:CS17 CS18:CS20 CS22:CS44 CS45:CS53 CS54:CS55 CS56:CS101 CS102:CS104 CS105:CS108 CS109:CS117 CS118:CS147 DA1:DA13 DA14 DA15 DA16:DA17 DA18:DA20 DA22:DA44 DA45:DA53 DA54:DA55 DA56:DA101 DA102:DA104 DA105:DA108 DA109:DA117 DA118:DA147 DI1:DI13 DI14 DI15 DI16:DI17 DI18:DI20 DI22:DI44 DI45:DI53 DI54:DI55 DI56:DI101 DI102:DI104 DI105:DI108 DI109:DI117 DI118:DI147 DQ1:DQ13 DQ14 DQ15 DQ16:DQ17 DQ18:DQ20 DQ22:DQ44 DQ45:DQ53 DQ54:DQ55 DQ56:DQ101 DQ102:DQ104 DQ105:DQ108 DQ109:DQ117 DQ118:DQ147 DY1:DY13 DY14 DY15 DY16:DY17 DY18:DY20 DY22:DY44 DY45:DY53 DY54:DY55 DY56:DY101 DY102:DY104 DY105:DY108 DY109:DY117 DY118:DY147 EG1:EG13 EG14 EG15 EG16:EG17 EG18:EG20 EG22:EG44 EG45:EG53 EG54:EG55 EG56:EG101 EG102:EG104 EG105:EG108 EG109:EG117 EG118:EG147 EO1:EO13 EO14 EO15 EO16:EO17 EO18:EO20 EO22:EO44 EO45:EO53 EO54:EO55 EO56:EO101 EO102:EO104 EO105:EO108 EO109:EO117 EO118:EO147 EW1:EW13 EW14 EW15 EW16:EW17 EW18:EW20 EW22:EW44 EW45:EW53 EW54:EW55 EW56:EW101 EW102:EW104 EW105:EW108 EW109:EW117 EW118:EW147 FE1:FF13 FE14:FF14 FE15:FF15 FE16:FF17 FE18:FF20 FE22:FF44 FE45:FE53 FE54:FE55 FE56:FE101 FE102:FF104 FE105:FF108 FE109:FF117 FE118:FF147 FM1:FM13 FM14 FM15 FM16:FM17 FM18:FM20 FM22:FM44 FM45:FM53 FM54:FM55 FM56:FM101 FM102:FM104 FM105:FM108 FM109:FM117 FM118:FM147 FU1:FU13 FU14 FU15 FU16:FU17 FU18:FU20 FU22:FU44 FU45:FU53 FU54:FU55 FU56:FU101 FU102:FU104 FU105:FU108 FU109:FU117 FU118:FU147 GC1:GC13 GC14 GC15 GC16:GC17 GC18:GC20 GC22:GC44 GC45:GC53 GC54:GC55 GC56:GC101 GC102:GC104 GC105:GC108 GC109:GC117 GC118:GC147 GK1:GK13 GK14 GK15 GK16:GK17 GK18:GK20 GK22:GK44 GK45:GK53 GK54:GK55 GK56:GK101 GK102:GK104 GK105:GK108 GK109:GK117 GK118:GK147 GS1:GS13 GS14 GS15 GS16:GS17 GS18:GS20 GS22:GS44 GS45:GS53 GS54:GS55 GS56:GS101 GS102:GS104 GS105:GS108 GS109:GS117 GS118:GS147 HA1:HA13 HA14 HA15 HA16:HA17 HA18:HA20 HA22:HA44 HA45:HA53 HA54:HA55 HA56:HA101 HA102:HA104 HA105:HA108 HA109:HA117 HA118:HA147 HI1:HI13 HI14 HI15 HI16:HI17 HI18:HI20 HI22:HI44 HI45:HI53 HI54:HI55 HI56:HI101 HI102:HI104 HI105:HI108 HI109:HI117 HI118:HI147 HQ1:HQ13 HQ14 HQ15 HQ16:HQ17 HQ18:HQ20 HQ22:HQ44 HQ45:HQ53 HQ54:HQ55 HQ56:HQ101 HQ102:HQ104 HQ105:HQ108 HQ109:HQ117 HQ118:HQ147 HY1:HY13 HY14 HY15 HY16:HY17 HY18:HY20 HY22:HY44 HY45:HY53 HY54:HY55 HY56:HY101 HY102:HY104 HY105:HY108 HY109:HY117 HY118:HY147 IG1:IG13 IG14 IG15 IG16:IG17 IG18:IG20 IG22:IG44 IG45:IG53 IG54:IG55 IG56:IG101 IG102:IG104 IG105:IG108 IG109:IG117 IG118:IG147 IO1:IO13 IO14 IO15 IO16:IO17 IO18:IO20 IO22:IO44 IO45:IO53 IO54:IO55 IO56:IO101 IO102:IO104 IO105:IO108 IO109:IO117 IO118:IO147 IW1:IW13 IW14 IW15 IW16:IW17 IW18:IW20 IW22:IW44 IW45:IW53 IW54:IW55 IW56:IW101 IW102:IW104 IW105:IW108 IW109:IW117 IW118:IW147 JE1:JE13 JE14 JE15 JE16:JE17 JE18:JE20 JE22:JE44 JE45:JE53 JE54:JE55 JE56:JE101 JE102:JE104 JE105:JE108 JE109:JE117 JE118:JE147 JM1:JN13 JM14:JN14 JM15:JN15 JM16:JN17 JM18:JN20 JM22:JN44 JM45:JM53 JM54:JM55 JM56:JM101 JM102:JM104 JM105:JM108 JM109:JN117 JM118:JN147 JU1:JV13 JU14:JV14 JU15:JV15 JU16:JV17 JU18:JV20 JU22:JV44 JU45:JU53 JU54:JU55 JU56:JU101 JU102:JU104 JU105:JV108 JU109:JV117 JU118:JV147 KC1:KD13 KC14:KD14 KC15:KD15 KC16:KD17 KC18:KD20 KC22:KD44 KC45:KC53 KC54:KC55 KC56:KC101 KC102:KC104 KC105:KC108 KC109:KC117 KC118:KD147 KK1:KK13 KK14 KK15 KK16:KK17 KK18:KK20 KK22:KK44 KK45:KK53 KK54:KK55 KK56:KK101 KK102:KK104 KK105:KK108 KK109:KK117 KK118:KK147 KS1:KS13 KS14 KS15 KS16:KS17 KS18:KS20 KS22:KS44 KS45:KS53 KS54:KS55 KS56:KS101 KS102:KS104 KS105:KS108 KS109:KS117 KS118:KS147 LA1:LA13 LA14 LA15 LA16:LA17 LA18:LA20 LA22:LA44 LA45:LA53 LA54:LA55 LA56:LA101 LA102:LA104 LA105:LA108 LA109:LA117 LA118:LA147 LI1:LI13 LI14 LI15 LI16:LI17 LI18:LI20 LI22:LI44 LI45:LI53 LI54:LI55 LI56:LI101 LI102:LI104 LI105:LI108 LI109:LI117 LI118:LI147 LQ1:LQ13 LQ14 LQ15 LQ16:LQ17 LQ18:LQ20 LQ22:LQ44 LQ45:LQ53 LQ54:LQ55 LQ56:LQ101 LQ102:LQ104 LQ105:LQ108 LQ109:LQ117 LQ118:LQ147 LY1:LY13 LY14 LY15 LY16:LY17 LY18:LY20 LY22:LY44 LY45:LY53 LY54:LY55 LY56:LY101 LY102:LY104 LY105:LY108 LY109:LY117 LY118:LY147 MG1:MG13 MG14 MG15 MG16:MG17 MG18:MG20 MG22:MG44 MG45:MG53 MG54:MG55 MG56:MG101 MG102:MG104 MG105:MG108 MG109:MG117 MG118:MG147 MY1:MY13 MY14 MY15 MY16:MY17 MY18:MY20 MY22:MY44 MY45:MY53 MY54:MY55 MY56:MY101 MY102:MY104 MY105:MY108 MY109:MY117 MY118:MY147 NH1:NH13 NH14 NH15 NH16:NH17 NH18:NH20 NH22:NH44 NH45:NH53 NH54:NH55 NH56:NH101 NH102:NH104 NH105:NH108 NH109:NH117 NH118:NH147 OH1:OH13 OH14 OH15 OH16:OH17 OH18:OH20 OH22:OH44 OH45:OH53 OH54:OH55 OH56:OH101 OH102:OH104 OH105:OH108 OH109:OH117 OH118:OH147 OP1:OP13 OP14 OP15 OP16:OP17 OP18:OP20 OP22:OP44 OP45:OP53 OP54:OP55 OP56:OP101 OP102:OP104 OP105:OP108 OP109:OP117 OP118:OP147">
    <cfRule type="cellIs" priority="967" operator="between" dxfId="425">
      <formula>-0.08</formula>
      <formula>-5</formula>
    </cfRule>
    <cfRule type="cellIs" priority="968" operator="between" dxfId="426">
      <formula>0.08</formula>
      <formula>20</formula>
    </cfRule>
  </conditionalFormatting>
  <conditionalFormatting sqref="BM1:BM4 BM10:BM20 BM22:BM147">
    <cfRule type="cellIs" priority="1336" operator="between" dxfId="429">
      <formula>1</formula>
      <formula>30</formula>
    </cfRule>
    <cfRule type="cellIs" priority="1337" operator="between" dxfId="430">
      <formula>1</formula>
      <formula>50</formula>
    </cfRule>
    <cfRule type="cellIs" priority="1338" operator="between" dxfId="428">
      <formula>1</formula>
      <formula>50</formula>
    </cfRule>
    <cfRule type="cellIs" priority="1339" operator="between" dxfId="429">
      <formula>1</formula>
      <formula>50</formula>
    </cfRule>
  </conditionalFormatting>
  <conditionalFormatting sqref="BM1 BM2 BM3:BM4 BM10:BM12 BM13 BM14 BM15 BM16:BM17 BM18 BM19:BM20 BM22 BM23:BM32 BM33 BM34:BM36 BM37:BM40 BM41:BM44 BM45 BM46:BM50 BM51:BM53 BM54 BM55 BM56:BM60 BM61:BM77 BM78:BM101 BM102:BM147 BU1 BU2 BU3:BU4 BU10:BU12 BU13 BU14 BU15 BU16:BU17 BU18 BU19:BU20 BU22 BU23:BU32 BU33 BU34:BU36 BU37:BU40 BU41:BU44 BU45 BU46:BU50 BU51:BU53 BU54:BW54 BU55:BW55 BU56:BU60 BU61:BU77 BU78:BU101 BU102:BU147 CC1 CC2 CC3:CC4 CC10:CC12 CC13 CC14 CC15 CC16:CC17 CC18 CC19:CC20 CC22 CC23:CC32 CC33 CC34:CC36 CC37:CC40 CC41:CC44 CC45 CC46:CC50 CC51:CC53 CC54 CC55 CC56:CC60 CC61:CC77 CC78:CC101 CC102:CC147 CK1 CK2 CK3:CK4 CK10:CK12 CK13 CK14 CK15 CK16:CK17 CK18 CK19:CK20 CK22 CK23:CK32 CK33 CK34:CK36 CK37:CK40 CK41:CK44 CK45 CK46:CK50 CK51:CK53 CK54 CK55 CK56:CK60 CK61:CK77 CK78:CK101 CK102:CK147 CS1 CS2 CS3:CS4 CS10:CS12 CS13 CS14 CS15 CS16:CS17 CS18 CS19:CS20 CS22 CS23:CS32 CS33 CS34:CS36 CS37:CS40 CS41:CS44 CS45 CS46:CS50 CS51:CS53 CS54 CS55 CS56:CS60 CS61:CS77 CS78:CS101 CS102:CS147 DA1 DA2 DA3:DA4 DA10:DA12 DA13 DA14 DA15 DA16:DA17 DA18 DA19:DA20 DA22 DA23:DA32 DA33 DA34:DA36 DA37:DA40 DA41:DA44 DA45 DA46:DA50 DA51:DA53 DA54 DA55 DA56:DA60 DA61:DA77 DA78:DA101 DA102:DA147 DI1 DI2 DI3:DI4 DI10:DI12 DI13 DI14 DI15 DI16:DI17 DI18 DI19:DI20 DI22 DI23:DI32 DI33 DI34:DI36 DI37:DI40 DI41:DI44 DI45 DI46:DI50 DI51:DI53 DI54 DI55 DI56:DI60 DI61:DI77 DI78:DI101 DI102:DI147 DQ1 DQ2 DQ3:DQ4 DQ10:DQ12 DQ13 DQ14 DQ15 DQ16:DQ17 DQ18 DQ19:DQ20 DQ22 DQ23:DQ32 DQ33 DQ34:DQ36 DQ37:DQ40 DQ41:DQ44 DQ45 DQ46:DQ50 DQ51:DQ53 DQ54 DQ55 DQ56:DQ60 DQ61:DQ77 DQ78:DQ101 DQ102:DQ147 DY1 DY2 DY3:DY4 DY10:DY12 DY13 DY14 DY15 DY16:DY17 DY18 DY19:DY20 DY22 DY23:DY32 DY33 DY34:DY36 DY37:DY40 DY41:DY44 DY45 DY46:DY50 DY51:DY53 DY54 DY55 DY56:DY60 DY61:DY77 DY78:DY101 DY102:DY147 EG1:EH1 EG2 EG3:EG4 EG10:EG12 EG13 EG14 EG15 EG16:EG17 EG18:EI18 EG19:EI20 EG22:EI22 EG23:EI32 EG33:EI33 EG34:EI36 EG37:EI40 EG41:EI44 EG45:EI45 EG46:EI50 EG51:EI53 EG54:EI54 EG55:EI55 EG56:EI60 EG61:EI77 EG78:EI101 EG102:EI147 EI10:EI12 EO1:EP1 EO2 EO3:EO4 EO10:EO12 EO13 EO14 EO15 EO16:EO17 EO18:EQ18 EO19:EQ20 EO22:EQ22 EO23:EQ32 EO33:EQ33 EO34:EQ36 EO37:EQ40 EO41:EQ44 EO45:EQ45 EO46:EQ50 EO51:EQ53 EO54:EQ54 EO55:EQ55 EO56:EQ60 EO61:EQ77 EO78:EQ101 EO102:EQ147 EQ10:EQ12 EV1:EX1 EV3:EW4 EV78:EY101 EV102:EY147 EW2 EW10:EW12 EW13 EW14 EW15 EW16:EW17 EW18:EY18 EW19:EY20 EW22:EY22 EW23:EY32 EW33:EY33 EW34:EY36 EW37:EY40 EW41:EY44 EW45:EY45 EW46:EY50 EW51:EY53 EW54:EY54 EW55:EY55 EW56:EY60 EW61:EY77 EY10:EY12 FE1:FF1 FE2:FF2 FE3:FF4 FE10:FF12 FE13:FF13 FE14:FF14 FE15:FF15 FE16:FF17 FE18:FF18 FE19:FF20 FE22:FF22 FE23:FF32 FE33:FF33 FE34:FF36 FE37:FF40 FE41:FF44 FE45 FE46:FE50 FE51:FE53 FE54 FE55 FE56:FE60 FE61:FE77 FE78:FE101 FE102:FF147 FM1:FN1 FM2:FN2 FM3:FN4 FM10:FO12 FM13:FN13 FM14:FN14 FM15:FN15 FM16:FN17 FM18:FO18 FM19:FO20 FM22:FO22 FM23:FO32 FM33:FO33 FM34:FO36 FM37:FO40 FM41:FO44 FM45:FO45 FM46:FO50 FM51:FO53 FM54:FO54 FM55:FO55 FM56:FO60 FM61:FO77 FM78:FO101 FM102:FO147 FU1 FU2 FU3:FU4 FU10:FU12 FU13 FU14 FU15 FU16:FU17 FU18 FU19:FU20 FU22 FU23:FU32 FU33 FU34:FU36 FU37:FU40 FU41:FU44 FU45 FU46:FU50 FU51:FU53 FU54 FU55 FU56:FU60 FU61:FU77 FU78:FU101 FU102:FU147 GC1 GC2 GC3:GC4 GC10:GC12 GC13 GC14 GC15 GC16:GC17 GC18 GC19:GC20 GC22 GC23:GC32 GC33 GC34:GC36 GC37:GC40 GC41:GC44 GC45 GC46:GC50 GC51:GC53 GC54 GC55 GC56:GC60 GC61:GC77 GC78:GC101 GC102:GC147 GK1 GK2 GK3:GK4 GK10:GK12 GK13 GK14 GK15 GK16:GK17 GK18 GK19:GK20 GK22 GK23:GK32 GK33 GK34:GK36 GK37:GK40 GK41:GK44 GK45 GK46:GK50 GK51:GK53 GK54 GK55 GK56:GK60 GK61:GK77 GK78:GK101 GK102:GK147 GS1 GS2 GS3:GS4 GS10:GS12 GS13 GS14 GS15 GS16:GS17 GS18 GS19:GS20 GS22 GS23:GS32 GS33 GS34:GS36 GS37:GS40 GS41:GS44 GS45 GS46:GS50 GS51:GS53 GS54 GS55 GS56:GS60 GS61:GS77 GS78:GS101 GS102:GS147 HA1 HA2 HA3:HA4 HA10:HA12 HA13 HA14 HA15 HA16:HA17 HA18 HA19:HA20 HA22 HA23:HA32 HA33 HA34:HA36 HA37:HA40 HA41:HA44 HA45 HA46:HA50 HA51:HA53 HA54 HA55 HA56:HA60 HA61:HA77 HA78:HA101 HA102:HA147 HI1 HI2 HI3:HI4 HI10:HI12 HI13 HI14 HI15 HI16:HI17 HI18 HI19:HI20 HI22 HI23:HI32 HI33 HI34:HI36 HI37:HI40 HI41:HI44 HI45 HI46:HI50 HI51:HI53 HI54 HI55 HI56:HI60 HI61:HI77 HI78:HI101 HI102:HI147 HQ1 HQ2 HQ3:HQ4 HQ10:HQ12 HQ13 HQ14 HQ15 HQ16:HQ17 HQ18 HQ19:HQ20 HQ22 HQ23:HQ32 HQ33 HQ34:HQ36 HQ37:HQ40 HQ41:HQ44 HQ45 HQ46:HQ50 HQ51:HQ53 HQ54 HQ55 HQ56:HQ60 HQ61:HQ77 HQ78:HQ101 HQ102:HQ147 HY1 HY2 HY3:HY4 HY10:HY12 HY13 HY14 HY15 HY16:HY17 HY18 HY19:HY20 HY22 HY23:HY32 HY33 HY34:HY36 HY37:HY40 HY41:HY44 HY45 HY46:HY50 HY51:HY53 HY54 HY55 HY56:HY60 HY61:HY77 HY78:HY101 HY102:HY147 IG1 IG2 IG3:IG4 IG10:IG12 IG13 IG14 IG15 IG16:IG17 IG18 IG19:IG20 IG22 IG23:IG32 IG33 IG34:IG36 IG37:IG40 IG41:IG44 IG45 IG46:IG50 IG51:IG53 IG54 IG55 IG56:IG60 IG61:IG77 IG78:IG101 IG102:IG147 IO1 IO2 IO3:IO4 IO10:IO12 IO13 IO14 IO15 IO16:IO17 IO18 IO19:IO20 IO22 IO23:IO32 IO33 IO34:IO36 IO37:IO40 IO41:IO44 IO45 IO46:IO50 IO51:IO53 IO54 IO55 IO56:IO60 IO61:IO77 IO78:IO101 IO102:IO147">
    <cfRule type="cellIs" priority="1334" operator="lessThan" dxfId="427">
      <formula>0</formula>
    </cfRule>
    <cfRule type="cellIs" priority="1335" operator="greaterThan" dxfId="428">
      <formula>0</formula>
    </cfRule>
  </conditionalFormatting>
  <conditionalFormatting sqref="BN1 BN2 BN3:BN4 BN5 BN6:BO6 BN7:BO12 BN13 BN14 BN15 BN16:BN17 BN18:BO18 BN19:BO20 BN22:BO22 BN23:BO44 BN45:BO53 BN54:BO55 BN56:BO101 BN102:BO104 BN105:BO108 BN109:BO117 BN118:BO147 BV1 BV18:BW18 BV19:BW20 BV22:BW22 BV23:BW44 BV45:BW53 BV56:BW101 BV102:BW104 BV105:BW108 BV109:BW117 BV118:BW147 BW6 BW7:BW12 CD1 CD18:CE18 CD19:CE20 CD22:CE22 CD23:CE44 CD45:CE53 CD54:CE55 CD56:CE101 CD102:CE104 CD105:CE108 CD109:CE117 CD118:CE147 CE6 CE7:CE12 CL1 CL18:CM18 CL19:CM20 CL22:CM22 CL23:CM44 CL45:CM53 CL54:CM55 CL56:CM101 CL102:CM104 CL105:CM108 CL109:CM117 CL118:CM147 CM6 CM7:CM12 CT1 CT18:CU18 CT19:CU20 CT22:CU22 CT23:CU44 CT45:CU53 CT54:CU55 CT56:CU101 CT102:CU104 CT105:CU108 CT109:CU117 CT118:CU147 CU6 CU7:CU12 DB1 DB2 DB3:DB4 DB5 DB6:DC6 DB7:DC12 DB13 DB14 DB15 DB16:DB17 DB18:DC18 DB19:DC20 DB22:DC22 DB23:DC44 DB45:DC53 DB54:DC55 DB56:DC101 DB102:DC104 DB105:DC108 DB109:DC117 DB118:DC147 DJ1 DJ18:DK18 DJ19:DK20 DJ22:DK22 DJ23:DK44 DJ45:DK53 DJ54:DK55 DJ56:DK101 DJ102:DK104 DJ105:DK108 DJ109:DK117 DJ118:DK147 DK6 DK7:DK12 DR1 DR18:DS18 DR19:DS20 DR22:DS22 DR23:DS44 DR45:DS53 DR54:DS55 DR56:DS101 DR102:DS104 DR105:DS108 DR109:DS117 DR118:DS147 DS6 DS7:DS12 DZ1 DZ18:EA18 DZ19:EA20 DZ22:EA22 DZ23:EA44 DZ45:EA53 DZ54:EA55 DZ56:EA101 DZ102:EA104 DZ105:EA108 DZ109:EA117 DZ118:EA147 EA6 EA7:EA12 EH1 EH18:EI18 EH19:EI20 EH22:EI22 EH23:EI44 EH45:EI53 EH54:EI55 EH56:EI101 EH102:EI104 EH105:EI108 EH109:EI117 EH118:EI147 EI6 EI7:EI12 EP1 EP18:EQ18 EP19:EQ20 EP22:EQ22 EP23:EQ44 EP45:EQ53 EP54:EQ55 EP56:EQ101 EP102:EQ104 EP105:EQ108 EP109:EQ117 EP118:EQ147 EQ6 EQ7:EQ12 EX1 EX18:EY18 EX19:EY20 EX22:EY22 EX23:EY44 EX45:EY53 EX54:EY55 EX56:EY101 EX102:EY104 EX105:EY108 EX109:EY117 EX118:EY147 EY6 EY7:EY12 FF45:FF53 FF54:FF55 FF56:FF101 FG6 FG7:FG12 FG18 FG19:FG20 FG22 FG23:FG44 FG102:FG104 FG105:FG108 FG109:FG117 FG118:FG147 FN1 FN2 FN3:FN4 FN5 FN6:FO6 FN7:FO12 FN13 FN14 FN15 FN16:FN17 FN18:FO18 FN19:FO20 FN22:FO22 FN23:FO44 FN45:FO53 FN54:FO55 FN56:FO101 FN102:FO104 FN105:FO108 FN109:FO117 FN118:FO147 FV1 FV2 FV3:FV4 FV5 FV6:FW6 FV7:FW12 FV13 FV14 FV15 FV16:FV17 FV18:FW18 FV19:FW20 FV22:FW22 FV23:FW44 FV45:FW53 FV54:FW55 FV56:FW101 FV102:FW104 FV105:FW108 FV109:FW117 FV118:FW147 GD1 GD2 GD3:GD4 GD5 GD6:GE6 GD7:GE12 GD13 GD14 GD15 GD16:GD17 GD18:GE18 GD19:GE20 GD22:GE22 GD23:GE44 GD45:GE53 GD54:GE55 GD56:GE101 GD102:GE104 GD105:GE108 GD109:GE117 GD118:GE147 GL1 GL2 GL3:GL4 GL5 GL6:GM6 GL7:GM12 GL13 GL14 GL15 GL16:GL17 GL18:GM18 GL19:GM20 GL22:GM22 GL23:GM44 GL45:GM53 GL54:GM55 GL56:GM101 GL102:GM104 GL105:GM108 GL109:GM117 GL118:GM147 GT1 GT2 GT3:GT4 GT5 GT6:GU6 GT7:GU12 GT13 GT14 GT15 GT16:GT17 GT18:GU18 GT19:GU20 GT22:GU22 GT23:GU44 GT45:GU53 GT54:GU55 GT56:GU101 GT102:GU104 GT105:GU108 GT109:GU117 GT118:GU147 HB1 HB2 HB3:HB4 HB5 HB6:HC6 HB7:HC12 HB13 HB14 HB15 HB16:HB17 HB18:HC18 HB19:HC20 HB22:HC22 HB23:HC44 HB45:HC53 HB54:HC55 HB56:HC101 HB102:HC104 HB105:HC108 HB109:HC117 HB118:HC147 HJ1 HJ2 HJ3:HJ4 HJ5 HJ6:HK6 HJ7:HK12 HJ13 HJ14 HJ15 HJ16:HJ17 HJ18:HK18 HJ19:HK20 HJ22:HK22 HJ23:HK44 HJ45:HK53 HJ54:HK55 HJ56:HK101 HJ102:HK104 HJ105:HK108 HJ109:HK117 HJ118:HK147 HR1 HR2 HR3:HR4 HR5 HR6:HS6 HR7:HS12 HR13 HR14 HR15 HR16:HR17 HR18:HS18 HR19:HS20 HR22:HS22 HR23:HS44 HR45:HS53 HR54:HS55 HR56:HS101 HR102:HS104 HR105:HS108 HR109:HS117 HR118:HS147 HZ1 HZ2 HZ3:HZ4 HZ5 HZ6:IA6 HZ7:IA12 HZ13 HZ14 HZ15 HZ16:HZ17 HZ18:IA18 HZ19:IA20 HZ22:IA22 HZ23:IA44 HZ45:IA53 HZ54:IA55 HZ56:IA101 HZ102:IA104 HZ105:IA108 HZ109:IA117 HZ118:IA147 IH1 IH2 IH3:IH4 IH5 IH6:II6 IH7:II12 IH13 IH14 IH15 IH16:IH17 IH18:II18 IH19:II20 IH22:II22 IH23:II44 IH45:II53 IH54:II55 IH56:II101 IH102:II104 IH105:II108 IH109:II117 IH118:II147 IP1 IP2 IP3:IP4 IP5 IP6:IQ6 IP7:IQ12 IP13 IP14 IP15 IP16:IP17 IP18:IQ18 IP19:IQ20 IP22:IQ22 IP23:IQ44 IP45:IQ53 IP54:IQ55 IP56:IQ101 IP102:IQ104 IP105:IQ108 IP109:IQ117 IP118:IQ147 IX1 IX2 IX3:IX4 IX5 IX6:IY6 IX7:IY12 IX13 IX14 IX15 IX16:IX17 IX18:IY18 IX19:IY20 IX22:IY22 IX23:IY44 IX45:IY53 IX54:IY55 IX56:IY101 IX102:IY104 IX105:IY108 IX109:IY117 IX118:IY147 JF1 JF2 JF3:JF4 JF5 JF6:JG6 JF7:JG12 JF13 JF14 JF15 JF16:JF17 JF18:JG18 JF19:JG20 JF22:JG22 JF23:JG44 JF45:JG53 JF54:JG55 JF56:JG101 JF102:JG104 JF105:JG108 JF109:JG117 JF118:JG147 JN45:JN53 JN54:JN55 JN56:JN101 JN102:JN104 JN105:JN108 JO7:JO12 JO18 JO19:JO20 JO22 JO23:JO44 JO109:JO117 JO118:JO147 JV45:JV53 JV54:JV55 JV56:JV101 JV102:JV104 JW6 JW7:JW12 JW18 JW19:JW20 JW22 JW23:JW44 JW105:JW108 JW109:JW117 JW118:JW147 KD45:KD53 KD54:KD55 KD56:KD101 KD102:KD104 KD105:KD108 KD109:KD117 KE6 KE7:KE12 KE18 KE19:KE20 KE22 KE23:KE44 KE118:KE147 KL1 KL2 KL3:KL4 KL5 KL6:KM6 KL7:KM12 KL13 KL14 KL15 KL16:KL17 KL18:KM18 KL19:KM20 KL22:KM22 KL23:KM44 KL45:KM53 KL54:KM55 KL56:KM101 KL102:KM104 KL105:KM108 KL109:KM117 KL118:KM147 KT1 KT2 KT3:KT4 KT5 KT6:KU6 KT7:KU12 KT13 KT14 KT15 KT16:KT17 KT18:KU18 KT19:KU20 KT22:KU22 KT23:KU44 KT45:KU53 KT54:KU55 KT56:KU101 KT102:KU104 KT105:KU108 KT109:KU117 KT118:KU147 LB1 LB2 LB3:LB4 LB5 LB6:LC6 LB7:LC12 LB13 LB14 LB15 LB16:LB17 LB18:LC18 LB19:LC20 LB22:LC22 LB23:LC44 LB45:LC53 LB54:LC55 LB56:LC101 LB102:LC104 LB105:LC108 LB109:LC117 LB118:LC147 LJ1 LJ2 LJ3:LJ4 LJ5 LJ6:LK6 LJ7:LK12 LJ13 LJ14 LJ15 LJ16:LJ17 LJ18:LK18 LJ19:LK20 LJ22:LK22 LJ23:LK44 LJ45:LK53 LJ54:LK55 LJ56:LK101 LJ102:LK104 LJ105:LK108 LJ109:LK117 LJ118:LK147 LR1 LR2 LR3:LR4 LR5 LR6:LS6 LR7:LS12 LR13 LR14 LR15 LR16:LR17 LR18:LS18 LR19:LS20 LR22:LS22 LR23:LS44 LR45:LS53 LR54:LS55 LR56:LS101 LR102:LS104 LR105:LS108 LR109:LS117 LR118:LS147 LZ1 LZ2 LZ3:LZ4 LZ5 LZ6 LZ7:MA12 LZ13 LZ14 LZ15 LZ16:LZ17 LZ18:MA18 LZ19:MA20 LZ22:MA22 LZ23:MA44 LZ45:MA53 LZ54:MA55 LZ56:MA101 LZ102:MA104 LZ105:MA108 LZ109:MA117 LZ118:MA147 MH1 MH2 MH3:MH4 MH5 MH6 MH7:MH12 MH13 MH14 MH15 MH16:MH17 MH18 MH19:MH20 MH22 MH23:MH44 MH45:MH53 MH54:MH55 MH56:MH101 MH102:MH104 MH105:MH108 MH109:MH117 MH118:MH147 MQ1 MQ2 MQ3:MQ4 MQ5 MQ6 MQ7:MQ12 MQ13 MQ14 MQ15 MQ16:MQ17 MQ18 MQ19:MQ20 MQ22 MQ23:MQ44 MQ45:MQ53 MQ54:MQ55 MQ56:MQ101 MQ102:MQ104 MQ105:MQ108 MQ109:MQ117 MQ118:MQ147 MZ1 MZ2 MZ3:MZ4 MZ5 MZ6 MZ7:MZ12 MZ13 MZ14 MZ15 MZ16:MZ17 MZ18 MZ19:MZ20 MZ22 MZ23:MZ44 MZ45:MZ53 MZ54:MZ55 MZ56:MZ101 MZ102:MZ104 MZ105:MZ108 MZ109:MZ117 MZ118:MZ147 NI1 NI2 NI3:NI4 NI5 NI6 NI7:NI12 NI13 NI14 NI15 NI16:NI17 NI18 NI19:NI20 NI22 NI23:NI44 NI45:NI53 NI54:NI55 NI56:NI101 NI102:NI104 NI105:NI108 NI109:NI117 NI118:NI147 OI1 OI2 OI3:OI4 OI5 OI6:OJ6 OI7:OJ12 OI13 OI14 OI15 OI16:OI17 OI18:OJ18 OI19:OJ20 OI22:OJ22 OI23:OJ44 OI45:OJ53 OI54:OJ55 OI56:OJ101 OI102:OJ104 OI105:OJ108 OI109:OJ117 OI118:OJ147 OQ1 OQ2 OQ3:OQ4 OQ5 OQ6 OQ7:OQ12 OQ13 OQ14 OQ15 OQ16:OQ17 OQ18 OQ19:OQ20 OQ22 OQ23:OQ44 OQ45:OQ53 OQ54:OQ55 OQ56:OQ101 OQ102:OQ104 OQ105:OQ108 OQ109:OQ117 OQ118:OQ147">
    <cfRule type="cellIs" priority="965" operator="between" dxfId="425">
      <formula>-0.16</formula>
      <formula>-5</formula>
    </cfRule>
    <cfRule type="cellIs" priority="966" operator="between" dxfId="426">
      <formula>0.16</formula>
      <formula>20</formula>
    </cfRule>
  </conditionalFormatting>
  <conditionalFormatting sqref="CR1 CR3:CR4 CR10:CR20 CR22:CR147">
    <cfRule type="cellIs" priority="1344" operator="between" dxfId="425">
      <formula>-3</formula>
      <formula>-0.1</formula>
    </cfRule>
    <cfRule type="cellIs" priority="1345" operator="between" dxfId="426">
      <formula>0.1</formula>
      <formula>3</formula>
    </cfRule>
  </conditionalFormatting>
  <conditionalFormatting sqref="EU1 EU3:EU20 EU22:EU147">
    <cfRule type="cellIs" priority="1323" operator="lessThan" dxfId="427">
      <formula>0</formula>
    </cfRule>
    <cfRule type="cellIs" priority="1324" operator="greaterThan" dxfId="428">
      <formula>0</formula>
    </cfRule>
  </conditionalFormatting>
  <conditionalFormatting sqref="EV1 EV3:EV20 EV22:EV147">
    <cfRule type="cellIs" priority="1267" operator="between" dxfId="426">
      <formula>0.1</formula>
      <formula>3</formula>
    </cfRule>
    <cfRule type="cellIs" priority="1268" operator="between" dxfId="425">
      <formula>-0.05</formula>
      <formula>-3</formula>
    </cfRule>
    <cfRule type="cellIs" priority="1269" operator="lessThan" dxfId="427">
      <formula>0</formula>
    </cfRule>
    <cfRule type="cellIs" priority="1320" operator="greaterThan" dxfId="428">
      <formula>0</formula>
    </cfRule>
    <cfRule type="cellIs" priority="1321" operator="between" dxfId="425">
      <formula>-3</formula>
      <formula>-0.5</formula>
    </cfRule>
    <cfRule type="cellIs" priority="1322" operator="between" dxfId="426">
      <formula>0.5</formula>
      <formula>30</formula>
    </cfRule>
  </conditionalFormatting>
  <conditionalFormatting sqref="IW1:IW2 IW3:IW4 IW10:IW12 IW13 IW14 IW15 IW16:IW17 IW18 IW19:IW20 IW22 IW23:IW32 IW33 IW34:IW36 IW37:IW40 IW41:IW44 IW45 IW46:IW50 IW51:IW60 IW61:IW104 IW105:IW108 IW109:IW117 IW118:IW147 JE1:JE2 JE3:JE4 JE10:JE12 JE13 JE14 JE15 JE16:JE17 JE18 JE19:JE20 JE22 JE23:JE32 JE33 JE34:JE36 JE37:JE40 JE41:JE44 JE45 JE46:JE50 JE51:JE60 JE61:JE104 JE105:JE108 JE109:JE117 JE118:JE147 JM1:JN2 JM3:JN4 JM10:JN12 JM13:JN13 JM14:JN14 JM15:JN15 JM16:JN17 JM18:JN18 JM19:JN20 JM22:JN22 JM23:JN32 JM33:JN33 JM34:JN36 JM37:JN40 JM41:JN44 JM45 JM46:JM50 JM51:JM60 JM61:JM104 JM105:JM108 JM109:JN117 JM118:JN147 JU1:JV2 JU3:JV4 JU10:JV12 JU13:JV13 JU14:JV14 JU15:JV15 JU16:JV17 JU18:JV18 JU19:JV20 JU22:JV22 JU23:JV32 JU33:JV33 JU34:JV36 JU37:JV40 JU41:JV44 JU45 JU46:JU50 JU51:JU60 JU61:JU104 JU105:JV108 JU109:JV117 JU118:JV147 KC1:KD2 KC3:KD4 KC10:KD12 KC13:KD13 KC14:KD14 KC15:KD15 KC16:KD17 KC18:KD18 KC19:KD20 KC22:KD22 KC23:KD32 KC33:KD33 KC34:KD36 KC37:KD40 KC41:KD44 KC45 KC46:KC50 KC51:KC60 KC61:KC104 KC105:KC108 KC109:KC117 KC118:KD147 KK1:KK2 KK3:KK4 KK10:KK12 KK13 KK14 KK15 KK16:KK17 KK18 KK19:KK20 KK22 KK23:KK32 KK33 KK34:KK36 KK37:KK40 KK41:KK44 KK45 KK46:KK50 KK51:KK60 KK61:KK104 KK105:KK108 KK109:KK117 KK118:KK147 KS1:KS2 KS3:KS4 KS10:KS12 KS13 KS14 KS15 KS16:KS17 KS18 KS19:KS20 KS22 KS23:KS32 KS33 KS34:KS36 KS37:KS40 KS41:KS44 KS45 KS46:KS50 KS51:KS60 KS61:KS104 KS105:KS108 KS109:KS117 KS118:KS147 LA1:LA2 LA3:LA4 LA10:LA12 LA13 LA14 LA15 LA16:LA17 LA18 LA19:LA20 LA22 LA23:LA32 LA33 LA34:LA36 LA37:LA40 LA41:LA44 LA45 LA46:LA50 LA51:LA60 LA61:LA104 LA105:LA108 LA109:LA117 LA118:LA147 LI1:LI2 LI3:LI4 LI10:LI12 LI13 LI14 LI15 LI16:LI17 LI18 LI19:LI20 LI22 LI23:LI32 LI33 LI34:LI36 LI37:LI40 LI41:LI44 LI45 LI46:LI50 LI51:LI60 LI61:LI104 LI105:LI108 LI109:LI117 LI118:LI147 LQ1:LQ2 LQ3:LQ4 LQ10:LQ12 LQ13 LQ14 LQ15 LQ16:LQ17 LQ18 LQ19:LQ20 LQ22 LQ23:LQ32 LQ33 LQ34:LQ36 LQ37:LQ40 LQ41:LQ44 LQ45 LQ46:LQ50 LQ51:LQ60 LQ61:LQ104 LQ105:LQ108 LQ109:LQ117 LQ118:LQ147 LY1:LY2 LY3:LY4 LY10:LY12 LY13 LY14 LY15 LY16:LY17 LY18 LY19:LY20 LY22 LY23:LY32 LY33 LY34:LY36 LY37:LY40 LY41:LY44 LY45 LY46:LY50 LY51:LY60 LY61:LY104 LY105:LY108 LY109:LY117 LY118:LY147 MG1:MG2 MG3:MG4 MG10:MG12 MG13 MG14 MG15 MG16:MG17 MG18 MG19:MG20 MG22 MG23:MG32 MG33 MG34:MG36 MG37:MG40 MG41:MG44 MG45 MG46:MG50 MG51:MG60 MG61:MG104 MG105:MG108 MG109:MG117 MG118:MG147 OH1:OH2 OH3:OH4 OH10:OH12 OH13 OH14 OH15 OH16:OH17 OH18 OH19:OH20 OH22 OH23:OH32 OH33 OH34:OH36 OH37:OH40 OH41:OH44 OH45 OH46:OH50 OH51:OH60 OH61:OH104 OH105:OH108 OH109:OH117 OH118:OH147">
    <cfRule type="cellIs" priority="1332" operator="lessThan" dxfId="427">
      <formula>0</formula>
    </cfRule>
    <cfRule type="cellIs" priority="1333" operator="greaterThan" dxfId="428">
      <formula>0</formula>
    </cfRule>
  </conditionalFormatting>
  <conditionalFormatting sqref="MN1:MO1 MN3:MO20 MN22:MO147">
    <cfRule type="cellIs" priority="1310" operator="lessThan" dxfId="427">
      <formula>0</formula>
    </cfRule>
    <cfRule type="cellIs" priority="1311" operator="greaterThan" dxfId="428">
      <formula>0</formula>
    </cfRule>
  </conditionalFormatting>
  <conditionalFormatting sqref="MO1 MO3:MO20 MO22:MO147">
    <cfRule type="cellIs" priority="1308" operator="between" dxfId="425">
      <formula>-5</formula>
      <formula>-0.5</formula>
    </cfRule>
    <cfRule type="cellIs" priority="1309" operator="between" dxfId="426">
      <formula>0.5</formula>
      <formula>5</formula>
    </cfRule>
  </conditionalFormatting>
  <conditionalFormatting sqref="MP1:MP20 MP22:MP147">
    <cfRule type="cellIs" priority="902" operator="between" dxfId="425">
      <formula>-0.08</formula>
      <formula>-5</formula>
    </cfRule>
    <cfRule type="cellIs" priority="903" operator="between" dxfId="426">
      <formula>0.08</formula>
      <formula>20</formula>
    </cfRule>
    <cfRule type="cellIs" priority="904" operator="lessThan" dxfId="427">
      <formula>0</formula>
    </cfRule>
    <cfRule type="cellIs" priority="905" operator="greaterThan" dxfId="428">
      <formula>0</formula>
    </cfRule>
  </conditionalFormatting>
  <conditionalFormatting sqref="MW1:MX1 MW3:MX20 MW22:MX147">
    <cfRule type="cellIs" priority="1092" operator="between" dxfId="426">
      <formula>0.1</formula>
      <formula>5</formula>
    </cfRule>
    <cfRule type="cellIs" priority="1093" operator="between" dxfId="425">
      <formula>-0.1</formula>
      <formula>-5</formula>
    </cfRule>
    <cfRule type="cellIs" priority="1094" operator="lessThan" dxfId="427">
      <formula>0</formula>
    </cfRule>
    <cfRule type="cellIs" priority="1095" operator="greaterThan" dxfId="428">
      <formula>0</formula>
    </cfRule>
  </conditionalFormatting>
  <conditionalFormatting sqref="MX1 MX3:MX20 MX22:MX147">
    <cfRule type="cellIs" priority="1065" operator="between" dxfId="426">
      <formula>0.1</formula>
      <formula>20</formula>
    </cfRule>
  </conditionalFormatting>
  <conditionalFormatting sqref="MY1:MY20 MY22:MY1048576">
    <cfRule type="cellIs" priority="335" operator="lessThan" dxfId="427">
      <formula>0</formula>
    </cfRule>
    <cfRule type="cellIs" priority="336" operator="greaterThan" dxfId="428">
      <formula>0</formula>
    </cfRule>
  </conditionalFormatting>
  <conditionalFormatting sqref="NF1:NG1 NF3:NG20 NF22:NG147">
    <cfRule type="cellIs" priority="1049" operator="lessThan" dxfId="427">
      <formula>0</formula>
    </cfRule>
    <cfRule type="cellIs" priority="1050" operator="greaterThan" dxfId="428">
      <formula>0</formula>
    </cfRule>
  </conditionalFormatting>
  <conditionalFormatting sqref="NG1 NG3:NG20 NG22:NG147">
    <cfRule type="cellIs" priority="1046" operator="between" dxfId="425">
      <formula>-0.1</formula>
      <formula>-5</formula>
    </cfRule>
    <cfRule type="cellIs" priority="1047" operator="between" dxfId="425">
      <formula>-10</formula>
      <formula>-5</formula>
    </cfRule>
    <cfRule type="cellIs" priority="1048" operator="between" dxfId="426">
      <formula>0.1</formula>
      <formula>20</formula>
    </cfRule>
  </conditionalFormatting>
  <conditionalFormatting sqref="NH1:NH20 NH22:NH147">
    <cfRule type="cellIs" priority="907" operator="between" dxfId="425">
      <formula>-0.08</formula>
      <formula>-5</formula>
    </cfRule>
    <cfRule type="cellIs" priority="908" operator="between" dxfId="426">
      <formula>0.08</formula>
      <formula>20</formula>
    </cfRule>
    <cfRule type="cellIs" priority="909" operator="lessThan" dxfId="427">
      <formula>0</formula>
    </cfRule>
    <cfRule type="cellIs" priority="910" operator="greaterThan" dxfId="428">
      <formula>0</formula>
    </cfRule>
  </conditionalFormatting>
  <conditionalFormatting sqref="NP1:NQ1 NP3:NP9 NP10:NQ20 NP22:NQ147">
    <cfRule type="cellIs" priority="929" operator="lessThan" dxfId="427">
      <formula>0</formula>
    </cfRule>
    <cfRule type="cellIs" priority="930" operator="greaterThan" dxfId="428">
      <formula>0</formula>
    </cfRule>
  </conditionalFormatting>
  <conditionalFormatting sqref="NQ1 NQ10:NQ20 NQ22:NQ147">
    <cfRule type="cellIs" priority="927" operator="between" dxfId="425">
      <formula>-0.05</formula>
      <formula>-5</formula>
    </cfRule>
    <cfRule type="cellIs" priority="928" operator="between" dxfId="426">
      <formula>0.05</formula>
      <formula>20</formula>
    </cfRule>
  </conditionalFormatting>
  <conditionalFormatting sqref="NS1:NS20 NS22:NS186 NS318:NS1048576">
    <cfRule type="cellIs" priority="811" operator="lessThan" dxfId="427">
      <formula>0</formula>
    </cfRule>
    <cfRule type="cellIs" priority="812" operator="greaterThan" dxfId="428">
      <formula>0</formula>
    </cfRule>
  </conditionalFormatting>
  <conditionalFormatting sqref="NX1:NY1 NX3:NY20 NX22:NY147">
    <cfRule type="cellIs" priority="959" operator="lessThan" dxfId="427">
      <formula>0</formula>
    </cfRule>
    <cfRule type="cellIs" priority="960" operator="greaterThan" dxfId="428">
      <formula>0</formula>
    </cfRule>
  </conditionalFormatting>
  <conditionalFormatting sqref="NZ1:NZ20 NZ22:NZ147">
    <cfRule type="cellIs" priority="900" operator="lessThan" dxfId="427">
      <formula>0</formula>
    </cfRule>
    <cfRule type="cellIs" priority="901" operator="greaterThan" dxfId="428">
      <formula>0</formula>
    </cfRule>
  </conditionalFormatting>
  <conditionalFormatting sqref="OA1:OA20 OA22:OA186 OA318:OA1048576">
    <cfRule type="cellIs" priority="809" operator="lessThan" dxfId="427">
      <formula>0</formula>
    </cfRule>
    <cfRule type="cellIs" priority="810" operator="greaterThan" dxfId="428">
      <formula>0</formula>
    </cfRule>
  </conditionalFormatting>
  <conditionalFormatting sqref="OP1:OP20 OP22:OP1048576">
    <cfRule type="cellIs" priority="333" operator="lessThan" dxfId="427">
      <formula>0</formula>
    </cfRule>
    <cfRule type="cellIs" priority="334" operator="greaterThan" dxfId="428">
      <formula>0</formula>
    </cfRule>
  </conditionalFormatting>
  <conditionalFormatting sqref="OW1:OX20 OW22:OX186 OW318:OX1048576">
    <cfRule type="cellIs" priority="545" operator="lessThan" dxfId="427">
      <formula>0</formula>
    </cfRule>
    <cfRule type="cellIs" priority="546" operator="greaterThan" dxfId="428">
      <formula>0</formula>
    </cfRule>
  </conditionalFormatting>
  <conditionalFormatting sqref="OY1:OY20 OY22:OY1048576">
    <cfRule type="cellIs" priority="331" operator="lessThan" dxfId="427">
      <formula>0</formula>
    </cfRule>
    <cfRule type="cellIs" priority="332" operator="greaterThan" dxfId="428">
      <formula>0</formula>
    </cfRule>
  </conditionalFormatting>
  <conditionalFormatting sqref="D3:F3 D4:F4 D5:F5 D6:F7 D8:F8 D9:F9 L3:N3 L4:N4 L5:N5 L6:N7 L8:N8 L9:N9 T3:V3 T4:V4 T5:V5 T6:V7 T8:V8 T9:V9 AB3:AD3 AB4:AD4 AB5:AD5 AB6:AD7 AB8:AD8 AB9:AD9 AJ3:AL3 AJ4:AL4 AJ5:AL5 AJ6:AL7 AJ8:AL8 AJ9:AL9 AR3:AT3 AR4:AT4 AR5:AT5 AR6:AT7 AR8:AT8 AR9:AT9">
    <cfRule type="cellIs" priority="891" operator="lessThan" dxfId="427">
      <formula>0</formula>
    </cfRule>
    <cfRule type="cellIs" priority="892" operator="greaterThan" dxfId="428">
      <formula>0</formula>
    </cfRule>
  </conditionalFormatting>
  <conditionalFormatting sqref="F3 F4 F5 F6:F7 F8 F9 M3 M4 M5 M6:M7 M8 M9 V3 V4 V5 V6:V7 V8 V9 AD3 AD4 AD5 AD6:AD7 AD8 AD9 AL3 AL4 AL5 AL6:AL7 AL8 AL9 AT3 AT4 AT5 AT6:AT7 AT8 AT9">
    <cfRule type="cellIs" priority="847" operator="between" dxfId="426">
      <formula>0.06</formula>
      <formula>3</formula>
    </cfRule>
    <cfRule type="cellIs" priority="848" operator="between" dxfId="425">
      <formula>-0.06</formula>
      <formula>-2</formula>
    </cfRule>
  </conditionalFormatting>
  <conditionalFormatting sqref="F3:G3 F4:G4 F5:G5 F6:G7 F8:G8 F9:G9 N3:O3 N4:O4 N5:O5 N6:O7 N8:O8 N9:O9 V3:W3 V4:W4 V5:W5 V6:W7 V8:W8 V9:W9 AD3:AE3 AD4:AE4 AD5:AE5 AD6:AE7 AD8:AE8 AD9:AE9 AL3:AM3 AL4:AM4 AL5:AM5 AL6:AM7 AL8:AM8 AL9:AM9 AT3:AU3 AT4:AU4 AT5:AU5 AT6:AU7 AT8:AU8 AT9:AU9">
    <cfRule type="cellIs" priority="841" operator="between" dxfId="426">
      <formula>0.15</formula>
      <formula>3</formula>
    </cfRule>
    <cfRule type="cellIs" priority="842" operator="between" dxfId="425">
      <formula>-0.1</formula>
      <formula>-2</formula>
    </cfRule>
    <cfRule type="cellIs" priority="843" operator="lessThan" dxfId="427">
      <formula>0</formula>
    </cfRule>
    <cfRule type="cellIs" priority="844" operator="greaterThan" dxfId="428">
      <formula>0</formula>
    </cfRule>
  </conditionalFormatting>
  <conditionalFormatting sqref="G3 G4 G5 G6:G7 G8:G9 O3 O4 O5 O6:O7 O8:O9 W3 W4 W5 W6:W7 W8:W9 AE3 AE4 AE5 AE6:AE7 AE8:AE9 AM3 AM4 AM5 AM6:AM7 AM8:AM9 AU3 AU4 AU5 AU6:AU7 AU8:AU9">
    <cfRule type="cellIs" priority="845" operator="between" dxfId="425">
      <formula>-0.15</formula>
      <formula>-3</formula>
    </cfRule>
    <cfRule type="cellIs" priority="846" operator="between" dxfId="426">
      <formula>0.15</formula>
      <formula>3</formula>
    </cfRule>
  </conditionalFormatting>
  <conditionalFormatting sqref="BA3:BC9">
    <cfRule type="cellIs" priority="823" operator="lessThan" dxfId="427">
      <formula>0</formula>
    </cfRule>
    <cfRule type="cellIs" priority="824" operator="greaterThan" dxfId="428">
      <formula>0</formula>
    </cfRule>
  </conditionalFormatting>
  <conditionalFormatting sqref="BF3:BG3 BF4:BG4 BI4:BO4 BJ3:BO3 BJ5:BK5 BJ6:BK7 BJ8:BK8 BJ9:BK9 BQ4:BU4 BR3:BU3 BR5:BS5 BR6:BS7 BR8:BS8 BR9:BS9 BW3 BW4 BY4:CC4 BZ3:CC3 BZ5:CA5 BZ6:CA7 BZ8:CA8 BZ9:CA9 CE3 CE4 CG4:CK4 CH3:CK3 CH5:CI5 CH6:CI7 CH8:CI8 CH9:CI9 CM3 CM4 CO3:CS3 CO4:CS4 CP5:CQ5 CP6:CQ7 CP8:CQ8 CP9:CQ9 CU3 CU4 CW3:DC3 CW4:DC4 CX5:CY5 CX6:CY7 DE4:DI4 DF3:DI3 DF5 DF6:DG7 DK3 DK4 DM3:DQ3 DM4:DQ4 DN5:DO5 DN6:DO7 DS3 DS4 DU3:DY3 DU4:DY4 DV5:DW5 DV6:DW7 EA3 EA4 EC3:EG3 EC4:EG4 ED5:EE5 ED6:EE7 EI3 EI4 EK3:EO3 EK4:EO4 EL5:EM5 EL6:EM7 EV3:EW3 EV4:EW4 EY3 EY4 FA3:FG3 FA4:FG4 FB5:FC5 FB6:FC7 FI3:FO3 FI4:FO4 FJ5:FK5 FJ6:FK7 FQ3:FW3 FQ4:FW4 FR5:FS5 FR6:FS7 FY3:GE3 FY4:GE4 FZ5:GA5 FZ6:GA7 GG3:GM3 GG4:GM4 GH5:GI5 GH6:GI7 GO3:GU3 GO4:GU4 GP5:GQ5 GP6:GQ7 GW3:HC3 GW4:HC4 GX5:GY5 GX6:GY7 GX8:GY8 HE3:HK3 HE4:HK4 HF5:HG5 HF6:HG7 HM3:HS3 HM4:HS4 HN5:HO5 HN6:HO7 HU3:IA3 HU4:IA4 HV5:HW5 HV6:HW7 HV8:HW8 HV9:HW9 IC3:II3 IC4:II4 ID5:IE5 ID6:IE7 IK3:IQ3 IK4:IQ4 IL5:IM5 IL6:IM7 IS3:IY3 IS4:IY4 IT5:IU5 IT6:IU7 JA3:JG3 JA4:JG4 JB5:JC5 JB6:JC7 JB8:JC8 JB9:JC9 JI3:JO3 JI4:JO4 JJ5:JK5 JJ6:JK7 JQ3:JW3 JQ4:JW4 JR5:JS5 JR6:JS7 JY3:KE3 JY4:KE4 JZ5:KA5 JZ6:KA7 KG3:KM3 KG4:KM4 KH5:KI5 KH6:KI7 KO3:KU3 KO4:KU4 KP5:KQ5 KP6:KQ7 KW3:LC3 KW4:LC4 KX5:KY5 KX6:KY7 LE3:LK3 LE4:LK4 LF5:LG5 LF6:LG7 LM3:LS3 LM4:LS4 LN5:LO5 LN6:LO7 LU3:MA3 LU4:MA4 LV5:LW5 LV6:LW7 MC3:MJ3 MC4:MJ4 MD5:ME5 MD6:ME7 ML3 ML4 MN3:MO3 MN4:MO4 MN5 MN6:MN7 MQ3:MR3 MQ4:MR4 MS11 MS65:MT65 MS66:MX66 MU67:MX67 MV12:MV20 MV22:MV64 MV65 MV68:MV115 MZ3:NB3 MZ4:NB4 ND3:NK3 ND4:NK4 NR3:NT3 NR4:NT4 NV3:OB3 NV4:OB4 OD3:OJ3 OD4:OJ4 OE5:OF5 OE6:OF7 OL3:OU3 OL4:OU4 OM5:ON5 OM6:ON7 OW3:PI3 OW4:PI4">
    <cfRule type="cellIs" priority="1331" operator="lessThan" dxfId="427">
      <formula>0</formula>
    </cfRule>
  </conditionalFormatting>
  <conditionalFormatting sqref="BI3:BJ9">
    <cfRule type="cellIs" priority="1288" operator="lessThan" dxfId="427">
      <formula>0</formula>
    </cfRule>
    <cfRule type="cellIs" priority="1289" operator="greaterThan" dxfId="428">
      <formula>0</formula>
    </cfRule>
  </conditionalFormatting>
  <conditionalFormatting sqref="BI3:BJ4 BI5:BJ5 BI6:BJ7 BI8:BJ8 BI9:BJ9 BQ3:BR4 BQ5:BR5 BQ6:BR7 BQ8:BR8 BQ9:BR9 BY3:BZ4 BY5:BZ5 BY6:BZ7 BY8:BZ8 BY9:BZ9 CG3:CH4 CG5:CH5 CG6:CH7 CG8:CH8 CG9:CH9 CO3:CP4 CO5:CP5 CO6:CP7 CO8:CP8 CO9:CP9 CW3:CX4 CW5:CX5 CW6:CX7 CW8:CX8 CW9:CX9 DE3:DF4 DE5:DF5 DE6:DF7 DE8:DF8 DE9:DF9 DM3:DN4 DM5:DN5 DM6:DN7 DM8:DN8 DM9:DN9 DU3:DV4 DU5:DV5 DU6:DV7 DU8:DV8 DU9:DV9 EC3:ED4 EC5:ED5 EC6:ED7 EC8:ED8 EC9:ED9 EK3:EL4 EK5:EL5 EK6:EL7 EK8:EL8 EK9:EL9 ES3:ET4 ES5:ET5 ES6:ET7 ES8:ET8 ES9:ET9 FA3:FB4 FA5:FB5 FA6:FB7 FA8:FB8 FA9:FB9 FI3:FJ4 FI5:FJ5 FI6:FJ7 FI8:FJ8 FI9:FJ9 FQ3:FR4 FQ5:FR5 FQ6:FR7 FQ8:FR8 FQ9:FR9 FY3:FZ4 FY5:FZ5 FY6:FZ7 FY8:FZ8 FY9:FZ9 GG3:GH4 GG5:GH5 GG6:GH7 GG8:GH8 GG9:GH9 GO3:GP4 GO5:GP5 GO6:GP7 GO8:GP8 GO9:GP9 GW3:GX4 GW5:GX5 GW6:GX7 GW8:GX8 GW9:GX9 HE3:HF4 HE5:HF5 HE6:HF7 HE8:HF8 HE9:HF9 HU3:HV4 HU5:HV5 HU6:HV7 HU8:HV8 HU9:HV9 IC3:ID4 IC5:ID5 IC6:ID7 IC8:ID8 IC9:ID9 IK3:IL4 IK5:IL5 IK6:IL7 IK8:IL8 IK9:IL9 IS3:IT4 IS5:IT5 IS6:IT7 IS8:IT8 IS9:IT9 JA3:JB4 JA5:JB5 JA6:JB7 JA8:JB8 JA9:JB9 JI3:JJ4 JI5:JJ5 JI6:JJ7 JI8:JJ8 JI9:JJ9 JQ3:JR4 JQ5:JR5 JQ6:JR7 JQ8:JR8 JQ9:JR9 JY3:JZ4 JY5:JZ5 JY6:JZ7 JY8:JZ8 JY9:JZ9 KG3:KH4 KG5:KH5 KG6:KH7 KG8:KH8 KG9:KH9 KO3:KP4 KO5:KP5 KO6:KP7 KO8:KP8 KO9:KP9 KW3:KX4 KW5:KX5 KW6:KX7 KW8:KX8 KW9:KX9 LE3:LF4 LE5:LF5 LE6:LF7 LE8:LF8 LE9:LF9 LM3:LN4 LM5:LN5 LM6:LN7 LM8:LN8 LM9:LN9 LU3:LV4 LU5:LV5 LU6:LV7 LU8:LV8 LU9:LV9 MC3:MD4 MC5:MD5 MC6:MD7 MC8:MD8 MC9:MD9 ML3:MM4 ML5:MM5 ML6:MM7 ML8:MM8 ML9:MM9 OD3:OE4 OD5:OE5 OD6:OE7 OD8:OE8 OD9:OE9 OL3:OM4 OL5:OM5 OL6:OM7 OL8:OM8 OL9:OM9">
    <cfRule type="cellIs" priority="1102" operator="between" dxfId="425">
      <formula>-500</formula>
      <formula>-80</formula>
    </cfRule>
    <cfRule type="cellIs" priority="1103" operator="between" dxfId="426">
      <formula>90</formula>
      <formula>800</formula>
    </cfRule>
  </conditionalFormatting>
  <conditionalFormatting sqref="BK3:BK4 BK5 BK6:BK7 BK8 BK9 BS3:BS4 BS5 BS6:BS7 BS8 BS9 CA3:CA4 CA5 CA6:CA7 CA8 CA9 CI3:CI4 CI5 CI6:CI7 CI8 CI9 CQ3:CQ4 CQ5 CQ6:CQ7 CQ8 CQ9 CY3:CY4 CY5 CY6:CY7 CY8 CY9 DG3:DG4 DG6:DG7 DG8 DG9 DO3:DO4 DO5 DO6:DO7 DO8 DO9 DW3:DW4 DW5 DW6:DW7 DW8 DW9 EE3:EE4 EE5 EE6:EE7 EE8 EE9 EM3:EM4 EM5 EM6:EM7 EM8 EM9 EU3:EU4 EU5 EU6:EU7 EU8 EU9 FC3:FC4 FC5 FC6:FC7 FC8 FC9 FK3:FK4 FK5 FK6:FK7 FK8 FK9 FS3:FS4 FS5 FS6:FS7 FS8 FS9 GA3:GA4 GA5 GA6:GA7 GA8 GA9 GI3:GI4 GI5 GI6:GI7 GI8 GI9 GQ3:GQ4 GQ5 GQ6:GQ7 GQ8 GQ9 GY3:GY4 GY5 GY6:GY7 GY8 GY9 HG3:HG4 HG5 HG6:HG7 HG8 HG9 HO3:HO4 HO5 HO6:HO7 HO8 HO9 HW3:HW4 HW5 HW6:HW7 HW8 HW9 IE3:IE4 IE5 IE6:IE7 IE8 IE9 IM3:IM4 IM5 IM6:IM7 IM8 IM9 IU3:IU4 IU5 IU6:IU7 IU8 IU9 JC3:JC4 JC5 JC6:JC7 JC8 JC9 JK3:JK4 JK5 JK6:JK7 JK8 JK9 JS3:JS4 JS5 JS6:JS7 JS8 JS9 KA3:KA4 KA5 KA6:KA7 KA8 KA9 KI3:KI4 KI5 KI6:KI7 KI8 KI9 KQ3:KQ4 KQ5 KQ6:KQ7 KQ8 KQ9 KY3:KY4 KY5 KY6:KY7 KY8 KY9 LG3:LG4 LG5 LG6:LG7 LG8 LG9 LO3:LO4 LO5 LO6:LO7 LO8 LO9 LW3:LW4 LW5 LW6:LW7 LW8 LW9 ME3:ME4 ME5 ME6:ME7 ME8 ME9 MN3:MN4 MN5 MN6:MN7 MN8 MN9 MW3:MW4 MW5 MW6:MW7 MW8 MW9 NF3:NF4 NF5 NF6:NF7 NF8 NF9 OF3:OF4 OF5 OF6:OF7 OF8 OF9 ON3:ON4 ON5 ON6:ON7 ON8 ON9">
    <cfRule type="cellIs" priority="998" operator="between" dxfId="425">
      <formula>-0.08</formula>
      <formula>-5</formula>
    </cfRule>
    <cfRule type="cellIs" priority="999" operator="between" dxfId="426">
      <formula>0.08</formula>
      <formula>20</formula>
    </cfRule>
  </conditionalFormatting>
  <conditionalFormatting sqref="BK3:BL4 BK5:BL5 BK6:BL7 BK8:BL8 BK9:BL9 BS3:BT4 BS5:BT5 BS6:BT7 BS8:BT8 BS9:BT9 CA3:CB4 CA5:CB5 CA6:CB7 CA8:CB8 CA9:CB9 CI3:CJ4 CI5:CJ5 CI6:CJ7 CI8:CJ8 CI9:CJ9 CQ3:CR4 CQ5:CR5 CQ6:CR7 CQ8:CR8 CQ9:CR9 CY3:CZ4 CY5:CZ5 CY6:CZ7 CY8:CZ8 CY9:CZ9 DG3:DH4 DG6:DH7 DG8:DH8 DG9:DH9 DH5 DO3:DP4 DO5:DP5 DO6:DP7 DO8:DP8 DO9:DP9 DW3:DX4 DW5:DX5 DW6:DX7 DW8:DX8 DW9:DX9 EE3:EF4 EE5:EF5 EE6:EF7 EE8:EF8 EE9:EF9 EM3:EN4 EM5:EN5 EM6:EN7 EM8:EN8 EM9:EN9 EU3:EV4 EU5:EV5 EU6:EV7 EU8:EV8 EU9:EV9 FC3:FD4 FC5:FD5 FC6:FD7 FC8:FD8 FC9:FD9 FK3:FL4 FK5:FL5 FK6:FL7 FK8:FL8 FK9:FL9 FS3:FT4 FS5:FT5 FS6:FT7 FS8:FT8 FS9:FT9 GA3:GB4 GA5:GB5 GA6:GB7 GA8:GB8 GA9:GB9 GI3:GJ4 GI5:GJ5 GI6:GJ7 GI8:GJ8 GI9:GJ9 GQ3:GR4 GQ5:GR5 GQ6:GR7 GQ8:GR8 GQ9:GR9 GY3:GZ4 GY5:GZ5 GY6:GZ7 GY8:GZ8 GY9:GZ9 HG3:HH4 HG5:HH5 HG6:HH7 HG8:HH8 HG9:HH9 HO3:HP4 HO5:HP5 HO6:HP7 HO8:HP8 HO9:HP9 HW3:HX4 HW5:HX5 HW6:HX7 HW8:HX8 HW9:HX9 IE3:IF4 IE5:IF5 IE6:IF7 IE8:IF8 IE9:IF9 IM3:IN4 IM5:IN5 IM6:IN7 IM8:IN8 IM9:IN9 IU3:IV4 IU5:IV5 IU6:IV7 IU8:IV8 IU9:IV9 JC3:JD4 JC5:JD5 JC6:JD7 JC8:JD8 JC9:JD9 JK3:JL4 JK5:JL5 JK6:JL7 JK8:JL8 JK9:JL9 JS3:JT4 JS5:JT5 JS6:JT7 JS8:JT8 JS9:JT9 KA3:KB4 KA5:KB5 KA6:KB7 KA8:KB8 KA9:KB9 KI3:KJ4 KI5:KJ5 KI6:KJ7 KI8:KJ8 KI9:KJ9 KQ3:KR4 KQ5:KR5 KQ6:KR7 KQ8:KR8 KQ9:KR9 KY3:KZ4 KY5:KZ5 KY6:KZ7 KY8:KZ8 KY9:KZ9 LG3:LH4 LG5:LH5 LG6:LH7 LG8:LH8 LG9:LH9 LO3:LP4 LO5:LP5 LO6:LP7 LO8:LP8 LO9:LP9 LW3:LX4 LW5:LX5 LW6:LX7 LW8:LX8 LW9:LX9 ME3:MF4 ME5:MF5 ME6:MF7 ME8:MF8 ME9:MF9 MN3:MO4 MN5:MO5 MN6:MO7 MN8:MO8 MN9:MO9 OF3:OG4 OF5:OG5 OF6:OG7 OF8:OG8 OF9:OG9 ON3:OO4 ON5:OO5 ON6:OO7 ON8:OO8 ON9:OO9">
    <cfRule type="cellIs" priority="1111" operator="between" dxfId="425">
      <formula>-0.2</formula>
      <formula>-5</formula>
    </cfRule>
    <cfRule type="cellIs" priority="1112" operator="between" dxfId="426">
      <formula>0.2</formula>
      <formula>5</formula>
    </cfRule>
    <cfRule type="cellIs" priority="1113" operator="lessThan" dxfId="427">
      <formula>0</formula>
    </cfRule>
    <cfRule type="cellIs" priority="1114" operator="greaterThan" dxfId="428">
      <formula>0</formula>
    </cfRule>
  </conditionalFormatting>
  <conditionalFormatting sqref="BL3:BL4 BL5 BL6:BL7 BL8:BL9 BT3:BT4 BT5 BT6:BT7 BT8:BT9 CB3:CB4 CB5 CB6:CB7 CB8:CB9 CJ3:CJ4 CJ5 CJ6:CJ7 CJ8:CJ9 CR3:CR4 CR5 CR6:CR7 CR8:CR9 CZ3:CZ4 CZ5 CZ6:CZ7 CZ8:CZ9 DH3:DH4 DH5 DH6:DH7 DH8:DH9 DP3:DP4 DP5 DP6:DP7 DP8:DP9 DX3:DX4 DX5 DX6:DX7 DX8:DX9 EF3:EF4 EF5 EF6:EF7 EF8:EF9 EN3:EN4 EN5 EN6:EN7 EN8:EN9 EV3:EV4 EV5 EV6:EV7 EV8:EV9 FD3:FD4 FD5 FD6:FD7 FD8:FD9 FL3:FL4 FL5 FL6:FL7 FL8:FL9 FT3:FT4 FT5 FT6:FT7 FT8:FT9 GB3:GB4 GB5 GB6:GB7 GB8:GB9 GJ3:GJ4 GJ5 GJ6:GJ7 GJ8:GJ9 GR3:GR4 GR5 GR6:GR7 GR8:GR9 GZ3:GZ4 GZ5 GZ6:GZ7 GZ8:GZ9 HH3:HH4 HH5 HH6:HH7 HH8:HH9 HP3:HP4 HP5 HP6:HP7 HP8:HP9 HX3:HX4 HX5 HX6:HX7 HX8:HX9 IF3:IF4 IF5 IF6:IF7 IF8:IF9 IN3:IN4 IN5 IN6:IN7 IN8:IN9 IV3:IV4 IV5 IV6:IV7 IV8:IV9 JD3:JD4 JD5 JD6:JD7 JD8:JD9 JL3:JL4 JL5 JL6:JL7 JL8:JL9 JT3:JT4 JT5 JT6:JT7 JT8:JT9 KB3:KB4 KB5 KB6:KB7 KB8:KB9 KJ3:KJ4 KJ5 KJ6:KJ7 KJ8:KJ9 KR3:KR4 KR5 KR6:KR7 KR8:KR9 KZ3:KZ4 KZ5 KZ6:KZ7 KZ8:KZ9 LH3:LH4 LH5 LH6:LH7 LH8:LH9 LP3:LP4 LP5 LP6:LP7 LP8:LP9 LX3:LX4 LX5 LX6:LX7 LX8:LX9 MF3:MF4 MF5 MF6:MF7 MF8:MF9 MO3:MO4 MO5 MO6:MO7 MO8:MO9 MX3:MX4 MX5 MX6:MX7 MX8:MX9 NG3:NG4 NG5 NG6:NG7 NG8:NG9 OG3:OG4 OG5 OG6:OG7 OG8:OG9 OO3:OO4 OO5 OO6:OO7 OO8:OO9">
    <cfRule type="cellIs" priority="969" operator="between" dxfId="425">
      <formula>-0.16</formula>
      <formula>-5</formula>
    </cfRule>
    <cfRule type="cellIs" priority="970" operator="between" dxfId="426">
      <formula>0.16</formula>
      <formula>20</formula>
    </cfRule>
    <cfRule type="cellIs" priority="971" operator="lessThan" dxfId="427">
      <formula>0</formula>
    </cfRule>
    <cfRule type="cellIs" priority="972" operator="greaterThan" dxfId="428">
      <formula>0</formula>
    </cfRule>
    <cfRule type="cellIs" priority="985" operator="between" dxfId="426">
      <formula>-0.16</formula>
      <formula>-5</formula>
    </cfRule>
    <cfRule type="cellIs" priority="986" operator="between" dxfId="426">
      <formula>0.16</formula>
      <formula>50</formula>
    </cfRule>
  </conditionalFormatting>
  <conditionalFormatting sqref="BQ3:BR4 BQ5:BR5 BQ6:BR7 BQ8:BR9 BY3:BZ4 BY5:BZ5 BY6:BZ7 BY8:BZ9">
    <cfRule type="cellIs" priority="1290" operator="lessThan" dxfId="427">
      <formula>0</formula>
    </cfRule>
    <cfRule type="cellIs" priority="1291" operator="greaterThan" dxfId="428">
      <formula>0</formula>
    </cfRule>
  </conditionalFormatting>
  <conditionalFormatting sqref="CG3:CH9">
    <cfRule type="cellIs" priority="1286" operator="lessThan" dxfId="427">
      <formula>0</formula>
    </cfRule>
    <cfRule type="cellIs" priority="1287" operator="greaterThan" dxfId="428">
      <formula>0</formula>
    </cfRule>
  </conditionalFormatting>
  <conditionalFormatting sqref="CO3:CP4 CO5:CP5 CO6:CP7 CO8:CP9 CW3:CX4 CW5:CX5 CW6:CX7 CW8:CX9">
    <cfRule type="cellIs" priority="1292" operator="lessThan" dxfId="427">
      <formula>0</formula>
    </cfRule>
    <cfRule type="cellIs" priority="1293" operator="greaterThan" dxfId="428">
      <formula>0</formula>
    </cfRule>
  </conditionalFormatting>
  <conditionalFormatting sqref="DE3:DF4 DE5:DF5 DE6:DF7 DE8:DF9 DM3:DN4 DM5:DN5 DM6:DN7 DM8:DN9">
    <cfRule type="cellIs" priority="1294" operator="lessThan" dxfId="427">
      <formula>0</formula>
    </cfRule>
    <cfRule type="cellIs" priority="1295" operator="greaterThan" dxfId="428">
      <formula>0</formula>
    </cfRule>
  </conditionalFormatting>
  <conditionalFormatting sqref="DG3:DG4 DG6:DG9">
    <cfRule type="cellIs" priority="997" operator="between" dxfId="426">
      <formula>0.08</formula>
      <formula>20</formula>
    </cfRule>
  </conditionalFormatting>
  <conditionalFormatting sqref="DU3:DV4 DU5:DV5 DU6:DV7 DU8:DV9 EC3:ED4 EC5:ED5 EC6:ED7 EC8:ED9">
    <cfRule type="cellIs" priority="1296" operator="lessThan" dxfId="427">
      <formula>0</formula>
    </cfRule>
    <cfRule type="cellIs" priority="1297" operator="greaterThan" dxfId="428">
      <formula>0</formula>
    </cfRule>
  </conditionalFormatting>
  <conditionalFormatting sqref="DW3:DW4 DW5 DW6:DW7 DW8:DW9 EE3:EE4 EE5 EE6:EE7 EE8:EE9 EM3:EM4 EM5 EM6:EM7 EM8:EM9">
    <cfRule type="cellIs" priority="989" operator="between" dxfId="425">
      <formula>-0.08</formula>
      <formula>-5</formula>
    </cfRule>
    <cfRule type="cellIs" priority="990" operator="between" dxfId="426">
      <formula>0.08</formula>
      <formula>20</formula>
    </cfRule>
    <cfRule type="cellIs" priority="991" operator="lessThan" dxfId="427">
      <formula>0</formula>
    </cfRule>
    <cfRule type="cellIs" priority="992" operator="greaterThan" dxfId="428">
      <formula>0</formula>
    </cfRule>
  </conditionalFormatting>
  <conditionalFormatting sqref="ES3:EU9">
    <cfRule type="cellIs" priority="1318" operator="lessThan" dxfId="427">
      <formula>0</formula>
    </cfRule>
    <cfRule type="cellIs" priority="1319" operator="greaterThan" dxfId="428">
      <formula>0</formula>
    </cfRule>
  </conditionalFormatting>
  <conditionalFormatting sqref="FI3:FJ9">
    <cfRule type="cellIs" priority="1298" operator="lessThan" dxfId="427">
      <formula>0</formula>
    </cfRule>
    <cfRule type="cellIs" priority="1299" operator="greaterThan" dxfId="428">
      <formula>0</formula>
    </cfRule>
  </conditionalFormatting>
  <conditionalFormatting sqref="FQ3:FR9">
    <cfRule type="cellIs" priority="1270" operator="lessThan" dxfId="427">
      <formula>0</formula>
    </cfRule>
    <cfRule type="cellIs" priority="1271" operator="greaterThan" dxfId="428">
      <formula>0</formula>
    </cfRule>
  </conditionalFormatting>
  <conditionalFormatting sqref="FY3:FZ9">
    <cfRule type="cellIs" priority="1300" operator="lessThan" dxfId="427">
      <formula>0</formula>
    </cfRule>
    <cfRule type="cellIs" priority="1301" operator="greaterThan" dxfId="428">
      <formula>0</formula>
    </cfRule>
  </conditionalFormatting>
  <conditionalFormatting sqref="GG3:GH9">
    <cfRule type="cellIs" priority="1302" operator="lessThan" dxfId="427">
      <formula>0</formula>
    </cfRule>
    <cfRule type="cellIs" priority="1303" operator="greaterThan" dxfId="428">
      <formula>0</formula>
    </cfRule>
  </conditionalFormatting>
  <conditionalFormatting sqref="HU3:HV4 HU5:HV5 HU6:HV7 HU8:HV9 IC3:ID4 IC5:ID5 IC6:ID7 IC8:ID9">
    <cfRule type="cellIs" priority="1284" operator="lessThan" dxfId="427">
      <formula>0</formula>
    </cfRule>
    <cfRule type="cellIs" priority="1285" operator="greaterThan" dxfId="428">
      <formula>0</formula>
    </cfRule>
  </conditionalFormatting>
  <conditionalFormatting sqref="IK3:IL9">
    <cfRule type="cellIs" priority="1282" operator="lessThan" dxfId="427">
      <formula>0</formula>
    </cfRule>
    <cfRule type="cellIs" priority="1283" operator="greaterThan" dxfId="428">
      <formula>0</formula>
    </cfRule>
  </conditionalFormatting>
  <conditionalFormatting sqref="IS3:IT4 IS5:IT5 IS6:IT7 IS8:IT9 JA3:JB4 JA5:JB5 JA6:JB7 JA8:JB9">
    <cfRule type="cellIs" priority="1280" operator="lessThan" dxfId="427">
      <formula>0</formula>
    </cfRule>
    <cfRule type="cellIs" priority="1281" operator="greaterThan" dxfId="428">
      <formula>0</formula>
    </cfRule>
  </conditionalFormatting>
  <conditionalFormatting sqref="JQ3:JR9">
    <cfRule type="cellIs" priority="1272" operator="lessThan" dxfId="427">
      <formula>0</formula>
    </cfRule>
    <cfRule type="cellIs" priority="1273" operator="greaterThan" dxfId="428">
      <formula>0</formula>
    </cfRule>
  </conditionalFormatting>
  <conditionalFormatting sqref="KO3:KP4 KO5:KP5 KO6:KP7 KO8:KP9 KW3:KX4 KW5:KX5 KW6:KX7 KW8:KX9">
    <cfRule type="cellIs" priority="1278" operator="lessThan" dxfId="427">
      <formula>0</formula>
    </cfRule>
    <cfRule type="cellIs" priority="1279" operator="greaterThan" dxfId="428">
      <formula>0</formula>
    </cfRule>
  </conditionalFormatting>
  <conditionalFormatting sqref="LE3:LF4 LE5:LF5 LE6:LF7 LE8:LF9 LM3:LN4 LM5:LN5 LM6:LN7 LM8:LN9">
    <cfRule type="cellIs" priority="1276" operator="lessThan" dxfId="427">
      <formula>0</formula>
    </cfRule>
    <cfRule type="cellIs" priority="1277" operator="greaterThan" dxfId="428">
      <formula>0</formula>
    </cfRule>
  </conditionalFormatting>
  <conditionalFormatting sqref="LU3:LV4 LU5:LV5 LU6:LV7 LU8:LV9 MC3:MD4 MC5:MD5 MC6:MD7 MC8:MD9">
    <cfRule type="cellIs" priority="1274" operator="lessThan" dxfId="427">
      <formula>0</formula>
    </cfRule>
    <cfRule type="cellIs" priority="1275" operator="greaterThan" dxfId="428">
      <formula>0</formula>
    </cfRule>
  </conditionalFormatting>
  <conditionalFormatting sqref="ML3:MN9">
    <cfRule type="cellIs" priority="1312" operator="lessThan" dxfId="427">
      <formula>0</formula>
    </cfRule>
    <cfRule type="cellIs" priority="1313" operator="greaterThan" dxfId="428">
      <formula>0</formula>
    </cfRule>
  </conditionalFormatting>
  <conditionalFormatting sqref="MU3:MW9">
    <cfRule type="cellIs" priority="1063" operator="lessThan" dxfId="427">
      <formula>0</formula>
    </cfRule>
    <cfRule type="cellIs" priority="1064" operator="greaterThan" dxfId="428">
      <formula>0</formula>
    </cfRule>
  </conditionalFormatting>
  <conditionalFormatting sqref="ND3:NF5">
    <cfRule type="cellIs" priority="1039" operator="lessThan" dxfId="427">
      <formula>0</formula>
    </cfRule>
    <cfRule type="cellIs" priority="1040" operator="greaterThan" dxfId="428">
      <formula>0</formula>
    </cfRule>
  </conditionalFormatting>
  <conditionalFormatting sqref="ND3:NF9">
    <cfRule type="cellIs" priority="1037" operator="lessThan" dxfId="427">
      <formula>0</formula>
    </cfRule>
    <cfRule type="cellIs" priority="1038" operator="greaterThan" dxfId="428">
      <formula>0</formula>
    </cfRule>
  </conditionalFormatting>
  <conditionalFormatting sqref="NV3:NY9">
    <cfRule type="cellIs" priority="953" operator="lessThan" dxfId="427">
      <formula>0</formula>
    </cfRule>
    <cfRule type="cellIs" priority="954" operator="greaterThan" dxfId="428">
      <formula>0</formula>
    </cfRule>
  </conditionalFormatting>
  <conditionalFormatting sqref="DG4 DG6:DG9">
    <cfRule type="cellIs" priority="1015" operator="between" dxfId="425">
      <formula>-0.06</formula>
      <formula>-5</formula>
    </cfRule>
    <cfRule type="cellIs" priority="1016" operator="between" dxfId="426">
      <formula>0.06</formula>
      <formula>6</formula>
    </cfRule>
  </conditionalFormatting>
  <conditionalFormatting sqref="BC10:BD11 BC13:BD17">
    <cfRule type="cellIs" priority="839" operator="lessThan" dxfId="427">
      <formula>0</formula>
    </cfRule>
    <cfRule type="cellIs" priority="840" operator="greaterThan" dxfId="428">
      <formula>0</formula>
    </cfRule>
  </conditionalFormatting>
  <conditionalFormatting sqref="BD10:BD11 BD13:BD17">
    <cfRule type="cellIs" priority="835" operator="between" dxfId="425">
      <formula>-10</formula>
      <formula>-0.1</formula>
    </cfRule>
    <cfRule type="cellIs" priority="836" operator="between" dxfId="426">
      <formula>0.1</formula>
      <formula>5</formula>
    </cfRule>
    <cfRule type="cellIs" priority="837" operator="between" dxfId="425">
      <formula>-0.2</formula>
      <formula>-0.05</formula>
    </cfRule>
    <cfRule type="cellIs" priority="838" operator="between" dxfId="426">
      <formula>0.05</formula>
      <formula>1.5</formula>
    </cfRule>
  </conditionalFormatting>
  <conditionalFormatting sqref="EU10:EV11">
    <cfRule type="cellIs" priority="1327" operator="lessThan" dxfId="427">
      <formula>0</formula>
    </cfRule>
    <cfRule type="cellIs" priority="1328" operator="greaterThan" dxfId="428">
      <formula>0</formula>
    </cfRule>
  </conditionalFormatting>
  <conditionalFormatting sqref="MN10:MO11">
    <cfRule type="cellIs" priority="1316" operator="lessThan" dxfId="427">
      <formula>0</formula>
    </cfRule>
    <cfRule type="cellIs" priority="1317" operator="greaterThan" dxfId="428">
      <formula>0</formula>
    </cfRule>
  </conditionalFormatting>
  <conditionalFormatting sqref="NF10:NG11">
    <cfRule type="cellIs" priority="1052" operator="between" dxfId="426">
      <formula>0.1</formula>
      <formula>5</formula>
    </cfRule>
    <cfRule type="cellIs" priority="1053" operator="between" dxfId="425">
      <formula>-0.1</formula>
      <formula>-5</formula>
    </cfRule>
    <cfRule type="cellIs" priority="1054" operator="lessThan" dxfId="427">
      <formula>0</formula>
    </cfRule>
    <cfRule type="cellIs" priority="1055" operator="greaterThan" dxfId="428">
      <formula>0</formula>
    </cfRule>
  </conditionalFormatting>
  <conditionalFormatting sqref="NP10:NQ11">
    <cfRule type="cellIs" priority="935" operator="lessThan" dxfId="427">
      <formula>0</formula>
    </cfRule>
    <cfRule type="cellIs" priority="936" operator="greaterThan" dxfId="428">
      <formula>0</formula>
    </cfRule>
    <cfRule type="cellIs" priority="937" operator="between" dxfId="426">
      <formula>0.1</formula>
      <formula>5</formula>
    </cfRule>
    <cfRule type="cellIs" priority="938" operator="between" dxfId="425">
      <formula>-0.1</formula>
      <formula>-5</formula>
    </cfRule>
  </conditionalFormatting>
  <conditionalFormatting sqref="NX10:NY11">
    <cfRule type="cellIs" priority="963" operator="lessThan" dxfId="427">
      <formula>0</formula>
    </cfRule>
    <cfRule type="cellIs" priority="964" operator="greaterThan" dxfId="428">
      <formula>0</formula>
    </cfRule>
  </conditionalFormatting>
  <conditionalFormatting sqref="NY10:NY20 NY22:NY147">
    <cfRule type="cellIs" priority="951" operator="between" dxfId="425">
      <formula>-0.05</formula>
      <formula>-5</formula>
    </cfRule>
    <cfRule type="cellIs" priority="952" operator="between" dxfId="426">
      <formula>0.05</formula>
      <formula>20</formula>
    </cfRule>
  </conditionalFormatting>
  <conditionalFormatting sqref="CI12:CI20 CI22:CI146">
    <cfRule type="cellIs" priority="1367" operator="lessThan" dxfId="425">
      <formula>0</formula>
    </cfRule>
  </conditionalFormatting>
  <conditionalFormatting sqref="CQ12:CQ20 CQ22:CQ147">
    <cfRule type="cellIs" priority="1346" operator="lessThan" dxfId="427">
      <formula>0</formula>
    </cfRule>
    <cfRule type="cellIs" priority="1347" operator="greaterThan" dxfId="428">
      <formula>0</formula>
    </cfRule>
  </conditionalFormatting>
  <conditionalFormatting sqref="CR12:CR20 CR22:CR147">
    <cfRule type="cellIs" priority="1348" operator="lessThan" dxfId="427">
      <formula>0</formula>
    </cfRule>
    <cfRule type="cellIs" priority="1349" operator="greaterThan" dxfId="428">
      <formula>0</formula>
    </cfRule>
    <cfRule type="cellIs" priority="1350" operator="greaterThan" dxfId="426">
      <formula>0.2</formula>
    </cfRule>
    <cfRule type="cellIs" priority="1351" operator="greaterThan" dxfId="431">
      <formula>0.1</formula>
    </cfRule>
  </conditionalFormatting>
  <conditionalFormatting sqref="F21:G21 N21:O21 V21:W21 AD21:AE21 AL21:AM21 AT21:AU21">
    <cfRule type="cellIs" priority="42" operator="greaterThan" dxfId="428">
      <formula>0</formula>
    </cfRule>
    <cfRule type="cellIs" priority="41" operator="lessThan" dxfId="427">
      <formula>0</formula>
    </cfRule>
  </conditionalFormatting>
  <conditionalFormatting sqref="G21 O21 W21 AE21 AM21 AU21">
    <cfRule type="cellIs" priority="40" operator="between" dxfId="426">
      <formula>0.05</formula>
      <formula>1.5</formula>
    </cfRule>
    <cfRule type="cellIs" priority="39" operator="between" dxfId="425">
      <formula>-0.2</formula>
      <formula>-0.05</formula>
    </cfRule>
  </conditionalFormatting>
  <conditionalFormatting sqref="G21:H21 O21:P21 W21:X21 AE21:AF21 AM21:AN21 AU21:AV21">
    <cfRule type="cellIs" priority="26" operator="between" dxfId="426">
      <formula>0.1</formula>
      <formula>5</formula>
    </cfRule>
    <cfRule type="cellIs" priority="25" operator="between" dxfId="425">
      <formula>-10</formula>
      <formula>-0.1</formula>
    </cfRule>
  </conditionalFormatting>
  <conditionalFormatting sqref="H21 P21 X21 AF21 AN21 AV21">
    <cfRule type="cellIs" priority="38" operator="greaterThan" dxfId="426">
      <formula>0.5</formula>
    </cfRule>
    <cfRule type="cellIs" priority="37" operator="lessThan" dxfId="425">
      <formula>-0.5</formula>
    </cfRule>
  </conditionalFormatting>
  <conditionalFormatting sqref="H21:I21 P21:Q21 X21:Y21 AF21:AG21 AN21:AO21 AV21:AW21 BE21:BF21">
    <cfRule type="cellIs" priority="18" operator="greaterThan" dxfId="428">
      <formula>0</formula>
    </cfRule>
    <cfRule type="cellIs" priority="17" operator="lessThan" dxfId="427">
      <formula>0</formula>
    </cfRule>
  </conditionalFormatting>
  <conditionalFormatting sqref="H21 P21 X21 AF21 AN21 AV21 BE21">
    <cfRule type="cellIs" priority="16" operator="between" dxfId="426">
      <formula>0.08</formula>
      <formula>10</formula>
    </cfRule>
    <cfRule type="cellIs" priority="15" operator="between" dxfId="425">
      <formula>-0.08</formula>
      <formula>-5</formula>
    </cfRule>
  </conditionalFormatting>
  <conditionalFormatting sqref="I21 Q21 Y21 AG21 AO21 AW21">
    <cfRule type="cellIs" priority="14" operator="between" dxfId="426">
      <formula>0.16</formula>
      <formula>10</formula>
    </cfRule>
    <cfRule type="cellIs" priority="13" operator="between" dxfId="425">
      <formula>-0.16</formula>
      <formula>-5</formula>
    </cfRule>
  </conditionalFormatting>
  <conditionalFormatting sqref="X21 AF21 AN21 AV21">
    <cfRule type="cellIs" priority="30" operator="greaterThan" dxfId="428">
      <formula>0</formula>
    </cfRule>
    <cfRule type="cellIs" priority="29" operator="lessThan" dxfId="427">
      <formula>0</formula>
    </cfRule>
    <cfRule type="cellIs" priority="28" operator="between" dxfId="425">
      <formula>-1</formula>
      <formula>-0.2</formula>
    </cfRule>
    <cfRule type="cellIs" priority="27" operator="between" dxfId="426">
      <formula>0.2</formula>
      <formula>50</formula>
    </cfRule>
  </conditionalFormatting>
  <conditionalFormatting sqref="BK21:BL21 BS21:BT21 CA21:CB21 CI21:CJ21 CQ21:CR21 CY21:CZ21 DG21:DH21 DO21:DP21 DW21:DX21 EE21:EF21 EM21:EN21 FC21:FD21 FK21:FL21 FS21:FT21 GA21:GB21 GI21:GJ21 GQ21:GR21 GY21:GZ21 HG21:HH21 HO21:HP21 HW21:HX21 IE21:IF21 IM21:IN21 IU21:IV21 JC21:JD21 JK21:JL21 JS21:JT21 KA21:KB21 KI21:KJ21 KQ21:KR21 KY21:KZ21 LG21:LH21 LO21:LP21 LW21:LX21 ME21:MF21 OF21:OG21 ON21:OO21">
    <cfRule type="cellIs" priority="101" operator="greaterThan" dxfId="428">
      <formula>0</formula>
    </cfRule>
    <cfRule type="cellIs" priority="100" operator="lessThan" dxfId="427">
      <formula>0</formula>
    </cfRule>
  </conditionalFormatting>
  <conditionalFormatting sqref="BL21 BT21 CB21 CJ21 CR21 CZ21 DH21 DP21 DX21 EF21 EN21 FD21 FL21 FT21 GB21 GJ21 GR21 GZ21 HH21 HP21 HX21 IF21 IN21 IV21 JD21 JL21 JT21 KB21 KJ21 KR21 KZ21 LH21 LP21 LX21 MF21 OG21 OO21">
    <cfRule type="cellIs" priority="99" operator="between" dxfId="426">
      <formula>0.1</formula>
      <formula>3</formula>
    </cfRule>
    <cfRule type="cellIs" priority="98" operator="between" dxfId="425">
      <formula>-3</formula>
      <formula>-0.1</formula>
    </cfRule>
  </conditionalFormatting>
  <conditionalFormatting sqref="BM21 BU21 CC21 CK21 CS21 DA21 DI21 DQ21 DY21 EG21:EI21 EO21:EQ21 EW21:EY21 FE21:FF21 FM21:FO21 FU21 GC21 GK21 GS21 HA21 HI21 HQ21 HY21 IG21 IO21">
    <cfRule type="cellIs" priority="93" operator="greaterThan" dxfId="428">
      <formula>0</formula>
    </cfRule>
    <cfRule type="cellIs" priority="92" operator="lessThan" dxfId="427">
      <formula>0</formula>
    </cfRule>
  </conditionalFormatting>
  <conditionalFormatting sqref="BM21:BO21 BU21:BW21 CC21:CE21 CK21:CM21 CS21:CU21 DA21:DC21 DI21:DK21 DQ21:DS21 DY21:EA21 EG21:EI21 EO21:EQ21 EW21:EY21 FE21:FG21 FM21:FO21 FU21:FW21 GC21:GE21 GK21:GM21 GS21:GU21 HA21:HC21 HI21:HK21 HQ21:HS21 HY21:IA21 IG21:II21 IO21:IQ21 IW21:IY21 JE21:JG21 JM21:JO21 JU21:JW21 KC21:KE21 KK21:KM21 KS21:KU21 LA21:LC21 LI21:LK21 LQ21:LS21 LY21:MA21 MG21:MJ21 MQ21:MR21 MZ21:NA21 NI21:NK21 NR21 OH21:OJ21">
    <cfRule type="cellIs" priority="66" operator="greaterThan" dxfId="428">
      <formula>0</formula>
    </cfRule>
    <cfRule type="cellIs" priority="65" operator="lessThan" dxfId="427">
      <formula>0</formula>
    </cfRule>
  </conditionalFormatting>
  <conditionalFormatting sqref="BM21 BU21 CC21 CK21 CS21 DA21 DI21 DQ21 DY21 EG21 EO21 EW21 FE21:FF21 FM21 FU21 GC21 GK21 GS21 HA21 HI21 HQ21 HY21 IG21 IO21 IW21 JE21 JM21:JN21 JU21:JV21 KC21:KD21 KK21 KS21 LA21 LI21 LQ21 LY21 MG21 MY21 NH21 OH21 OP21">
    <cfRule type="cellIs" priority="64" operator="between" dxfId="426">
      <formula>0.08</formula>
      <formula>20</formula>
    </cfRule>
    <cfRule type="cellIs" priority="63" operator="between" dxfId="425">
      <formula>-0.08</formula>
      <formula>-5</formula>
    </cfRule>
  </conditionalFormatting>
  <conditionalFormatting sqref="BN21:BO21 BV21:BW21 CD21:CE21 CL21:CM21 CT21:CU21 DB21:DC21 DJ21:DK21 DR21:DS21 DZ21:EA21 EH21:EI21 EP21:EQ21 EX21:EY21 FG21 FN21:FO21 FV21:FW21 GD21:GE21 GL21:GM21 GT21:GU21 HB21:HC21 HJ21:HK21 HR21:HS21 HZ21:IA21 IH21:II21 IP21:IQ21 IX21:IY21 JF21:JG21 JO21 JW21 KE21 KL21:KM21 KT21:KU21 LB21:LC21 LJ21:LK21 LR21:LS21 LZ21:MA21 MH21 MQ21 MZ21 NI21 OI21:OJ21 OQ21">
    <cfRule type="cellIs" priority="62" operator="between" dxfId="426">
      <formula>0.16</formula>
      <formula>20</formula>
    </cfRule>
    <cfRule type="cellIs" priority="61" operator="between" dxfId="425">
      <formula>-0.16</formula>
      <formula>-5</formula>
    </cfRule>
  </conditionalFormatting>
  <conditionalFormatting sqref="IW21 JE21 JM21:JN21 JU21:JV21 KC21:KD21 KK21 KS21 LA21 LI21 LQ21 LY21 MG21 OH21">
    <cfRule type="cellIs" priority="91" operator="greaterThan" dxfId="428">
      <formula>0</formula>
    </cfRule>
    <cfRule type="cellIs" priority="90" operator="lessThan" dxfId="427">
      <formula>0</formula>
    </cfRule>
  </conditionalFormatting>
  <conditionalFormatting sqref="CI77:CJ146">
    <cfRule type="cellIs" priority="1354" operator="greaterThan" dxfId="432">
      <formula>0</formula>
    </cfRule>
    <cfRule type="cellIs" priority="1355" operator="greaterThan" dxfId="433">
      <formula>0</formula>
    </cfRule>
    <cfRule type="cellIs" priority="1356" operator="greaterThan" dxfId="434">
      <formula>0</formula>
    </cfRule>
    <cfRule type="cellIs" priority="1357" operator="greaterThan" dxfId="428">
      <formula>0</formula>
    </cfRule>
    <cfRule type="cellIs" priority="1358" operator="lessThan" dxfId="427">
      <formula>0</formula>
    </cfRule>
  </conditionalFormatting>
  <conditionalFormatting sqref="F187:G187 F188:G188 F189:G189 F190:G190 F191:G191 F192:G192 F193:G194 F195:G199 F200:G202 F203:G203 F204:G205 F206:G213 F214:G215 F216:G216 F217:G217 F218:G218 F219:G219 F220:G220 F221:G221 F222:G222 F223:G223 F224:G232 F233:G233 F234:G278 F279:G281 F282:G282 F283:G314 F315:G315 F316:G316 F317:G317 N187:O187 N188:O188 N189:O189 N190:O190 N191:O191 N192:O192 N193:O194 N195:O199 N200:O202 N203:O203 N204:O205 N206:O213 N214:O215 N216:O216 N217:O217 N218:O218 N219:O219 N220:O220 N221:O221 N222:O222 N223:O223 N224:O232 N234:O278 N279:O281 N282:O282 N283:O314 N315:O315 N316:O316 N317:O317 O233 V187:W187 V188:W188 V189:W189 V190:W190 V191:W191 V192:W192 V193:W194 V195:W199 V200:W202 V203:W203 V204:W205 V206:W213 V214:W215 V216:W216 V217:W217 V218:W218 V219:W219 V220:W220 V221:W221 V222:W222 V223:W223 V224:W232 V233:W233 V234:W278 V279:W281 V282:W282 V283:W314 V315:W315 V316:W316 V317:W317 AD187:AE187 AD188:AE188 AD189:AE189 AD190:AE190 AD191:AE191 AD192:AE192 AD193:AE194 AD195:AE199 AD200:AE202 AD203:AE203 AD204:AE205 AD206:AE213 AD214:AE215 AD216:AE216 AD217:AE217 AD218:AE218 AD219:AE219 AD220:AE220 AD221:AE221 AD222:AE222 AD223:AE223 AD224:AE232 AD233:AE233 AD234:AE278 AD279:AE281 AD282:AE282 AD283:AE314 AD315:AE315 AD316:AE316 AD317:AE317 AL187:AM187 AL188:AM188 AL189:AM189 AL190:AM190 AL191:AM191 AL192:AM192 AL193:AM194 AL195:AM199 AL200:AM202 AL203:AM203 AL204:AM205 AL206:AM213 AL214:AM215 AL216:AM216 AL217:AM217 AL218:AM218 AL219:AM219 AL220:AM220 AL221:AM221 AL222:AM222 AL223:AM223 AL224:AM232 AL233:AM233 AL234:AM278 AL279:AM281 AL282:AM282 AL283:AM314 AL315:AM315 AL316:AM316 AL317:AM317 AR282 AR283:AR314 AR315 AR316 AR317 AT187:AU187 AT188:AU188 AT189:AU189 AT190:AU190 AT191:AU191 AT192:AU192 AT193:AU194 AT195:AU199 AT200:AU202 AT203:AU203 AT204:AU205 AT206:AU213 AT214:AU215 AT216:AU216 AT217:AU217 AT218:AU218 AT219:AU219 AT220:AU220 AT221:AU221 AT222:AU222 AT223:AU223 AT224:AU232 AT233:AU233 AT234:AU278 AT279:AU281 AU282 AU283:AU314 AU315 AU316 AU317">
    <cfRule type="cellIs" priority="371" operator="lessThan" dxfId="427">
      <formula>0</formula>
    </cfRule>
    <cfRule type="cellIs" priority="372" operator="greaterThan" dxfId="428">
      <formula>0</formula>
    </cfRule>
  </conditionalFormatting>
  <conditionalFormatting sqref="G187 G188 G189 G190 G191 G192 G193 G194 G195 G196 G197 G198 G199 G200 G201 G202 G203 G204 G205 G206 G207 G208 G209 G210 G211 G212 G213 G214 G215 G216 G217 G218 G219 G220 G221 G222 G223 G224:G278 G279:G281 G282:G317 O187 O188 O189 O190 O191 O192 O193 O194 O195 O196 O197 O198 O199 O200 O201 O202 O203 O204 O205 O206 O207 O208 O209 O210 O211 O212 O213 O214 O215 O216 O217 O218 O219 O220 O221 O222 O223 O224:O278 O279:O281 O282:O317 W187 W188 W189 W190 W191 W192 W193 W194 W195 W196 W197 W198 W199 W200 W201 W202 W203 W204 W205 W206 W207 W208 W209 W210 W211 W212 W213 W214 W215 W216 W217 W218 W219 W220 W221 W222 W223 W224:W278 W279:W281 W282:W317 AE187 AE188 AE189 AE190 AE191 AE192 AE193 AE194 AE195 AE196 AE197 AE198 AE199 AE200 AE201 AE202 AE203 AE204 AE205 AE206 AE207 AE208 AE209 AE210 AE211 AE212 AE213 AE214 AE215 AE216 AE217 AE218 AE219 AE220 AE221 AE222 AE223 AE224:AE278 AE279:AE281 AE282:AE317 AM187 AM188 AM189 AM190 AM191 AM192 AM193 AM194 AM195 AM196 AM197 AM198 AM199 AM200 AM201 AM202 AM203 AM204 AM205 AM206 AM207 AM208 AM209 AM210 AM211 AM212 AM213 AM214 AM215 AM216 AM217 AM218 AM219 AM220 AM221 AM222 AM223 AM224:AM278 AM279:AM281 AM282:AM317 AU187 AU188 AU189 AU190 AU191 AU192 AU193 AU194 AU195 AU196 AU197 AU198 AU199 AU200 AU201 AU202 AU203 AU204 AU205 AU206 AU207 AU208 AU209 AU210 AU211 AU212 AU213 AU214 AU215 AU216 AU217 AU218 AU219 AU220 AU221 AU222 AU223 AU224:AU278 AU279:AU281 AU282:AU317">
    <cfRule type="cellIs" priority="369" operator="between" dxfId="425">
      <formula>-0.2</formula>
      <formula>-0.05</formula>
    </cfRule>
    <cfRule type="cellIs" priority="370" operator="between" dxfId="426">
      <formula>0.05</formula>
      <formula>1.5</formula>
    </cfRule>
  </conditionalFormatting>
  <conditionalFormatting sqref="G187:H187 G188:H188 G189:H189 G190:H190 G191:H191 G192:H192 G193:H193 G194:H194 G195:H195 G196:H196 G197:H197 G198:H198 G199:H199 G200:H200 G201:H201 G202:H202 G203:H203 G204:H204 G205:H205 G206:H206 G207:H207 G208:H208 G209:H209 G210:H210 G211:H211 G212:H212 G213:H213 G214:H214 G215:H215 G216:H216 G217:H217 G218:H218 G219:H219 G220:H220 G221:H221 G222:H222 G223:H223 G224:H278 G279:H281 G282:H317 O187:P187 O188:P188 O189:P189 O190:P190 O191:P191 O192:P192 O193:P193 O194:P194 O195:P195 O196:P196 O197:P197 O198:P198 O199:P199 O200:P200 O201:P201 O202:P202 O203:P203 O204:P204 O205:P205 O206:P206 O207:P207 O208:P208 O209:P209 O210:P210 O211:P211 O212:P212 O213:P213 O214:P214 O215:P215 O216:P216 O217:P217 O218:P218 O219:P219 O220:P220 O221:P221 O222:P222 O223:P223 O224:P278 O279:P281 O282:P317 W187:X187 W188:X188 W189:X189 W190:X190 W191:X191 W192:X192 W193:X193 W194:X194 W195:X195 W196:X196 W197:X197 W198:X198 W199:X199 W200:X200 W201:X201 W202:X202 W203:X203 W204:X204 W205:X205 W206:X206 W207:X207 W208:X208 W209:X209 W210:X210 W211:X211 W212:X212 W213:X213 W214:X214 W215:X215 W216:X216 W217:X217 W218:X218 W219:X219 W220:X220 W221:X221 W222:X222 W223:X223 W224:X278 W279:X281 W282:X317 AE187:AF187 AE188:AF188 AE189:AF189 AE190:AF190 AE191:AF191 AE192:AF192 AE193:AF193 AE194:AF194 AE195:AF195 AE196:AF196 AE197:AF197 AE198:AF198 AE199:AF199 AE200:AF200 AE201:AF201 AE202:AF202 AE203:AF203 AE204:AF204 AE205:AF205 AE206:AF206 AE207:AF207 AE208:AF208 AE209:AF209 AE210:AF210 AE211:AF211 AE212:AF212 AE213:AF213 AE214:AF214 AE215:AF215 AE216:AF216 AE217:AF217 AE218:AF218 AE219:AF219 AE220:AF220 AE221:AF221 AE222:AF222 AE223:AF223 AE224:AF278 AE279:AF281 AE282:AF317 AM187:AN187 AM188:AN188 AM189:AN189 AM190:AN190 AM191:AN191 AM192:AN192 AM193:AN193 AM194:AN194 AM195:AN195 AM196:AN196 AM197:AN197 AM198:AN198 AM199:AN199 AM200:AN200 AM201:AN201 AM202:AN202 AM203:AN203 AM204:AN204 AM205:AN205 AM206:AN206 AM207:AN207 AM208:AN208 AM209:AN209 AM210:AN210 AM211:AN211 AM212:AN212 AM213:AN213 AM214:AN214 AM215:AN215 AM216:AN216 AM217:AN217 AM218:AN218 AM219:AN219 AM220:AN220 AM221:AN221 AM222:AN222 AM223:AN223 AM224:AN278 AM279:AN281 AM282:AN317 AU187:AV187 AU188:AV188 AU189:AV189 AU190:AV190 AU191:AV191 AU192:AV192 AU193:AV193 AU194:AV194 AU195:AV195 AU196:AV196 AU197:AV197 AU198:AV198 AU199:AV199 AU200:AV200 AU201:AV201 AU202:AV202 AU203:AV203 AU204:AV204 AU205:AV205 AU206:AV206 AU207:AV207 AU208:AV208 AU209:AV209 AU210:AV210 AU211:AV211 AU212:AV212 AU213:AV213 AU214:AV214 AU215:AV215 AU216:AV216 AU217:AV217 AU218:AV218 AU219:AV219 AU220:AV220 AU221:AV221 AU222:AV222 AU223:AV223 AU224:AV278 AU279:AV281 AU282:AV317">
    <cfRule type="cellIs" priority="355" operator="between" dxfId="425">
      <formula>-10</formula>
      <formula>-0.1</formula>
    </cfRule>
    <cfRule type="cellIs" priority="356" operator="between" dxfId="426">
      <formula>0.1</formula>
      <formula>5</formula>
    </cfRule>
  </conditionalFormatting>
  <conditionalFormatting sqref="H187:H188 H189:H192 H193:H202 H203 H204:H213 H214:H217 H218 H219 H220:H222 H223:H278 H279:H281 H282:H317 P187:P188 P189:P192 P193:P202 P203 P204:P213 P214:P217 P218 P219 P220:P222 P223:P278 P279:P281 P282:P317 X187:X188 X189:X192 X193:X202 X203 X204:X213 X214:X217 X218 X219 X220:X222 X223:X278 X279:X281 X282:X317 AF187:AF188 AF189:AF192 AF193:AF202 AF203 AF204:AF213 AF214:AF217 AF218 AF219 AF220:AF222 AF223:AF278 AF279:AF281 AF282:AF317 AN187:AN188 AN189:AN192 AN193:AN202 AN203 AN204:AN213 AN214:AN217 AN218 AN219 AN220:AN222 AN223:AN278 AN279:AN281 AN282:AN317 AV187:AV188 AV189:AV192 AV193:AV202 AV203 AV204:AV213 AV214:AV217 AV218 AV219 AV220:AV222 AV223:AV278 AV279:AV281 AV282:AV317">
    <cfRule type="cellIs" priority="367" operator="lessThan" dxfId="425">
      <formula>-0.5</formula>
    </cfRule>
    <cfRule type="cellIs" priority="368" operator="greaterThan" dxfId="426">
      <formula>0.5</formula>
    </cfRule>
  </conditionalFormatting>
  <conditionalFormatting sqref="H187:I188 H189:I192 H193:I202 H203:I203 H204:I213 H214:I217 H218:I218 H219:I219 H220:I222 H223:I278 H279:I281 H282:I317 P187:Q188 P189:Q192 P193:Q202 P203:Q203 P204:Q213 P214:Q217 P218:Q218 P219:Q219 P220:Q222 P223:Q278 P279:Q281 P282:Q317 X187:Y188 X189:Y192 X193:Y202 X203:Y203 X204:Y213 X214:Y217 X218:Y218 X219:Y219 X220:Y222 X223:Y278 X279:Y281 X282:Y317 AF187:AG188 AF189:AG192 AF193:AG202 AF203:AG203 AF204:AG213 AF214:AG217 AF218:AG218 AF219:AG219 AF220:AG222 AF223:AG278 AF279:AG281 AF282:AG317 AN187:AO188 AN189:AO192 AN193:AO202 AN203:AO203 AN204:AO213 AN214:AO217 AN218:AO218 AN219:AO219 AN220:AO222 AN223:AO278 AN279:AO281 AN282:AO317 AV187:AW188 AV189:AW192 AV193:AW202 AV203:AW203 AV204:AW213 AV214:AW217 AV218:AW218 AV219:AW219 AV220:AW222 AV223:AW278 AV279:AW281 AV282:AW317 BE187:BF188 BE189:BF192 BE193:BF202 BE203:BF203 BE204:BF213 BE214:BF217 BE218:BF218 BE219:BF219 BE220:BF222 BE223:BF278 BE279:BF281 BE282:BF317">
    <cfRule type="cellIs" priority="347" operator="lessThan" dxfId="427">
      <formula>0</formula>
    </cfRule>
    <cfRule type="cellIs" priority="348" operator="greaterThan" dxfId="428">
      <formula>0</formula>
    </cfRule>
  </conditionalFormatting>
  <conditionalFormatting sqref="H187:H188 H189:H192 H193:H202 H203 H204:H213 H214:H217 H218 H219 H220:H222 H223:H278 H279:H281 H282:H317 P187:P188 P189:P192 P193:P202 P203 P204:P213 P214:P217 P218 P219 P220:P222 P223:P278 P279:P281 P282:P317 X187:X188 X189:X192 X193:X202 X203 X204:X213 X214:X217 X218 X219 X220:X222 X223:X278 X279:X281 X282:X317 AF187:AF188 AF189:AF192 AF193:AF202 AF203 AF204:AF213 AF214:AF217 AF218 AF219 AF220:AF222 AF223:AF278 AF279:AF281 AF282:AF317 AN187:AN188 AN189:AN192 AN193:AN202 AN203 AN204:AN213 AN214:AN217 AN218 AN219 AN220:AN222 AN223:AN278 AN279:AN281 AN282:AN317 AV187:AV188 AV189:AV192 AV193:AV202 AV203 AV204:AV213 AV214:AV217 AV218 AV219 AV220:AV222 AV223:AV278 AV279:AV281 AV282:AV317 BE187:BE188 BE189:BE192 BE193:BE202 BE203 BE204:BE213 BE214:BE217 BE218 BE219 BE220:BE222 BE223:BE278 BE279:BE281 BE282:BE317">
    <cfRule type="cellIs" priority="345" operator="between" dxfId="425">
      <formula>-0.08</formula>
      <formula>-5</formula>
    </cfRule>
    <cfRule type="cellIs" priority="346" operator="between" dxfId="426">
      <formula>0.08</formula>
      <formula>10</formula>
    </cfRule>
  </conditionalFormatting>
  <conditionalFormatting sqref="I187:I188 I189:I192 I193:I202 I203 I204:I213 I214:I217 I218 I219 I220:I222 I223:I278 I279:I281 I282:I317 Q187:Q188 Q189:Q192 Q193:Q202 Q203 Q204:Q213 Q214:Q217 Q218 Q219 Q220:Q222 Q223:Q278 Q279:Q281 Q282:Q317 Y187:Y188 Y189:Y192 Y193:Y202 Y203 Y204:Y213 Y214:Y217 Y218 Y219 Y220:Y222 Y223:Y278 Y279:Y281 Y282:Y317 AG187:AG188 AG189:AG192 AG193:AG202 AG203 AG204:AG213 AG214:AG217 AG218 AG219 AG220:AG222 AG223:AG278 AG279:AG281 AG282:AG317 AO187:AO188 AO189:AO192 AO193:AO202 AO203 AO204:AO213 AO214:AO217 AO218 AO219 AO220:AO222 AO223:AO278 AO279:AO281 AO282:AO317 AW187:AW188 AW189:AW192 AW193:AW202 AW203 AW204:AW213 AW214:AW217 AW218 AW219 AW220:AW222 AW223:AW278 AW279:AW281 AW282:AW317">
    <cfRule type="cellIs" priority="343" operator="between" dxfId="425">
      <formula>-0.16</formula>
      <formula>-5</formula>
    </cfRule>
    <cfRule type="cellIs" priority="344" operator="between" dxfId="426">
      <formula>0.16</formula>
      <formula>10</formula>
    </cfRule>
  </conditionalFormatting>
  <conditionalFormatting sqref="X187:X188 X189:X192 X193:X202 X203 X204:X213 X214:X217 X218 X219 X220:X222 X223:X278 X279:X281 X282:X317 AF187:AF188 AF189:AF192 AF193:AF202 AF203 AF204:AF213 AF214:AF217 AF218 AF219 AF220:AF222 AF223:AF278 AF279:AF281 AF282:AF317 AN187:AN188 AN189:AN192 AN193:AN202 AN203 AN204:AN213 AN214:AN217 AN218 AN219 AN220:AN222 AN223:AN278 AN279:AN281 AN282:AN317 AV187:AV188 AV189:AV192 AV193:AV202 AV203 AV204:AV213 AV214:AV217 AV218 AV219 AV220:AV222 AV223:AV278 AV279:AV281 AV282:AV317">
    <cfRule type="cellIs" priority="357" operator="between" dxfId="426">
      <formula>0.2</formula>
      <formula>50</formula>
    </cfRule>
    <cfRule type="cellIs" priority="358" operator="between" dxfId="425">
      <formula>-1</formula>
      <formula>-0.2</formula>
    </cfRule>
    <cfRule type="cellIs" priority="359" operator="lessThan" dxfId="427">
      <formula>0</formula>
    </cfRule>
    <cfRule type="cellIs" priority="360" operator="greaterThan" dxfId="428">
      <formula>0</formula>
    </cfRule>
  </conditionalFormatting>
  <conditionalFormatting sqref="BC187:BD317">
    <cfRule type="cellIs" priority="351" operator="between" dxfId="425">
      <formula>-0.05</formula>
      <formula>-3</formula>
    </cfRule>
    <cfRule type="cellIs" priority="352" operator="between" dxfId="426">
      <formula>0.05</formula>
      <formula>2</formula>
    </cfRule>
    <cfRule type="cellIs" priority="353" operator="lessThan" dxfId="427">
      <formula>0</formula>
    </cfRule>
    <cfRule type="cellIs" priority="354" operator="greaterThan" dxfId="428">
      <formula>0</formula>
    </cfRule>
  </conditionalFormatting>
  <conditionalFormatting sqref="BK187:BL187 BK188:BL188 BK189:BL317 BS187:BT187 BS189:BT317 BT188:BU188 CA187:CB187 CA188:CB188 CA189:CB317 CI187:CJ187 CI188:CJ188 CI189:CJ317 CQ187:CR187 CQ188:CR188 CQ189:CR317 CY187:CZ187 CY188:CZ188 CY189:CZ317 DG187:DH187 DG188:DH188 DG189:DH317 DO187:DP187 DO188:DP188 DO189:DP317 DW187:DX187 DW188:DX188 DW189:DX317 EE187:EF187 EE188:EF188 EE189:EF317 EM187:EN187 EM188:EN188 EM189:EN317 FC187:FD187 FC188:FD188 FC189:FD317 FK187:FL187 FK188:FL188 FK189:FL317 FS187:FT187 FS188:FT188 FS189:FT317 GA187:GB187 GA188:GB188 GA189:GB317 GI187:GJ187 GI188:GJ188 GI189:GJ317 GQ187:GR187 GQ188:GR188 GQ189:GR317 GY187:GZ187 GY188:GZ188 GY189:GZ317 HG187:HH187 HG188:HH188 HG189:HH317 HO187:HP187 HO188:HP188 HO189:HP317 HW187:HX187 HW188:HX188 HW189:HX317 IE187:IF187 IE188:IF188 IE189:IF317 IM187:IN187 IM188:IN188 IM189:IN317 IU187:IV187 IU188:IV188 IU189:IV317 JC187:JD187 JC188:JD188 JC189:JD317 JK187:JL187 JK188:JL188 JK189:JL317 JS187:JT187 JS188:JT188 JS189:JT317 KA187:KB187 KA188:KB188 KA189:KB317 KI187:KJ187 KI188:KJ188 KI189:KJ317 KQ187:KR187 KQ188:KR188 KQ189:KR317 KY187:KZ187 KY188:KZ188 KY189:KZ317 LG187:LH187 LG188:LH188 LG189:LH317 LO187:LP187 LO188:LP188 LO189:LP317 LW187:LX187 LW188:LX188 LW189:LX317 ME187:MF187 ME188:MF188 ME189:MF317 OF187:OG187 OF188:OG188 OF189:OG317 ON187:OO187 ON188:OO188 ON189:OO317">
    <cfRule type="cellIs" priority="429" operator="lessThan" dxfId="427">
      <formula>0</formula>
    </cfRule>
    <cfRule type="cellIs" priority="430" operator="greaterThan" dxfId="428">
      <formula>0</formula>
    </cfRule>
  </conditionalFormatting>
  <conditionalFormatting sqref="BL187:BL317 BT187:BT317 CB187:CB317 CJ187:CJ317 CR187:CR317 CZ187:CZ317 DH187:DH317 DP187:DP317 DX187:DX317 EF187:EF317 EN187:EN317 FD187:FD317 FL187:FL317 FT187:FT317 GB187:GB317 GJ187:GJ317 GR187:GR317 GZ187:GZ317 HH187:HH317 HP187:HP317 HX187:HX317 IF187:IF317 IN187:IN317 IV187:IV317 JD187:JD317 JL187:JL317 JT187:JT317 KB187:KB317 KJ187:KJ317 KR187:KR317 KZ187:KZ317 LH187:LH317 LP187:LP317 LX187:LX317 MF187:MF317 OG187:OG317 OO187:OO317">
    <cfRule type="cellIs" priority="427" operator="between" dxfId="425">
      <formula>-3</formula>
      <formula>-0.1</formula>
    </cfRule>
    <cfRule type="cellIs" priority="428" operator="between" dxfId="426">
      <formula>0.1</formula>
      <formula>3</formula>
    </cfRule>
  </conditionalFormatting>
  <conditionalFormatting sqref="BM187 BM188 BM189:BM317 BU187 BU189:BU317 CC187 CC188 CC189:CC317 CK187 CK188 CK189:CK317 CS187 CS188 CS189:CS317 DA187 DA188 DA189:DA317 DI187 DI188 DI189:DI317 DQ187 DQ188 DQ189:DQ317 DY187 DY188 DY189:DY317 EG187:EI187 EG188:EI188 EG189:EI317 EO187:EQ187 EO188:EQ188 EO189:EQ317 EV187:EY187 EV188:EY188 EV189:EY317 FE187:FF187 FE188:FF188 FE189:FF317 FM187:FO187 FM188:FO188 FM189:FO317 FU187 FU188 FU189:FU317 GC187 GC188 GC189:GC317 GK187 GK188 GK189:GK317 GS187 GS188 GS189:GS317 HA187 HA188 HA189:HA317 HI187 HI188 HI189:HI317 HQ187 HQ188 HQ189:HQ317 HY187 HY188 HY189:HY317 IG187 IG188 IG189:IG317 IO187 IO188 IO189:IO317">
    <cfRule type="cellIs" priority="421" operator="lessThan" dxfId="427">
      <formula>0</formula>
    </cfRule>
    <cfRule type="cellIs" priority="422" operator="greaterThan" dxfId="428">
      <formula>0</formula>
    </cfRule>
  </conditionalFormatting>
  <conditionalFormatting sqref="BM187:BO317 BU187:BW317 CC187:CE317 CK187:CM317 CS187:CU317 DA187:DC317 DI187:DK317 DQ187:DS317 DY187:EA317 EG187:EI317 EO187:EQ317 EW187:EY317 FE187:FG317 FM187:FO317 FU187:FW317 GC187:GE317 GK187:GM317 GS187:GU317 HA187:HC317 HI187:HK317 HQ187:HS317 HY187:IA317 IG187:II317 IO187:IQ317 IW187:IY317 JE187:JG317 JM187:JO317 JU187:JW317 KC187:KE317 KK187:KM317 KS187:KU317 LA187:LC317 LI187:LK317 LQ187:LS317 LY187:MA317 MG187:MJ317 MQ187:MS317 MZ187:NA317 NI187:NK317 NR187:NT317 OH187:OJ317">
    <cfRule type="cellIs" priority="395" operator="lessThan" dxfId="427">
      <formula>0</formula>
    </cfRule>
    <cfRule type="cellIs" priority="396" operator="greaterThan" dxfId="428">
      <formula>0</formula>
    </cfRule>
  </conditionalFormatting>
  <conditionalFormatting sqref="BM187:BM317 BU187:BU317 CC187:CC317 CK187:CK317 CS187:CS317 DA187:DA317 DI187:DI317 DQ187:DQ317 DY187:DY317 EG187:EG317 EO187:EO317 EW187:EW317 FE187:FF317 FM187:FM317 FU187:FU317 GC187:GC317 GK187:GK317 GS187:GS317 HA187:HA317 HI187:HI317 HQ187:HQ317 HY187:HY317 IG187:IG317 IO187:IO317 IW187:IW317 JE187:JE317 JM187:JN317 JU187:JV317 KC187:KD317 KK187:KK317 KS187:KS317 LA187:LA317 LI187:LI317 LQ187:LQ317 LY187:LY317 MG187:MG317 MY187:MY317 NH187:NH317 OH187:OH317 OP187:OP317">
    <cfRule type="cellIs" priority="393" operator="between" dxfId="425">
      <formula>-0.08</formula>
      <formula>-5</formula>
    </cfRule>
    <cfRule type="cellIs" priority="394" operator="between" dxfId="426">
      <formula>0.08</formula>
      <formula>20</formula>
    </cfRule>
  </conditionalFormatting>
  <conditionalFormatting sqref="BN187:BO317 BV187:BW317 CD187:CE317 CL187:CM317 CT187:CU317 DB187:DC317 DJ187:DK317 DR187:DS317 DZ187:EA317 EH187:EI317 EP187:EQ317 EX187:EY317 FG187:FG317 FN187:FO317 FV187:FW317 GD187:GE317 GL187:GM317 GT187:GU317 HB187:HC317 HJ187:HK317 HR187:HS317 HZ187:IA317 IH187:II317 IP187:IQ317 IX187:IY317 JF187:JG317 JO187:JO317 JW187:JW317 KE187:KE317 KL187:KM317 KT187:KU317 LB187:LC317 LJ187:LK317 LR187:LS317 LZ187:MA317 MH187:MH317 MQ187:MQ317 MZ187:MZ317 NI187:NI317 OI187:OJ317 OQ187:OQ317">
    <cfRule type="cellIs" priority="391" operator="between" dxfId="425">
      <formula>-0.16</formula>
      <formula>-5</formula>
    </cfRule>
    <cfRule type="cellIs" priority="392" operator="between" dxfId="426">
      <formula>0.16</formula>
      <formula>20</formula>
    </cfRule>
  </conditionalFormatting>
  <conditionalFormatting sqref="IW187:IW317 JE187:JE317 JM187:JN317 JU187:JV317 KC187:KD317 KK187:KK317 KS187:KS317 LA187:LA317 LI187:LI317 LQ187:LQ317 LY187:LY317 MG187:MG317 OH187:OH317">
    <cfRule type="cellIs" priority="419" operator="lessThan" dxfId="427">
      <formula>0</formula>
    </cfRule>
    <cfRule type="cellIs" priority="420" operator="greaterThan" dxfId="428">
      <formula>0</formula>
    </cfRule>
  </conditionalFormatting>
  <conditionalFormatting sqref="MN187:MO317">
    <cfRule type="cellIs" priority="412" operator="lessThan" dxfId="427">
      <formula>0</formula>
    </cfRule>
    <cfRule type="cellIs" priority="413" operator="greaterThan" dxfId="428">
      <formula>0</formula>
    </cfRule>
  </conditionalFormatting>
  <conditionalFormatting sqref="NF187:NG317">
    <cfRule type="cellIs" priority="400" operator="lessThan" dxfId="427">
      <formula>0</formula>
    </cfRule>
    <cfRule type="cellIs" priority="401" operator="greaterThan" dxfId="428">
      <formula>0</formula>
    </cfRule>
  </conditionalFormatting>
  <conditionalFormatting sqref="NP187:NQ317">
    <cfRule type="cellIs" priority="385" operator="lessThan" dxfId="427">
      <formula>0</formula>
    </cfRule>
    <cfRule type="cellIs" priority="386" operator="greaterThan" dxfId="428">
      <formula>0</formula>
    </cfRule>
  </conditionalFormatting>
  <conditionalFormatting sqref="NX187:NY317">
    <cfRule type="cellIs" priority="389" operator="lessThan" dxfId="427">
      <formula>0</formula>
    </cfRule>
    <cfRule type="cellIs" priority="390" operator="greaterThan" dxfId="428">
      <formula>0</formula>
    </cfRule>
  </conditionalFormatting>
  <conditionalFormatting sqref="OW187:OX317">
    <cfRule type="cellIs" priority="337" operator="lessThan" dxfId="427">
      <formula>0</formula>
    </cfRule>
    <cfRule type="cellIs" priority="338" operator="greaterThan" dxfId="428">
      <formula>0</formula>
    </cfRule>
  </conditionalFormatting>
  <conditionalFormatting sqref="MW197:MX317">
    <cfRule type="cellIs" priority="403" operator="between" dxfId="426">
      <formula>0.1</formula>
      <formula>5</formula>
    </cfRule>
    <cfRule type="cellIs" priority="404" operator="between" dxfId="425">
      <formula>-0.1</formula>
      <formula>-5</formula>
    </cfRule>
    <cfRule type="cellIs" priority="405" operator="lessThan" dxfId="427">
      <formula>0</formula>
    </cfRule>
    <cfRule type="cellIs" priority="406" operator="greaterThan" dxfId="428">
      <formula>0</formula>
    </cfRule>
  </conditionalFormatting>
  <hyperlinks>
    <hyperlink xmlns:r="http://schemas.openxmlformats.org/officeDocument/2006/relationships" ref="DC1" tooltip="http://fund.eastmoney.com/159516.html" display="159516 半导体设备ETF" r:id="rId1"/>
    <hyperlink xmlns:r="http://schemas.openxmlformats.org/officeDocument/2006/relationships" ref="AR83" tooltip="https://fund.szse.cn/marketdata/fundslist/javascript:void(0);" display="1055945.4936" r:id="rId2"/>
    <hyperlink xmlns:r="http://schemas.openxmlformats.org/officeDocument/2006/relationships" ref="AS83" tooltip="https://fund.szse.cn/marketdata/fundslist/javascript:void(0);" display="=AR84" r:id="rId3"/>
    <hyperlink xmlns:r="http://schemas.openxmlformats.org/officeDocument/2006/relationships" ref="AR84" tooltip="https://fund.szse.cn/marketdata/fundslist/javascript:void(0);" display="1051545.4936" r:id="rId4"/>
    <hyperlink xmlns:r="http://schemas.openxmlformats.org/officeDocument/2006/relationships" ref="BI84" tooltip="https://fund.szse.cn/marketdata/fundslist/javascript:void(0);" display="1441226.5525" r:id="rId5"/>
    <hyperlink xmlns:r="http://schemas.openxmlformats.org/officeDocument/2006/relationships" ref="BQ84" tooltip="https://fund.szse.cn/marketdata/fundslist/javascript:void(0);" display="1099362.3921" r:id="rId6"/>
    <hyperlink xmlns:r="http://schemas.openxmlformats.org/officeDocument/2006/relationships" ref="DE84" tooltip="https://fund.szse.cn/marketdata/fundslist/javascript:void(0);" display="1950517.9986" r:id="rId7"/>
    <hyperlink xmlns:r="http://schemas.openxmlformats.org/officeDocument/2006/relationships" ref="EK84" tooltip="https://fund.szse.cn/marketdata/fundslist/javascript:void(0);" display="1222922.9669" r:id="rId8"/>
  </hyperlinks>
  <pageMargins left="0.75" right="0.75" top="1" bottom="1" header="0.5" footer="0.5"/>
  <tableParts count="1">
    <tablePart xmlns:r="http://schemas.openxmlformats.org/officeDocument/2006/relationships" r:id="rId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40574</dc:creator>
  <dcterms:created xsi:type="dcterms:W3CDTF">2025-06-19T20:43:00Z</dcterms:created>
  <dcterms:modified xsi:type="dcterms:W3CDTF">2026-10-23T21:52:08Z</dcterms:modified>
  <cp:lastModifiedBy>一二（71cm）</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C1D5938D1F354F97A7D785591CD561FB_13</vt:lpwstr>
  </property>
  <property name="KSOProductBuildVer" fmtid="{D5CDD505-2E9C-101B-9397-08002B2CF9AE}" pid="3">
    <vt:lpwstr>2052-12.1.0.28043</vt:lpwstr>
  </property>
  <property name="CalculationRule" fmtid="{D5CDD505-2E9C-101B-9397-08002B2CF9AE}" pid="4">
    <vt:i4>0</vt:i4>
  </property>
  <property name="KSOReadingLayout" fmtid="{D5CDD505-2E9C-101B-9397-08002B2CF9AE}" pid="5">
    <vt:bool>0</vt:bool>
  </property>
</Properties>
</file>